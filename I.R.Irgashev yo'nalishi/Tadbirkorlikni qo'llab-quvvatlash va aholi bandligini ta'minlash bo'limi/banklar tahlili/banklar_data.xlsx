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0.194.32\Hazrat rab\__2026 йил\2026 йил дастурлар\"/>
    </mc:Choice>
  </mc:AlternateContent>
  <xr:revisionPtr revIDLastSave="0" documentId="13_ncr:1_{46AA6977-4D18-4909-81C8-C717F4C89DE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Филиал" sheetId="5" r:id="rId1"/>
  </sheets>
  <definedNames>
    <definedName name="_____xlfn.BAHTTEXT" hidden="1">#NAME?</definedName>
    <definedName name="____xlfn.BAHTTEXT" hidden="1">#NAME?</definedName>
    <definedName name="___xlfn.BAHTTEXT" hidden="1">#NAME?</definedName>
    <definedName name="__xlfn.BAHTTEXT" hidden="1">#NAME?</definedName>
    <definedName name="_xlnm._FilterDatabase" localSheetId="0" hidden="1">Филиал!$A$8:$DP$8</definedName>
    <definedName name="_xlnm._FilterDatabase" hidden="1">#REF!</definedName>
    <definedName name="Access_Button" hidden="1">"Kaspl_5_ПЛАН_4_Таблица1"</definedName>
    <definedName name="AccessDatabase" hidden="1">"C:\Мои документы\Kaspl_5.mdb"</definedName>
    <definedName name="Z_3A9B8CE0_90FE_45F7_B16A_6C9B6CFEF69B_.wvu.PrintTitles" hidden="1">#REF!,#REF!</definedName>
    <definedName name="Z_86A21AE1_D222_11D6_8098_444553540000_.wvu.Cols" localSheetId="0" hidden="1">#REF!,#REF!,#REF!,#REF!</definedName>
    <definedName name="Z_86A21AE1_D222_11D6_8098_444553540000_.wvu.Cols" hidden="1">#REF!,#REF!,#REF!,#REF!</definedName>
    <definedName name="апапап" localSheetId="0" hidden="1">#REF!</definedName>
    <definedName name="апапап" hidden="1">#REF!</definedName>
    <definedName name="банклар" localSheetId="0" hidden="1">#REF!</definedName>
    <definedName name="банклар" hidden="1">#REF!</definedName>
    <definedName name="_xlnm.Print_Titles" localSheetId="0">Филиал!$D:$D,Филиал!$3:$6</definedName>
    <definedName name="ипотека" localSheetId="0" hidden="1">#REF!,#REF!,#REF!,#REF!</definedName>
    <definedName name="ипотека" hidden="1">#REF!,#REF!,#REF!,#REF!</definedName>
    <definedName name="нар26" localSheetId="0" hidden="1">#REF!,#REF!,#REF!,#REF!</definedName>
    <definedName name="нар26" hidden="1">#REF!,#REF!,#REF!,#REF!</definedName>
    <definedName name="_xlnm.Print_Area" localSheetId="0">Филиал!$A$1:$DA$103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103" i="5" l="1"/>
  <c r="AN103" i="5"/>
  <c r="AM103" i="5"/>
  <c r="AL103" i="5"/>
  <c r="AO102" i="5"/>
  <c r="AN102" i="5"/>
  <c r="AM102" i="5"/>
  <c r="AL102" i="5"/>
  <c r="AK101" i="5"/>
  <c r="AJ101" i="5"/>
  <c r="AI101" i="5"/>
  <c r="AN101" i="5" s="1"/>
  <c r="AH101" i="5"/>
  <c r="AM101" i="5" s="1"/>
  <c r="AG101" i="5"/>
  <c r="AO100" i="5"/>
  <c r="AM100" i="5"/>
  <c r="AL100" i="5"/>
  <c r="AK99" i="5"/>
  <c r="AJ99" i="5"/>
  <c r="AI99" i="5"/>
  <c r="AO99" i="5" s="1"/>
  <c r="AH99" i="5"/>
  <c r="AM99" i="5" s="1"/>
  <c r="AG99" i="5"/>
  <c r="AO98" i="5"/>
  <c r="AN98" i="5"/>
  <c r="AM98" i="5"/>
  <c r="AL98" i="5"/>
  <c r="AK97" i="5"/>
  <c r="AJ97" i="5"/>
  <c r="AI97" i="5"/>
  <c r="AH97" i="5"/>
  <c r="AG97" i="5"/>
  <c r="AO96" i="5"/>
  <c r="AN96" i="5"/>
  <c r="AM96" i="5"/>
  <c r="AL96" i="5"/>
  <c r="AO95" i="5"/>
  <c r="AN95" i="5"/>
  <c r="AM95" i="5"/>
  <c r="AL95" i="5"/>
  <c r="AO94" i="5"/>
  <c r="AN94" i="5"/>
  <c r="AM94" i="5"/>
  <c r="AL94" i="5"/>
  <c r="AO93" i="5"/>
  <c r="AN93" i="5"/>
  <c r="AM93" i="5"/>
  <c r="AL93" i="5"/>
  <c r="AO92" i="5"/>
  <c r="AN92" i="5"/>
  <c r="AM92" i="5"/>
  <c r="AL92" i="5"/>
  <c r="AO91" i="5"/>
  <c r="AN91" i="5"/>
  <c r="AM91" i="5"/>
  <c r="AL91" i="5"/>
  <c r="AK90" i="5"/>
  <c r="AJ90" i="5"/>
  <c r="AI90" i="5"/>
  <c r="AH90" i="5"/>
  <c r="AG90" i="5"/>
  <c r="AO89" i="5"/>
  <c r="AM89" i="5"/>
  <c r="AL89" i="5"/>
  <c r="AO88" i="5"/>
  <c r="AM88" i="5"/>
  <c r="AL88" i="5"/>
  <c r="AO87" i="5"/>
  <c r="AM87" i="5"/>
  <c r="AL87" i="5"/>
  <c r="AJ86" i="5"/>
  <c r="AI86" i="5"/>
  <c r="AO86" i="5" s="1"/>
  <c r="AH86" i="5"/>
  <c r="AM86" i="5" s="1"/>
  <c r="AG86" i="5"/>
  <c r="AO85" i="5"/>
  <c r="AN85" i="5"/>
  <c r="AM85" i="5"/>
  <c r="AL85" i="5"/>
  <c r="AO84" i="5"/>
  <c r="AN84" i="5"/>
  <c r="AM84" i="5"/>
  <c r="AL84" i="5"/>
  <c r="AO83" i="5"/>
  <c r="AN83" i="5"/>
  <c r="AM83" i="5"/>
  <c r="AL83" i="5"/>
  <c r="AO82" i="5"/>
  <c r="AN82" i="5"/>
  <c r="AM82" i="5"/>
  <c r="AL82" i="5"/>
  <c r="AO81" i="5"/>
  <c r="AN81" i="5"/>
  <c r="AM81" i="5"/>
  <c r="AL81" i="5"/>
  <c r="AK80" i="5"/>
  <c r="AJ80" i="5"/>
  <c r="AI80" i="5"/>
  <c r="AO80" i="5" s="1"/>
  <c r="AH80" i="5"/>
  <c r="AM80" i="5" s="1"/>
  <c r="AG80" i="5"/>
  <c r="AO79" i="5"/>
  <c r="AN79" i="5"/>
  <c r="AM79" i="5"/>
  <c r="AL79" i="5"/>
  <c r="AK78" i="5"/>
  <c r="AJ78" i="5"/>
  <c r="AI78" i="5"/>
  <c r="AH78" i="5"/>
  <c r="AM78" i="5" s="1"/>
  <c r="AG78" i="5"/>
  <c r="AO77" i="5"/>
  <c r="AN77" i="5"/>
  <c r="AM77" i="5"/>
  <c r="AL77" i="5"/>
  <c r="AO76" i="5"/>
  <c r="AN76" i="5"/>
  <c r="AM76" i="5"/>
  <c r="AL76" i="5"/>
  <c r="AO75" i="5"/>
  <c r="AN75" i="5"/>
  <c r="AM75" i="5"/>
  <c r="AL75" i="5"/>
  <c r="AO74" i="5"/>
  <c r="AN74" i="5"/>
  <c r="AM74" i="5"/>
  <c r="AL74" i="5"/>
  <c r="AK73" i="5"/>
  <c r="AJ73" i="5"/>
  <c r="AI73" i="5"/>
  <c r="AO73" i="5" s="1"/>
  <c r="AH73" i="5"/>
  <c r="AG73" i="5"/>
  <c r="AO72" i="5"/>
  <c r="AM72" i="5"/>
  <c r="AL72" i="5"/>
  <c r="AO71" i="5"/>
  <c r="AM71" i="5"/>
  <c r="AL71" i="5"/>
  <c r="AO70" i="5"/>
  <c r="AN70" i="5"/>
  <c r="AM70" i="5"/>
  <c r="AL70" i="5"/>
  <c r="AO69" i="5"/>
  <c r="AN69" i="5"/>
  <c r="AM69" i="5"/>
  <c r="AL69" i="5"/>
  <c r="AO68" i="5"/>
  <c r="AN68" i="5"/>
  <c r="AM68" i="5"/>
  <c r="AL68" i="5"/>
  <c r="AO67" i="5"/>
  <c r="AN67" i="5"/>
  <c r="AM67" i="5"/>
  <c r="AL67" i="5"/>
  <c r="AK66" i="5"/>
  <c r="AJ66" i="5"/>
  <c r="AI66" i="5"/>
  <c r="AO66" i="5" s="1"/>
  <c r="AH66" i="5"/>
  <c r="AM66" i="5" s="1"/>
  <c r="AG66" i="5"/>
  <c r="AO65" i="5"/>
  <c r="AN65" i="5"/>
  <c r="AM65" i="5"/>
  <c r="AL65" i="5"/>
  <c r="AO64" i="5"/>
  <c r="AN64" i="5"/>
  <c r="AM64" i="5"/>
  <c r="AL64" i="5"/>
  <c r="AO63" i="5"/>
  <c r="AN63" i="5"/>
  <c r="AM63" i="5"/>
  <c r="AL63" i="5"/>
  <c r="AO62" i="5"/>
  <c r="AN62" i="5"/>
  <c r="AM62" i="5"/>
  <c r="AL62" i="5"/>
  <c r="AO61" i="5"/>
  <c r="AN61" i="5"/>
  <c r="AM61" i="5"/>
  <c r="AL61" i="5"/>
  <c r="AO60" i="5"/>
  <c r="AN60" i="5"/>
  <c r="AM60" i="5"/>
  <c r="AL60" i="5"/>
  <c r="AO59" i="5"/>
  <c r="AN59" i="5"/>
  <c r="AM59" i="5"/>
  <c r="AL59" i="5"/>
  <c r="AO58" i="5"/>
  <c r="AN58" i="5"/>
  <c r="AM58" i="5"/>
  <c r="AL58" i="5"/>
  <c r="AO57" i="5"/>
  <c r="AN57" i="5"/>
  <c r="AM57" i="5"/>
  <c r="AL57" i="5"/>
  <c r="AO56" i="5"/>
  <c r="AN56" i="5"/>
  <c r="AM56" i="5"/>
  <c r="AL56" i="5"/>
  <c r="AO55" i="5"/>
  <c r="AN55" i="5"/>
  <c r="AM55" i="5"/>
  <c r="AL55" i="5"/>
  <c r="AO54" i="5"/>
  <c r="AN54" i="5"/>
  <c r="AM54" i="5"/>
  <c r="AL54" i="5"/>
  <c r="AO53" i="5"/>
  <c r="AN53" i="5"/>
  <c r="AM53" i="5"/>
  <c r="AL53" i="5"/>
  <c r="AO52" i="5"/>
  <c r="AN52" i="5"/>
  <c r="AM52" i="5"/>
  <c r="AL52" i="5"/>
  <c r="AO51" i="5"/>
  <c r="AN51" i="5"/>
  <c r="AM51" i="5"/>
  <c r="AL51" i="5"/>
  <c r="AO50" i="5"/>
  <c r="AN50" i="5"/>
  <c r="AM50" i="5"/>
  <c r="AL50" i="5"/>
  <c r="AO49" i="5"/>
  <c r="AN49" i="5"/>
  <c r="AM49" i="5"/>
  <c r="AL49" i="5"/>
  <c r="AO48" i="5"/>
  <c r="AN48" i="5"/>
  <c r="AM48" i="5"/>
  <c r="AL48" i="5"/>
  <c r="AO47" i="5"/>
  <c r="AN47" i="5"/>
  <c r="AM47" i="5"/>
  <c r="AL47" i="5"/>
  <c r="AK46" i="5"/>
  <c r="AJ46" i="5"/>
  <c r="AI46" i="5"/>
  <c r="AH46" i="5"/>
  <c r="AG46" i="5"/>
  <c r="AO45" i="5"/>
  <c r="AN45" i="5"/>
  <c r="AM45" i="5"/>
  <c r="AL45" i="5"/>
  <c r="AO44" i="5"/>
  <c r="AN44" i="5"/>
  <c r="AM44" i="5"/>
  <c r="AL44" i="5"/>
  <c r="AO43" i="5"/>
  <c r="AN43" i="5"/>
  <c r="AM43" i="5"/>
  <c r="AL43" i="5"/>
  <c r="AO42" i="5"/>
  <c r="AN42" i="5"/>
  <c r="AM42" i="5"/>
  <c r="AL42" i="5"/>
  <c r="AO41" i="5"/>
  <c r="AN41" i="5"/>
  <c r="AM41" i="5"/>
  <c r="AL41" i="5"/>
  <c r="AO40" i="5"/>
  <c r="AN40" i="5"/>
  <c r="AM40" i="5"/>
  <c r="AL40" i="5"/>
  <c r="AO39" i="5"/>
  <c r="AN39" i="5"/>
  <c r="AM39" i="5"/>
  <c r="AL39" i="5"/>
  <c r="AO38" i="5"/>
  <c r="AN38" i="5"/>
  <c r="AM38" i="5"/>
  <c r="AL38" i="5"/>
  <c r="AK37" i="5"/>
  <c r="AJ37" i="5"/>
  <c r="AI37" i="5"/>
  <c r="AO37" i="5" s="1"/>
  <c r="AH37" i="5"/>
  <c r="AM37" i="5" s="1"/>
  <c r="AG37" i="5"/>
  <c r="AO36" i="5"/>
  <c r="AN36" i="5"/>
  <c r="AM36" i="5"/>
  <c r="AL36" i="5"/>
  <c r="AO35" i="5"/>
  <c r="AN35" i="5"/>
  <c r="AM35" i="5"/>
  <c r="AL35" i="5"/>
  <c r="AO34" i="5"/>
  <c r="AN34" i="5"/>
  <c r="AM34" i="5"/>
  <c r="AL34" i="5"/>
  <c r="AO33" i="5"/>
  <c r="AN33" i="5"/>
  <c r="AM33" i="5"/>
  <c r="AL33" i="5"/>
  <c r="AO32" i="5"/>
  <c r="AN32" i="5"/>
  <c r="AM32" i="5"/>
  <c r="AL32" i="5"/>
  <c r="AO31" i="5"/>
  <c r="AN31" i="5"/>
  <c r="AM31" i="5"/>
  <c r="AL31" i="5"/>
  <c r="AO30" i="5"/>
  <c r="AN30" i="5"/>
  <c r="AM30" i="5"/>
  <c r="AL30" i="5"/>
  <c r="AO29" i="5"/>
  <c r="AN29" i="5"/>
  <c r="AM29" i="5"/>
  <c r="AL29" i="5"/>
  <c r="AO28" i="5"/>
  <c r="AN28" i="5"/>
  <c r="AM28" i="5"/>
  <c r="AL28" i="5"/>
  <c r="AO27" i="5"/>
  <c r="AN27" i="5"/>
  <c r="AM27" i="5"/>
  <c r="AL27" i="5"/>
  <c r="AO26" i="5"/>
  <c r="AN26" i="5"/>
  <c r="AM26" i="5"/>
  <c r="AL26" i="5"/>
  <c r="AK25" i="5"/>
  <c r="AJ25" i="5"/>
  <c r="AI25" i="5"/>
  <c r="AH25" i="5"/>
  <c r="AM25" i="5" s="1"/>
  <c r="AG25" i="5"/>
  <c r="AO24" i="5"/>
  <c r="AN24" i="5"/>
  <c r="AM24" i="5"/>
  <c r="AL24" i="5"/>
  <c r="AO23" i="5"/>
  <c r="AN23" i="5"/>
  <c r="AM23" i="5"/>
  <c r="AL23" i="5"/>
  <c r="AO22" i="5"/>
  <c r="AN22" i="5"/>
  <c r="AM22" i="5"/>
  <c r="AL22" i="5"/>
  <c r="AO21" i="5"/>
  <c r="AN21" i="5"/>
  <c r="AM21" i="5"/>
  <c r="AL21" i="5"/>
  <c r="AO20" i="5"/>
  <c r="AN20" i="5"/>
  <c r="AM20" i="5"/>
  <c r="AL20" i="5"/>
  <c r="AO19" i="5"/>
  <c r="AN19" i="5"/>
  <c r="AM19" i="5"/>
  <c r="AL19" i="5"/>
  <c r="AO18" i="5"/>
  <c r="AM18" i="5"/>
  <c r="AL18" i="5"/>
  <c r="AO17" i="5"/>
  <c r="AN17" i="5"/>
  <c r="AM17" i="5"/>
  <c r="AL17" i="5"/>
  <c r="AK16" i="5"/>
  <c r="AJ16" i="5"/>
  <c r="AI16" i="5"/>
  <c r="AO16" i="5" s="1"/>
  <c r="AH16" i="5"/>
  <c r="AM16" i="5" s="1"/>
  <c r="AG16" i="5"/>
  <c r="AO15" i="5"/>
  <c r="AN15" i="5"/>
  <c r="AM15" i="5"/>
  <c r="AL15" i="5"/>
  <c r="AO14" i="5"/>
  <c r="AM14" i="5"/>
  <c r="AL14" i="5"/>
  <c r="AO13" i="5"/>
  <c r="AM13" i="5"/>
  <c r="AL13" i="5"/>
  <c r="AO12" i="5"/>
  <c r="AN12" i="5"/>
  <c r="AM12" i="5"/>
  <c r="AL12" i="5"/>
  <c r="AO11" i="5"/>
  <c r="AM11" i="5"/>
  <c r="AL11" i="5"/>
  <c r="AO10" i="5"/>
  <c r="AM10" i="5"/>
  <c r="AL10" i="5"/>
  <c r="AO9" i="5"/>
  <c r="AM9" i="5"/>
  <c r="AL9" i="5"/>
  <c r="AK8" i="5"/>
  <c r="AJ8" i="5"/>
  <c r="AI8" i="5"/>
  <c r="AO8" i="5" s="1"/>
  <c r="AH8" i="5"/>
  <c r="AM8" i="5" s="1"/>
  <c r="AG8" i="5"/>
  <c r="K105" i="5"/>
  <c r="J105" i="5"/>
  <c r="I105" i="5"/>
  <c r="H105" i="5"/>
  <c r="K104" i="5"/>
  <c r="J104" i="5"/>
  <c r="I104" i="5"/>
  <c r="H104" i="5"/>
  <c r="Q103" i="5"/>
  <c r="P103" i="5"/>
  <c r="O103" i="5"/>
  <c r="N103" i="5"/>
  <c r="K103" i="5"/>
  <c r="R103" i="5" s="1"/>
  <c r="J103" i="5"/>
  <c r="I103" i="5"/>
  <c r="H103" i="5"/>
  <c r="Q102" i="5"/>
  <c r="P102" i="5"/>
  <c r="O102" i="5"/>
  <c r="N102" i="5"/>
  <c r="K102" i="5"/>
  <c r="J102" i="5"/>
  <c r="I102" i="5"/>
  <c r="H102" i="5"/>
  <c r="H101" i="5" s="1"/>
  <c r="M101" i="5"/>
  <c r="L101" i="5"/>
  <c r="G101" i="5"/>
  <c r="Q101" i="5" s="1"/>
  <c r="F101" i="5"/>
  <c r="O101" i="5" s="1"/>
  <c r="E101" i="5"/>
  <c r="Q100" i="5"/>
  <c r="O100" i="5"/>
  <c r="N100" i="5"/>
  <c r="K100" i="5"/>
  <c r="R100" i="5" s="1"/>
  <c r="J100" i="5"/>
  <c r="J99" i="5" s="1"/>
  <c r="I100" i="5"/>
  <c r="I99" i="5" s="1"/>
  <c r="H100" i="5"/>
  <c r="H99" i="5" s="1"/>
  <c r="M99" i="5"/>
  <c r="L99" i="5"/>
  <c r="G99" i="5"/>
  <c r="F99" i="5"/>
  <c r="E99" i="5"/>
  <c r="Q98" i="5"/>
  <c r="P98" i="5"/>
  <c r="O98" i="5"/>
  <c r="N98" i="5"/>
  <c r="K98" i="5"/>
  <c r="R98" i="5" s="1"/>
  <c r="J98" i="5"/>
  <c r="I98" i="5"/>
  <c r="H98" i="5"/>
  <c r="H97" i="5" s="1"/>
  <c r="M97" i="5"/>
  <c r="L97" i="5"/>
  <c r="K97" i="5"/>
  <c r="R97" i="5" s="1"/>
  <c r="J97" i="5"/>
  <c r="I97" i="5"/>
  <c r="G97" i="5"/>
  <c r="F97" i="5"/>
  <c r="E97" i="5"/>
  <c r="Q96" i="5"/>
  <c r="P96" i="5"/>
  <c r="O96" i="5"/>
  <c r="N96" i="5"/>
  <c r="K96" i="5"/>
  <c r="R96" i="5" s="1"/>
  <c r="J96" i="5"/>
  <c r="I96" i="5"/>
  <c r="H96" i="5"/>
  <c r="Q95" i="5"/>
  <c r="P95" i="5"/>
  <c r="O95" i="5"/>
  <c r="N95" i="5"/>
  <c r="K95" i="5"/>
  <c r="R95" i="5" s="1"/>
  <c r="J95" i="5"/>
  <c r="I95" i="5"/>
  <c r="H95" i="5"/>
  <c r="Q94" i="5"/>
  <c r="P94" i="5"/>
  <c r="O94" i="5"/>
  <c r="N94" i="5"/>
  <c r="K94" i="5"/>
  <c r="R94" i="5" s="1"/>
  <c r="J94" i="5"/>
  <c r="I94" i="5"/>
  <c r="H94" i="5"/>
  <c r="Q93" i="5"/>
  <c r="P93" i="5"/>
  <c r="O93" i="5"/>
  <c r="N93" i="5"/>
  <c r="K93" i="5"/>
  <c r="R93" i="5" s="1"/>
  <c r="J93" i="5"/>
  <c r="I93" i="5"/>
  <c r="H93" i="5"/>
  <c r="Q92" i="5"/>
  <c r="P92" i="5"/>
  <c r="O92" i="5"/>
  <c r="N92" i="5"/>
  <c r="K92" i="5"/>
  <c r="R92" i="5" s="1"/>
  <c r="J92" i="5"/>
  <c r="I92" i="5"/>
  <c r="H92" i="5"/>
  <c r="Q91" i="5"/>
  <c r="P91" i="5"/>
  <c r="O91" i="5"/>
  <c r="N91" i="5"/>
  <c r="K91" i="5"/>
  <c r="J91" i="5"/>
  <c r="I91" i="5"/>
  <c r="H91" i="5"/>
  <c r="M90" i="5"/>
  <c r="L90" i="5"/>
  <c r="G90" i="5"/>
  <c r="Q90" i="5" s="1"/>
  <c r="F90" i="5"/>
  <c r="E90" i="5"/>
  <c r="Q89" i="5"/>
  <c r="O89" i="5"/>
  <c r="N89" i="5"/>
  <c r="K89" i="5"/>
  <c r="R89" i="5" s="1"/>
  <c r="J89" i="5"/>
  <c r="I89" i="5"/>
  <c r="H89" i="5"/>
  <c r="Q88" i="5"/>
  <c r="O88" i="5"/>
  <c r="N88" i="5"/>
  <c r="K88" i="5"/>
  <c r="R88" i="5" s="1"/>
  <c r="J88" i="5"/>
  <c r="I88" i="5"/>
  <c r="H88" i="5"/>
  <c r="Q87" i="5"/>
  <c r="O87" i="5"/>
  <c r="N87" i="5"/>
  <c r="K87" i="5"/>
  <c r="R87" i="5" s="1"/>
  <c r="J87" i="5"/>
  <c r="I87" i="5"/>
  <c r="H87" i="5"/>
  <c r="L86" i="5"/>
  <c r="G86" i="5"/>
  <c r="Q86" i="5" s="1"/>
  <c r="F86" i="5"/>
  <c r="O86" i="5" s="1"/>
  <c r="E86" i="5"/>
  <c r="Q85" i="5"/>
  <c r="P85" i="5"/>
  <c r="O85" i="5"/>
  <c r="N85" i="5"/>
  <c r="K85" i="5"/>
  <c r="R85" i="5" s="1"/>
  <c r="J85" i="5"/>
  <c r="I85" i="5"/>
  <c r="H85" i="5"/>
  <c r="Q84" i="5"/>
  <c r="P84" i="5"/>
  <c r="O84" i="5"/>
  <c r="N84" i="5"/>
  <c r="K84" i="5"/>
  <c r="R84" i="5" s="1"/>
  <c r="J84" i="5"/>
  <c r="I84" i="5"/>
  <c r="H84" i="5"/>
  <c r="Q83" i="5"/>
  <c r="P83" i="5"/>
  <c r="O83" i="5"/>
  <c r="N83" i="5"/>
  <c r="K83" i="5"/>
  <c r="R83" i="5" s="1"/>
  <c r="J83" i="5"/>
  <c r="I83" i="5"/>
  <c r="H83" i="5"/>
  <c r="Q82" i="5"/>
  <c r="P82" i="5"/>
  <c r="O82" i="5"/>
  <c r="N82" i="5"/>
  <c r="K82" i="5"/>
  <c r="R82" i="5" s="1"/>
  <c r="J82" i="5"/>
  <c r="I82" i="5"/>
  <c r="H82" i="5"/>
  <c r="Q81" i="5"/>
  <c r="P81" i="5"/>
  <c r="O81" i="5"/>
  <c r="N81" i="5"/>
  <c r="K81" i="5"/>
  <c r="R81" i="5" s="1"/>
  <c r="J81" i="5"/>
  <c r="I81" i="5"/>
  <c r="H81" i="5"/>
  <c r="M80" i="5"/>
  <c r="L80" i="5"/>
  <c r="G80" i="5"/>
  <c r="F80" i="5"/>
  <c r="E80" i="5"/>
  <c r="Q79" i="5"/>
  <c r="P79" i="5"/>
  <c r="O79" i="5"/>
  <c r="N79" i="5"/>
  <c r="K79" i="5"/>
  <c r="R79" i="5" s="1"/>
  <c r="J79" i="5"/>
  <c r="J78" i="5" s="1"/>
  <c r="I79" i="5"/>
  <c r="I78" i="5" s="1"/>
  <c r="H79" i="5"/>
  <c r="H78" i="5" s="1"/>
  <c r="M78" i="5"/>
  <c r="L78" i="5"/>
  <c r="K78" i="5"/>
  <c r="R78" i="5" s="1"/>
  <c r="G78" i="5"/>
  <c r="F78" i="5"/>
  <c r="E78" i="5"/>
  <c r="Q77" i="5"/>
  <c r="P77" i="5"/>
  <c r="O77" i="5"/>
  <c r="N77" i="5"/>
  <c r="K77" i="5"/>
  <c r="R77" i="5" s="1"/>
  <c r="J77" i="5"/>
  <c r="I77" i="5"/>
  <c r="H77" i="5"/>
  <c r="Q76" i="5"/>
  <c r="P76" i="5"/>
  <c r="O76" i="5"/>
  <c r="N76" i="5"/>
  <c r="K76" i="5"/>
  <c r="R76" i="5" s="1"/>
  <c r="J76" i="5"/>
  <c r="I76" i="5"/>
  <c r="H76" i="5"/>
  <c r="Q75" i="5"/>
  <c r="P75" i="5"/>
  <c r="O75" i="5"/>
  <c r="N75" i="5"/>
  <c r="K75" i="5"/>
  <c r="R75" i="5" s="1"/>
  <c r="J75" i="5"/>
  <c r="I75" i="5"/>
  <c r="H75" i="5"/>
  <c r="Q74" i="5"/>
  <c r="P74" i="5"/>
  <c r="O74" i="5"/>
  <c r="N74" i="5"/>
  <c r="K74" i="5"/>
  <c r="J74" i="5"/>
  <c r="I74" i="5"/>
  <c r="H74" i="5"/>
  <c r="M73" i="5"/>
  <c r="L73" i="5"/>
  <c r="G73" i="5"/>
  <c r="F73" i="5"/>
  <c r="E73" i="5"/>
  <c r="Q72" i="5"/>
  <c r="O72" i="5"/>
  <c r="N72" i="5"/>
  <c r="K72" i="5"/>
  <c r="R72" i="5" s="1"/>
  <c r="J72" i="5"/>
  <c r="I72" i="5"/>
  <c r="H72" i="5"/>
  <c r="Q71" i="5"/>
  <c r="O71" i="5"/>
  <c r="N71" i="5"/>
  <c r="K71" i="5"/>
  <c r="R71" i="5" s="1"/>
  <c r="J71" i="5"/>
  <c r="I71" i="5"/>
  <c r="H71" i="5"/>
  <c r="Q70" i="5"/>
  <c r="P70" i="5"/>
  <c r="O70" i="5"/>
  <c r="N70" i="5"/>
  <c r="K70" i="5"/>
  <c r="R70" i="5" s="1"/>
  <c r="J70" i="5"/>
  <c r="I70" i="5"/>
  <c r="H70" i="5"/>
  <c r="Q69" i="5"/>
  <c r="P69" i="5"/>
  <c r="O69" i="5"/>
  <c r="N69" i="5"/>
  <c r="K69" i="5"/>
  <c r="R69" i="5" s="1"/>
  <c r="J69" i="5"/>
  <c r="I69" i="5"/>
  <c r="H69" i="5"/>
  <c r="Q68" i="5"/>
  <c r="P68" i="5"/>
  <c r="O68" i="5"/>
  <c r="N68" i="5"/>
  <c r="K68" i="5"/>
  <c r="R68" i="5" s="1"/>
  <c r="J68" i="5"/>
  <c r="I68" i="5"/>
  <c r="H68" i="5"/>
  <c r="Q67" i="5"/>
  <c r="P67" i="5"/>
  <c r="O67" i="5"/>
  <c r="N67" i="5"/>
  <c r="K67" i="5"/>
  <c r="R67" i="5" s="1"/>
  <c r="J67" i="5"/>
  <c r="I67" i="5"/>
  <c r="H67" i="5"/>
  <c r="M66" i="5"/>
  <c r="L66" i="5"/>
  <c r="G66" i="5"/>
  <c r="Q66" i="5" s="1"/>
  <c r="F66" i="5"/>
  <c r="E66" i="5"/>
  <c r="Q65" i="5"/>
  <c r="P65" i="5"/>
  <c r="O65" i="5"/>
  <c r="N65" i="5"/>
  <c r="K65" i="5"/>
  <c r="R65" i="5" s="1"/>
  <c r="J65" i="5"/>
  <c r="I65" i="5"/>
  <c r="H65" i="5"/>
  <c r="Q64" i="5"/>
  <c r="P64" i="5"/>
  <c r="O64" i="5"/>
  <c r="N64" i="5"/>
  <c r="K64" i="5"/>
  <c r="R64" i="5" s="1"/>
  <c r="J64" i="5"/>
  <c r="I64" i="5"/>
  <c r="H64" i="5"/>
  <c r="Q63" i="5"/>
  <c r="P63" i="5"/>
  <c r="O63" i="5"/>
  <c r="N63" i="5"/>
  <c r="K63" i="5"/>
  <c r="R63" i="5" s="1"/>
  <c r="J63" i="5"/>
  <c r="I63" i="5"/>
  <c r="H63" i="5"/>
  <c r="Q62" i="5"/>
  <c r="P62" i="5"/>
  <c r="O62" i="5"/>
  <c r="N62" i="5"/>
  <c r="K62" i="5"/>
  <c r="R62" i="5" s="1"/>
  <c r="J62" i="5"/>
  <c r="I62" i="5"/>
  <c r="H62" i="5"/>
  <c r="Q61" i="5"/>
  <c r="P61" i="5"/>
  <c r="O61" i="5"/>
  <c r="N61" i="5"/>
  <c r="K61" i="5"/>
  <c r="R61" i="5" s="1"/>
  <c r="J61" i="5"/>
  <c r="I61" i="5"/>
  <c r="H61" i="5"/>
  <c r="Q60" i="5"/>
  <c r="P60" i="5"/>
  <c r="O60" i="5"/>
  <c r="N60" i="5"/>
  <c r="K60" i="5"/>
  <c r="R60" i="5" s="1"/>
  <c r="J60" i="5"/>
  <c r="I60" i="5"/>
  <c r="H60" i="5"/>
  <c r="Q59" i="5"/>
  <c r="P59" i="5"/>
  <c r="O59" i="5"/>
  <c r="N59" i="5"/>
  <c r="K59" i="5"/>
  <c r="R59" i="5" s="1"/>
  <c r="J59" i="5"/>
  <c r="I59" i="5"/>
  <c r="H59" i="5"/>
  <c r="Q58" i="5"/>
  <c r="P58" i="5"/>
  <c r="O58" i="5"/>
  <c r="N58" i="5"/>
  <c r="K58" i="5"/>
  <c r="R58" i="5" s="1"/>
  <c r="J58" i="5"/>
  <c r="I58" i="5"/>
  <c r="H58" i="5"/>
  <c r="Q57" i="5"/>
  <c r="P57" i="5"/>
  <c r="O57" i="5"/>
  <c r="N57" i="5"/>
  <c r="K57" i="5"/>
  <c r="R57" i="5" s="1"/>
  <c r="J57" i="5"/>
  <c r="I57" i="5"/>
  <c r="H57" i="5"/>
  <c r="Q56" i="5"/>
  <c r="P56" i="5"/>
  <c r="O56" i="5"/>
  <c r="N56" i="5"/>
  <c r="K56" i="5"/>
  <c r="R56" i="5" s="1"/>
  <c r="J56" i="5"/>
  <c r="I56" i="5"/>
  <c r="H56" i="5"/>
  <c r="Q55" i="5"/>
  <c r="P55" i="5"/>
  <c r="O55" i="5"/>
  <c r="N55" i="5"/>
  <c r="K55" i="5"/>
  <c r="R55" i="5" s="1"/>
  <c r="J55" i="5"/>
  <c r="I55" i="5"/>
  <c r="H55" i="5"/>
  <c r="Q54" i="5"/>
  <c r="P54" i="5"/>
  <c r="O54" i="5"/>
  <c r="N54" i="5"/>
  <c r="K54" i="5"/>
  <c r="R54" i="5" s="1"/>
  <c r="J54" i="5"/>
  <c r="I54" i="5"/>
  <c r="H54" i="5"/>
  <c r="Q53" i="5"/>
  <c r="P53" i="5"/>
  <c r="O53" i="5"/>
  <c r="N53" i="5"/>
  <c r="K53" i="5"/>
  <c r="R53" i="5" s="1"/>
  <c r="J53" i="5"/>
  <c r="I53" i="5"/>
  <c r="H53" i="5"/>
  <c r="Q52" i="5"/>
  <c r="P52" i="5"/>
  <c r="O52" i="5"/>
  <c r="N52" i="5"/>
  <c r="K52" i="5"/>
  <c r="R52" i="5" s="1"/>
  <c r="J52" i="5"/>
  <c r="I52" i="5"/>
  <c r="H52" i="5"/>
  <c r="Q51" i="5"/>
  <c r="P51" i="5"/>
  <c r="O51" i="5"/>
  <c r="N51" i="5"/>
  <c r="K51" i="5"/>
  <c r="R51" i="5" s="1"/>
  <c r="J51" i="5"/>
  <c r="I51" i="5"/>
  <c r="H51" i="5"/>
  <c r="Q50" i="5"/>
  <c r="P50" i="5"/>
  <c r="O50" i="5"/>
  <c r="N50" i="5"/>
  <c r="K50" i="5"/>
  <c r="R50" i="5" s="1"/>
  <c r="J50" i="5"/>
  <c r="I50" i="5"/>
  <c r="H50" i="5"/>
  <c r="Q49" i="5"/>
  <c r="P49" i="5"/>
  <c r="O49" i="5"/>
  <c r="N49" i="5"/>
  <c r="K49" i="5"/>
  <c r="R49" i="5" s="1"/>
  <c r="J49" i="5"/>
  <c r="I49" i="5"/>
  <c r="H49" i="5"/>
  <c r="Q48" i="5"/>
  <c r="P48" i="5"/>
  <c r="O48" i="5"/>
  <c r="N48" i="5"/>
  <c r="K48" i="5"/>
  <c r="R48" i="5" s="1"/>
  <c r="J48" i="5"/>
  <c r="I48" i="5"/>
  <c r="H48" i="5"/>
  <c r="Q47" i="5"/>
  <c r="P47" i="5"/>
  <c r="O47" i="5"/>
  <c r="N47" i="5"/>
  <c r="K47" i="5"/>
  <c r="J47" i="5"/>
  <c r="I47" i="5"/>
  <c r="H47" i="5"/>
  <c r="M46" i="5"/>
  <c r="L46" i="5"/>
  <c r="G46" i="5"/>
  <c r="Q46" i="5" s="1"/>
  <c r="F46" i="5"/>
  <c r="O46" i="5" s="1"/>
  <c r="E46" i="5"/>
  <c r="Q45" i="5"/>
  <c r="P45" i="5"/>
  <c r="O45" i="5"/>
  <c r="N45" i="5"/>
  <c r="K45" i="5"/>
  <c r="R45" i="5" s="1"/>
  <c r="J45" i="5"/>
  <c r="I45" i="5"/>
  <c r="H45" i="5"/>
  <c r="Q44" i="5"/>
  <c r="P44" i="5"/>
  <c r="O44" i="5"/>
  <c r="N44" i="5"/>
  <c r="K44" i="5"/>
  <c r="R44" i="5" s="1"/>
  <c r="J44" i="5"/>
  <c r="I44" i="5"/>
  <c r="H44" i="5"/>
  <c r="Q43" i="5"/>
  <c r="P43" i="5"/>
  <c r="O43" i="5"/>
  <c r="N43" i="5"/>
  <c r="K43" i="5"/>
  <c r="R43" i="5" s="1"/>
  <c r="J43" i="5"/>
  <c r="I43" i="5"/>
  <c r="H43" i="5"/>
  <c r="Q42" i="5"/>
  <c r="P42" i="5"/>
  <c r="O42" i="5"/>
  <c r="N42" i="5"/>
  <c r="K42" i="5"/>
  <c r="R42" i="5" s="1"/>
  <c r="J42" i="5"/>
  <c r="I42" i="5"/>
  <c r="H42" i="5"/>
  <c r="Q41" i="5"/>
  <c r="P41" i="5"/>
  <c r="O41" i="5"/>
  <c r="N41" i="5"/>
  <c r="K41" i="5"/>
  <c r="R41" i="5" s="1"/>
  <c r="J41" i="5"/>
  <c r="I41" i="5"/>
  <c r="H41" i="5"/>
  <c r="Q40" i="5"/>
  <c r="P40" i="5"/>
  <c r="O40" i="5"/>
  <c r="N40" i="5"/>
  <c r="K40" i="5"/>
  <c r="R40" i="5" s="1"/>
  <c r="J40" i="5"/>
  <c r="I40" i="5"/>
  <c r="H40" i="5"/>
  <c r="Q39" i="5"/>
  <c r="P39" i="5"/>
  <c r="O39" i="5"/>
  <c r="N39" i="5"/>
  <c r="K39" i="5"/>
  <c r="R39" i="5" s="1"/>
  <c r="J39" i="5"/>
  <c r="I39" i="5"/>
  <c r="H39" i="5"/>
  <c r="Q38" i="5"/>
  <c r="P38" i="5"/>
  <c r="O38" i="5"/>
  <c r="N38" i="5"/>
  <c r="K38" i="5"/>
  <c r="J38" i="5"/>
  <c r="I38" i="5"/>
  <c r="H38" i="5"/>
  <c r="M37" i="5"/>
  <c r="L37" i="5"/>
  <c r="G37" i="5"/>
  <c r="Q37" i="5" s="1"/>
  <c r="F37" i="5"/>
  <c r="O37" i="5" s="1"/>
  <c r="E37" i="5"/>
  <c r="Q36" i="5"/>
  <c r="P36" i="5"/>
  <c r="O36" i="5"/>
  <c r="N36" i="5"/>
  <c r="K36" i="5"/>
  <c r="R36" i="5" s="1"/>
  <c r="J36" i="5"/>
  <c r="I36" i="5"/>
  <c r="H36" i="5"/>
  <c r="Q35" i="5"/>
  <c r="P35" i="5"/>
  <c r="O35" i="5"/>
  <c r="N35" i="5"/>
  <c r="K35" i="5"/>
  <c r="R35" i="5" s="1"/>
  <c r="J35" i="5"/>
  <c r="I35" i="5"/>
  <c r="H35" i="5"/>
  <c r="Q34" i="5"/>
  <c r="P34" i="5"/>
  <c r="O34" i="5"/>
  <c r="N34" i="5"/>
  <c r="K34" i="5"/>
  <c r="R34" i="5" s="1"/>
  <c r="J34" i="5"/>
  <c r="I34" i="5"/>
  <c r="H34" i="5"/>
  <c r="Q33" i="5"/>
  <c r="P33" i="5"/>
  <c r="O33" i="5"/>
  <c r="N33" i="5"/>
  <c r="K33" i="5"/>
  <c r="R33" i="5" s="1"/>
  <c r="J33" i="5"/>
  <c r="I33" i="5"/>
  <c r="H33" i="5"/>
  <c r="Q32" i="5"/>
  <c r="P32" i="5"/>
  <c r="O32" i="5"/>
  <c r="N32" i="5"/>
  <c r="K32" i="5"/>
  <c r="R32" i="5" s="1"/>
  <c r="J32" i="5"/>
  <c r="I32" i="5"/>
  <c r="H32" i="5"/>
  <c r="Q31" i="5"/>
  <c r="P31" i="5"/>
  <c r="O31" i="5"/>
  <c r="N31" i="5"/>
  <c r="K31" i="5"/>
  <c r="R31" i="5" s="1"/>
  <c r="J31" i="5"/>
  <c r="I31" i="5"/>
  <c r="H31" i="5"/>
  <c r="Q30" i="5"/>
  <c r="P30" i="5"/>
  <c r="O30" i="5"/>
  <c r="N30" i="5"/>
  <c r="K30" i="5"/>
  <c r="R30" i="5" s="1"/>
  <c r="J30" i="5"/>
  <c r="I30" i="5"/>
  <c r="H30" i="5"/>
  <c r="Q29" i="5"/>
  <c r="P29" i="5"/>
  <c r="O29" i="5"/>
  <c r="N29" i="5"/>
  <c r="K29" i="5"/>
  <c r="R29" i="5" s="1"/>
  <c r="J29" i="5"/>
  <c r="I29" i="5"/>
  <c r="H29" i="5"/>
  <c r="Q28" i="5"/>
  <c r="P28" i="5"/>
  <c r="O28" i="5"/>
  <c r="N28" i="5"/>
  <c r="K28" i="5"/>
  <c r="R28" i="5" s="1"/>
  <c r="J28" i="5"/>
  <c r="I28" i="5"/>
  <c r="H28" i="5"/>
  <c r="Q27" i="5"/>
  <c r="P27" i="5"/>
  <c r="O27" i="5"/>
  <c r="N27" i="5"/>
  <c r="K27" i="5"/>
  <c r="R27" i="5" s="1"/>
  <c r="J27" i="5"/>
  <c r="I27" i="5"/>
  <c r="H27" i="5"/>
  <c r="Q26" i="5"/>
  <c r="P26" i="5"/>
  <c r="O26" i="5"/>
  <c r="N26" i="5"/>
  <c r="K26" i="5"/>
  <c r="J26" i="5"/>
  <c r="I26" i="5"/>
  <c r="H26" i="5"/>
  <c r="M25" i="5"/>
  <c r="L25" i="5"/>
  <c r="G25" i="5"/>
  <c r="F25" i="5"/>
  <c r="O25" i="5" s="1"/>
  <c r="E25" i="5"/>
  <c r="Q24" i="5"/>
  <c r="P24" i="5"/>
  <c r="O24" i="5"/>
  <c r="N24" i="5"/>
  <c r="K24" i="5"/>
  <c r="R24" i="5" s="1"/>
  <c r="J24" i="5"/>
  <c r="I24" i="5"/>
  <c r="H24" i="5"/>
  <c r="Q23" i="5"/>
  <c r="P23" i="5"/>
  <c r="O23" i="5"/>
  <c r="N23" i="5"/>
  <c r="K23" i="5"/>
  <c r="R23" i="5" s="1"/>
  <c r="J23" i="5"/>
  <c r="I23" i="5"/>
  <c r="H23" i="5"/>
  <c r="Q22" i="5"/>
  <c r="P22" i="5"/>
  <c r="O22" i="5"/>
  <c r="N22" i="5"/>
  <c r="K22" i="5"/>
  <c r="R22" i="5" s="1"/>
  <c r="J22" i="5"/>
  <c r="I22" i="5"/>
  <c r="H22" i="5"/>
  <c r="Q21" i="5"/>
  <c r="P21" i="5"/>
  <c r="O21" i="5"/>
  <c r="N21" i="5"/>
  <c r="K21" i="5"/>
  <c r="R21" i="5" s="1"/>
  <c r="J21" i="5"/>
  <c r="I21" i="5"/>
  <c r="H21" i="5"/>
  <c r="Q20" i="5"/>
  <c r="P20" i="5"/>
  <c r="O20" i="5"/>
  <c r="N20" i="5"/>
  <c r="K20" i="5"/>
  <c r="R20" i="5" s="1"/>
  <c r="J20" i="5"/>
  <c r="I20" i="5"/>
  <c r="H20" i="5"/>
  <c r="Q19" i="5"/>
  <c r="P19" i="5"/>
  <c r="O19" i="5"/>
  <c r="N19" i="5"/>
  <c r="K19" i="5"/>
  <c r="R19" i="5" s="1"/>
  <c r="J19" i="5"/>
  <c r="I19" i="5"/>
  <c r="H19" i="5"/>
  <c r="Q18" i="5"/>
  <c r="O18" i="5"/>
  <c r="N18" i="5"/>
  <c r="K18" i="5"/>
  <c r="R18" i="5" s="1"/>
  <c r="J18" i="5"/>
  <c r="I18" i="5"/>
  <c r="H18" i="5"/>
  <c r="Q17" i="5"/>
  <c r="P17" i="5"/>
  <c r="O17" i="5"/>
  <c r="N17" i="5"/>
  <c r="K17" i="5"/>
  <c r="J17" i="5"/>
  <c r="I17" i="5"/>
  <c r="H17" i="5"/>
  <c r="M16" i="5"/>
  <c r="L16" i="5"/>
  <c r="G16" i="5"/>
  <c r="Q16" i="5" s="1"/>
  <c r="F16" i="5"/>
  <c r="O16" i="5" s="1"/>
  <c r="E16" i="5"/>
  <c r="Q15" i="5"/>
  <c r="P15" i="5"/>
  <c r="O15" i="5"/>
  <c r="N15" i="5"/>
  <c r="K15" i="5"/>
  <c r="R15" i="5" s="1"/>
  <c r="J15" i="5"/>
  <c r="I15" i="5"/>
  <c r="H15" i="5"/>
  <c r="Q14" i="5"/>
  <c r="O14" i="5"/>
  <c r="N14" i="5"/>
  <c r="K14" i="5"/>
  <c r="R14" i="5" s="1"/>
  <c r="J14" i="5"/>
  <c r="I14" i="5"/>
  <c r="H14" i="5"/>
  <c r="R13" i="5"/>
  <c r="Q13" i="5"/>
  <c r="O13" i="5"/>
  <c r="N13" i="5"/>
  <c r="Q12" i="5"/>
  <c r="P12" i="5"/>
  <c r="O12" i="5"/>
  <c r="N12" i="5"/>
  <c r="K12" i="5"/>
  <c r="R12" i="5" s="1"/>
  <c r="H12" i="5"/>
  <c r="J12" i="5" s="1"/>
  <c r="I12" i="5" s="1"/>
  <c r="R11" i="5"/>
  <c r="Q11" i="5"/>
  <c r="O11" i="5"/>
  <c r="N11" i="5"/>
  <c r="Q10" i="5"/>
  <c r="O10" i="5"/>
  <c r="N10" i="5"/>
  <c r="K10" i="5"/>
  <c r="R10" i="5" s="1"/>
  <c r="J10" i="5"/>
  <c r="I10" i="5"/>
  <c r="H10" i="5"/>
  <c r="Q9" i="5"/>
  <c r="O9" i="5"/>
  <c r="N9" i="5"/>
  <c r="K9" i="5"/>
  <c r="R9" i="5" s="1"/>
  <c r="J9" i="5"/>
  <c r="I9" i="5"/>
  <c r="H9" i="5"/>
  <c r="M8" i="5"/>
  <c r="L8" i="5"/>
  <c r="G8" i="5"/>
  <c r="F8" i="5"/>
  <c r="E8" i="5"/>
  <c r="Y105" i="5"/>
  <c r="X105" i="5"/>
  <c r="W105" i="5"/>
  <c r="V105" i="5"/>
  <c r="Y104" i="5"/>
  <c r="X104" i="5"/>
  <c r="W104" i="5"/>
  <c r="V104" i="5"/>
  <c r="AE103" i="5"/>
  <c r="AD103" i="5"/>
  <c r="AC103" i="5"/>
  <c r="AB103" i="5"/>
  <c r="Y103" i="5"/>
  <c r="AF103" i="5" s="1"/>
  <c r="X103" i="5"/>
  <c r="W103" i="5"/>
  <c r="V103" i="5"/>
  <c r="AE102" i="5"/>
  <c r="AD102" i="5"/>
  <c r="AC102" i="5"/>
  <c r="AB102" i="5"/>
  <c r="Y102" i="5"/>
  <c r="X102" i="5"/>
  <c r="W102" i="5"/>
  <c r="V102" i="5"/>
  <c r="AA101" i="5"/>
  <c r="Z101" i="5"/>
  <c r="U101" i="5"/>
  <c r="T101" i="5"/>
  <c r="S101" i="5"/>
  <c r="AE100" i="5"/>
  <c r="AC100" i="5"/>
  <c r="AB100" i="5"/>
  <c r="Y100" i="5"/>
  <c r="Y99" i="5" s="1"/>
  <c r="X100" i="5"/>
  <c r="X99" i="5" s="1"/>
  <c r="W100" i="5"/>
  <c r="W99" i="5" s="1"/>
  <c r="V100" i="5"/>
  <c r="V99" i="5" s="1"/>
  <c r="AA99" i="5"/>
  <c r="Z99" i="5"/>
  <c r="U99" i="5"/>
  <c r="T99" i="5"/>
  <c r="AC99" i="5" s="1"/>
  <c r="S99" i="5"/>
  <c r="AE98" i="5"/>
  <c r="AD98" i="5"/>
  <c r="AC98" i="5"/>
  <c r="AB98" i="5"/>
  <c r="Y98" i="5"/>
  <c r="AF98" i="5" s="1"/>
  <c r="X98" i="5"/>
  <c r="X97" i="5" s="1"/>
  <c r="W98" i="5"/>
  <c r="W97" i="5" s="1"/>
  <c r="V98" i="5"/>
  <c r="V97" i="5" s="1"/>
  <c r="AA97" i="5"/>
  <c r="Z97" i="5"/>
  <c r="U97" i="5"/>
  <c r="T97" i="5"/>
  <c r="S97" i="5"/>
  <c r="AE96" i="5"/>
  <c r="AD96" i="5"/>
  <c r="AC96" i="5"/>
  <c r="AB96" i="5"/>
  <c r="Y96" i="5"/>
  <c r="AF96" i="5" s="1"/>
  <c r="X96" i="5"/>
  <c r="W96" i="5"/>
  <c r="V96" i="5"/>
  <c r="AE95" i="5"/>
  <c r="AD95" i="5"/>
  <c r="AC95" i="5"/>
  <c r="AB95" i="5"/>
  <c r="Y95" i="5"/>
  <c r="AF95" i="5" s="1"/>
  <c r="X95" i="5"/>
  <c r="W95" i="5"/>
  <c r="V95" i="5"/>
  <c r="AE94" i="5"/>
  <c r="AD94" i="5"/>
  <c r="AC94" i="5"/>
  <c r="AB94" i="5"/>
  <c r="Y94" i="5"/>
  <c r="AF94" i="5" s="1"/>
  <c r="X94" i="5"/>
  <c r="W94" i="5"/>
  <c r="V94" i="5"/>
  <c r="AE93" i="5"/>
  <c r="AD93" i="5"/>
  <c r="AC93" i="5"/>
  <c r="AB93" i="5"/>
  <c r="Y93" i="5"/>
  <c r="AF93" i="5" s="1"/>
  <c r="X93" i="5"/>
  <c r="W93" i="5"/>
  <c r="V93" i="5"/>
  <c r="AE92" i="5"/>
  <c r="AD92" i="5"/>
  <c r="AC92" i="5"/>
  <c r="AB92" i="5"/>
  <c r="Y92" i="5"/>
  <c r="AF92" i="5" s="1"/>
  <c r="X92" i="5"/>
  <c r="W92" i="5"/>
  <c r="V92" i="5"/>
  <c r="AE91" i="5"/>
  <c r="AD91" i="5"/>
  <c r="AC91" i="5"/>
  <c r="AB91" i="5"/>
  <c r="Y91" i="5"/>
  <c r="X91" i="5"/>
  <c r="W91" i="5"/>
  <c r="V91" i="5"/>
  <c r="AA90" i="5"/>
  <c r="Z90" i="5"/>
  <c r="U90" i="5"/>
  <c r="T90" i="5"/>
  <c r="S90" i="5"/>
  <c r="AE89" i="5"/>
  <c r="AC89" i="5"/>
  <c r="AB89" i="5"/>
  <c r="Y89" i="5"/>
  <c r="AF89" i="5" s="1"/>
  <c r="X89" i="5"/>
  <c r="W89" i="5"/>
  <c r="V89" i="5"/>
  <c r="AE88" i="5"/>
  <c r="AC88" i="5"/>
  <c r="AB88" i="5"/>
  <c r="Y88" i="5"/>
  <c r="AF88" i="5" s="1"/>
  <c r="X88" i="5"/>
  <c r="W88" i="5"/>
  <c r="V88" i="5"/>
  <c r="AE87" i="5"/>
  <c r="AC87" i="5"/>
  <c r="AB87" i="5"/>
  <c r="Y87" i="5"/>
  <c r="AF87" i="5" s="1"/>
  <c r="X87" i="5"/>
  <c r="W87" i="5"/>
  <c r="V87" i="5"/>
  <c r="Z86" i="5"/>
  <c r="U86" i="5"/>
  <c r="AE86" i="5" s="1"/>
  <c r="T86" i="5"/>
  <c r="AC86" i="5" s="1"/>
  <c r="S86" i="5"/>
  <c r="AE85" i="5"/>
  <c r="AD85" i="5"/>
  <c r="AC85" i="5"/>
  <c r="AB85" i="5"/>
  <c r="Y85" i="5"/>
  <c r="AF85" i="5" s="1"/>
  <c r="X85" i="5"/>
  <c r="W85" i="5"/>
  <c r="V85" i="5"/>
  <c r="AE84" i="5"/>
  <c r="AD84" i="5"/>
  <c r="AC84" i="5"/>
  <c r="AB84" i="5"/>
  <c r="Y84" i="5"/>
  <c r="AF84" i="5" s="1"/>
  <c r="X84" i="5"/>
  <c r="W84" i="5"/>
  <c r="V84" i="5"/>
  <c r="AE83" i="5"/>
  <c r="AD83" i="5"/>
  <c r="AC83" i="5"/>
  <c r="AB83" i="5"/>
  <c r="Y83" i="5"/>
  <c r="AF83" i="5" s="1"/>
  <c r="X83" i="5"/>
  <c r="W83" i="5"/>
  <c r="V83" i="5"/>
  <c r="AE82" i="5"/>
  <c r="AD82" i="5"/>
  <c r="AC82" i="5"/>
  <c r="AB82" i="5"/>
  <c r="Y82" i="5"/>
  <c r="X82" i="5"/>
  <c r="W82" i="5"/>
  <c r="V82" i="5"/>
  <c r="AE81" i="5"/>
  <c r="AD81" i="5"/>
  <c r="AC81" i="5"/>
  <c r="AB81" i="5"/>
  <c r="Y81" i="5"/>
  <c r="AF81" i="5" s="1"/>
  <c r="X81" i="5"/>
  <c r="W81" i="5"/>
  <c r="V81" i="5"/>
  <c r="AA80" i="5"/>
  <c r="Z80" i="5"/>
  <c r="U80" i="5"/>
  <c r="T80" i="5"/>
  <c r="S80" i="5"/>
  <c r="AE79" i="5"/>
  <c r="AD79" i="5"/>
  <c r="AC79" i="5"/>
  <c r="AB79" i="5"/>
  <c r="Y79" i="5"/>
  <c r="Y78" i="5" s="1"/>
  <c r="X79" i="5"/>
  <c r="X78" i="5" s="1"/>
  <c r="W79" i="5"/>
  <c r="W78" i="5" s="1"/>
  <c r="V79" i="5"/>
  <c r="V78" i="5" s="1"/>
  <c r="AA78" i="5"/>
  <c r="Z78" i="5"/>
  <c r="U78" i="5"/>
  <c r="T78" i="5"/>
  <c r="S78" i="5"/>
  <c r="AE77" i="5"/>
  <c r="AD77" i="5"/>
  <c r="AC77" i="5"/>
  <c r="AB77" i="5"/>
  <c r="Y77" i="5"/>
  <c r="AF77" i="5" s="1"/>
  <c r="X77" i="5"/>
  <c r="W77" i="5"/>
  <c r="V77" i="5"/>
  <c r="AE76" i="5"/>
  <c r="AD76" i="5"/>
  <c r="AC76" i="5"/>
  <c r="AB76" i="5"/>
  <c r="Y76" i="5"/>
  <c r="AF76" i="5" s="1"/>
  <c r="X76" i="5"/>
  <c r="W76" i="5"/>
  <c r="V76" i="5"/>
  <c r="AE75" i="5"/>
  <c r="AD75" i="5"/>
  <c r="AC75" i="5"/>
  <c r="AB75" i="5"/>
  <c r="Y75" i="5"/>
  <c r="AF75" i="5" s="1"/>
  <c r="X75" i="5"/>
  <c r="W75" i="5"/>
  <c r="V75" i="5"/>
  <c r="AE74" i="5"/>
  <c r="AD74" i="5"/>
  <c r="AC74" i="5"/>
  <c r="AB74" i="5"/>
  <c r="Y74" i="5"/>
  <c r="X74" i="5"/>
  <c r="W74" i="5"/>
  <c r="V74" i="5"/>
  <c r="AA73" i="5"/>
  <c r="Z73" i="5"/>
  <c r="U73" i="5"/>
  <c r="T73" i="5"/>
  <c r="S73" i="5"/>
  <c r="AE72" i="5"/>
  <c r="AC72" i="5"/>
  <c r="AB72" i="5"/>
  <c r="Y72" i="5"/>
  <c r="AF72" i="5" s="1"/>
  <c r="X72" i="5"/>
  <c r="W72" i="5"/>
  <c r="V72" i="5"/>
  <c r="AE71" i="5"/>
  <c r="AC71" i="5"/>
  <c r="AB71" i="5"/>
  <c r="Y71" i="5"/>
  <c r="AF71" i="5" s="1"/>
  <c r="X71" i="5"/>
  <c r="W71" i="5"/>
  <c r="V71" i="5"/>
  <c r="AE70" i="5"/>
  <c r="AD70" i="5"/>
  <c r="AC70" i="5"/>
  <c r="AB70" i="5"/>
  <c r="Y70" i="5"/>
  <c r="AF70" i="5" s="1"/>
  <c r="X70" i="5"/>
  <c r="W70" i="5"/>
  <c r="V70" i="5"/>
  <c r="AE69" i="5"/>
  <c r="AD69" i="5"/>
  <c r="AC69" i="5"/>
  <c r="AB69" i="5"/>
  <c r="Y69" i="5"/>
  <c r="AF69" i="5" s="1"/>
  <c r="X69" i="5"/>
  <c r="W69" i="5"/>
  <c r="V69" i="5"/>
  <c r="AE68" i="5"/>
  <c r="AD68" i="5"/>
  <c r="AC68" i="5"/>
  <c r="AB68" i="5"/>
  <c r="Y68" i="5"/>
  <c r="X68" i="5"/>
  <c r="W68" i="5"/>
  <c r="V68" i="5"/>
  <c r="AE67" i="5"/>
  <c r="AD67" i="5"/>
  <c r="AC67" i="5"/>
  <c r="AB67" i="5"/>
  <c r="Y67" i="5"/>
  <c r="AF67" i="5" s="1"/>
  <c r="X67" i="5"/>
  <c r="W67" i="5"/>
  <c r="V67" i="5"/>
  <c r="AA66" i="5"/>
  <c r="Z66" i="5"/>
  <c r="U66" i="5"/>
  <c r="T66" i="5"/>
  <c r="S66" i="5"/>
  <c r="AE65" i="5"/>
  <c r="AD65" i="5"/>
  <c r="AC65" i="5"/>
  <c r="AB65" i="5"/>
  <c r="Y65" i="5"/>
  <c r="AF65" i="5" s="1"/>
  <c r="X65" i="5"/>
  <c r="W65" i="5"/>
  <c r="V65" i="5"/>
  <c r="AE64" i="5"/>
  <c r="AD64" i="5"/>
  <c r="AC64" i="5"/>
  <c r="AB64" i="5"/>
  <c r="Y64" i="5"/>
  <c r="AF64" i="5" s="1"/>
  <c r="X64" i="5"/>
  <c r="W64" i="5"/>
  <c r="V64" i="5"/>
  <c r="AE63" i="5"/>
  <c r="AD63" i="5"/>
  <c r="AC63" i="5"/>
  <c r="AB63" i="5"/>
  <c r="Y63" i="5"/>
  <c r="AF63" i="5" s="1"/>
  <c r="X63" i="5"/>
  <c r="W63" i="5"/>
  <c r="V63" i="5"/>
  <c r="AE62" i="5"/>
  <c r="AD62" i="5"/>
  <c r="AC62" i="5"/>
  <c r="AB62" i="5"/>
  <c r="Y62" i="5"/>
  <c r="AF62" i="5" s="1"/>
  <c r="X62" i="5"/>
  <c r="W62" i="5"/>
  <c r="V62" i="5"/>
  <c r="AE61" i="5"/>
  <c r="AD61" i="5"/>
  <c r="AC61" i="5"/>
  <c r="AB61" i="5"/>
  <c r="Y61" i="5"/>
  <c r="AF61" i="5" s="1"/>
  <c r="X61" i="5"/>
  <c r="W61" i="5"/>
  <c r="V61" i="5"/>
  <c r="AE60" i="5"/>
  <c r="AD60" i="5"/>
  <c r="AC60" i="5"/>
  <c r="AB60" i="5"/>
  <c r="Y60" i="5"/>
  <c r="AF60" i="5" s="1"/>
  <c r="X60" i="5"/>
  <c r="W60" i="5"/>
  <c r="V60" i="5"/>
  <c r="AE59" i="5"/>
  <c r="AD59" i="5"/>
  <c r="AC59" i="5"/>
  <c r="AB59" i="5"/>
  <c r="Y59" i="5"/>
  <c r="AF59" i="5" s="1"/>
  <c r="X59" i="5"/>
  <c r="W59" i="5"/>
  <c r="V59" i="5"/>
  <c r="AE58" i="5"/>
  <c r="AD58" i="5"/>
  <c r="AC58" i="5"/>
  <c r="AB58" i="5"/>
  <c r="Y58" i="5"/>
  <c r="AF58" i="5" s="1"/>
  <c r="X58" i="5"/>
  <c r="W58" i="5"/>
  <c r="V58" i="5"/>
  <c r="AE57" i="5"/>
  <c r="AD57" i="5"/>
  <c r="AC57" i="5"/>
  <c r="AB57" i="5"/>
  <c r="Y57" i="5"/>
  <c r="AF57" i="5" s="1"/>
  <c r="X57" i="5"/>
  <c r="W57" i="5"/>
  <c r="V57" i="5"/>
  <c r="AE56" i="5"/>
  <c r="AD56" i="5"/>
  <c r="AC56" i="5"/>
  <c r="AB56" i="5"/>
  <c r="Y56" i="5"/>
  <c r="AF56" i="5" s="1"/>
  <c r="X56" i="5"/>
  <c r="W56" i="5"/>
  <c r="V56" i="5"/>
  <c r="AE55" i="5"/>
  <c r="AD55" i="5"/>
  <c r="AC55" i="5"/>
  <c r="AB55" i="5"/>
  <c r="Y55" i="5"/>
  <c r="AF55" i="5" s="1"/>
  <c r="X55" i="5"/>
  <c r="W55" i="5"/>
  <c r="V55" i="5"/>
  <c r="AE54" i="5"/>
  <c r="AD54" i="5"/>
  <c r="AC54" i="5"/>
  <c r="AB54" i="5"/>
  <c r="Y54" i="5"/>
  <c r="AF54" i="5" s="1"/>
  <c r="X54" i="5"/>
  <c r="W54" i="5"/>
  <c r="V54" i="5"/>
  <c r="AE53" i="5"/>
  <c r="AD53" i="5"/>
  <c r="AC53" i="5"/>
  <c r="AB53" i="5"/>
  <c r="Y53" i="5"/>
  <c r="AF53" i="5" s="1"/>
  <c r="X53" i="5"/>
  <c r="W53" i="5"/>
  <c r="V53" i="5"/>
  <c r="AE52" i="5"/>
  <c r="AD52" i="5"/>
  <c r="AC52" i="5"/>
  <c r="AB52" i="5"/>
  <c r="Y52" i="5"/>
  <c r="AF52" i="5" s="1"/>
  <c r="X52" i="5"/>
  <c r="W52" i="5"/>
  <c r="V52" i="5"/>
  <c r="AE51" i="5"/>
  <c r="AD51" i="5"/>
  <c r="AC51" i="5"/>
  <c r="AB51" i="5"/>
  <c r="Y51" i="5"/>
  <c r="AF51" i="5" s="1"/>
  <c r="X51" i="5"/>
  <c r="W51" i="5"/>
  <c r="V51" i="5"/>
  <c r="AE50" i="5"/>
  <c r="AD50" i="5"/>
  <c r="AC50" i="5"/>
  <c r="AB50" i="5"/>
  <c r="Y50" i="5"/>
  <c r="AF50" i="5" s="1"/>
  <c r="X50" i="5"/>
  <c r="W50" i="5"/>
  <c r="V50" i="5"/>
  <c r="AE49" i="5"/>
  <c r="AD49" i="5"/>
  <c r="AC49" i="5"/>
  <c r="AB49" i="5"/>
  <c r="Y49" i="5"/>
  <c r="AF49" i="5" s="1"/>
  <c r="X49" i="5"/>
  <c r="W49" i="5"/>
  <c r="V49" i="5"/>
  <c r="AE48" i="5"/>
  <c r="AD48" i="5"/>
  <c r="AC48" i="5"/>
  <c r="AB48" i="5"/>
  <c r="Y48" i="5"/>
  <c r="AF48" i="5" s="1"/>
  <c r="X48" i="5"/>
  <c r="W48" i="5"/>
  <c r="V48" i="5"/>
  <c r="AE47" i="5"/>
  <c r="AD47" i="5"/>
  <c r="AC47" i="5"/>
  <c r="AB47" i="5"/>
  <c r="Y47" i="5"/>
  <c r="AF47" i="5" s="1"/>
  <c r="X47" i="5"/>
  <c r="W47" i="5"/>
  <c r="V47" i="5"/>
  <c r="AA46" i="5"/>
  <c r="Z46" i="5"/>
  <c r="U46" i="5"/>
  <c r="AE46" i="5" s="1"/>
  <c r="T46" i="5"/>
  <c r="AC46" i="5" s="1"/>
  <c r="S46" i="5"/>
  <c r="AE45" i="5"/>
  <c r="AD45" i="5"/>
  <c r="AC45" i="5"/>
  <c r="AB45" i="5"/>
  <c r="Y45" i="5"/>
  <c r="AF45" i="5" s="1"/>
  <c r="X45" i="5"/>
  <c r="W45" i="5"/>
  <c r="V45" i="5"/>
  <c r="AE44" i="5"/>
  <c r="AD44" i="5"/>
  <c r="AC44" i="5"/>
  <c r="AB44" i="5"/>
  <c r="Y44" i="5"/>
  <c r="AF44" i="5" s="1"/>
  <c r="X44" i="5"/>
  <c r="W44" i="5"/>
  <c r="V44" i="5"/>
  <c r="AE43" i="5"/>
  <c r="AD43" i="5"/>
  <c r="AC43" i="5"/>
  <c r="AB43" i="5"/>
  <c r="Y43" i="5"/>
  <c r="AF43" i="5" s="1"/>
  <c r="X43" i="5"/>
  <c r="W43" i="5"/>
  <c r="V43" i="5"/>
  <c r="AE42" i="5"/>
  <c r="AD42" i="5"/>
  <c r="AC42" i="5"/>
  <c r="AB42" i="5"/>
  <c r="Y42" i="5"/>
  <c r="AF42" i="5" s="1"/>
  <c r="X42" i="5"/>
  <c r="W42" i="5"/>
  <c r="V42" i="5"/>
  <c r="AE41" i="5"/>
  <c r="AD41" i="5"/>
  <c r="AC41" i="5"/>
  <c r="AB41" i="5"/>
  <c r="Y41" i="5"/>
  <c r="AF41" i="5" s="1"/>
  <c r="X41" i="5"/>
  <c r="W41" i="5"/>
  <c r="V41" i="5"/>
  <c r="AE40" i="5"/>
  <c r="AD40" i="5"/>
  <c r="AC40" i="5"/>
  <c r="AB40" i="5"/>
  <c r="Y40" i="5"/>
  <c r="AF40" i="5" s="1"/>
  <c r="X40" i="5"/>
  <c r="W40" i="5"/>
  <c r="V40" i="5"/>
  <c r="AE39" i="5"/>
  <c r="AD39" i="5"/>
  <c r="AC39" i="5"/>
  <c r="AB39" i="5"/>
  <c r="Y39" i="5"/>
  <c r="AF39" i="5" s="1"/>
  <c r="X39" i="5"/>
  <c r="W39" i="5"/>
  <c r="V39" i="5"/>
  <c r="AE38" i="5"/>
  <c r="AD38" i="5"/>
  <c r="AC38" i="5"/>
  <c r="AB38" i="5"/>
  <c r="Y38" i="5"/>
  <c r="X38" i="5"/>
  <c r="W38" i="5"/>
  <c r="V38" i="5"/>
  <c r="AA37" i="5"/>
  <c r="Z37" i="5"/>
  <c r="U37" i="5"/>
  <c r="T37" i="5"/>
  <c r="S37" i="5"/>
  <c r="AE36" i="5"/>
  <c r="AD36" i="5"/>
  <c r="AC36" i="5"/>
  <c r="AB36" i="5"/>
  <c r="Y36" i="5"/>
  <c r="AF36" i="5" s="1"/>
  <c r="X36" i="5"/>
  <c r="W36" i="5"/>
  <c r="V36" i="5"/>
  <c r="AE35" i="5"/>
  <c r="AD35" i="5"/>
  <c r="AC35" i="5"/>
  <c r="AB35" i="5"/>
  <c r="Y35" i="5"/>
  <c r="AF35" i="5" s="1"/>
  <c r="X35" i="5"/>
  <c r="W35" i="5"/>
  <c r="V35" i="5"/>
  <c r="AE34" i="5"/>
  <c r="AD34" i="5"/>
  <c r="AC34" i="5"/>
  <c r="AB34" i="5"/>
  <c r="Y34" i="5"/>
  <c r="AF34" i="5" s="1"/>
  <c r="X34" i="5"/>
  <c r="W34" i="5"/>
  <c r="V34" i="5"/>
  <c r="AE33" i="5"/>
  <c r="AD33" i="5"/>
  <c r="AC33" i="5"/>
  <c r="AB33" i="5"/>
  <c r="Y33" i="5"/>
  <c r="AF33" i="5" s="1"/>
  <c r="X33" i="5"/>
  <c r="W33" i="5"/>
  <c r="V33" i="5"/>
  <c r="AE32" i="5"/>
  <c r="AD32" i="5"/>
  <c r="AC32" i="5"/>
  <c r="AB32" i="5"/>
  <c r="Y32" i="5"/>
  <c r="AF32" i="5" s="1"/>
  <c r="X32" i="5"/>
  <c r="W32" i="5"/>
  <c r="V32" i="5"/>
  <c r="AE31" i="5"/>
  <c r="AD31" i="5"/>
  <c r="AC31" i="5"/>
  <c r="AB31" i="5"/>
  <c r="Y31" i="5"/>
  <c r="AF31" i="5" s="1"/>
  <c r="X31" i="5"/>
  <c r="W31" i="5"/>
  <c r="V31" i="5"/>
  <c r="AE30" i="5"/>
  <c r="AD30" i="5"/>
  <c r="AC30" i="5"/>
  <c r="AB30" i="5"/>
  <c r="Y30" i="5"/>
  <c r="AF30" i="5" s="1"/>
  <c r="X30" i="5"/>
  <c r="W30" i="5"/>
  <c r="V30" i="5"/>
  <c r="AE29" i="5"/>
  <c r="AD29" i="5"/>
  <c r="AC29" i="5"/>
  <c r="AB29" i="5"/>
  <c r="Y29" i="5"/>
  <c r="AF29" i="5" s="1"/>
  <c r="X29" i="5"/>
  <c r="W29" i="5"/>
  <c r="V29" i="5"/>
  <c r="AE28" i="5"/>
  <c r="AD28" i="5"/>
  <c r="AC28" i="5"/>
  <c r="AB28" i="5"/>
  <c r="Y28" i="5"/>
  <c r="AF28" i="5" s="1"/>
  <c r="X28" i="5"/>
  <c r="W28" i="5"/>
  <c r="V28" i="5"/>
  <c r="AE27" i="5"/>
  <c r="AD27" i="5"/>
  <c r="AC27" i="5"/>
  <c r="AB27" i="5"/>
  <c r="Y27" i="5"/>
  <c r="AF27" i="5" s="1"/>
  <c r="X27" i="5"/>
  <c r="W27" i="5"/>
  <c r="V27" i="5"/>
  <c r="AE26" i="5"/>
  <c r="AD26" i="5"/>
  <c r="AC26" i="5"/>
  <c r="AB26" i="5"/>
  <c r="Y26" i="5"/>
  <c r="AF26" i="5" s="1"/>
  <c r="X26" i="5"/>
  <c r="W26" i="5"/>
  <c r="V26" i="5"/>
  <c r="AA25" i="5"/>
  <c r="Z25" i="5"/>
  <c r="U25" i="5"/>
  <c r="T25" i="5"/>
  <c r="S25" i="5"/>
  <c r="AE24" i="5"/>
  <c r="AD24" i="5"/>
  <c r="AC24" i="5"/>
  <c r="AB24" i="5"/>
  <c r="Y24" i="5"/>
  <c r="AF24" i="5" s="1"/>
  <c r="X24" i="5"/>
  <c r="W24" i="5"/>
  <c r="V24" i="5"/>
  <c r="AE23" i="5"/>
  <c r="AD23" i="5"/>
  <c r="AC23" i="5"/>
  <c r="AB23" i="5"/>
  <c r="Y23" i="5"/>
  <c r="AF23" i="5" s="1"/>
  <c r="X23" i="5"/>
  <c r="W23" i="5"/>
  <c r="V23" i="5"/>
  <c r="AE22" i="5"/>
  <c r="AD22" i="5"/>
  <c r="AC22" i="5"/>
  <c r="AB22" i="5"/>
  <c r="Y22" i="5"/>
  <c r="AF22" i="5" s="1"/>
  <c r="X22" i="5"/>
  <c r="W22" i="5"/>
  <c r="V22" i="5"/>
  <c r="AE21" i="5"/>
  <c r="AD21" i="5"/>
  <c r="AC21" i="5"/>
  <c r="AB21" i="5"/>
  <c r="Y21" i="5"/>
  <c r="AF21" i="5" s="1"/>
  <c r="X21" i="5"/>
  <c r="W21" i="5"/>
  <c r="V21" i="5"/>
  <c r="AE20" i="5"/>
  <c r="AD20" i="5"/>
  <c r="AC20" i="5"/>
  <c r="AB20" i="5"/>
  <c r="Y20" i="5"/>
  <c r="AF20" i="5" s="1"/>
  <c r="X20" i="5"/>
  <c r="W20" i="5"/>
  <c r="V20" i="5"/>
  <c r="AE19" i="5"/>
  <c r="AD19" i="5"/>
  <c r="AC19" i="5"/>
  <c r="AB19" i="5"/>
  <c r="Y19" i="5"/>
  <c r="AF19" i="5" s="1"/>
  <c r="X19" i="5"/>
  <c r="W19" i="5"/>
  <c r="V19" i="5"/>
  <c r="AE18" i="5"/>
  <c r="AC18" i="5"/>
  <c r="AB18" i="5"/>
  <c r="Y18" i="5"/>
  <c r="X18" i="5"/>
  <c r="W18" i="5"/>
  <c r="V18" i="5"/>
  <c r="AE17" i="5"/>
  <c r="AD17" i="5"/>
  <c r="AC17" i="5"/>
  <c r="AB17" i="5"/>
  <c r="Y17" i="5"/>
  <c r="AF17" i="5" s="1"/>
  <c r="X17" i="5"/>
  <c r="W17" i="5"/>
  <c r="V17" i="5"/>
  <c r="AA16" i="5"/>
  <c r="Z16" i="5"/>
  <c r="U16" i="5"/>
  <c r="AE16" i="5" s="1"/>
  <c r="T16" i="5"/>
  <c r="S16" i="5"/>
  <c r="AE15" i="5"/>
  <c r="AD15" i="5"/>
  <c r="AC15" i="5"/>
  <c r="AB15" i="5"/>
  <c r="Y15" i="5"/>
  <c r="X15" i="5"/>
  <c r="W15" i="5"/>
  <c r="V15" i="5"/>
  <c r="AE14" i="5"/>
  <c r="AC14" i="5"/>
  <c r="AB14" i="5"/>
  <c r="Y14" i="5"/>
  <c r="AF14" i="5" s="1"/>
  <c r="X14" i="5"/>
  <c r="W14" i="5"/>
  <c r="V14" i="5"/>
  <c r="AF13" i="5"/>
  <c r="AE13" i="5"/>
  <c r="AC13" i="5"/>
  <c r="AB13" i="5"/>
  <c r="AE12" i="5"/>
  <c r="AD12" i="5"/>
  <c r="AC12" i="5"/>
  <c r="AB12" i="5"/>
  <c r="Y12" i="5"/>
  <c r="AF12" i="5" s="1"/>
  <c r="V12" i="5"/>
  <c r="X12" i="5" s="1"/>
  <c r="AF11" i="5"/>
  <c r="AE11" i="5"/>
  <c r="AC11" i="5"/>
  <c r="AB11" i="5"/>
  <c r="AE10" i="5"/>
  <c r="AC10" i="5"/>
  <c r="AB10" i="5"/>
  <c r="Y10" i="5"/>
  <c r="AF10" i="5" s="1"/>
  <c r="X10" i="5"/>
  <c r="W10" i="5"/>
  <c r="V10" i="5"/>
  <c r="AE9" i="5"/>
  <c r="AC9" i="5"/>
  <c r="AB9" i="5"/>
  <c r="Y9" i="5"/>
  <c r="AF9" i="5" s="1"/>
  <c r="X9" i="5"/>
  <c r="W9" i="5"/>
  <c r="V9" i="5"/>
  <c r="AA8" i="5"/>
  <c r="Z8" i="5"/>
  <c r="U8" i="5"/>
  <c r="AE8" i="5" s="1"/>
  <c r="T8" i="5"/>
  <c r="S8" i="5"/>
  <c r="AG7" i="5" l="1"/>
  <c r="AG107" i="5" s="1"/>
  <c r="AK7" i="5"/>
  <c r="AM46" i="5"/>
  <c r="AO46" i="5"/>
  <c r="N16" i="5"/>
  <c r="J66" i="5"/>
  <c r="AN78" i="5"/>
  <c r="AL99" i="5"/>
  <c r="N80" i="5"/>
  <c r="K99" i="5"/>
  <c r="R99" i="5" s="1"/>
  <c r="P16" i="5"/>
  <c r="N25" i="5"/>
  <c r="AC16" i="5"/>
  <c r="AE78" i="5"/>
  <c r="AE90" i="5"/>
  <c r="Q78" i="5"/>
  <c r="O90" i="5"/>
  <c r="I46" i="5"/>
  <c r="J46" i="5"/>
  <c r="AL66" i="5"/>
  <c r="AL16" i="5"/>
  <c r="AN66" i="5"/>
  <c r="AO78" i="5"/>
  <c r="AC80" i="5"/>
  <c r="AN16" i="5"/>
  <c r="AM90" i="5"/>
  <c r="AE80" i="5"/>
  <c r="AM73" i="5"/>
  <c r="AL78" i="5"/>
  <c r="AO90" i="5"/>
  <c r="AJ7" i="5"/>
  <c r="AL37" i="5"/>
  <c r="H80" i="5"/>
  <c r="AM97" i="5"/>
  <c r="O66" i="5"/>
  <c r="AN46" i="5"/>
  <c r="AN97" i="5"/>
  <c r="N86" i="5"/>
  <c r="P25" i="5"/>
  <c r="N99" i="5"/>
  <c r="N73" i="5"/>
  <c r="Q99" i="5"/>
  <c r="P73" i="5"/>
  <c r="AL80" i="5"/>
  <c r="L7" i="5"/>
  <c r="N7" i="5" s="1"/>
  <c r="AN80" i="5"/>
  <c r="M7" i="5"/>
  <c r="P7" i="5" s="1"/>
  <c r="P66" i="5"/>
  <c r="O97" i="5"/>
  <c r="AO25" i="5"/>
  <c r="AL86" i="5"/>
  <c r="AC78" i="5"/>
  <c r="AC90" i="5"/>
  <c r="AB97" i="5"/>
  <c r="Q97" i="5"/>
  <c r="AL25" i="5"/>
  <c r="AC66" i="5"/>
  <c r="F7" i="5"/>
  <c r="K25" i="5"/>
  <c r="R25" i="5" s="1"/>
  <c r="G7" i="5"/>
  <c r="Q7" i="5" s="1"/>
  <c r="H46" i="5"/>
  <c r="K46" i="5"/>
  <c r="R46" i="5" s="1"/>
  <c r="J90" i="5"/>
  <c r="N101" i="5"/>
  <c r="AH7" i="5"/>
  <c r="J86" i="5"/>
  <c r="K90" i="5"/>
  <c r="R90" i="5" s="1"/>
  <c r="P101" i="5"/>
  <c r="AI7" i="5"/>
  <c r="O80" i="5"/>
  <c r="Q25" i="5"/>
  <c r="O73" i="5"/>
  <c r="Q80" i="5"/>
  <c r="I101" i="5"/>
  <c r="Q73" i="5"/>
  <c r="J101" i="5"/>
  <c r="O78" i="5"/>
  <c r="J16" i="5"/>
  <c r="AO97" i="5"/>
  <c r="X90" i="5"/>
  <c r="I16" i="5"/>
  <c r="H37" i="5"/>
  <c r="P90" i="5"/>
  <c r="P97" i="5"/>
  <c r="AL97" i="5"/>
  <c r="AL8" i="5"/>
  <c r="I37" i="5"/>
  <c r="H90" i="5"/>
  <c r="I8" i="5"/>
  <c r="H8" i="5"/>
  <c r="N37" i="5"/>
  <c r="P37" i="5"/>
  <c r="J8" i="5"/>
  <c r="P78" i="5"/>
  <c r="AF78" i="5"/>
  <c r="N90" i="5"/>
  <c r="AN8" i="5"/>
  <c r="N97" i="5"/>
  <c r="K101" i="5"/>
  <c r="R101" i="5" s="1"/>
  <c r="AN25" i="5"/>
  <c r="AL73" i="5"/>
  <c r="AL90" i="5"/>
  <c r="AN37" i="5"/>
  <c r="AL46" i="5"/>
  <c r="H73" i="5"/>
  <c r="I86" i="5"/>
  <c r="AN73" i="5"/>
  <c r="AN90" i="5"/>
  <c r="N66" i="5"/>
  <c r="I73" i="5"/>
  <c r="AO101" i="5"/>
  <c r="I80" i="5"/>
  <c r="K16" i="5"/>
  <c r="R16" i="5" s="1"/>
  <c r="I66" i="5"/>
  <c r="W80" i="5"/>
  <c r="H16" i="5"/>
  <c r="H25" i="5"/>
  <c r="K37" i="5"/>
  <c r="R37" i="5" s="1"/>
  <c r="H86" i="5"/>
  <c r="AL101" i="5"/>
  <c r="AE97" i="5"/>
  <c r="J80" i="5"/>
  <c r="H66" i="5"/>
  <c r="X80" i="5"/>
  <c r="J37" i="5"/>
  <c r="I90" i="5"/>
  <c r="AC37" i="5"/>
  <c r="I25" i="5"/>
  <c r="N46" i="5"/>
  <c r="J73" i="5"/>
  <c r="AE37" i="5"/>
  <c r="AC101" i="5"/>
  <c r="E7" i="5"/>
  <c r="E107" i="5" s="1"/>
  <c r="J25" i="5"/>
  <c r="P46" i="5"/>
  <c r="K73" i="5"/>
  <c r="R73" i="5" s="1"/>
  <c r="F107" i="5"/>
  <c r="O7" i="5"/>
  <c r="G107" i="5"/>
  <c r="AB25" i="5"/>
  <c r="R26" i="5"/>
  <c r="AD25" i="5"/>
  <c r="AB99" i="5"/>
  <c r="R38" i="5"/>
  <c r="R74" i="5"/>
  <c r="R91" i="5"/>
  <c r="R102" i="5"/>
  <c r="K8" i="5"/>
  <c r="R47" i="5"/>
  <c r="K80" i="5"/>
  <c r="R80" i="5" s="1"/>
  <c r="AC73" i="5"/>
  <c r="N8" i="5"/>
  <c r="K86" i="5"/>
  <c r="R86" i="5" s="1"/>
  <c r="X66" i="5"/>
  <c r="O99" i="5"/>
  <c r="K66" i="5"/>
  <c r="R66" i="5" s="1"/>
  <c r="AE73" i="5"/>
  <c r="O8" i="5"/>
  <c r="W46" i="5"/>
  <c r="R17" i="5"/>
  <c r="P8" i="5"/>
  <c r="P80" i="5"/>
  <c r="Q8" i="5"/>
  <c r="N78" i="5"/>
  <c r="AE66" i="5"/>
  <c r="AE101" i="5"/>
  <c r="Y80" i="5"/>
  <c r="AF80" i="5" s="1"/>
  <c r="Y97" i="5"/>
  <c r="AF97" i="5" s="1"/>
  <c r="W101" i="5"/>
  <c r="X101" i="5"/>
  <c r="Y101" i="5"/>
  <c r="V80" i="5"/>
  <c r="AB101" i="5"/>
  <c r="AD101" i="5"/>
  <c r="Y90" i="5"/>
  <c r="AF90" i="5" s="1"/>
  <c r="AF101" i="5"/>
  <c r="AF79" i="5"/>
  <c r="W25" i="5"/>
  <c r="AB37" i="5"/>
  <c r="AB16" i="5"/>
  <c r="AD37" i="5"/>
  <c r="AD16" i="5"/>
  <c r="AB80" i="5"/>
  <c r="V46" i="5"/>
  <c r="V8" i="5"/>
  <c r="X46" i="5"/>
  <c r="AB90" i="5"/>
  <c r="Y66" i="5"/>
  <c r="AF66" i="5" s="1"/>
  <c r="V66" i="5"/>
  <c r="AD90" i="5"/>
  <c r="W66" i="5"/>
  <c r="Y8" i="5"/>
  <c r="AF8" i="5" s="1"/>
  <c r="AB86" i="5"/>
  <c r="W90" i="5"/>
  <c r="V25" i="5"/>
  <c r="X25" i="5"/>
  <c r="V90" i="5"/>
  <c r="V101" i="5"/>
  <c r="AB73" i="5"/>
  <c r="AD73" i="5"/>
  <c r="S7" i="5"/>
  <c r="S107" i="5" s="1"/>
  <c r="X37" i="5"/>
  <c r="W73" i="5"/>
  <c r="AD80" i="5"/>
  <c r="T7" i="5"/>
  <c r="T107" i="5" s="1"/>
  <c r="Y37" i="5"/>
  <c r="AF37" i="5" s="1"/>
  <c r="X73" i="5"/>
  <c r="AE99" i="5"/>
  <c r="AB66" i="5"/>
  <c r="Y73" i="5"/>
  <c r="AF73" i="5" s="1"/>
  <c r="Z7" i="5"/>
  <c r="AD66" i="5"/>
  <c r="AA7" i="5"/>
  <c r="V86" i="5"/>
  <c r="W86" i="5"/>
  <c r="V37" i="5"/>
  <c r="X86" i="5"/>
  <c r="W37" i="5"/>
  <c r="V73" i="5"/>
  <c r="AF99" i="5"/>
  <c r="V16" i="5"/>
  <c r="W16" i="5"/>
  <c r="X16" i="5"/>
  <c r="AC25" i="5"/>
  <c r="AB46" i="5"/>
  <c r="AB78" i="5"/>
  <c r="Y16" i="5"/>
  <c r="AF16" i="5" s="1"/>
  <c r="AE25" i="5"/>
  <c r="AD46" i="5"/>
  <c r="AD78" i="5"/>
  <c r="X8" i="5"/>
  <c r="W12" i="5"/>
  <c r="W8" i="5" s="1"/>
  <c r="AF82" i="5"/>
  <c r="AF38" i="5"/>
  <c r="AF68" i="5"/>
  <c r="AF91" i="5"/>
  <c r="Y86" i="5"/>
  <c r="AF86" i="5" s="1"/>
  <c r="AC8" i="5"/>
  <c r="AB8" i="5"/>
  <c r="AF100" i="5"/>
  <c r="U7" i="5"/>
  <c r="Y25" i="5"/>
  <c r="AF25" i="5" s="1"/>
  <c r="Y46" i="5"/>
  <c r="AF46" i="5" s="1"/>
  <c r="AF74" i="5"/>
  <c r="AC97" i="5"/>
  <c r="AF102" i="5"/>
  <c r="AD97" i="5"/>
  <c r="AF15" i="5"/>
  <c r="AF18" i="5"/>
  <c r="AD8" i="5"/>
  <c r="BT78" i="5"/>
  <c r="BS78" i="5"/>
  <c r="H7" i="5" l="1"/>
  <c r="I7" i="5"/>
  <c r="J7" i="5"/>
  <c r="AH107" i="5"/>
  <c r="AM7" i="5"/>
  <c r="AI107" i="5"/>
  <c r="AO7" i="5"/>
  <c r="AC7" i="5"/>
  <c r="AN7" i="5"/>
  <c r="AL7" i="5"/>
  <c r="V7" i="5"/>
  <c r="K7" i="5"/>
  <c r="R7" i="5" s="1"/>
  <c r="R8" i="5"/>
  <c r="AB7" i="5"/>
  <c r="W7" i="5"/>
  <c r="X7" i="5"/>
  <c r="U107" i="5"/>
  <c r="AE7" i="5"/>
  <c r="Y7" i="5"/>
  <c r="AF7" i="5" s="1"/>
  <c r="AD7" i="5"/>
  <c r="CK12" i="5"/>
  <c r="CK14" i="5"/>
  <c r="CK13" i="5"/>
  <c r="CG78" i="5"/>
  <c r="CH78" i="5"/>
  <c r="DA103" i="5" l="1"/>
  <c r="DA102" i="5"/>
  <c r="DA100" i="5"/>
  <c r="DA98" i="5"/>
  <c r="DA96" i="5"/>
  <c r="DA95" i="5"/>
  <c r="DA94" i="5"/>
  <c r="DA93" i="5"/>
  <c r="DA92" i="5"/>
  <c r="DA91" i="5"/>
  <c r="DA89" i="5"/>
  <c r="DA88" i="5"/>
  <c r="DA87" i="5"/>
  <c r="DA85" i="5"/>
  <c r="DA84" i="5"/>
  <c r="DA83" i="5"/>
  <c r="DA82" i="5"/>
  <c r="DA81" i="5"/>
  <c r="DA79" i="5"/>
  <c r="DA77" i="5"/>
  <c r="DA76" i="5"/>
  <c r="DA75" i="5"/>
  <c r="DA74" i="5"/>
  <c r="DA72" i="5"/>
  <c r="DA71" i="5"/>
  <c r="DA70" i="5"/>
  <c r="DA69" i="5"/>
  <c r="DA68" i="5"/>
  <c r="DA67" i="5"/>
  <c r="DA36" i="5"/>
  <c r="DA35" i="5"/>
  <c r="DA34" i="5"/>
  <c r="DA33" i="5"/>
  <c r="DA32" i="5"/>
  <c r="DA31" i="5"/>
  <c r="DA30" i="5"/>
  <c r="DA29" i="5"/>
  <c r="DA28" i="5"/>
  <c r="DA27" i="5"/>
  <c r="DA26" i="5"/>
  <c r="DA24" i="5"/>
  <c r="DA23" i="5"/>
  <c r="DA22" i="5"/>
  <c r="DA21" i="5"/>
  <c r="DA20" i="5"/>
  <c r="DA19" i="5"/>
  <c r="DA18" i="5"/>
  <c r="DA17" i="5"/>
  <c r="DA15" i="5"/>
  <c r="DA14" i="5"/>
  <c r="DA13" i="5"/>
  <c r="DA12" i="5"/>
  <c r="DA11" i="5"/>
  <c r="DA10" i="5"/>
  <c r="BK13" i="5"/>
  <c r="BK11" i="5"/>
  <c r="BT101" i="5"/>
  <c r="BS101" i="5"/>
  <c r="BT99" i="5"/>
  <c r="BS99" i="5"/>
  <c r="BT97" i="5"/>
  <c r="BS97" i="5"/>
  <c r="BT90" i="5"/>
  <c r="BS90" i="5"/>
  <c r="BT86" i="5"/>
  <c r="BS86" i="5"/>
  <c r="BT80" i="5"/>
  <c r="BS80" i="5"/>
  <c r="BT73" i="5"/>
  <c r="BS73" i="5"/>
  <c r="BT66" i="5"/>
  <c r="BS66" i="5"/>
  <c r="BT46" i="5"/>
  <c r="BS46" i="5"/>
  <c r="BT37" i="5"/>
  <c r="BS37" i="5"/>
  <c r="BT25" i="5"/>
  <c r="BS25" i="5"/>
  <c r="BT16" i="5"/>
  <c r="BS16" i="5"/>
  <c r="BT8" i="5"/>
  <c r="BS8" i="5"/>
  <c r="BF101" i="5"/>
  <c r="BE101" i="5"/>
  <c r="BF99" i="5"/>
  <c r="BE99" i="5"/>
  <c r="BF97" i="5"/>
  <c r="BE97" i="5"/>
  <c r="BF90" i="5"/>
  <c r="BE90" i="5"/>
  <c r="BE86" i="5"/>
  <c r="BF80" i="5"/>
  <c r="BE80" i="5"/>
  <c r="BF78" i="5"/>
  <c r="BE78" i="5"/>
  <c r="BF73" i="5"/>
  <c r="BE73" i="5"/>
  <c r="BF66" i="5"/>
  <c r="BE66" i="5"/>
  <c r="BF46" i="5"/>
  <c r="BE46" i="5"/>
  <c r="BF37" i="5"/>
  <c r="BE37" i="5"/>
  <c r="BF25" i="5"/>
  <c r="BE25" i="5"/>
  <c r="BF16" i="5"/>
  <c r="BE16" i="5"/>
  <c r="CH86" i="5" l="1"/>
  <c r="CG86" i="5"/>
  <c r="CH99" i="5"/>
  <c r="CG99" i="5"/>
  <c r="BN101" i="5" l="1"/>
  <c r="BM101" i="5"/>
  <c r="BN99" i="5"/>
  <c r="BM99" i="5"/>
  <c r="BN97" i="5"/>
  <c r="BM97" i="5"/>
  <c r="BN90" i="5"/>
  <c r="BM90" i="5"/>
  <c r="BN86" i="5"/>
  <c r="BM86" i="5"/>
  <c r="BN80" i="5"/>
  <c r="BM80" i="5"/>
  <c r="BN78" i="5"/>
  <c r="BM78" i="5"/>
  <c r="BN73" i="5"/>
  <c r="BM73" i="5"/>
  <c r="BN66" i="5"/>
  <c r="BM66" i="5"/>
  <c r="BN46" i="5"/>
  <c r="BM46" i="5"/>
  <c r="BN37" i="5"/>
  <c r="BM37" i="5"/>
  <c r="BN25" i="5"/>
  <c r="BM25" i="5"/>
  <c r="BN16" i="5"/>
  <c r="BM16" i="5"/>
  <c r="BN8" i="5"/>
  <c r="BM8" i="5"/>
  <c r="BS7" i="5" l="1"/>
  <c r="BM7" i="5"/>
  <c r="BN7" i="5"/>
  <c r="BT7" i="5"/>
  <c r="CC76" i="5" l="1"/>
  <c r="CC70" i="5"/>
  <c r="CZ103" i="5"/>
  <c r="CZ102" i="5"/>
  <c r="CZ100" i="5"/>
  <c r="CZ98" i="5"/>
  <c r="CZ96" i="5"/>
  <c r="CZ95" i="5"/>
  <c r="CZ94" i="5"/>
  <c r="CZ93" i="5"/>
  <c r="CZ92" i="5"/>
  <c r="CZ91" i="5"/>
  <c r="CZ89" i="5"/>
  <c r="CZ88" i="5"/>
  <c r="CZ87" i="5"/>
  <c r="CZ85" i="5"/>
  <c r="CZ84" i="5"/>
  <c r="CZ83" i="5"/>
  <c r="CZ82" i="5"/>
  <c r="CZ81" i="5"/>
  <c r="CZ79" i="5"/>
  <c r="CZ77" i="5"/>
  <c r="CZ76" i="5"/>
  <c r="CZ75" i="5"/>
  <c r="CZ74" i="5"/>
  <c r="CZ72" i="5"/>
  <c r="CZ71" i="5"/>
  <c r="CZ70" i="5"/>
  <c r="CZ69" i="5"/>
  <c r="CZ68" i="5"/>
  <c r="CZ67" i="5"/>
  <c r="CZ65" i="5"/>
  <c r="CZ64" i="5"/>
  <c r="CZ63" i="5"/>
  <c r="CZ62" i="5"/>
  <c r="CZ61" i="5"/>
  <c r="CZ60" i="5"/>
  <c r="CZ59" i="5"/>
  <c r="CZ58" i="5"/>
  <c r="CZ57" i="5"/>
  <c r="CZ56" i="5"/>
  <c r="CZ55" i="5"/>
  <c r="CZ54" i="5"/>
  <c r="CZ53" i="5"/>
  <c r="CZ52" i="5"/>
  <c r="CZ51" i="5"/>
  <c r="CZ50" i="5"/>
  <c r="CZ49" i="5"/>
  <c r="CZ48" i="5"/>
  <c r="CZ47" i="5"/>
  <c r="CZ45" i="5"/>
  <c r="CZ44" i="5"/>
  <c r="CZ43" i="5"/>
  <c r="CZ42" i="5"/>
  <c r="CZ41" i="5"/>
  <c r="CZ40" i="5"/>
  <c r="CZ39" i="5"/>
  <c r="CZ38" i="5"/>
  <c r="CZ36" i="5"/>
  <c r="CZ35" i="5"/>
  <c r="CZ34" i="5"/>
  <c r="CZ33" i="5"/>
  <c r="CZ32" i="5"/>
  <c r="CZ31" i="5"/>
  <c r="CZ30" i="5"/>
  <c r="CZ29" i="5"/>
  <c r="CZ28" i="5"/>
  <c r="CZ27" i="5"/>
  <c r="CZ26" i="5"/>
  <c r="CZ24" i="5"/>
  <c r="CZ23" i="5"/>
  <c r="CZ22" i="5"/>
  <c r="CZ21" i="5"/>
  <c r="CZ20" i="5"/>
  <c r="CZ19" i="5"/>
  <c r="CZ18" i="5"/>
  <c r="CZ17" i="5"/>
  <c r="CZ15" i="5"/>
  <c r="CZ14" i="5"/>
  <c r="CZ13" i="5"/>
  <c r="CZ12" i="5"/>
  <c r="CZ11" i="5"/>
  <c r="CZ10" i="5"/>
  <c r="CZ9" i="5"/>
  <c r="CL103" i="5"/>
  <c r="CL102" i="5"/>
  <c r="CL100" i="5"/>
  <c r="CL98" i="5"/>
  <c r="CL96" i="5"/>
  <c r="CL95" i="5"/>
  <c r="CL94" i="5"/>
  <c r="CL93" i="5"/>
  <c r="CL92" i="5"/>
  <c r="CL91" i="5"/>
  <c r="CL89" i="5"/>
  <c r="CL88" i="5"/>
  <c r="CL87" i="5"/>
  <c r="CL85" i="5"/>
  <c r="CL84" i="5"/>
  <c r="CL83" i="5"/>
  <c r="CL82" i="5"/>
  <c r="CL81" i="5"/>
  <c r="CL79" i="5"/>
  <c r="CL77" i="5"/>
  <c r="CL76" i="5"/>
  <c r="CL75" i="5"/>
  <c r="CL74" i="5"/>
  <c r="CL72" i="5"/>
  <c r="CL71" i="5"/>
  <c r="CL70" i="5"/>
  <c r="CL69" i="5"/>
  <c r="CL68" i="5"/>
  <c r="CL67" i="5"/>
  <c r="CL65" i="5"/>
  <c r="CL64" i="5"/>
  <c r="CL63" i="5"/>
  <c r="CL62" i="5"/>
  <c r="CL61" i="5"/>
  <c r="CL60" i="5"/>
  <c r="CL59" i="5"/>
  <c r="CL58" i="5"/>
  <c r="CL57" i="5"/>
  <c r="CL56" i="5"/>
  <c r="CL55" i="5"/>
  <c r="CL54" i="5"/>
  <c r="CL53" i="5"/>
  <c r="CL52" i="5"/>
  <c r="CL51" i="5"/>
  <c r="CL50" i="5"/>
  <c r="CL49" i="5"/>
  <c r="CL48" i="5"/>
  <c r="CL47" i="5"/>
  <c r="CL45" i="5"/>
  <c r="CL44" i="5"/>
  <c r="CL43" i="5"/>
  <c r="CL42" i="5"/>
  <c r="CL41" i="5"/>
  <c r="CL40" i="5"/>
  <c r="CL39" i="5"/>
  <c r="CL38" i="5"/>
  <c r="CL36" i="5"/>
  <c r="CL35" i="5"/>
  <c r="CL34" i="5"/>
  <c r="CL33" i="5"/>
  <c r="CL32" i="5"/>
  <c r="CL31" i="5"/>
  <c r="CL30" i="5"/>
  <c r="CL29" i="5"/>
  <c r="CL28" i="5"/>
  <c r="CL27" i="5"/>
  <c r="CL26" i="5"/>
  <c r="CL24" i="5"/>
  <c r="CL23" i="5"/>
  <c r="CL22" i="5"/>
  <c r="CL21" i="5"/>
  <c r="CL20" i="5"/>
  <c r="CL19" i="5"/>
  <c r="CL18" i="5"/>
  <c r="CL17" i="5"/>
  <c r="CL15" i="5"/>
  <c r="CL14" i="5"/>
  <c r="CL13" i="5"/>
  <c r="CL12" i="5"/>
  <c r="CL11" i="5"/>
  <c r="CL10" i="5"/>
  <c r="CL9" i="5"/>
  <c r="CX103" i="5"/>
  <c r="CX102" i="5"/>
  <c r="CX100" i="5"/>
  <c r="CX98" i="5"/>
  <c r="CX96" i="5"/>
  <c r="CX95" i="5"/>
  <c r="CX94" i="5"/>
  <c r="CX93" i="5"/>
  <c r="CX92" i="5"/>
  <c r="CX91" i="5"/>
  <c r="CX89" i="5"/>
  <c r="CX88" i="5"/>
  <c r="CX87" i="5"/>
  <c r="CX85" i="5"/>
  <c r="CX84" i="5"/>
  <c r="CX83" i="5"/>
  <c r="CX82" i="5"/>
  <c r="CX81" i="5"/>
  <c r="CX79" i="5"/>
  <c r="CX77" i="5"/>
  <c r="CX76" i="5"/>
  <c r="CX75" i="5"/>
  <c r="CX74" i="5"/>
  <c r="CX72" i="5"/>
  <c r="CX71" i="5"/>
  <c r="CX70" i="5"/>
  <c r="CX69" i="5"/>
  <c r="CX68" i="5"/>
  <c r="CX67" i="5"/>
  <c r="CX65" i="5"/>
  <c r="CX64" i="5"/>
  <c r="CX63" i="5"/>
  <c r="CX62" i="5"/>
  <c r="CX61" i="5"/>
  <c r="CX60" i="5"/>
  <c r="CX59" i="5"/>
  <c r="CX58" i="5"/>
  <c r="CX57" i="5"/>
  <c r="CX56" i="5"/>
  <c r="CX55" i="5"/>
  <c r="CX54" i="5"/>
  <c r="CX53" i="5"/>
  <c r="CX52" i="5"/>
  <c r="CX51" i="5"/>
  <c r="CX50" i="5"/>
  <c r="CX49" i="5"/>
  <c r="CX48" i="5"/>
  <c r="CX47" i="5"/>
  <c r="CX45" i="5"/>
  <c r="CX44" i="5"/>
  <c r="CX43" i="5"/>
  <c r="CX42" i="5"/>
  <c r="CX41" i="5"/>
  <c r="CX40" i="5"/>
  <c r="CX39" i="5"/>
  <c r="CX38" i="5"/>
  <c r="CX36" i="5"/>
  <c r="CX35" i="5"/>
  <c r="CX34" i="5"/>
  <c r="CX33" i="5"/>
  <c r="CX32" i="5"/>
  <c r="CX31" i="5"/>
  <c r="CX30" i="5"/>
  <c r="CX29" i="5"/>
  <c r="CX28" i="5"/>
  <c r="CX27" i="5"/>
  <c r="CX26" i="5"/>
  <c r="CX24" i="5"/>
  <c r="CX23" i="5"/>
  <c r="CX22" i="5"/>
  <c r="CX21" i="5"/>
  <c r="CX20" i="5"/>
  <c r="CX19" i="5"/>
  <c r="CX18" i="5"/>
  <c r="CX17" i="5"/>
  <c r="CX15" i="5"/>
  <c r="CX14" i="5"/>
  <c r="CX13" i="5"/>
  <c r="CX12" i="5"/>
  <c r="CX11" i="5"/>
  <c r="CX10" i="5"/>
  <c r="CX9" i="5"/>
  <c r="CJ103" i="5"/>
  <c r="CJ102" i="5"/>
  <c r="CJ100" i="5"/>
  <c r="CJ98" i="5"/>
  <c r="CJ96" i="5"/>
  <c r="CJ95" i="5"/>
  <c r="CJ94" i="5"/>
  <c r="CJ93" i="5"/>
  <c r="CJ92" i="5"/>
  <c r="CJ91" i="5"/>
  <c r="CJ89" i="5"/>
  <c r="CJ88" i="5"/>
  <c r="CJ87" i="5"/>
  <c r="CJ85" i="5"/>
  <c r="CJ84" i="5"/>
  <c r="CJ83" i="5"/>
  <c r="CJ82" i="5"/>
  <c r="CJ81" i="5"/>
  <c r="CJ79" i="5"/>
  <c r="CJ77" i="5"/>
  <c r="CJ76" i="5"/>
  <c r="CJ75" i="5"/>
  <c r="CJ74" i="5"/>
  <c r="CJ72" i="5"/>
  <c r="CJ71" i="5"/>
  <c r="CJ70" i="5"/>
  <c r="CJ69" i="5"/>
  <c r="CJ68" i="5"/>
  <c r="CJ67" i="5"/>
  <c r="CJ65" i="5"/>
  <c r="CJ64" i="5"/>
  <c r="CJ63" i="5"/>
  <c r="CJ62" i="5"/>
  <c r="CJ61" i="5"/>
  <c r="CJ60" i="5"/>
  <c r="CJ59" i="5"/>
  <c r="CJ58" i="5"/>
  <c r="CJ57" i="5"/>
  <c r="CJ56" i="5"/>
  <c r="CJ55" i="5"/>
  <c r="CJ54" i="5"/>
  <c r="CJ53" i="5"/>
  <c r="CJ52" i="5"/>
  <c r="CJ51" i="5"/>
  <c r="CJ50" i="5"/>
  <c r="CJ49" i="5"/>
  <c r="CJ48" i="5"/>
  <c r="CJ47" i="5"/>
  <c r="CJ45" i="5"/>
  <c r="CJ44" i="5"/>
  <c r="CJ43" i="5"/>
  <c r="CJ42" i="5"/>
  <c r="CJ41" i="5"/>
  <c r="CJ40" i="5"/>
  <c r="CJ39" i="5"/>
  <c r="CJ38" i="5"/>
  <c r="CJ36" i="5"/>
  <c r="CJ35" i="5"/>
  <c r="CJ34" i="5"/>
  <c r="CJ33" i="5"/>
  <c r="CJ32" i="5"/>
  <c r="CJ31" i="5"/>
  <c r="CJ30" i="5"/>
  <c r="CJ29" i="5"/>
  <c r="CJ28" i="5"/>
  <c r="CJ27" i="5"/>
  <c r="CJ26" i="5"/>
  <c r="CJ24" i="5"/>
  <c r="CJ23" i="5"/>
  <c r="CJ22" i="5"/>
  <c r="CJ21" i="5"/>
  <c r="CJ20" i="5"/>
  <c r="CJ19" i="5"/>
  <c r="CJ18" i="5"/>
  <c r="CJ17" i="5"/>
  <c r="CJ15" i="5"/>
  <c r="CJ14" i="5"/>
  <c r="CJ13" i="5"/>
  <c r="CJ12" i="5"/>
  <c r="CJ11" i="5"/>
  <c r="CJ10" i="5"/>
  <c r="CJ9" i="5"/>
  <c r="BX103" i="5"/>
  <c r="BX102" i="5"/>
  <c r="BX101" i="5"/>
  <c r="BX100" i="5"/>
  <c r="BX99" i="5"/>
  <c r="BX98" i="5"/>
  <c r="BX97" i="5"/>
  <c r="BX96" i="5"/>
  <c r="BX95" i="5"/>
  <c r="BX94" i="5"/>
  <c r="BX93" i="5"/>
  <c r="BX92" i="5"/>
  <c r="BX91" i="5"/>
  <c r="BX90" i="5"/>
  <c r="BX89" i="5"/>
  <c r="BX88" i="5"/>
  <c r="BX87" i="5"/>
  <c r="BX86" i="5"/>
  <c r="BX85" i="5"/>
  <c r="BX84" i="5"/>
  <c r="BX83" i="5"/>
  <c r="BX82" i="5"/>
  <c r="BX81" i="5"/>
  <c r="BX80" i="5"/>
  <c r="BX79" i="5"/>
  <c r="BX78" i="5"/>
  <c r="BX77" i="5"/>
  <c r="BX76" i="5"/>
  <c r="BX75" i="5"/>
  <c r="BX74" i="5"/>
  <c r="BX73" i="5"/>
  <c r="BX72" i="5"/>
  <c r="BX71" i="5"/>
  <c r="BX70" i="5"/>
  <c r="BX69" i="5"/>
  <c r="BX68" i="5"/>
  <c r="BX67" i="5"/>
  <c r="BX66" i="5"/>
  <c r="BX65" i="5"/>
  <c r="BX64" i="5"/>
  <c r="BX63" i="5"/>
  <c r="BX62" i="5"/>
  <c r="BX61" i="5"/>
  <c r="BX60" i="5"/>
  <c r="BX59" i="5"/>
  <c r="BX58" i="5"/>
  <c r="BX57" i="5"/>
  <c r="BX56" i="5"/>
  <c r="BX55" i="5"/>
  <c r="BX54" i="5"/>
  <c r="BX53" i="5"/>
  <c r="BX52" i="5"/>
  <c r="BX51" i="5"/>
  <c r="BX50" i="5"/>
  <c r="BX49" i="5"/>
  <c r="BX48" i="5"/>
  <c r="BX47" i="5"/>
  <c r="BX46" i="5"/>
  <c r="BX45" i="5"/>
  <c r="BX44" i="5"/>
  <c r="BX43" i="5"/>
  <c r="BX42" i="5"/>
  <c r="BX41" i="5"/>
  <c r="BX40" i="5"/>
  <c r="BX39" i="5"/>
  <c r="BX38" i="5"/>
  <c r="BX37" i="5"/>
  <c r="BX36" i="5"/>
  <c r="BX35" i="5"/>
  <c r="BX34" i="5"/>
  <c r="BX33" i="5"/>
  <c r="BX32" i="5"/>
  <c r="BX31" i="5"/>
  <c r="BX30" i="5"/>
  <c r="BX29" i="5"/>
  <c r="BX28" i="5"/>
  <c r="BX27" i="5"/>
  <c r="BX26" i="5"/>
  <c r="BX25" i="5"/>
  <c r="BX24" i="5"/>
  <c r="BX23" i="5"/>
  <c r="BX22" i="5"/>
  <c r="BX21" i="5"/>
  <c r="BX20" i="5"/>
  <c r="BX19" i="5"/>
  <c r="BX18" i="5"/>
  <c r="BX17" i="5"/>
  <c r="BX16" i="5"/>
  <c r="BX15" i="5"/>
  <c r="BX14" i="5"/>
  <c r="BX13" i="5"/>
  <c r="BX12" i="5"/>
  <c r="BX11" i="5"/>
  <c r="BX10" i="5"/>
  <c r="BX9" i="5"/>
  <c r="BX8" i="5"/>
  <c r="BX7" i="5"/>
  <c r="BV103" i="5"/>
  <c r="BV102" i="5"/>
  <c r="BV101" i="5"/>
  <c r="BV100" i="5"/>
  <c r="BV99" i="5"/>
  <c r="BV98" i="5"/>
  <c r="BV97" i="5"/>
  <c r="BV96" i="5"/>
  <c r="BV95" i="5"/>
  <c r="BV94" i="5"/>
  <c r="BV93" i="5"/>
  <c r="BV92" i="5"/>
  <c r="BV91" i="5"/>
  <c r="BV90" i="5"/>
  <c r="BV89" i="5"/>
  <c r="BV88" i="5"/>
  <c r="BV87" i="5"/>
  <c r="BV86" i="5"/>
  <c r="BV85" i="5"/>
  <c r="BV84" i="5"/>
  <c r="BV83" i="5"/>
  <c r="BV82" i="5"/>
  <c r="BV81" i="5"/>
  <c r="BV80" i="5"/>
  <c r="BV79" i="5"/>
  <c r="BV78" i="5"/>
  <c r="BV77" i="5"/>
  <c r="BV76" i="5"/>
  <c r="BV75" i="5"/>
  <c r="BV74" i="5"/>
  <c r="BV73" i="5"/>
  <c r="BV72" i="5"/>
  <c r="BV71" i="5"/>
  <c r="BV70" i="5"/>
  <c r="BV69" i="5"/>
  <c r="BV68" i="5"/>
  <c r="BV67" i="5"/>
  <c r="BV66" i="5"/>
  <c r="BV65" i="5"/>
  <c r="BV64" i="5"/>
  <c r="BV63" i="5"/>
  <c r="BV62" i="5"/>
  <c r="BV61" i="5"/>
  <c r="BV60" i="5"/>
  <c r="BV59" i="5"/>
  <c r="BV58" i="5"/>
  <c r="BV57" i="5"/>
  <c r="BV56" i="5"/>
  <c r="BV55" i="5"/>
  <c r="BV54" i="5"/>
  <c r="BV53" i="5"/>
  <c r="BV52" i="5"/>
  <c r="BV51" i="5"/>
  <c r="BV50" i="5"/>
  <c r="BV49" i="5"/>
  <c r="BV48" i="5"/>
  <c r="BV47" i="5"/>
  <c r="BV46" i="5"/>
  <c r="BV45" i="5"/>
  <c r="BV44" i="5"/>
  <c r="BV43" i="5"/>
  <c r="BV42" i="5"/>
  <c r="BV41" i="5"/>
  <c r="BV40" i="5"/>
  <c r="BV39" i="5"/>
  <c r="BV38" i="5"/>
  <c r="BV37" i="5"/>
  <c r="BV36" i="5"/>
  <c r="BV35" i="5"/>
  <c r="BV34" i="5"/>
  <c r="BV33" i="5"/>
  <c r="BV32" i="5"/>
  <c r="BV31" i="5"/>
  <c r="BV30" i="5"/>
  <c r="BV29" i="5"/>
  <c r="BV28" i="5"/>
  <c r="BV27" i="5"/>
  <c r="BV26" i="5"/>
  <c r="BV25" i="5"/>
  <c r="BV24" i="5"/>
  <c r="BV23" i="5"/>
  <c r="BV22" i="5"/>
  <c r="BV21" i="5"/>
  <c r="BV20" i="5"/>
  <c r="BV19" i="5"/>
  <c r="BV18" i="5"/>
  <c r="BV17" i="5"/>
  <c r="BV16" i="5"/>
  <c r="BV15" i="5"/>
  <c r="BV14" i="5"/>
  <c r="BV13" i="5"/>
  <c r="BV12" i="5"/>
  <c r="BV11" i="5"/>
  <c r="BV10" i="5"/>
  <c r="BV9" i="5"/>
  <c r="BV8" i="5"/>
  <c r="BV7" i="5"/>
  <c r="BJ103" i="5"/>
  <c r="BJ102" i="5"/>
  <c r="BJ100" i="5"/>
  <c r="BJ98" i="5"/>
  <c r="BJ96" i="5"/>
  <c r="BJ95" i="5"/>
  <c r="BJ94" i="5"/>
  <c r="BJ93" i="5"/>
  <c r="BJ92" i="5"/>
  <c r="BJ91" i="5"/>
  <c r="BJ89" i="5"/>
  <c r="BJ88" i="5"/>
  <c r="BJ87" i="5"/>
  <c r="BJ85" i="5"/>
  <c r="BJ84" i="5"/>
  <c r="BJ83" i="5"/>
  <c r="BJ82" i="5"/>
  <c r="BJ81" i="5"/>
  <c r="BJ79" i="5"/>
  <c r="BJ77" i="5"/>
  <c r="BJ76" i="5"/>
  <c r="BJ75" i="5"/>
  <c r="BJ74" i="5"/>
  <c r="BJ72" i="5"/>
  <c r="BJ71" i="5"/>
  <c r="BJ70" i="5"/>
  <c r="BJ69" i="5"/>
  <c r="BJ68" i="5"/>
  <c r="BJ67" i="5"/>
  <c r="BJ65" i="5"/>
  <c r="BJ64" i="5"/>
  <c r="BJ63" i="5"/>
  <c r="BJ62" i="5"/>
  <c r="BJ61" i="5"/>
  <c r="BJ60" i="5"/>
  <c r="BJ59" i="5"/>
  <c r="BJ58" i="5"/>
  <c r="BJ57" i="5"/>
  <c r="BJ56" i="5"/>
  <c r="BJ55" i="5"/>
  <c r="BJ54" i="5"/>
  <c r="BJ53" i="5"/>
  <c r="BJ52" i="5"/>
  <c r="BJ51" i="5"/>
  <c r="BJ50" i="5"/>
  <c r="BJ49" i="5"/>
  <c r="BJ48" i="5"/>
  <c r="BJ47" i="5"/>
  <c r="BJ45" i="5"/>
  <c r="BJ44" i="5"/>
  <c r="BJ43" i="5"/>
  <c r="BJ42" i="5"/>
  <c r="BJ41" i="5"/>
  <c r="BJ40" i="5"/>
  <c r="BJ39" i="5"/>
  <c r="BJ38" i="5"/>
  <c r="BJ36" i="5"/>
  <c r="BJ35" i="5"/>
  <c r="BJ34" i="5"/>
  <c r="BJ33" i="5"/>
  <c r="BJ32" i="5"/>
  <c r="BJ31" i="5"/>
  <c r="BJ30" i="5"/>
  <c r="BJ29" i="5"/>
  <c r="BJ28" i="5"/>
  <c r="BJ27" i="5"/>
  <c r="BJ26" i="5"/>
  <c r="BJ24" i="5"/>
  <c r="BJ23" i="5"/>
  <c r="BJ22" i="5"/>
  <c r="BJ21" i="5"/>
  <c r="BJ20" i="5"/>
  <c r="BJ19" i="5"/>
  <c r="BJ18" i="5"/>
  <c r="BJ17" i="5"/>
  <c r="BJ15" i="5"/>
  <c r="BJ14" i="5"/>
  <c r="BJ13" i="5"/>
  <c r="BJ12" i="5"/>
  <c r="BJ11" i="5"/>
  <c r="BJ10" i="5"/>
  <c r="BJ9" i="5"/>
  <c r="BH103" i="5"/>
  <c r="BH102" i="5"/>
  <c r="BH100" i="5"/>
  <c r="BH98" i="5"/>
  <c r="BH96" i="5"/>
  <c r="BH95" i="5"/>
  <c r="BH94" i="5"/>
  <c r="BH93" i="5"/>
  <c r="BH92" i="5"/>
  <c r="BH91" i="5"/>
  <c r="BH89" i="5"/>
  <c r="BH88" i="5"/>
  <c r="BH87" i="5"/>
  <c r="BH85" i="5"/>
  <c r="BH84" i="5"/>
  <c r="BH83" i="5"/>
  <c r="BH82" i="5"/>
  <c r="BH81" i="5"/>
  <c r="BH79" i="5"/>
  <c r="BH77" i="5"/>
  <c r="BH76" i="5"/>
  <c r="BH75" i="5"/>
  <c r="BH74" i="5"/>
  <c r="BH72" i="5"/>
  <c r="BH71" i="5"/>
  <c r="BH70" i="5"/>
  <c r="BH69" i="5"/>
  <c r="BH68" i="5"/>
  <c r="BH67" i="5"/>
  <c r="BH65" i="5"/>
  <c r="BH64" i="5"/>
  <c r="BH63" i="5"/>
  <c r="BH62" i="5"/>
  <c r="BH61" i="5"/>
  <c r="BH60" i="5"/>
  <c r="BH59" i="5"/>
  <c r="BH58" i="5"/>
  <c r="BH57" i="5"/>
  <c r="BH56" i="5"/>
  <c r="BH55" i="5"/>
  <c r="BH54" i="5"/>
  <c r="BH53" i="5"/>
  <c r="BH52" i="5"/>
  <c r="BH51" i="5"/>
  <c r="BH50" i="5"/>
  <c r="BH49" i="5"/>
  <c r="BH48" i="5"/>
  <c r="BH47" i="5"/>
  <c r="BH45" i="5"/>
  <c r="BH44" i="5"/>
  <c r="BH43" i="5"/>
  <c r="BH42" i="5"/>
  <c r="BH41" i="5"/>
  <c r="BH40" i="5"/>
  <c r="BH39" i="5"/>
  <c r="BH38" i="5"/>
  <c r="BH36" i="5"/>
  <c r="BH35" i="5"/>
  <c r="BH34" i="5"/>
  <c r="BH33" i="5"/>
  <c r="BH32" i="5"/>
  <c r="BH31" i="5"/>
  <c r="BH30" i="5"/>
  <c r="BH29" i="5"/>
  <c r="BH28" i="5"/>
  <c r="BH27" i="5"/>
  <c r="BH26" i="5"/>
  <c r="BH24" i="5"/>
  <c r="BH23" i="5"/>
  <c r="BH22" i="5"/>
  <c r="BH21" i="5"/>
  <c r="BH20" i="5"/>
  <c r="BH19" i="5"/>
  <c r="BH18" i="5"/>
  <c r="BH17" i="5"/>
  <c r="BH15" i="5"/>
  <c r="BH14" i="5"/>
  <c r="BH13" i="5"/>
  <c r="BH12" i="5"/>
  <c r="BH11" i="5"/>
  <c r="BH10" i="5"/>
  <c r="BH9" i="5"/>
  <c r="BB15" i="5" l="1"/>
  <c r="BA104" i="5"/>
  <c r="BA103" i="5"/>
  <c r="BA29" i="5"/>
  <c r="BB29" i="5"/>
  <c r="BO94" i="5"/>
  <c r="CV46" i="5"/>
  <c r="CU46" i="5"/>
  <c r="CN78" i="5" l="1"/>
  <c r="CN73" i="5"/>
  <c r="CN66" i="5"/>
  <c r="CN46" i="5"/>
  <c r="CN37" i="5"/>
  <c r="CN25" i="5"/>
  <c r="CN16" i="5"/>
  <c r="CN8" i="5"/>
  <c r="BZ101" i="5"/>
  <c r="BZ99" i="5"/>
  <c r="BZ97" i="5"/>
  <c r="BZ90" i="5"/>
  <c r="BZ86" i="5"/>
  <c r="BZ80" i="5"/>
  <c r="BZ78" i="5"/>
  <c r="BZ73" i="5"/>
  <c r="BZ66" i="5"/>
  <c r="BZ46" i="5"/>
  <c r="BZ37" i="5"/>
  <c r="BZ25" i="5"/>
  <c r="BZ16" i="5"/>
  <c r="BZ8" i="5"/>
  <c r="BL101" i="5"/>
  <c r="BL99" i="5"/>
  <c r="BL97" i="5"/>
  <c r="BL90" i="5"/>
  <c r="BL86" i="5"/>
  <c r="BL80" i="5"/>
  <c r="BL78" i="5"/>
  <c r="BL73" i="5"/>
  <c r="BL66" i="5"/>
  <c r="BL46" i="5"/>
  <c r="BL37" i="5"/>
  <c r="BL25" i="5"/>
  <c r="BL16" i="5"/>
  <c r="BL8" i="5"/>
  <c r="AX101" i="5"/>
  <c r="AX99" i="5"/>
  <c r="AX97" i="5"/>
  <c r="AX90" i="5"/>
  <c r="AX86" i="5"/>
  <c r="AX80" i="5"/>
  <c r="AX78" i="5"/>
  <c r="AX73" i="5"/>
  <c r="AX66" i="5"/>
  <c r="AX46" i="5"/>
  <c r="AX37" i="5"/>
  <c r="AX25" i="5"/>
  <c r="AX16" i="5"/>
  <c r="AX8" i="5"/>
  <c r="CT65" i="5"/>
  <c r="DA65" i="5" s="1"/>
  <c r="CS65" i="5"/>
  <c r="CR65" i="5"/>
  <c r="CQ65" i="5"/>
  <c r="CT64" i="5"/>
  <c r="DA64" i="5" s="1"/>
  <c r="CS64" i="5"/>
  <c r="CR64" i="5"/>
  <c r="CQ64" i="5"/>
  <c r="CT63" i="5"/>
  <c r="DA63" i="5" s="1"/>
  <c r="CS63" i="5"/>
  <c r="CR63" i="5"/>
  <c r="CQ63" i="5"/>
  <c r="CT62" i="5"/>
  <c r="DA62" i="5" s="1"/>
  <c r="CS62" i="5"/>
  <c r="CR62" i="5"/>
  <c r="CQ62" i="5"/>
  <c r="CT61" i="5"/>
  <c r="DA61" i="5" s="1"/>
  <c r="CS61" i="5"/>
  <c r="CR61" i="5"/>
  <c r="CQ61" i="5"/>
  <c r="CT60" i="5"/>
  <c r="DA60" i="5" s="1"/>
  <c r="CS60" i="5"/>
  <c r="CR60" i="5"/>
  <c r="CQ60" i="5"/>
  <c r="CT59" i="5"/>
  <c r="DA59" i="5" s="1"/>
  <c r="CS59" i="5"/>
  <c r="CR59" i="5"/>
  <c r="CQ59" i="5"/>
  <c r="CT58" i="5"/>
  <c r="DA58" i="5" s="1"/>
  <c r="CS58" i="5"/>
  <c r="CR58" i="5"/>
  <c r="CQ58" i="5"/>
  <c r="CT57" i="5"/>
  <c r="DA57" i="5" s="1"/>
  <c r="CS57" i="5"/>
  <c r="CR57" i="5"/>
  <c r="CQ57" i="5"/>
  <c r="CT56" i="5"/>
  <c r="DA56" i="5" s="1"/>
  <c r="CS56" i="5"/>
  <c r="CR56" i="5"/>
  <c r="CQ56" i="5"/>
  <c r="CT55" i="5"/>
  <c r="DA55" i="5" s="1"/>
  <c r="CS55" i="5"/>
  <c r="CR55" i="5"/>
  <c r="CQ55" i="5"/>
  <c r="CT54" i="5"/>
  <c r="DA54" i="5" s="1"/>
  <c r="CS54" i="5"/>
  <c r="CR54" i="5"/>
  <c r="CQ54" i="5"/>
  <c r="CT53" i="5"/>
  <c r="DA53" i="5" s="1"/>
  <c r="CS53" i="5"/>
  <c r="CR53" i="5"/>
  <c r="CQ53" i="5"/>
  <c r="CT52" i="5"/>
  <c r="DA52" i="5" s="1"/>
  <c r="CS52" i="5"/>
  <c r="CR52" i="5"/>
  <c r="CQ52" i="5"/>
  <c r="CT51" i="5"/>
  <c r="DA51" i="5" s="1"/>
  <c r="CS51" i="5"/>
  <c r="CR51" i="5"/>
  <c r="CQ51" i="5"/>
  <c r="CT50" i="5"/>
  <c r="DA50" i="5" s="1"/>
  <c r="CS50" i="5"/>
  <c r="CR50" i="5"/>
  <c r="CQ50" i="5"/>
  <c r="CT49" i="5"/>
  <c r="DA49" i="5" s="1"/>
  <c r="CS49" i="5"/>
  <c r="CR49" i="5"/>
  <c r="CQ49" i="5"/>
  <c r="CT48" i="5"/>
  <c r="DA48" i="5" s="1"/>
  <c r="CS48" i="5"/>
  <c r="CR48" i="5"/>
  <c r="CQ48" i="5"/>
  <c r="CT47" i="5"/>
  <c r="DA47" i="5" s="1"/>
  <c r="CS47" i="5"/>
  <c r="CR47" i="5"/>
  <c r="CQ47" i="5"/>
  <c r="CT45" i="5"/>
  <c r="DA45" i="5" s="1"/>
  <c r="CS45" i="5"/>
  <c r="CR45" i="5"/>
  <c r="CQ45" i="5"/>
  <c r="CT44" i="5"/>
  <c r="DA44" i="5" s="1"/>
  <c r="CS44" i="5"/>
  <c r="CR44" i="5"/>
  <c r="CQ44" i="5"/>
  <c r="CT43" i="5"/>
  <c r="DA43" i="5" s="1"/>
  <c r="CS43" i="5"/>
  <c r="CR43" i="5"/>
  <c r="CQ43" i="5"/>
  <c r="CT42" i="5"/>
  <c r="DA42" i="5" s="1"/>
  <c r="CS42" i="5"/>
  <c r="CR42" i="5"/>
  <c r="CQ42" i="5"/>
  <c r="CT41" i="5"/>
  <c r="DA41" i="5" s="1"/>
  <c r="CS41" i="5"/>
  <c r="CR41" i="5"/>
  <c r="CQ41" i="5"/>
  <c r="CT40" i="5"/>
  <c r="DA40" i="5" s="1"/>
  <c r="CS40" i="5"/>
  <c r="CR40" i="5"/>
  <c r="CQ40" i="5"/>
  <c r="CT39" i="5"/>
  <c r="DA39" i="5" s="1"/>
  <c r="CS39" i="5"/>
  <c r="CR39" i="5"/>
  <c r="CQ39" i="5"/>
  <c r="CT38" i="5"/>
  <c r="DA38" i="5" s="1"/>
  <c r="CS38" i="5"/>
  <c r="CR38" i="5"/>
  <c r="CQ38" i="5"/>
  <c r="CT9" i="5"/>
  <c r="CS9" i="5"/>
  <c r="CS8" i="5" s="1"/>
  <c r="CR9" i="5"/>
  <c r="CQ9" i="5"/>
  <c r="CQ8" i="5" s="1"/>
  <c r="CF104" i="5"/>
  <c r="CE104" i="5"/>
  <c r="CD104" i="5"/>
  <c r="CC104" i="5"/>
  <c r="CF103" i="5"/>
  <c r="CM103" i="5" s="1"/>
  <c r="CE103" i="5"/>
  <c r="CD103" i="5"/>
  <c r="CC103" i="5"/>
  <c r="CF102" i="5"/>
  <c r="CM102" i="5" s="1"/>
  <c r="CE102" i="5"/>
  <c r="CD102" i="5"/>
  <c r="CC102" i="5"/>
  <c r="CF100" i="5"/>
  <c r="CM100" i="5" s="1"/>
  <c r="CE100" i="5"/>
  <c r="CE99" i="5" s="1"/>
  <c r="CD100" i="5"/>
  <c r="CC100" i="5"/>
  <c r="CF98" i="5"/>
  <c r="CE98" i="5"/>
  <c r="CE97" i="5" s="1"/>
  <c r="CD98" i="5"/>
  <c r="CC98" i="5"/>
  <c r="CF96" i="5"/>
  <c r="CM96" i="5" s="1"/>
  <c r="CE96" i="5"/>
  <c r="CD96" i="5"/>
  <c r="CC96" i="5"/>
  <c r="CF95" i="5"/>
  <c r="CM95" i="5" s="1"/>
  <c r="CE95" i="5"/>
  <c r="CD95" i="5"/>
  <c r="CC95" i="5"/>
  <c r="CF94" i="5"/>
  <c r="CM94" i="5" s="1"/>
  <c r="CE94" i="5"/>
  <c r="CD94" i="5"/>
  <c r="CC94" i="5"/>
  <c r="CF93" i="5"/>
  <c r="CM93" i="5" s="1"/>
  <c r="CE93" i="5"/>
  <c r="CD93" i="5"/>
  <c r="CC93" i="5"/>
  <c r="CF92" i="5"/>
  <c r="CM92" i="5" s="1"/>
  <c r="CE92" i="5"/>
  <c r="CD92" i="5"/>
  <c r="CC92" i="5"/>
  <c r="CF91" i="5"/>
  <c r="CM91" i="5" s="1"/>
  <c r="CE91" i="5"/>
  <c r="CD91" i="5"/>
  <c r="CC91" i="5"/>
  <c r="CF89" i="5"/>
  <c r="CM89" i="5" s="1"/>
  <c r="CE89" i="5"/>
  <c r="CD89" i="5"/>
  <c r="CC89" i="5"/>
  <c r="CF88" i="5"/>
  <c r="CM88" i="5" s="1"/>
  <c r="CE88" i="5"/>
  <c r="CD88" i="5"/>
  <c r="CC88" i="5"/>
  <c r="CF87" i="5"/>
  <c r="CE87" i="5"/>
  <c r="CD87" i="5"/>
  <c r="CC87" i="5"/>
  <c r="CF85" i="5"/>
  <c r="CM85" i="5" s="1"/>
  <c r="CE85" i="5"/>
  <c r="CD85" i="5"/>
  <c r="CC85" i="5"/>
  <c r="CF84" i="5"/>
  <c r="CM84" i="5" s="1"/>
  <c r="CE84" i="5"/>
  <c r="CD84" i="5"/>
  <c r="CC84" i="5"/>
  <c r="CF83" i="5"/>
  <c r="CM83" i="5" s="1"/>
  <c r="CE83" i="5"/>
  <c r="CD83" i="5"/>
  <c r="CC83" i="5"/>
  <c r="CF82" i="5"/>
  <c r="CM82" i="5" s="1"/>
  <c r="CE82" i="5"/>
  <c r="CD82" i="5"/>
  <c r="CC82" i="5"/>
  <c r="CF81" i="5"/>
  <c r="CM81" i="5" s="1"/>
  <c r="CE81" i="5"/>
  <c r="CD81" i="5"/>
  <c r="CC81" i="5"/>
  <c r="CF79" i="5"/>
  <c r="CE79" i="5"/>
  <c r="CE78" i="5" s="1"/>
  <c r="CD79" i="5"/>
  <c r="CC79" i="5"/>
  <c r="CF77" i="5"/>
  <c r="CM77" i="5" s="1"/>
  <c r="CE77" i="5"/>
  <c r="CD77" i="5"/>
  <c r="CC77" i="5"/>
  <c r="CF76" i="5"/>
  <c r="CM76" i="5" s="1"/>
  <c r="CE76" i="5"/>
  <c r="CD76" i="5"/>
  <c r="CF75" i="5"/>
  <c r="CE75" i="5"/>
  <c r="CD75" i="5"/>
  <c r="CC75" i="5"/>
  <c r="CF74" i="5"/>
  <c r="CM74" i="5" s="1"/>
  <c r="CE74" i="5"/>
  <c r="CD74" i="5"/>
  <c r="CC74" i="5"/>
  <c r="CF72" i="5"/>
  <c r="CM72" i="5" s="1"/>
  <c r="CE72" i="5"/>
  <c r="CD72" i="5"/>
  <c r="CC72" i="5"/>
  <c r="CF71" i="5"/>
  <c r="CM71" i="5" s="1"/>
  <c r="CE71" i="5"/>
  <c r="CD71" i="5"/>
  <c r="CC71" i="5"/>
  <c r="CF70" i="5"/>
  <c r="CM70" i="5" s="1"/>
  <c r="CE70" i="5"/>
  <c r="CD70" i="5"/>
  <c r="CF69" i="5"/>
  <c r="CM69" i="5" s="1"/>
  <c r="CE69" i="5"/>
  <c r="CD69" i="5"/>
  <c r="CC69" i="5"/>
  <c r="CF68" i="5"/>
  <c r="CM68" i="5" s="1"/>
  <c r="CE68" i="5"/>
  <c r="CD68" i="5"/>
  <c r="CC68" i="5"/>
  <c r="CF67" i="5"/>
  <c r="CM67" i="5" s="1"/>
  <c r="CE67" i="5"/>
  <c r="CD67" i="5"/>
  <c r="CC67" i="5"/>
  <c r="CF65" i="5"/>
  <c r="CM65" i="5" s="1"/>
  <c r="CE65" i="5"/>
  <c r="CD65" i="5"/>
  <c r="CC65" i="5"/>
  <c r="CF64" i="5"/>
  <c r="CM64" i="5" s="1"/>
  <c r="CE64" i="5"/>
  <c r="CD64" i="5"/>
  <c r="CC64" i="5"/>
  <c r="CF63" i="5"/>
  <c r="CM63" i="5" s="1"/>
  <c r="CE63" i="5"/>
  <c r="CD63" i="5"/>
  <c r="CC63" i="5"/>
  <c r="CF62" i="5"/>
  <c r="CM62" i="5" s="1"/>
  <c r="CE62" i="5"/>
  <c r="CD62" i="5"/>
  <c r="CC62" i="5"/>
  <c r="CF61" i="5"/>
  <c r="CM61" i="5" s="1"/>
  <c r="CE61" i="5"/>
  <c r="CD61" i="5"/>
  <c r="CC61" i="5"/>
  <c r="CF60" i="5"/>
  <c r="CM60" i="5" s="1"/>
  <c r="CE60" i="5"/>
  <c r="CD60" i="5"/>
  <c r="CC60" i="5"/>
  <c r="CF59" i="5"/>
  <c r="CM59" i="5" s="1"/>
  <c r="CE59" i="5"/>
  <c r="CD59" i="5"/>
  <c r="CC59" i="5"/>
  <c r="CF58" i="5"/>
  <c r="CM58" i="5" s="1"/>
  <c r="CE58" i="5"/>
  <c r="CD58" i="5"/>
  <c r="CC58" i="5"/>
  <c r="CF57" i="5"/>
  <c r="CM57" i="5" s="1"/>
  <c r="CE57" i="5"/>
  <c r="CD57" i="5"/>
  <c r="CC57" i="5"/>
  <c r="CF56" i="5"/>
  <c r="CM56" i="5" s="1"/>
  <c r="CE56" i="5"/>
  <c r="CD56" i="5"/>
  <c r="CC56" i="5"/>
  <c r="CF55" i="5"/>
  <c r="CM55" i="5" s="1"/>
  <c r="CE55" i="5"/>
  <c r="CD55" i="5"/>
  <c r="CC55" i="5"/>
  <c r="CF54" i="5"/>
  <c r="CM54" i="5" s="1"/>
  <c r="CE54" i="5"/>
  <c r="CD54" i="5"/>
  <c r="CC54" i="5"/>
  <c r="CF53" i="5"/>
  <c r="CM53" i="5" s="1"/>
  <c r="CE53" i="5"/>
  <c r="CD53" i="5"/>
  <c r="CC53" i="5"/>
  <c r="CF52" i="5"/>
  <c r="CM52" i="5" s="1"/>
  <c r="CE52" i="5"/>
  <c r="CD52" i="5"/>
  <c r="CC52" i="5"/>
  <c r="CF51" i="5"/>
  <c r="CM51" i="5" s="1"/>
  <c r="CE51" i="5"/>
  <c r="CD51" i="5"/>
  <c r="CC51" i="5"/>
  <c r="CF50" i="5"/>
  <c r="CM50" i="5" s="1"/>
  <c r="CE50" i="5"/>
  <c r="CD50" i="5"/>
  <c r="CC50" i="5"/>
  <c r="CF49" i="5"/>
  <c r="CM49" i="5" s="1"/>
  <c r="CE49" i="5"/>
  <c r="CD49" i="5"/>
  <c r="CC49" i="5"/>
  <c r="CF48" i="5"/>
  <c r="CM48" i="5" s="1"/>
  <c r="CE48" i="5"/>
  <c r="CD48" i="5"/>
  <c r="CC48" i="5"/>
  <c r="CF47" i="5"/>
  <c r="CM47" i="5" s="1"/>
  <c r="CE47" i="5"/>
  <c r="CD47" i="5"/>
  <c r="CC47" i="5"/>
  <c r="CF45" i="5"/>
  <c r="CM45" i="5" s="1"/>
  <c r="CE45" i="5"/>
  <c r="CD45" i="5"/>
  <c r="CC45" i="5"/>
  <c r="CF44" i="5"/>
  <c r="CM44" i="5" s="1"/>
  <c r="CE44" i="5"/>
  <c r="CD44" i="5"/>
  <c r="CC44" i="5"/>
  <c r="CF43" i="5"/>
  <c r="CM43" i="5" s="1"/>
  <c r="CE43" i="5"/>
  <c r="CD43" i="5"/>
  <c r="CC43" i="5"/>
  <c r="CF42" i="5"/>
  <c r="CM42" i="5" s="1"/>
  <c r="CE42" i="5"/>
  <c r="CD42" i="5"/>
  <c r="CC42" i="5"/>
  <c r="CF41" i="5"/>
  <c r="CM41" i="5" s="1"/>
  <c r="CE41" i="5"/>
  <c r="CD41" i="5"/>
  <c r="CC41" i="5"/>
  <c r="CF40" i="5"/>
  <c r="CM40" i="5" s="1"/>
  <c r="CE40" i="5"/>
  <c r="CD40" i="5"/>
  <c r="CC40" i="5"/>
  <c r="CF39" i="5"/>
  <c r="CM39" i="5" s="1"/>
  <c r="CE39" i="5"/>
  <c r="CD39" i="5"/>
  <c r="CC39" i="5"/>
  <c r="CF38" i="5"/>
  <c r="CM38" i="5" s="1"/>
  <c r="CE38" i="5"/>
  <c r="CD38" i="5"/>
  <c r="CC38" i="5"/>
  <c r="CF36" i="5"/>
  <c r="CM36" i="5" s="1"/>
  <c r="CE36" i="5"/>
  <c r="CD36" i="5"/>
  <c r="CC36" i="5"/>
  <c r="CF35" i="5"/>
  <c r="CM35" i="5" s="1"/>
  <c r="CE35" i="5"/>
  <c r="CD35" i="5"/>
  <c r="CC35" i="5"/>
  <c r="CF34" i="5"/>
  <c r="CM34" i="5" s="1"/>
  <c r="CE34" i="5"/>
  <c r="CD34" i="5"/>
  <c r="CC34" i="5"/>
  <c r="CF33" i="5"/>
  <c r="CM33" i="5" s="1"/>
  <c r="CE33" i="5"/>
  <c r="CD33" i="5"/>
  <c r="CC33" i="5"/>
  <c r="CF32" i="5"/>
  <c r="CM32" i="5" s="1"/>
  <c r="CE32" i="5"/>
  <c r="CD32" i="5"/>
  <c r="CC32" i="5"/>
  <c r="CF31" i="5"/>
  <c r="CM31" i="5" s="1"/>
  <c r="CE31" i="5"/>
  <c r="CD31" i="5"/>
  <c r="CC31" i="5"/>
  <c r="CF30" i="5"/>
  <c r="CM30" i="5" s="1"/>
  <c r="CE30" i="5"/>
  <c r="CD30" i="5"/>
  <c r="CC30" i="5"/>
  <c r="CF29" i="5"/>
  <c r="CM29" i="5" s="1"/>
  <c r="CE29" i="5"/>
  <c r="CD29" i="5"/>
  <c r="CC29" i="5"/>
  <c r="CF28" i="5"/>
  <c r="CM28" i="5" s="1"/>
  <c r="CE28" i="5"/>
  <c r="CD28" i="5"/>
  <c r="CC28" i="5"/>
  <c r="CF27" i="5"/>
  <c r="CM27" i="5" s="1"/>
  <c r="CE27" i="5"/>
  <c r="CD27" i="5"/>
  <c r="CC27" i="5"/>
  <c r="CF26" i="5"/>
  <c r="CM26" i="5" s="1"/>
  <c r="CE26" i="5"/>
  <c r="CD26" i="5"/>
  <c r="CC26" i="5"/>
  <c r="CF24" i="5"/>
  <c r="CM24" i="5" s="1"/>
  <c r="CE24" i="5"/>
  <c r="CD24" i="5"/>
  <c r="CC24" i="5"/>
  <c r="CF23" i="5"/>
  <c r="CM23" i="5" s="1"/>
  <c r="CE23" i="5"/>
  <c r="CD23" i="5"/>
  <c r="CC23" i="5"/>
  <c r="CF22" i="5"/>
  <c r="CM22" i="5" s="1"/>
  <c r="CE22" i="5"/>
  <c r="CD22" i="5"/>
  <c r="CC22" i="5"/>
  <c r="CF21" i="5"/>
  <c r="CM21" i="5" s="1"/>
  <c r="CE21" i="5"/>
  <c r="CD21" i="5"/>
  <c r="CC21" i="5"/>
  <c r="CF20" i="5"/>
  <c r="CM20" i="5" s="1"/>
  <c r="CE20" i="5"/>
  <c r="CD20" i="5"/>
  <c r="CC20" i="5"/>
  <c r="CF19" i="5"/>
  <c r="CM19" i="5" s="1"/>
  <c r="CE19" i="5"/>
  <c r="CD19" i="5"/>
  <c r="CC19" i="5"/>
  <c r="CF18" i="5"/>
  <c r="CM18" i="5" s="1"/>
  <c r="CE18" i="5"/>
  <c r="CD18" i="5"/>
  <c r="CC18" i="5"/>
  <c r="CF17" i="5"/>
  <c r="CM17" i="5" s="1"/>
  <c r="CE17" i="5"/>
  <c r="CD17" i="5"/>
  <c r="CC17" i="5"/>
  <c r="CF15" i="5"/>
  <c r="CM15" i="5" s="1"/>
  <c r="CE15" i="5"/>
  <c r="CD15" i="5"/>
  <c r="CC15" i="5"/>
  <c r="CF14" i="5"/>
  <c r="CM14" i="5" s="1"/>
  <c r="CE14" i="5"/>
  <c r="CD14" i="5"/>
  <c r="CC14" i="5"/>
  <c r="CF13" i="5"/>
  <c r="CM13" i="5" s="1"/>
  <c r="CE13" i="5"/>
  <c r="CD13" i="5"/>
  <c r="CC13" i="5"/>
  <c r="CF12" i="5"/>
  <c r="CM12" i="5" s="1"/>
  <c r="CE12" i="5"/>
  <c r="CD12" i="5"/>
  <c r="CC12" i="5"/>
  <c r="CF11" i="5"/>
  <c r="CM11" i="5" s="1"/>
  <c r="CE11" i="5"/>
  <c r="CD11" i="5"/>
  <c r="CC11" i="5"/>
  <c r="CF10" i="5"/>
  <c r="CM10" i="5" s="1"/>
  <c r="CE10" i="5"/>
  <c r="CD10" i="5"/>
  <c r="CC10" i="5"/>
  <c r="CF9" i="5"/>
  <c r="CM9" i="5" s="1"/>
  <c r="CE9" i="5"/>
  <c r="CD9" i="5"/>
  <c r="CC9" i="5"/>
  <c r="BR105" i="5"/>
  <c r="BQ105" i="5"/>
  <c r="BP105" i="5"/>
  <c r="BO105" i="5"/>
  <c r="BR104" i="5"/>
  <c r="BQ104" i="5"/>
  <c r="BP104" i="5"/>
  <c r="BO104" i="5"/>
  <c r="BR103" i="5"/>
  <c r="BQ103" i="5"/>
  <c r="BP103" i="5"/>
  <c r="BO103" i="5"/>
  <c r="BR102" i="5"/>
  <c r="BY102" i="5" s="1"/>
  <c r="BQ102" i="5"/>
  <c r="BP102" i="5"/>
  <c r="BO102" i="5"/>
  <c r="BR100" i="5"/>
  <c r="BY100" i="5" s="1"/>
  <c r="BQ100" i="5"/>
  <c r="BP100" i="5"/>
  <c r="BP99" i="5" s="1"/>
  <c r="BO100" i="5"/>
  <c r="BR98" i="5"/>
  <c r="BQ98" i="5"/>
  <c r="BQ97" i="5" s="1"/>
  <c r="BP98" i="5"/>
  <c r="BP97" i="5" s="1"/>
  <c r="BO98" i="5"/>
  <c r="BR96" i="5"/>
  <c r="BY96" i="5" s="1"/>
  <c r="BQ96" i="5"/>
  <c r="BP96" i="5"/>
  <c r="BO96" i="5"/>
  <c r="BR95" i="5"/>
  <c r="BY95" i="5" s="1"/>
  <c r="BQ95" i="5"/>
  <c r="BP95" i="5"/>
  <c r="BO95" i="5"/>
  <c r="BR94" i="5"/>
  <c r="BY94" i="5" s="1"/>
  <c r="BQ94" i="5"/>
  <c r="BP94" i="5"/>
  <c r="BR93" i="5"/>
  <c r="BY93" i="5" s="1"/>
  <c r="BQ93" i="5"/>
  <c r="BP93" i="5"/>
  <c r="BO93" i="5"/>
  <c r="BR92" i="5"/>
  <c r="BY92" i="5" s="1"/>
  <c r="BQ92" i="5"/>
  <c r="BP92" i="5"/>
  <c r="BO92" i="5"/>
  <c r="BR91" i="5"/>
  <c r="BY91" i="5" s="1"/>
  <c r="BQ91" i="5"/>
  <c r="BP91" i="5"/>
  <c r="BO91" i="5"/>
  <c r="BR89" i="5"/>
  <c r="BY89" i="5" s="1"/>
  <c r="BQ89" i="5"/>
  <c r="BP89" i="5"/>
  <c r="BO89" i="5"/>
  <c r="BR88" i="5"/>
  <c r="BY88" i="5" s="1"/>
  <c r="BQ88" i="5"/>
  <c r="BP88" i="5"/>
  <c r="BO88" i="5"/>
  <c r="BR87" i="5"/>
  <c r="BY87" i="5" s="1"/>
  <c r="BQ87" i="5"/>
  <c r="BP87" i="5"/>
  <c r="BO87" i="5"/>
  <c r="BR85" i="5"/>
  <c r="BY85" i="5" s="1"/>
  <c r="BQ85" i="5"/>
  <c r="BP85" i="5"/>
  <c r="BO85" i="5"/>
  <c r="BR84" i="5"/>
  <c r="BY84" i="5" s="1"/>
  <c r="BQ84" i="5"/>
  <c r="BP84" i="5"/>
  <c r="BO84" i="5"/>
  <c r="BR83" i="5"/>
  <c r="BY83" i="5" s="1"/>
  <c r="BQ83" i="5"/>
  <c r="BP83" i="5"/>
  <c r="BO83" i="5"/>
  <c r="BR82" i="5"/>
  <c r="BY82" i="5" s="1"/>
  <c r="BQ82" i="5"/>
  <c r="BP82" i="5"/>
  <c r="BO82" i="5"/>
  <c r="BR81" i="5"/>
  <c r="BY81" i="5" s="1"/>
  <c r="BQ81" i="5"/>
  <c r="BP81" i="5"/>
  <c r="BO81" i="5"/>
  <c r="BR79" i="5"/>
  <c r="BQ79" i="5"/>
  <c r="BQ78" i="5" s="1"/>
  <c r="BP79" i="5"/>
  <c r="BO79" i="5"/>
  <c r="BR77" i="5"/>
  <c r="BY77" i="5" s="1"/>
  <c r="BQ77" i="5"/>
  <c r="BP77" i="5"/>
  <c r="BO77" i="5"/>
  <c r="BR76" i="5"/>
  <c r="BY76" i="5" s="1"/>
  <c r="BQ76" i="5"/>
  <c r="BP76" i="5"/>
  <c r="BO76" i="5"/>
  <c r="BR75" i="5"/>
  <c r="BY75" i="5" s="1"/>
  <c r="BQ75" i="5"/>
  <c r="BP75" i="5"/>
  <c r="BO75" i="5"/>
  <c r="BR74" i="5"/>
  <c r="BY74" i="5" s="1"/>
  <c r="BQ74" i="5"/>
  <c r="BP74" i="5"/>
  <c r="BO74" i="5"/>
  <c r="BR72" i="5"/>
  <c r="BY72" i="5" s="1"/>
  <c r="BQ72" i="5"/>
  <c r="BP72" i="5"/>
  <c r="BO72" i="5"/>
  <c r="BR71" i="5"/>
  <c r="BY71" i="5" s="1"/>
  <c r="BQ71" i="5"/>
  <c r="BP71" i="5"/>
  <c r="BO71" i="5"/>
  <c r="BR70" i="5"/>
  <c r="BY70" i="5" s="1"/>
  <c r="BQ70" i="5"/>
  <c r="BP70" i="5"/>
  <c r="BO70" i="5"/>
  <c r="BR69" i="5"/>
  <c r="BY69" i="5" s="1"/>
  <c r="BQ69" i="5"/>
  <c r="BP69" i="5"/>
  <c r="BO69" i="5"/>
  <c r="BR68" i="5"/>
  <c r="BY68" i="5" s="1"/>
  <c r="BQ68" i="5"/>
  <c r="BP68" i="5"/>
  <c r="BO68" i="5"/>
  <c r="BR67" i="5"/>
  <c r="BY67" i="5" s="1"/>
  <c r="BQ67" i="5"/>
  <c r="BP67" i="5"/>
  <c r="BO67" i="5"/>
  <c r="BR65" i="5"/>
  <c r="BY65" i="5" s="1"/>
  <c r="BQ65" i="5"/>
  <c r="BP65" i="5"/>
  <c r="BO65" i="5"/>
  <c r="BR64" i="5"/>
  <c r="BY64" i="5" s="1"/>
  <c r="BQ64" i="5"/>
  <c r="BP64" i="5"/>
  <c r="BO64" i="5"/>
  <c r="BR63" i="5"/>
  <c r="BY63" i="5" s="1"/>
  <c r="BQ63" i="5"/>
  <c r="BP63" i="5"/>
  <c r="BO63" i="5"/>
  <c r="BR62" i="5"/>
  <c r="BY62" i="5" s="1"/>
  <c r="BQ62" i="5"/>
  <c r="BP62" i="5"/>
  <c r="BO62" i="5"/>
  <c r="BR61" i="5"/>
  <c r="BY61" i="5" s="1"/>
  <c r="BQ61" i="5"/>
  <c r="BP61" i="5"/>
  <c r="BO61" i="5"/>
  <c r="BR60" i="5"/>
  <c r="BY60" i="5" s="1"/>
  <c r="BQ60" i="5"/>
  <c r="BP60" i="5"/>
  <c r="BO60" i="5"/>
  <c r="BR59" i="5"/>
  <c r="BY59" i="5" s="1"/>
  <c r="BQ59" i="5"/>
  <c r="BP59" i="5"/>
  <c r="BO59" i="5"/>
  <c r="BR58" i="5"/>
  <c r="BY58" i="5" s="1"/>
  <c r="BQ58" i="5"/>
  <c r="BP58" i="5"/>
  <c r="BO58" i="5"/>
  <c r="BR57" i="5"/>
  <c r="BY57" i="5" s="1"/>
  <c r="BQ57" i="5"/>
  <c r="BP57" i="5"/>
  <c r="BO57" i="5"/>
  <c r="BR56" i="5"/>
  <c r="BY56" i="5" s="1"/>
  <c r="BQ56" i="5"/>
  <c r="BP56" i="5"/>
  <c r="BO56" i="5"/>
  <c r="BR55" i="5"/>
  <c r="BY55" i="5" s="1"/>
  <c r="BQ55" i="5"/>
  <c r="BP55" i="5"/>
  <c r="BO55" i="5"/>
  <c r="BR54" i="5"/>
  <c r="BY54" i="5" s="1"/>
  <c r="BQ54" i="5"/>
  <c r="BP54" i="5"/>
  <c r="BO54" i="5"/>
  <c r="BR53" i="5"/>
  <c r="BY53" i="5" s="1"/>
  <c r="BQ53" i="5"/>
  <c r="BP53" i="5"/>
  <c r="BO53" i="5"/>
  <c r="BR52" i="5"/>
  <c r="BY52" i="5" s="1"/>
  <c r="BQ52" i="5"/>
  <c r="BP52" i="5"/>
  <c r="BO52" i="5"/>
  <c r="BR51" i="5"/>
  <c r="BY51" i="5" s="1"/>
  <c r="BQ51" i="5"/>
  <c r="BP51" i="5"/>
  <c r="BO51" i="5"/>
  <c r="BR50" i="5"/>
  <c r="BY50" i="5" s="1"/>
  <c r="BQ50" i="5"/>
  <c r="BP50" i="5"/>
  <c r="BO50" i="5"/>
  <c r="BR49" i="5"/>
  <c r="BY49" i="5" s="1"/>
  <c r="BQ49" i="5"/>
  <c r="BP49" i="5"/>
  <c r="BO49" i="5"/>
  <c r="BR48" i="5"/>
  <c r="BY48" i="5" s="1"/>
  <c r="BQ48" i="5"/>
  <c r="BP48" i="5"/>
  <c r="BO48" i="5"/>
  <c r="BR47" i="5"/>
  <c r="BY47" i="5" s="1"/>
  <c r="BQ47" i="5"/>
  <c r="BP47" i="5"/>
  <c r="BO47" i="5"/>
  <c r="BR45" i="5"/>
  <c r="BY45" i="5" s="1"/>
  <c r="BQ45" i="5"/>
  <c r="BP45" i="5"/>
  <c r="BO45" i="5"/>
  <c r="BR44" i="5"/>
  <c r="BY44" i="5" s="1"/>
  <c r="BQ44" i="5"/>
  <c r="BP44" i="5"/>
  <c r="BO44" i="5"/>
  <c r="BR43" i="5"/>
  <c r="BY43" i="5" s="1"/>
  <c r="BQ43" i="5"/>
  <c r="BP43" i="5"/>
  <c r="BO43" i="5"/>
  <c r="BR42" i="5"/>
  <c r="BY42" i="5" s="1"/>
  <c r="BQ42" i="5"/>
  <c r="BP42" i="5"/>
  <c r="BO42" i="5"/>
  <c r="BR41" i="5"/>
  <c r="BY41" i="5" s="1"/>
  <c r="BQ41" i="5"/>
  <c r="BP41" i="5"/>
  <c r="BO41" i="5"/>
  <c r="BR40" i="5"/>
  <c r="BY40" i="5" s="1"/>
  <c r="BQ40" i="5"/>
  <c r="BP40" i="5"/>
  <c r="BO40" i="5"/>
  <c r="BR39" i="5"/>
  <c r="BY39" i="5" s="1"/>
  <c r="BQ39" i="5"/>
  <c r="BP39" i="5"/>
  <c r="BO39" i="5"/>
  <c r="BR38" i="5"/>
  <c r="BY38" i="5" s="1"/>
  <c r="BQ38" i="5"/>
  <c r="BP38" i="5"/>
  <c r="BO38" i="5"/>
  <c r="BR36" i="5"/>
  <c r="BY36" i="5" s="1"/>
  <c r="BQ36" i="5"/>
  <c r="BP36" i="5"/>
  <c r="BO36" i="5"/>
  <c r="BR35" i="5"/>
  <c r="BY35" i="5" s="1"/>
  <c r="BQ35" i="5"/>
  <c r="BP35" i="5"/>
  <c r="BO35" i="5"/>
  <c r="BR34" i="5"/>
  <c r="BY34" i="5" s="1"/>
  <c r="BQ34" i="5"/>
  <c r="BP34" i="5"/>
  <c r="BO34" i="5"/>
  <c r="BR33" i="5"/>
  <c r="BY33" i="5" s="1"/>
  <c r="BQ33" i="5"/>
  <c r="BP33" i="5"/>
  <c r="BO33" i="5"/>
  <c r="BR32" i="5"/>
  <c r="BY32" i="5" s="1"/>
  <c r="BQ32" i="5"/>
  <c r="BP32" i="5"/>
  <c r="BO32" i="5"/>
  <c r="BR31" i="5"/>
  <c r="BY31" i="5" s="1"/>
  <c r="BQ31" i="5"/>
  <c r="BP31" i="5"/>
  <c r="BO31" i="5"/>
  <c r="BR30" i="5"/>
  <c r="BY30" i="5" s="1"/>
  <c r="BQ30" i="5"/>
  <c r="BP30" i="5"/>
  <c r="BO30" i="5"/>
  <c r="BR29" i="5"/>
  <c r="BY29" i="5" s="1"/>
  <c r="BQ29" i="5"/>
  <c r="BP29" i="5"/>
  <c r="BO29" i="5"/>
  <c r="BR28" i="5"/>
  <c r="BY28" i="5" s="1"/>
  <c r="BQ28" i="5"/>
  <c r="BP28" i="5"/>
  <c r="BO28" i="5"/>
  <c r="BR27" i="5"/>
  <c r="BY27" i="5" s="1"/>
  <c r="BQ27" i="5"/>
  <c r="BP27" i="5"/>
  <c r="BO27" i="5"/>
  <c r="BR26" i="5"/>
  <c r="BY26" i="5" s="1"/>
  <c r="BQ26" i="5"/>
  <c r="BP26" i="5"/>
  <c r="BO26" i="5"/>
  <c r="BR24" i="5"/>
  <c r="BY24" i="5" s="1"/>
  <c r="BQ24" i="5"/>
  <c r="BP24" i="5"/>
  <c r="BO24" i="5"/>
  <c r="BR23" i="5"/>
  <c r="BY23" i="5" s="1"/>
  <c r="BQ23" i="5"/>
  <c r="BP23" i="5"/>
  <c r="BO23" i="5"/>
  <c r="BR22" i="5"/>
  <c r="BY22" i="5" s="1"/>
  <c r="BQ22" i="5"/>
  <c r="BP22" i="5"/>
  <c r="BO22" i="5"/>
  <c r="BR21" i="5"/>
  <c r="BY21" i="5" s="1"/>
  <c r="BQ21" i="5"/>
  <c r="BP21" i="5"/>
  <c r="BO21" i="5"/>
  <c r="BR20" i="5"/>
  <c r="BY20" i="5" s="1"/>
  <c r="BQ20" i="5"/>
  <c r="BP20" i="5"/>
  <c r="BO20" i="5"/>
  <c r="BR19" i="5"/>
  <c r="BY19" i="5" s="1"/>
  <c r="BQ19" i="5"/>
  <c r="BP19" i="5"/>
  <c r="BO19" i="5"/>
  <c r="BR18" i="5"/>
  <c r="BY18" i="5" s="1"/>
  <c r="BQ18" i="5"/>
  <c r="BP18" i="5"/>
  <c r="BO18" i="5"/>
  <c r="BR17" i="5"/>
  <c r="BY17" i="5" s="1"/>
  <c r="BQ17" i="5"/>
  <c r="BP17" i="5"/>
  <c r="BO17" i="5"/>
  <c r="BR15" i="5"/>
  <c r="BY15" i="5" s="1"/>
  <c r="BQ15" i="5"/>
  <c r="BP15" i="5"/>
  <c r="BO15" i="5"/>
  <c r="BR14" i="5"/>
  <c r="BY14" i="5" s="1"/>
  <c r="BQ14" i="5"/>
  <c r="BP14" i="5"/>
  <c r="BO14" i="5"/>
  <c r="BR13" i="5"/>
  <c r="BY13" i="5" s="1"/>
  <c r="BQ13" i="5"/>
  <c r="BP13" i="5"/>
  <c r="BO13" i="5"/>
  <c r="BR12" i="5"/>
  <c r="BY12" i="5" s="1"/>
  <c r="BQ12" i="5"/>
  <c r="BP12" i="5"/>
  <c r="BO12" i="5"/>
  <c r="BR11" i="5"/>
  <c r="BY11" i="5" s="1"/>
  <c r="BQ11" i="5"/>
  <c r="BP11" i="5"/>
  <c r="BO11" i="5"/>
  <c r="BR10" i="5"/>
  <c r="BY10" i="5" s="1"/>
  <c r="BQ10" i="5"/>
  <c r="BP10" i="5"/>
  <c r="BO10" i="5"/>
  <c r="BR9" i="5"/>
  <c r="BY9" i="5" s="1"/>
  <c r="BQ9" i="5"/>
  <c r="BP9" i="5"/>
  <c r="BO9" i="5"/>
  <c r="BD105" i="5"/>
  <c r="BC105" i="5"/>
  <c r="BB105" i="5"/>
  <c r="BA105" i="5"/>
  <c r="BD104" i="5"/>
  <c r="BC104" i="5"/>
  <c r="BB104" i="5"/>
  <c r="BD103" i="5"/>
  <c r="BK103" i="5" s="1"/>
  <c r="BC103" i="5"/>
  <c r="BB103" i="5"/>
  <c r="BD102" i="5"/>
  <c r="BK102" i="5" s="1"/>
  <c r="BC102" i="5"/>
  <c r="BB102" i="5"/>
  <c r="BA102" i="5"/>
  <c r="BD100" i="5"/>
  <c r="BK100" i="5" s="1"/>
  <c r="BC100" i="5"/>
  <c r="BC99" i="5" s="1"/>
  <c r="BB100" i="5"/>
  <c r="BA100" i="5"/>
  <c r="BA99" i="5" s="1"/>
  <c r="BD98" i="5"/>
  <c r="BC98" i="5"/>
  <c r="BC97" i="5" s="1"/>
  <c r="BB98" i="5"/>
  <c r="BA98" i="5"/>
  <c r="BD96" i="5"/>
  <c r="BK96" i="5" s="1"/>
  <c r="BC96" i="5"/>
  <c r="BB96" i="5"/>
  <c r="BA96" i="5"/>
  <c r="BD95" i="5"/>
  <c r="BK95" i="5" s="1"/>
  <c r="BC95" i="5"/>
  <c r="BB95" i="5"/>
  <c r="BA95" i="5"/>
  <c r="BD94" i="5"/>
  <c r="BK94" i="5" s="1"/>
  <c r="BC94" i="5"/>
  <c r="BB94" i="5"/>
  <c r="BA94" i="5"/>
  <c r="BD93" i="5"/>
  <c r="BK93" i="5" s="1"/>
  <c r="BC93" i="5"/>
  <c r="BB93" i="5"/>
  <c r="BA93" i="5"/>
  <c r="BD92" i="5"/>
  <c r="BC92" i="5"/>
  <c r="BB92" i="5"/>
  <c r="BA92" i="5"/>
  <c r="BD91" i="5"/>
  <c r="BK91" i="5" s="1"/>
  <c r="BC91" i="5"/>
  <c r="BB91" i="5"/>
  <c r="BA91" i="5"/>
  <c r="BD89" i="5"/>
  <c r="BK89" i="5" s="1"/>
  <c r="BC89" i="5"/>
  <c r="BB89" i="5"/>
  <c r="BA89" i="5"/>
  <c r="BD88" i="5"/>
  <c r="BK88" i="5" s="1"/>
  <c r="BC88" i="5"/>
  <c r="BB88" i="5"/>
  <c r="BA88" i="5"/>
  <c r="BD87" i="5"/>
  <c r="BC87" i="5"/>
  <c r="BB87" i="5"/>
  <c r="BA87" i="5"/>
  <c r="BD85" i="5"/>
  <c r="BK85" i="5" s="1"/>
  <c r="BC85" i="5"/>
  <c r="BB85" i="5"/>
  <c r="BA85" i="5"/>
  <c r="BD84" i="5"/>
  <c r="BK84" i="5" s="1"/>
  <c r="BC84" i="5"/>
  <c r="BB84" i="5"/>
  <c r="BA84" i="5"/>
  <c r="BD83" i="5"/>
  <c r="BK83" i="5" s="1"/>
  <c r="BC83" i="5"/>
  <c r="BB83" i="5"/>
  <c r="BA83" i="5"/>
  <c r="BD82" i="5"/>
  <c r="BK82" i="5" s="1"/>
  <c r="BC82" i="5"/>
  <c r="BB82" i="5"/>
  <c r="BA82" i="5"/>
  <c r="BD81" i="5"/>
  <c r="BK81" i="5" s="1"/>
  <c r="BC81" i="5"/>
  <c r="BB81" i="5"/>
  <c r="BA81" i="5"/>
  <c r="BD79" i="5"/>
  <c r="BC79" i="5"/>
  <c r="BC78" i="5" s="1"/>
  <c r="BB79" i="5"/>
  <c r="BA79" i="5"/>
  <c r="BD77" i="5"/>
  <c r="BK77" i="5" s="1"/>
  <c r="BC77" i="5"/>
  <c r="BB77" i="5"/>
  <c r="BA77" i="5"/>
  <c r="BD76" i="5"/>
  <c r="BK76" i="5" s="1"/>
  <c r="BC76" i="5"/>
  <c r="BB76" i="5"/>
  <c r="BA76" i="5"/>
  <c r="BD75" i="5"/>
  <c r="BK75" i="5" s="1"/>
  <c r="BC75" i="5"/>
  <c r="BB75" i="5"/>
  <c r="BA75" i="5"/>
  <c r="BD74" i="5"/>
  <c r="BC74" i="5"/>
  <c r="BB74" i="5"/>
  <c r="BA74" i="5"/>
  <c r="BD72" i="5"/>
  <c r="BK72" i="5" s="1"/>
  <c r="BC72" i="5"/>
  <c r="BB72" i="5"/>
  <c r="BA72" i="5"/>
  <c r="BD71" i="5"/>
  <c r="BK71" i="5" s="1"/>
  <c r="BC71" i="5"/>
  <c r="BB71" i="5"/>
  <c r="BA71" i="5"/>
  <c r="BD70" i="5"/>
  <c r="BK70" i="5" s="1"/>
  <c r="BC70" i="5"/>
  <c r="BB70" i="5"/>
  <c r="BA70" i="5"/>
  <c r="BD69" i="5"/>
  <c r="BK69" i="5" s="1"/>
  <c r="BC69" i="5"/>
  <c r="BB69" i="5"/>
  <c r="BA69" i="5"/>
  <c r="BD68" i="5"/>
  <c r="BK68" i="5" s="1"/>
  <c r="BC68" i="5"/>
  <c r="BB68" i="5"/>
  <c r="BA68" i="5"/>
  <c r="BD67" i="5"/>
  <c r="BC67" i="5"/>
  <c r="BB67" i="5"/>
  <c r="BA67" i="5"/>
  <c r="BD65" i="5"/>
  <c r="BK65" i="5" s="1"/>
  <c r="BC65" i="5"/>
  <c r="BB65" i="5"/>
  <c r="BA65" i="5"/>
  <c r="BD64" i="5"/>
  <c r="BK64" i="5" s="1"/>
  <c r="BC64" i="5"/>
  <c r="BB64" i="5"/>
  <c r="BA64" i="5"/>
  <c r="BD63" i="5"/>
  <c r="BK63" i="5" s="1"/>
  <c r="BC63" i="5"/>
  <c r="BB63" i="5"/>
  <c r="BA63" i="5"/>
  <c r="BD62" i="5"/>
  <c r="BK62" i="5" s="1"/>
  <c r="BC62" i="5"/>
  <c r="BB62" i="5"/>
  <c r="BA62" i="5"/>
  <c r="BD61" i="5"/>
  <c r="BK61" i="5" s="1"/>
  <c r="BC61" i="5"/>
  <c r="BB61" i="5"/>
  <c r="BA61" i="5"/>
  <c r="BD60" i="5"/>
  <c r="BK60" i="5" s="1"/>
  <c r="BC60" i="5"/>
  <c r="BB60" i="5"/>
  <c r="BA60" i="5"/>
  <c r="BD59" i="5"/>
  <c r="BK59" i="5" s="1"/>
  <c r="BC59" i="5"/>
  <c r="BB59" i="5"/>
  <c r="BA59" i="5"/>
  <c r="BD58" i="5"/>
  <c r="BK58" i="5" s="1"/>
  <c r="BC58" i="5"/>
  <c r="BB58" i="5"/>
  <c r="BA58" i="5"/>
  <c r="BD57" i="5"/>
  <c r="BK57" i="5" s="1"/>
  <c r="BC57" i="5"/>
  <c r="BB57" i="5"/>
  <c r="BA57" i="5"/>
  <c r="BD56" i="5"/>
  <c r="BK56" i="5" s="1"/>
  <c r="BC56" i="5"/>
  <c r="BB56" i="5"/>
  <c r="BA56" i="5"/>
  <c r="BD55" i="5"/>
  <c r="BK55" i="5" s="1"/>
  <c r="BC55" i="5"/>
  <c r="BB55" i="5"/>
  <c r="BA55" i="5"/>
  <c r="BD54" i="5"/>
  <c r="BK54" i="5" s="1"/>
  <c r="BC54" i="5"/>
  <c r="BB54" i="5"/>
  <c r="BA54" i="5"/>
  <c r="BD53" i="5"/>
  <c r="BK53" i="5" s="1"/>
  <c r="BC53" i="5"/>
  <c r="BB53" i="5"/>
  <c r="BA53" i="5"/>
  <c r="BD52" i="5"/>
  <c r="BK52" i="5" s="1"/>
  <c r="BC52" i="5"/>
  <c r="BB52" i="5"/>
  <c r="BA52" i="5"/>
  <c r="BD51" i="5"/>
  <c r="BK51" i="5" s="1"/>
  <c r="BC51" i="5"/>
  <c r="BB51" i="5"/>
  <c r="BA51" i="5"/>
  <c r="BD50" i="5"/>
  <c r="BK50" i="5" s="1"/>
  <c r="BC50" i="5"/>
  <c r="BB50" i="5"/>
  <c r="BA50" i="5"/>
  <c r="BD49" i="5"/>
  <c r="BK49" i="5" s="1"/>
  <c r="BC49" i="5"/>
  <c r="BB49" i="5"/>
  <c r="BA49" i="5"/>
  <c r="BD48" i="5"/>
  <c r="BK48" i="5" s="1"/>
  <c r="BC48" i="5"/>
  <c r="BB48" i="5"/>
  <c r="BA48" i="5"/>
  <c r="BD47" i="5"/>
  <c r="BK47" i="5" s="1"/>
  <c r="BC47" i="5"/>
  <c r="BB47" i="5"/>
  <c r="BA47" i="5"/>
  <c r="BD45" i="5"/>
  <c r="BK45" i="5" s="1"/>
  <c r="BC45" i="5"/>
  <c r="BB45" i="5"/>
  <c r="BA45" i="5"/>
  <c r="BD44" i="5"/>
  <c r="BK44" i="5" s="1"/>
  <c r="BC44" i="5"/>
  <c r="BB44" i="5"/>
  <c r="BA44" i="5"/>
  <c r="BD43" i="5"/>
  <c r="BK43" i="5" s="1"/>
  <c r="BC43" i="5"/>
  <c r="BB43" i="5"/>
  <c r="BA43" i="5"/>
  <c r="BD42" i="5"/>
  <c r="BK42" i="5" s="1"/>
  <c r="BC42" i="5"/>
  <c r="BB42" i="5"/>
  <c r="BA42" i="5"/>
  <c r="BD41" i="5"/>
  <c r="BK41" i="5" s="1"/>
  <c r="BC41" i="5"/>
  <c r="BB41" i="5"/>
  <c r="BA41" i="5"/>
  <c r="BD40" i="5"/>
  <c r="BK40" i="5" s="1"/>
  <c r="BC40" i="5"/>
  <c r="BB40" i="5"/>
  <c r="BA40" i="5"/>
  <c r="BD39" i="5"/>
  <c r="BK39" i="5" s="1"/>
  <c r="BC39" i="5"/>
  <c r="BB39" i="5"/>
  <c r="BA39" i="5"/>
  <c r="BD38" i="5"/>
  <c r="BK38" i="5" s="1"/>
  <c r="BC38" i="5"/>
  <c r="BB38" i="5"/>
  <c r="BA38" i="5"/>
  <c r="BD36" i="5"/>
  <c r="BK36" i="5" s="1"/>
  <c r="BC36" i="5"/>
  <c r="BB36" i="5"/>
  <c r="BA36" i="5"/>
  <c r="BD35" i="5"/>
  <c r="BK35" i="5" s="1"/>
  <c r="BC35" i="5"/>
  <c r="BB35" i="5"/>
  <c r="BA35" i="5"/>
  <c r="BD34" i="5"/>
  <c r="BK34" i="5" s="1"/>
  <c r="BC34" i="5"/>
  <c r="BB34" i="5"/>
  <c r="BA34" i="5"/>
  <c r="BD33" i="5"/>
  <c r="BK33" i="5" s="1"/>
  <c r="BC33" i="5"/>
  <c r="BB33" i="5"/>
  <c r="BA33" i="5"/>
  <c r="BD32" i="5"/>
  <c r="BK32" i="5" s="1"/>
  <c r="BC32" i="5"/>
  <c r="BB32" i="5"/>
  <c r="BA32" i="5"/>
  <c r="BD31" i="5"/>
  <c r="BK31" i="5" s="1"/>
  <c r="BC31" i="5"/>
  <c r="BB31" i="5"/>
  <c r="BA31" i="5"/>
  <c r="BD30" i="5"/>
  <c r="BK30" i="5" s="1"/>
  <c r="BC30" i="5"/>
  <c r="BB30" i="5"/>
  <c r="BA30" i="5"/>
  <c r="BD29" i="5"/>
  <c r="BK29" i="5" s="1"/>
  <c r="BC29" i="5"/>
  <c r="BD28" i="5"/>
  <c r="BK28" i="5" s="1"/>
  <c r="BC28" i="5"/>
  <c r="BB28" i="5"/>
  <c r="BA28" i="5"/>
  <c r="BD27" i="5"/>
  <c r="BK27" i="5" s="1"/>
  <c r="BC27" i="5"/>
  <c r="BB27" i="5"/>
  <c r="BA27" i="5"/>
  <c r="BD26" i="5"/>
  <c r="BK26" i="5" s="1"/>
  <c r="BC26" i="5"/>
  <c r="BB26" i="5"/>
  <c r="BA26" i="5"/>
  <c r="BD18" i="5"/>
  <c r="BK18" i="5" s="1"/>
  <c r="BC18" i="5"/>
  <c r="BB18" i="5"/>
  <c r="BA18" i="5"/>
  <c r="BD17" i="5"/>
  <c r="BK17" i="5" s="1"/>
  <c r="BC17" i="5"/>
  <c r="BB17" i="5"/>
  <c r="BA17" i="5"/>
  <c r="BD10" i="5"/>
  <c r="BK10" i="5" s="1"/>
  <c r="BC10" i="5"/>
  <c r="BB10" i="5"/>
  <c r="BA10" i="5"/>
  <c r="BD9" i="5"/>
  <c r="BK9" i="5" s="1"/>
  <c r="BC9" i="5"/>
  <c r="BB9" i="5"/>
  <c r="BA9" i="5"/>
  <c r="BD15" i="5"/>
  <c r="BK15" i="5" s="1"/>
  <c r="BC15" i="5"/>
  <c r="BA15" i="5"/>
  <c r="BD14" i="5"/>
  <c r="BK14" i="5" s="1"/>
  <c r="BC14" i="5"/>
  <c r="BB14" i="5"/>
  <c r="BA14" i="5"/>
  <c r="BD19" i="5"/>
  <c r="BK19" i="5" s="1"/>
  <c r="BC19" i="5"/>
  <c r="BB19" i="5"/>
  <c r="BA19" i="5"/>
  <c r="BD20" i="5"/>
  <c r="BK20" i="5" s="1"/>
  <c r="BC20" i="5"/>
  <c r="BB20" i="5"/>
  <c r="BA20" i="5"/>
  <c r="BD21" i="5"/>
  <c r="BK21" i="5" s="1"/>
  <c r="BC21" i="5"/>
  <c r="BB21" i="5"/>
  <c r="BA21" i="5"/>
  <c r="BD22" i="5"/>
  <c r="BK22" i="5" s="1"/>
  <c r="BC22" i="5"/>
  <c r="BB22" i="5"/>
  <c r="BA22" i="5"/>
  <c r="BD23" i="5"/>
  <c r="BK23" i="5" s="1"/>
  <c r="BC23" i="5"/>
  <c r="BB23" i="5"/>
  <c r="BA23" i="5"/>
  <c r="BD24" i="5"/>
  <c r="BK24" i="5" s="1"/>
  <c r="BC24" i="5"/>
  <c r="BB24" i="5"/>
  <c r="BA24" i="5"/>
  <c r="BD12" i="5"/>
  <c r="BK12" i="5" s="1"/>
  <c r="BA12" i="5"/>
  <c r="CT101" i="5"/>
  <c r="DA101" i="5" s="1"/>
  <c r="CS101" i="5"/>
  <c r="CR101" i="5"/>
  <c r="CQ101" i="5"/>
  <c r="CT99" i="5"/>
  <c r="DA99" i="5" s="1"/>
  <c r="CS99" i="5"/>
  <c r="CR99" i="5"/>
  <c r="CQ99" i="5"/>
  <c r="CT97" i="5"/>
  <c r="DA97" i="5" s="1"/>
  <c r="CS97" i="5"/>
  <c r="CR97" i="5"/>
  <c r="CQ97" i="5"/>
  <c r="CT90" i="5"/>
  <c r="DA90" i="5" s="1"/>
  <c r="CS90" i="5"/>
  <c r="CR90" i="5"/>
  <c r="CQ90" i="5"/>
  <c r="CT86" i="5"/>
  <c r="DA86" i="5" s="1"/>
  <c r="CS86" i="5"/>
  <c r="CR86" i="5"/>
  <c r="CQ86" i="5"/>
  <c r="CT80" i="5"/>
  <c r="DA80" i="5" s="1"/>
  <c r="CS80" i="5"/>
  <c r="CR80" i="5"/>
  <c r="CQ80" i="5"/>
  <c r="CT78" i="5"/>
  <c r="DA78" i="5" s="1"/>
  <c r="CS78" i="5"/>
  <c r="CR78" i="5"/>
  <c r="CQ78" i="5"/>
  <c r="CT73" i="5"/>
  <c r="DA73" i="5" s="1"/>
  <c r="CS73" i="5"/>
  <c r="CR73" i="5"/>
  <c r="CQ73" i="5"/>
  <c r="CT66" i="5"/>
  <c r="DA66" i="5" s="1"/>
  <c r="CS66" i="5"/>
  <c r="CR66" i="5"/>
  <c r="CQ66" i="5"/>
  <c r="CT25" i="5"/>
  <c r="DA25" i="5" s="1"/>
  <c r="CS25" i="5"/>
  <c r="CR25" i="5"/>
  <c r="CQ25" i="5"/>
  <c r="CT16" i="5"/>
  <c r="DA16" i="5" s="1"/>
  <c r="CS16" i="5"/>
  <c r="CR16" i="5"/>
  <c r="CQ16" i="5"/>
  <c r="CF99" i="5"/>
  <c r="CM99" i="5" s="1"/>
  <c r="CD78" i="5"/>
  <c r="BR99" i="5"/>
  <c r="BY99" i="5" s="1"/>
  <c r="BQ99" i="5"/>
  <c r="CE86" i="5" l="1"/>
  <c r="BQ101" i="5"/>
  <c r="BQ73" i="5"/>
  <c r="BD99" i="5"/>
  <c r="BK99" i="5" s="1"/>
  <c r="CF78" i="5"/>
  <c r="CM79" i="5"/>
  <c r="CF86" i="5"/>
  <c r="CM86" i="5" s="1"/>
  <c r="CM87" i="5"/>
  <c r="CF97" i="5"/>
  <c r="CM98" i="5"/>
  <c r="BD66" i="5"/>
  <c r="BK66" i="5" s="1"/>
  <c r="BK67" i="5"/>
  <c r="BD73" i="5"/>
  <c r="BK73" i="5" s="1"/>
  <c r="BK74" i="5"/>
  <c r="CF73" i="5"/>
  <c r="CM75" i="5"/>
  <c r="BR97" i="5"/>
  <c r="BY97" i="5" s="1"/>
  <c r="BY98" i="5"/>
  <c r="BR101" i="5"/>
  <c r="BY101" i="5" s="1"/>
  <c r="BY103" i="5"/>
  <c r="BR78" i="5"/>
  <c r="BY78" i="5" s="1"/>
  <c r="BY79" i="5"/>
  <c r="BD78" i="5"/>
  <c r="BK78" i="5" s="1"/>
  <c r="BK79" i="5"/>
  <c r="BD86" i="5"/>
  <c r="BK86" i="5" s="1"/>
  <c r="BK87" i="5"/>
  <c r="BD97" i="5"/>
  <c r="BK97" i="5" s="1"/>
  <c r="BK98" i="5"/>
  <c r="CT8" i="5"/>
  <c r="DA8" i="5" s="1"/>
  <c r="DA9" i="5"/>
  <c r="BD90" i="5"/>
  <c r="BK90" i="5" s="1"/>
  <c r="BK92" i="5"/>
  <c r="BP73" i="5"/>
  <c r="CD86" i="5"/>
  <c r="CR8" i="5"/>
  <c r="BP86" i="5"/>
  <c r="CD97" i="5"/>
  <c r="BB78" i="5"/>
  <c r="CD99" i="5"/>
  <c r="BB97" i="5"/>
  <c r="BP78" i="5"/>
  <c r="BB99" i="5"/>
  <c r="CC97" i="5"/>
  <c r="CC78" i="5"/>
  <c r="CC99" i="5"/>
  <c r="BO78" i="5"/>
  <c r="BO97" i="5"/>
  <c r="BB86" i="5"/>
  <c r="CE101" i="5"/>
  <c r="BO99" i="5"/>
  <c r="BA78" i="5"/>
  <c r="BA97" i="5"/>
  <c r="BR8" i="5"/>
  <c r="BY8" i="5" s="1"/>
  <c r="BP101" i="5"/>
  <c r="CE73" i="5"/>
  <c r="BR16" i="5"/>
  <c r="BY16" i="5" s="1"/>
  <c r="BR73" i="5"/>
  <c r="BY73" i="5" s="1"/>
  <c r="CQ46" i="5"/>
  <c r="CR46" i="5"/>
  <c r="CR37" i="5"/>
  <c r="CT37" i="5"/>
  <c r="CD101" i="5"/>
  <c r="CD90" i="5"/>
  <c r="CD80" i="5"/>
  <c r="CD73" i="5"/>
  <c r="CD46" i="5"/>
  <c r="CD37" i="5"/>
  <c r="CD16" i="5"/>
  <c r="CD8" i="5"/>
  <c r="BB80" i="5"/>
  <c r="BD80" i="5"/>
  <c r="BK80" i="5" s="1"/>
  <c r="BP66" i="5"/>
  <c r="CE66" i="5"/>
  <c r="BQ66" i="5"/>
  <c r="CC86" i="5"/>
  <c r="BP8" i="5"/>
  <c r="BC86" i="5"/>
  <c r="BQ37" i="5"/>
  <c r="BP80" i="5"/>
  <c r="CE80" i="5"/>
  <c r="BP90" i="5"/>
  <c r="BQ16" i="5"/>
  <c r="BD101" i="5"/>
  <c r="BK101" i="5" s="1"/>
  <c r="BA66" i="5"/>
  <c r="BA73" i="5"/>
  <c r="BA86" i="5"/>
  <c r="BB66" i="5"/>
  <c r="AX7" i="5"/>
  <c r="AX107" i="5" s="1"/>
  <c r="BC101" i="5"/>
  <c r="BB90" i="5"/>
  <c r="BC90" i="5"/>
  <c r="BB46" i="5"/>
  <c r="BC46" i="5"/>
  <c r="BA46" i="5"/>
  <c r="BB73" i="5"/>
  <c r="BC73" i="5"/>
  <c r="BB37" i="5"/>
  <c r="BD37" i="5"/>
  <c r="BK37" i="5" s="1"/>
  <c r="BC37" i="5"/>
  <c r="BC66" i="5"/>
  <c r="BC80" i="5"/>
  <c r="BA25" i="5"/>
  <c r="BB25" i="5"/>
  <c r="BQ46" i="5"/>
  <c r="BQ80" i="5"/>
  <c r="BB101" i="5"/>
  <c r="BO101" i="5"/>
  <c r="BQ86" i="5"/>
  <c r="BR86" i="5"/>
  <c r="BY86" i="5" s="1"/>
  <c r="BO86" i="5"/>
  <c r="BR90" i="5"/>
  <c r="BY90" i="5" s="1"/>
  <c r="BO90" i="5"/>
  <c r="BQ90" i="5"/>
  <c r="BR46" i="5"/>
  <c r="BY46" i="5" s="1"/>
  <c r="BO73" i="5"/>
  <c r="BQ8" i="5"/>
  <c r="BO8" i="5"/>
  <c r="BR37" i="5"/>
  <c r="BY37" i="5" s="1"/>
  <c r="BR66" i="5"/>
  <c r="BY66" i="5" s="1"/>
  <c r="BR80" i="5"/>
  <c r="BY80" i="5" s="1"/>
  <c r="BP25" i="5"/>
  <c r="BR25" i="5"/>
  <c r="BY25" i="5" s="1"/>
  <c r="BO25" i="5"/>
  <c r="BQ25" i="5"/>
  <c r="CF90" i="5"/>
  <c r="CF101" i="5"/>
  <c r="BP46" i="5"/>
  <c r="BC12" i="5"/>
  <c r="BB12" i="5" s="1"/>
  <c r="BD25" i="5"/>
  <c r="BK25" i="5" s="1"/>
  <c r="BD46" i="5"/>
  <c r="BK46" i="5" s="1"/>
  <c r="BA37" i="5"/>
  <c r="CE90" i="5"/>
  <c r="CC90" i="5"/>
  <c r="CE46" i="5"/>
  <c r="CF46" i="5"/>
  <c r="CF16" i="5"/>
  <c r="CE16" i="5"/>
  <c r="CC16" i="5"/>
  <c r="CC73" i="5"/>
  <c r="CE8" i="5"/>
  <c r="CC8" i="5"/>
  <c r="CF8" i="5"/>
  <c r="CC37" i="5"/>
  <c r="CE37" i="5"/>
  <c r="CF37" i="5"/>
  <c r="CF66" i="5"/>
  <c r="CC66" i="5"/>
  <c r="CF80" i="5"/>
  <c r="CC80" i="5"/>
  <c r="CF25" i="5"/>
  <c r="CE25" i="5"/>
  <c r="CD25" i="5"/>
  <c r="CC25" i="5"/>
  <c r="CS46" i="5"/>
  <c r="CT46" i="5"/>
  <c r="CS37" i="5"/>
  <c r="CQ37" i="5"/>
  <c r="CN7" i="5"/>
  <c r="BZ7" i="5"/>
  <c r="BL7" i="5"/>
  <c r="BP16" i="5"/>
  <c r="CD66" i="5"/>
  <c r="BC25" i="5"/>
  <c r="BO16" i="5"/>
  <c r="BO46" i="5"/>
  <c r="BA80" i="5"/>
  <c r="BA90" i="5"/>
  <c r="BA101" i="5"/>
  <c r="BO37" i="5"/>
  <c r="BO66" i="5"/>
  <c r="BO80" i="5"/>
  <c r="CC46" i="5"/>
  <c r="CC101" i="5"/>
  <c r="BP37" i="5"/>
  <c r="BD8" i="5"/>
  <c r="BD16" i="5"/>
  <c r="BK16" i="5" s="1"/>
  <c r="BA16" i="5"/>
  <c r="BC16" i="5"/>
  <c r="BB16" i="5"/>
  <c r="BA8" i="5"/>
  <c r="CK103" i="5"/>
  <c r="CK102" i="5"/>
  <c r="CK100" i="5"/>
  <c r="CK98" i="5"/>
  <c r="CK96" i="5"/>
  <c r="CK95" i="5"/>
  <c r="CK94" i="5"/>
  <c r="CK93" i="5"/>
  <c r="CK92" i="5"/>
  <c r="CK91" i="5"/>
  <c r="CK89" i="5"/>
  <c r="CK88" i="5"/>
  <c r="CK87" i="5"/>
  <c r="CK85" i="5"/>
  <c r="CK84" i="5"/>
  <c r="CK83" i="5"/>
  <c r="CK82" i="5"/>
  <c r="CK81" i="5"/>
  <c r="CK79" i="5"/>
  <c r="CK77" i="5"/>
  <c r="CK76" i="5"/>
  <c r="CK75" i="5"/>
  <c r="CK74" i="5"/>
  <c r="CK72" i="5"/>
  <c r="CK71" i="5"/>
  <c r="CK70" i="5"/>
  <c r="CK69" i="5"/>
  <c r="CK68" i="5"/>
  <c r="CK67" i="5"/>
  <c r="CK65" i="5"/>
  <c r="CK64" i="5"/>
  <c r="CK63" i="5"/>
  <c r="CK62" i="5"/>
  <c r="CK61" i="5"/>
  <c r="CK60" i="5"/>
  <c r="CK59" i="5"/>
  <c r="CK58" i="5"/>
  <c r="CK57" i="5"/>
  <c r="CK56" i="5"/>
  <c r="CK55" i="5"/>
  <c r="CK54" i="5"/>
  <c r="CK53" i="5"/>
  <c r="CK52" i="5"/>
  <c r="CK51" i="5"/>
  <c r="CK50" i="5"/>
  <c r="CK49" i="5"/>
  <c r="CK48" i="5"/>
  <c r="CK47" i="5"/>
  <c r="CK45" i="5"/>
  <c r="CK44" i="5"/>
  <c r="CK43" i="5"/>
  <c r="CK42" i="5"/>
  <c r="CK41" i="5"/>
  <c r="CK40" i="5"/>
  <c r="CK39" i="5"/>
  <c r="CK38" i="5"/>
  <c r="CK36" i="5"/>
  <c r="CK35" i="5"/>
  <c r="CK34" i="5"/>
  <c r="CK33" i="5"/>
  <c r="CK32" i="5"/>
  <c r="CK31" i="5"/>
  <c r="CK30" i="5"/>
  <c r="CK29" i="5"/>
  <c r="CK28" i="5"/>
  <c r="CK27" i="5"/>
  <c r="CK26" i="5"/>
  <c r="CK24" i="5"/>
  <c r="CK23" i="5"/>
  <c r="CK22" i="5"/>
  <c r="CK21" i="5"/>
  <c r="CK20" i="5"/>
  <c r="CK19" i="5"/>
  <c r="CK18" i="5"/>
  <c r="CK17" i="5"/>
  <c r="CK15" i="5"/>
  <c r="CK11" i="5"/>
  <c r="CK10" i="5"/>
  <c r="CK9" i="5"/>
  <c r="CH90" i="5"/>
  <c r="CG90" i="5"/>
  <c r="CB90" i="5"/>
  <c r="CH97" i="5"/>
  <c r="CG97" i="5"/>
  <c r="CM97" i="5" l="1"/>
  <c r="CM90" i="5"/>
  <c r="CR7" i="5"/>
  <c r="CT7" i="5"/>
  <c r="DA46" i="5"/>
  <c r="BB8" i="5"/>
  <c r="CQ7" i="5"/>
  <c r="CL90" i="5"/>
  <c r="BQ7" i="5"/>
  <c r="BR7" i="5"/>
  <c r="BY7" i="5" s="1"/>
  <c r="BC8" i="5"/>
  <c r="BC7" i="5" s="1"/>
  <c r="CS7" i="5"/>
  <c r="CF7" i="5"/>
  <c r="CE7" i="5"/>
  <c r="CD7" i="5"/>
  <c r="BP7" i="5"/>
  <c r="BO7" i="5"/>
  <c r="CC7" i="5"/>
  <c r="BA7" i="5"/>
  <c r="BD7" i="5"/>
  <c r="BB7" i="5"/>
  <c r="CK90" i="5"/>
  <c r="CI45" i="5"/>
  <c r="CI44" i="5"/>
  <c r="CI43" i="5"/>
  <c r="CI42" i="5"/>
  <c r="CI41" i="5"/>
  <c r="CI40" i="5"/>
  <c r="CI39" i="5"/>
  <c r="CI38" i="5"/>
  <c r="BF8" i="5" l="1"/>
  <c r="BK8" i="5" s="1"/>
  <c r="BE8" i="5"/>
  <c r="BF7" i="5" l="1"/>
  <c r="BK7" i="5" s="1"/>
  <c r="BE7" i="5"/>
  <c r="CH101" i="5" l="1"/>
  <c r="CM101" i="5" s="1"/>
  <c r="CG101" i="5"/>
  <c r="CH46" i="5"/>
  <c r="CM46" i="5" s="1"/>
  <c r="CG46" i="5"/>
  <c r="CH16" i="5"/>
  <c r="CM16" i="5" s="1"/>
  <c r="CG16" i="5"/>
  <c r="CH73" i="5"/>
  <c r="CM73" i="5" s="1"/>
  <c r="CG73" i="5"/>
  <c r="CH8" i="5"/>
  <c r="CM8" i="5" s="1"/>
  <c r="CG8" i="5"/>
  <c r="CH37" i="5"/>
  <c r="CM37" i="5" s="1"/>
  <c r="CG37" i="5"/>
  <c r="CH66" i="5"/>
  <c r="CM66" i="5" s="1"/>
  <c r="CG66" i="5"/>
  <c r="CM78" i="5"/>
  <c r="CH80" i="5"/>
  <c r="CM80" i="5" s="1"/>
  <c r="CG80" i="5"/>
  <c r="CB80" i="5"/>
  <c r="CI36" i="5"/>
  <c r="CI35" i="5"/>
  <c r="CI34" i="5"/>
  <c r="CI33" i="5"/>
  <c r="CI32" i="5"/>
  <c r="CI31" i="5"/>
  <c r="CI30" i="5"/>
  <c r="CI29" i="5"/>
  <c r="CI28" i="5"/>
  <c r="CI27" i="5"/>
  <c r="CI26" i="5"/>
  <c r="CH25" i="5"/>
  <c r="CM25" i="5" s="1"/>
  <c r="CG25" i="5"/>
  <c r="CV37" i="5"/>
  <c r="DA37" i="5" s="1"/>
  <c r="CU37" i="5"/>
  <c r="CW58" i="5"/>
  <c r="CG7" i="5" l="1"/>
  <c r="CL80" i="5"/>
  <c r="CK80" i="5"/>
  <c r="CH7" i="5"/>
  <c r="CM7" i="5" s="1"/>
  <c r="CU7" i="5"/>
  <c r="CV7" i="5"/>
  <c r="DA7" i="5" s="1"/>
  <c r="AS103" i="5"/>
  <c r="AR103" i="5"/>
  <c r="AQ103" i="5"/>
  <c r="AP103" i="5"/>
  <c r="AS102" i="5"/>
  <c r="AR102" i="5"/>
  <c r="AQ102" i="5"/>
  <c r="AP102" i="5"/>
  <c r="AS100" i="5"/>
  <c r="AS99" i="5" s="1"/>
  <c r="AR100" i="5"/>
  <c r="AQ100" i="5"/>
  <c r="AP100" i="5"/>
  <c r="AS98" i="5"/>
  <c r="AS97" i="5" s="1"/>
  <c r="AR98" i="5"/>
  <c r="AQ98" i="5"/>
  <c r="AP98" i="5"/>
  <c r="AS96" i="5"/>
  <c r="AR96" i="5"/>
  <c r="AQ96" i="5"/>
  <c r="AP96" i="5"/>
  <c r="AS95" i="5"/>
  <c r="AR95" i="5"/>
  <c r="AQ95" i="5"/>
  <c r="AP95" i="5"/>
  <c r="AS94" i="5"/>
  <c r="AR94" i="5"/>
  <c r="AQ94" i="5"/>
  <c r="AP94" i="5"/>
  <c r="AS93" i="5"/>
  <c r="AR93" i="5"/>
  <c r="AQ93" i="5"/>
  <c r="AP93" i="5"/>
  <c r="AS92" i="5"/>
  <c r="AR92" i="5"/>
  <c r="AQ92" i="5"/>
  <c r="AP92" i="5"/>
  <c r="AS91" i="5"/>
  <c r="AR91" i="5"/>
  <c r="AQ91" i="5"/>
  <c r="AP91" i="5"/>
  <c r="AS89" i="5"/>
  <c r="AR89" i="5"/>
  <c r="AQ89" i="5"/>
  <c r="AP89" i="5"/>
  <c r="AS88" i="5"/>
  <c r="AR88" i="5"/>
  <c r="AQ88" i="5"/>
  <c r="AP88" i="5"/>
  <c r="AS87" i="5"/>
  <c r="AR87" i="5"/>
  <c r="AQ87" i="5"/>
  <c r="AP87" i="5"/>
  <c r="AS85" i="5"/>
  <c r="AR85" i="5"/>
  <c r="AQ85" i="5"/>
  <c r="AP85" i="5"/>
  <c r="AS84" i="5"/>
  <c r="AR84" i="5"/>
  <c r="AQ84" i="5"/>
  <c r="AP84" i="5"/>
  <c r="AS83" i="5"/>
  <c r="AR83" i="5"/>
  <c r="AQ83" i="5"/>
  <c r="AP83" i="5"/>
  <c r="AS82" i="5"/>
  <c r="AR82" i="5"/>
  <c r="AQ82" i="5"/>
  <c r="AP82" i="5"/>
  <c r="AS81" i="5"/>
  <c r="AR81" i="5"/>
  <c r="AQ81" i="5"/>
  <c r="AP81" i="5"/>
  <c r="AS79" i="5"/>
  <c r="AS78" i="5" s="1"/>
  <c r="AR79" i="5"/>
  <c r="AQ79" i="5"/>
  <c r="AP79" i="5"/>
  <c r="AP78" i="5" s="1"/>
  <c r="AS77" i="5"/>
  <c r="AR77" i="5"/>
  <c r="AQ77" i="5"/>
  <c r="AP77" i="5"/>
  <c r="AS76" i="5"/>
  <c r="AR76" i="5"/>
  <c r="AQ76" i="5"/>
  <c r="AP76" i="5"/>
  <c r="AS75" i="5"/>
  <c r="AR75" i="5"/>
  <c r="AQ75" i="5"/>
  <c r="AP75" i="5"/>
  <c r="AS74" i="5"/>
  <c r="AR74" i="5"/>
  <c r="AQ74" i="5"/>
  <c r="AP74" i="5"/>
  <c r="AS72" i="5"/>
  <c r="AR72" i="5"/>
  <c r="AQ72" i="5"/>
  <c r="AP72" i="5"/>
  <c r="AS71" i="5"/>
  <c r="AR71" i="5"/>
  <c r="AQ71" i="5"/>
  <c r="AP71" i="5"/>
  <c r="AS70" i="5"/>
  <c r="AR70" i="5"/>
  <c r="AQ70" i="5"/>
  <c r="AP70" i="5"/>
  <c r="AS69" i="5"/>
  <c r="AR69" i="5"/>
  <c r="AQ69" i="5"/>
  <c r="AP69" i="5"/>
  <c r="AS68" i="5"/>
  <c r="AR68" i="5"/>
  <c r="AQ68" i="5"/>
  <c r="AP68" i="5"/>
  <c r="AS67" i="5"/>
  <c r="AR67" i="5"/>
  <c r="AQ67" i="5"/>
  <c r="AP67" i="5"/>
  <c r="AS65" i="5"/>
  <c r="AR65" i="5"/>
  <c r="AQ65" i="5"/>
  <c r="AP65" i="5"/>
  <c r="AS64" i="5"/>
  <c r="AR64" i="5"/>
  <c r="AQ64" i="5"/>
  <c r="AP64" i="5"/>
  <c r="AS63" i="5"/>
  <c r="AR63" i="5"/>
  <c r="AQ63" i="5"/>
  <c r="AP63" i="5"/>
  <c r="AS62" i="5"/>
  <c r="AR62" i="5"/>
  <c r="AQ62" i="5"/>
  <c r="AP62" i="5"/>
  <c r="AS61" i="5"/>
  <c r="AR61" i="5"/>
  <c r="AQ61" i="5"/>
  <c r="AP61" i="5"/>
  <c r="AS60" i="5"/>
  <c r="AR60" i="5"/>
  <c r="AQ60" i="5"/>
  <c r="AP60" i="5"/>
  <c r="AS59" i="5"/>
  <c r="AR59" i="5"/>
  <c r="AQ59" i="5"/>
  <c r="AP59" i="5"/>
  <c r="AS58" i="5"/>
  <c r="AR58" i="5"/>
  <c r="AQ58" i="5"/>
  <c r="AP58" i="5"/>
  <c r="AS57" i="5"/>
  <c r="AR57" i="5"/>
  <c r="AQ57" i="5"/>
  <c r="AP57" i="5"/>
  <c r="AS56" i="5"/>
  <c r="AR56" i="5"/>
  <c r="AQ56" i="5"/>
  <c r="AP56" i="5"/>
  <c r="AS55" i="5"/>
  <c r="AR55" i="5"/>
  <c r="AQ55" i="5"/>
  <c r="AP55" i="5"/>
  <c r="AS54" i="5"/>
  <c r="AR54" i="5"/>
  <c r="AQ54" i="5"/>
  <c r="AP54" i="5"/>
  <c r="AS53" i="5"/>
  <c r="AR53" i="5"/>
  <c r="AQ53" i="5"/>
  <c r="AP53" i="5"/>
  <c r="AS52" i="5"/>
  <c r="AR52" i="5"/>
  <c r="AQ52" i="5"/>
  <c r="AP52" i="5"/>
  <c r="AS51" i="5"/>
  <c r="AR51" i="5"/>
  <c r="AQ51" i="5"/>
  <c r="AP51" i="5"/>
  <c r="AS50" i="5"/>
  <c r="AR50" i="5"/>
  <c r="AQ50" i="5"/>
  <c r="AP50" i="5"/>
  <c r="AS49" i="5"/>
  <c r="AR49" i="5"/>
  <c r="AQ49" i="5"/>
  <c r="AP49" i="5"/>
  <c r="AS48" i="5"/>
  <c r="AR48" i="5"/>
  <c r="AQ48" i="5"/>
  <c r="AP48" i="5"/>
  <c r="AS47" i="5"/>
  <c r="AR47" i="5"/>
  <c r="AQ47" i="5"/>
  <c r="AP47" i="5"/>
  <c r="AS45" i="5"/>
  <c r="AR45" i="5"/>
  <c r="AQ45" i="5"/>
  <c r="AP45" i="5"/>
  <c r="AS44" i="5"/>
  <c r="AR44" i="5"/>
  <c r="AQ44" i="5"/>
  <c r="AP44" i="5"/>
  <c r="AS43" i="5"/>
  <c r="AR43" i="5"/>
  <c r="AQ43" i="5"/>
  <c r="AP43" i="5"/>
  <c r="AS42" i="5"/>
  <c r="AR42" i="5"/>
  <c r="AQ42" i="5"/>
  <c r="AP42" i="5"/>
  <c r="AS41" i="5"/>
  <c r="AR41" i="5"/>
  <c r="AQ41" i="5"/>
  <c r="AP41" i="5"/>
  <c r="AS40" i="5"/>
  <c r="AR40" i="5"/>
  <c r="AQ40" i="5"/>
  <c r="AP40" i="5"/>
  <c r="AS39" i="5"/>
  <c r="AR39" i="5"/>
  <c r="AQ39" i="5"/>
  <c r="AP39" i="5"/>
  <c r="AS38" i="5"/>
  <c r="AR38" i="5"/>
  <c r="AQ38" i="5"/>
  <c r="AP38" i="5"/>
  <c r="AS36" i="5"/>
  <c r="AR36" i="5"/>
  <c r="AQ36" i="5"/>
  <c r="AP36" i="5"/>
  <c r="AS35" i="5"/>
  <c r="AR35" i="5"/>
  <c r="AQ35" i="5"/>
  <c r="AP35" i="5"/>
  <c r="AS34" i="5"/>
  <c r="AR34" i="5"/>
  <c r="AQ34" i="5"/>
  <c r="AP34" i="5"/>
  <c r="AS33" i="5"/>
  <c r="AR33" i="5"/>
  <c r="AQ33" i="5"/>
  <c r="AP33" i="5"/>
  <c r="AS32" i="5"/>
  <c r="AR32" i="5"/>
  <c r="AQ32" i="5"/>
  <c r="AP32" i="5"/>
  <c r="AS31" i="5"/>
  <c r="AR31" i="5"/>
  <c r="AQ31" i="5"/>
  <c r="AP31" i="5"/>
  <c r="AS30" i="5"/>
  <c r="AR30" i="5"/>
  <c r="AQ30" i="5"/>
  <c r="AP30" i="5"/>
  <c r="AS29" i="5"/>
  <c r="AR29" i="5"/>
  <c r="AQ29" i="5"/>
  <c r="AP29" i="5"/>
  <c r="AS28" i="5"/>
  <c r="AR28" i="5"/>
  <c r="AQ28" i="5"/>
  <c r="AP28" i="5"/>
  <c r="AS27" i="5"/>
  <c r="AR27" i="5"/>
  <c r="AQ27" i="5"/>
  <c r="AP27" i="5"/>
  <c r="AS26" i="5"/>
  <c r="AR26" i="5"/>
  <c r="AQ26" i="5"/>
  <c r="AP26" i="5"/>
  <c r="AS24" i="5"/>
  <c r="AR24" i="5"/>
  <c r="AQ24" i="5"/>
  <c r="AP24" i="5"/>
  <c r="AS23" i="5"/>
  <c r="AR23" i="5"/>
  <c r="AQ23" i="5"/>
  <c r="AP23" i="5"/>
  <c r="AS22" i="5"/>
  <c r="AR22" i="5"/>
  <c r="AQ22" i="5"/>
  <c r="AP22" i="5"/>
  <c r="AS21" i="5"/>
  <c r="AR21" i="5"/>
  <c r="AQ21" i="5"/>
  <c r="AP21" i="5"/>
  <c r="AS20" i="5"/>
  <c r="AR20" i="5"/>
  <c r="AQ20" i="5"/>
  <c r="AP20" i="5"/>
  <c r="AS19" i="5"/>
  <c r="AR19" i="5"/>
  <c r="AQ19" i="5"/>
  <c r="AP19" i="5"/>
  <c r="AS18" i="5"/>
  <c r="AR18" i="5"/>
  <c r="AQ18" i="5"/>
  <c r="AP18" i="5"/>
  <c r="AS17" i="5"/>
  <c r="AR17" i="5"/>
  <c r="AQ17" i="5"/>
  <c r="AP17" i="5"/>
  <c r="AS15" i="5"/>
  <c r="AR15" i="5"/>
  <c r="AQ15" i="5"/>
  <c r="AP15" i="5"/>
  <c r="AS14" i="5"/>
  <c r="AR14" i="5"/>
  <c r="AQ14" i="5"/>
  <c r="AP14" i="5"/>
  <c r="AS13" i="5"/>
  <c r="AR13" i="5"/>
  <c r="AQ13" i="5"/>
  <c r="AP13" i="5"/>
  <c r="AS12" i="5"/>
  <c r="AR12" i="5"/>
  <c r="AQ12" i="5"/>
  <c r="AP12" i="5"/>
  <c r="AS11" i="5"/>
  <c r="AR11" i="5"/>
  <c r="AQ11" i="5"/>
  <c r="AP11" i="5"/>
  <c r="AS10" i="5"/>
  <c r="AR10" i="5"/>
  <c r="AQ10" i="5"/>
  <c r="AP10" i="5"/>
  <c r="AS9" i="5"/>
  <c r="AR9" i="5"/>
  <c r="AQ9" i="5"/>
  <c r="AP9" i="5"/>
  <c r="CW103" i="5"/>
  <c r="CW102" i="5"/>
  <c r="CP101" i="5"/>
  <c r="CZ101" i="5" s="1"/>
  <c r="CO101" i="5"/>
  <c r="CX101" i="5" s="1"/>
  <c r="CW100" i="5"/>
  <c r="CP99" i="5"/>
  <c r="CZ99" i="5" s="1"/>
  <c r="CO99" i="5"/>
  <c r="CX99" i="5" s="1"/>
  <c r="CW98" i="5"/>
  <c r="CP97" i="5"/>
  <c r="CZ97" i="5" s="1"/>
  <c r="CO97" i="5"/>
  <c r="CX97" i="5" s="1"/>
  <c r="CW96" i="5"/>
  <c r="CW95" i="5"/>
  <c r="CW94" i="5"/>
  <c r="CW93" i="5"/>
  <c r="CW92" i="5"/>
  <c r="CW91" i="5"/>
  <c r="CP90" i="5"/>
  <c r="CZ90" i="5" s="1"/>
  <c r="CO90" i="5"/>
  <c r="CX90" i="5" s="1"/>
  <c r="CW89" i="5"/>
  <c r="CW88" i="5"/>
  <c r="CW87" i="5"/>
  <c r="CP86" i="5"/>
  <c r="CZ86" i="5" s="1"/>
  <c r="CO86" i="5"/>
  <c r="CX86" i="5" s="1"/>
  <c r="CW85" i="5"/>
  <c r="CW84" i="5"/>
  <c r="CW83" i="5"/>
  <c r="CW82" i="5"/>
  <c r="CW81" i="5"/>
  <c r="CP80" i="5"/>
  <c r="CZ80" i="5" s="1"/>
  <c r="CO80" i="5"/>
  <c r="CX80" i="5" s="1"/>
  <c r="CW79" i="5"/>
  <c r="CP78" i="5"/>
  <c r="CZ78" i="5" s="1"/>
  <c r="CO78" i="5"/>
  <c r="CX78" i="5" s="1"/>
  <c r="CW77" i="5"/>
  <c r="CW76" i="5"/>
  <c r="CW75" i="5"/>
  <c r="CW74" i="5"/>
  <c r="CP73" i="5"/>
  <c r="CZ73" i="5" s="1"/>
  <c r="CO73" i="5"/>
  <c r="CX73" i="5" s="1"/>
  <c r="CW72" i="5"/>
  <c r="CW71" i="5"/>
  <c r="CW70" i="5"/>
  <c r="CW69" i="5"/>
  <c r="CW68" i="5"/>
  <c r="CW67" i="5"/>
  <c r="CP66" i="5"/>
  <c r="CZ66" i="5" s="1"/>
  <c r="CO66" i="5"/>
  <c r="CX66" i="5" s="1"/>
  <c r="CY65" i="5"/>
  <c r="CW65" i="5"/>
  <c r="CY64" i="5"/>
  <c r="CW64" i="5"/>
  <c r="CY63" i="5"/>
  <c r="CW63" i="5"/>
  <c r="CY62" i="5"/>
  <c r="CW62" i="5"/>
  <c r="CY61" i="5"/>
  <c r="CW61" i="5"/>
  <c r="CY60" i="5"/>
  <c r="CW60" i="5"/>
  <c r="CY59" i="5"/>
  <c r="CW59" i="5"/>
  <c r="CY58" i="5"/>
  <c r="CY57" i="5"/>
  <c r="CW57" i="5"/>
  <c r="CY56" i="5"/>
  <c r="CW56" i="5"/>
  <c r="CY55" i="5"/>
  <c r="CW55" i="5"/>
  <c r="CY54" i="5"/>
  <c r="CW54" i="5"/>
  <c r="CY53" i="5"/>
  <c r="CW53" i="5"/>
  <c r="CY52" i="5"/>
  <c r="CW52" i="5"/>
  <c r="CY51" i="5"/>
  <c r="CW51" i="5"/>
  <c r="CY50" i="5"/>
  <c r="CW50" i="5"/>
  <c r="CY49" i="5"/>
  <c r="CW49" i="5"/>
  <c r="CY48" i="5"/>
  <c r="CW48" i="5"/>
  <c r="CY47" i="5"/>
  <c r="CW47" i="5"/>
  <c r="CP46" i="5"/>
  <c r="CZ46" i="5" s="1"/>
  <c r="CO46" i="5"/>
  <c r="CX46" i="5" s="1"/>
  <c r="CY45" i="5"/>
  <c r="CW45" i="5"/>
  <c r="CY44" i="5"/>
  <c r="CW44" i="5"/>
  <c r="CY43" i="5"/>
  <c r="CW43" i="5"/>
  <c r="CY42" i="5"/>
  <c r="CW42" i="5"/>
  <c r="CY41" i="5"/>
  <c r="CW41" i="5"/>
  <c r="CY40" i="5"/>
  <c r="CW40" i="5"/>
  <c r="CY39" i="5"/>
  <c r="CW39" i="5"/>
  <c r="CY38" i="5"/>
  <c r="CW38" i="5"/>
  <c r="CP37" i="5"/>
  <c r="CZ37" i="5" s="1"/>
  <c r="CO37" i="5"/>
  <c r="CW36" i="5"/>
  <c r="CW35" i="5"/>
  <c r="CW34" i="5"/>
  <c r="CW33" i="5"/>
  <c r="CW32" i="5"/>
  <c r="CW31" i="5"/>
  <c r="CW30" i="5"/>
  <c r="CW29" i="5"/>
  <c r="CW28" i="5"/>
  <c r="CW27" i="5"/>
  <c r="CW26" i="5"/>
  <c r="CP25" i="5"/>
  <c r="CZ25" i="5" s="1"/>
  <c r="CO25" i="5"/>
  <c r="CX25" i="5" s="1"/>
  <c r="CW24" i="5"/>
  <c r="CW23" i="5"/>
  <c r="CW22" i="5"/>
  <c r="CW21" i="5"/>
  <c r="CW20" i="5"/>
  <c r="CW19" i="5"/>
  <c r="CW18" i="5"/>
  <c r="CW17" i="5"/>
  <c r="CP16" i="5"/>
  <c r="CZ16" i="5" s="1"/>
  <c r="CO16" i="5"/>
  <c r="CW15" i="5"/>
  <c r="CW14" i="5"/>
  <c r="CW13" i="5"/>
  <c r="CW12" i="5"/>
  <c r="CW11" i="5"/>
  <c r="CW10" i="5"/>
  <c r="CW9" i="5"/>
  <c r="CP8" i="5"/>
  <c r="CZ8" i="5" s="1"/>
  <c r="CO8" i="5"/>
  <c r="CX8" i="5" s="1"/>
  <c r="CI103" i="5"/>
  <c r="CI102" i="5"/>
  <c r="CB101" i="5"/>
  <c r="CL101" i="5" s="1"/>
  <c r="CA101" i="5"/>
  <c r="CJ101" i="5" s="1"/>
  <c r="CI100" i="5"/>
  <c r="CB99" i="5"/>
  <c r="CL99" i="5" s="1"/>
  <c r="CA99" i="5"/>
  <c r="CJ99" i="5" s="1"/>
  <c r="CI98" i="5"/>
  <c r="CB97" i="5"/>
  <c r="CL97" i="5" s="1"/>
  <c r="CA97" i="5"/>
  <c r="CJ97" i="5" s="1"/>
  <c r="CI96" i="5"/>
  <c r="CI95" i="5"/>
  <c r="CI94" i="5"/>
  <c r="CI93" i="5"/>
  <c r="CI92" i="5"/>
  <c r="CI91" i="5"/>
  <c r="CA90" i="5"/>
  <c r="CJ90" i="5" s="1"/>
  <c r="CI89" i="5"/>
  <c r="CI88" i="5"/>
  <c r="CI87" i="5"/>
  <c r="CB86" i="5"/>
  <c r="CL86" i="5" s="1"/>
  <c r="CA86" i="5"/>
  <c r="CJ86" i="5" s="1"/>
  <c r="CI85" i="5"/>
  <c r="CI84" i="5"/>
  <c r="CI83" i="5"/>
  <c r="CI82" i="5"/>
  <c r="CI81" i="5"/>
  <c r="CA80" i="5"/>
  <c r="CJ80" i="5" s="1"/>
  <c r="CI79" i="5"/>
  <c r="CB78" i="5"/>
  <c r="CL78" i="5" s="1"/>
  <c r="CA78" i="5"/>
  <c r="CJ78" i="5" s="1"/>
  <c r="CI77" i="5"/>
  <c r="CI76" i="5"/>
  <c r="CI75" i="5"/>
  <c r="CI74" i="5"/>
  <c r="CB73" i="5"/>
  <c r="CL73" i="5" s="1"/>
  <c r="CA73" i="5"/>
  <c r="CJ73" i="5" s="1"/>
  <c r="CI72" i="5"/>
  <c r="CI71" i="5"/>
  <c r="CI70" i="5"/>
  <c r="CI69" i="5"/>
  <c r="CI68" i="5"/>
  <c r="CI67" i="5"/>
  <c r="CB66" i="5"/>
  <c r="CL66" i="5" s="1"/>
  <c r="CA66" i="5"/>
  <c r="CJ66" i="5" s="1"/>
  <c r="CI65" i="5"/>
  <c r="CI64" i="5"/>
  <c r="CI63" i="5"/>
  <c r="CI62" i="5"/>
  <c r="CI61" i="5"/>
  <c r="CI60" i="5"/>
  <c r="CI59" i="5"/>
  <c r="CI58" i="5"/>
  <c r="CI57" i="5"/>
  <c r="CI56" i="5"/>
  <c r="CI55" i="5"/>
  <c r="CI54" i="5"/>
  <c r="CI53" i="5"/>
  <c r="CI52" i="5"/>
  <c r="CI51" i="5"/>
  <c r="CI50" i="5"/>
  <c r="CI49" i="5"/>
  <c r="CI48" i="5"/>
  <c r="CI47" i="5"/>
  <c r="CB46" i="5"/>
  <c r="CL46" i="5" s="1"/>
  <c r="CA46" i="5"/>
  <c r="CJ46" i="5" s="1"/>
  <c r="CB37" i="5"/>
  <c r="CL37" i="5" s="1"/>
  <c r="CA37" i="5"/>
  <c r="CJ37" i="5" s="1"/>
  <c r="CB25" i="5"/>
  <c r="CL25" i="5" s="1"/>
  <c r="CA25" i="5"/>
  <c r="CJ25" i="5" s="1"/>
  <c r="CI24" i="5"/>
  <c r="CI23" i="5"/>
  <c r="CI22" i="5"/>
  <c r="CI21" i="5"/>
  <c r="CI20" i="5"/>
  <c r="CI19" i="5"/>
  <c r="CI18" i="5"/>
  <c r="CI17" i="5"/>
  <c r="CB16" i="5"/>
  <c r="CL16" i="5" s="1"/>
  <c r="CA16" i="5"/>
  <c r="CJ16" i="5" s="1"/>
  <c r="CI15" i="5"/>
  <c r="CI14" i="5"/>
  <c r="CI13" i="5"/>
  <c r="CI12" i="5"/>
  <c r="CI11" i="5"/>
  <c r="CI10" i="5"/>
  <c r="CI9" i="5"/>
  <c r="CB8" i="5"/>
  <c r="CL8" i="5" s="1"/>
  <c r="CA8" i="5"/>
  <c r="CJ8" i="5" s="1"/>
  <c r="BW103" i="5"/>
  <c r="BU103" i="5"/>
  <c r="BW102" i="5"/>
  <c r="BU102" i="5"/>
  <c r="BW100" i="5"/>
  <c r="BU100" i="5"/>
  <c r="BW99" i="5"/>
  <c r="BW98" i="5"/>
  <c r="BU98" i="5"/>
  <c r="BW96" i="5"/>
  <c r="BU96" i="5"/>
  <c r="BW95" i="5"/>
  <c r="BU95" i="5"/>
  <c r="BW94" i="5"/>
  <c r="BU94" i="5"/>
  <c r="BW93" i="5"/>
  <c r="BU93" i="5"/>
  <c r="BW92" i="5"/>
  <c r="BU92" i="5"/>
  <c r="BW91" i="5"/>
  <c r="BU91" i="5"/>
  <c r="BW90" i="5"/>
  <c r="BW89" i="5"/>
  <c r="BU89" i="5"/>
  <c r="BW88" i="5"/>
  <c r="BU88" i="5"/>
  <c r="BW87" i="5"/>
  <c r="BU87" i="5"/>
  <c r="BW85" i="5"/>
  <c r="BU85" i="5"/>
  <c r="BU84" i="5"/>
  <c r="BW83" i="5"/>
  <c r="BU83" i="5"/>
  <c r="BW82" i="5"/>
  <c r="BU82" i="5"/>
  <c r="BW81" i="5"/>
  <c r="BU81" i="5"/>
  <c r="BU80" i="5"/>
  <c r="BW79" i="5"/>
  <c r="BU79" i="5"/>
  <c r="BU77" i="5"/>
  <c r="BW76" i="5"/>
  <c r="BU76" i="5"/>
  <c r="BU75" i="5"/>
  <c r="BU74" i="5"/>
  <c r="BW73" i="5"/>
  <c r="BU72" i="5"/>
  <c r="BU71" i="5"/>
  <c r="BW70" i="5"/>
  <c r="BU70" i="5"/>
  <c r="BW69" i="5"/>
  <c r="BU69" i="5"/>
  <c r="BW68" i="5"/>
  <c r="BU68" i="5"/>
  <c r="BW67" i="5"/>
  <c r="BU67" i="5"/>
  <c r="BW65" i="5"/>
  <c r="BU65" i="5"/>
  <c r="BW64" i="5"/>
  <c r="BU64" i="5"/>
  <c r="BW63" i="5"/>
  <c r="BU63" i="5"/>
  <c r="BW62" i="5"/>
  <c r="BU62" i="5"/>
  <c r="BW61" i="5"/>
  <c r="BU61" i="5"/>
  <c r="BW60" i="5"/>
  <c r="BU60" i="5"/>
  <c r="BW59" i="5"/>
  <c r="BU59" i="5"/>
  <c r="BW58" i="5"/>
  <c r="BU58" i="5"/>
  <c r="BW57" i="5"/>
  <c r="BU57" i="5"/>
  <c r="BW56" i="5"/>
  <c r="BU56" i="5"/>
  <c r="BW55" i="5"/>
  <c r="BU55" i="5"/>
  <c r="BW54" i="5"/>
  <c r="BU54" i="5"/>
  <c r="BW53" i="5"/>
  <c r="BU53" i="5"/>
  <c r="BW52" i="5"/>
  <c r="BU52" i="5"/>
  <c r="BW51" i="5"/>
  <c r="BU51" i="5"/>
  <c r="BW50" i="5"/>
  <c r="BU50" i="5"/>
  <c r="BW49" i="5"/>
  <c r="BU49" i="5"/>
  <c r="BW48" i="5"/>
  <c r="BU48" i="5"/>
  <c r="BW47" i="5"/>
  <c r="BU47" i="5"/>
  <c r="BW46" i="5"/>
  <c r="BW45" i="5"/>
  <c r="BU45" i="5"/>
  <c r="BW44" i="5"/>
  <c r="BU44" i="5"/>
  <c r="BW43" i="5"/>
  <c r="BU43" i="5"/>
  <c r="BU42" i="5"/>
  <c r="BW41" i="5"/>
  <c r="BU41" i="5"/>
  <c r="BW40" i="5"/>
  <c r="BU40" i="5"/>
  <c r="BW39" i="5"/>
  <c r="BU39" i="5"/>
  <c r="BW38" i="5"/>
  <c r="BU38" i="5"/>
  <c r="BW37" i="5"/>
  <c r="BU37" i="5"/>
  <c r="BW36" i="5"/>
  <c r="BU36" i="5"/>
  <c r="BW35" i="5"/>
  <c r="BU35" i="5"/>
  <c r="BW34" i="5"/>
  <c r="BU34" i="5"/>
  <c r="BW33" i="5"/>
  <c r="BU33" i="5"/>
  <c r="BW32" i="5"/>
  <c r="BU32" i="5"/>
  <c r="BW31" i="5"/>
  <c r="BU31" i="5"/>
  <c r="BW30" i="5"/>
  <c r="BU30" i="5"/>
  <c r="BW29" i="5"/>
  <c r="BU29" i="5"/>
  <c r="BW28" i="5"/>
  <c r="BU28" i="5"/>
  <c r="BW27" i="5"/>
  <c r="BU27" i="5"/>
  <c r="BW26" i="5"/>
  <c r="BU26" i="5"/>
  <c r="BW24" i="5"/>
  <c r="BU24" i="5"/>
  <c r="BW23" i="5"/>
  <c r="BU23" i="5"/>
  <c r="BW22" i="5"/>
  <c r="BU22" i="5"/>
  <c r="BW21" i="5"/>
  <c r="BU21" i="5"/>
  <c r="BW20" i="5"/>
  <c r="BU20" i="5"/>
  <c r="BW19" i="5"/>
  <c r="BU19" i="5"/>
  <c r="BU18" i="5"/>
  <c r="BU17" i="5"/>
  <c r="BW16" i="5"/>
  <c r="BU16" i="5"/>
  <c r="BW15" i="5"/>
  <c r="BU15" i="5"/>
  <c r="BW14" i="5"/>
  <c r="BU14" i="5"/>
  <c r="BW13" i="5"/>
  <c r="BU13" i="5"/>
  <c r="BW12" i="5"/>
  <c r="BU12" i="5"/>
  <c r="BW11" i="5"/>
  <c r="BU11" i="5"/>
  <c r="BW10" i="5"/>
  <c r="BU10" i="5"/>
  <c r="BW9" i="5"/>
  <c r="BU9" i="5"/>
  <c r="BW8" i="5"/>
  <c r="BI103" i="5"/>
  <c r="BG103" i="5"/>
  <c r="BI102" i="5"/>
  <c r="BG102" i="5"/>
  <c r="BG100" i="5"/>
  <c r="BI98" i="5"/>
  <c r="BG98" i="5"/>
  <c r="BI96" i="5"/>
  <c r="BG96" i="5"/>
  <c r="BI95" i="5"/>
  <c r="BG95" i="5"/>
  <c r="BI94" i="5"/>
  <c r="BG94" i="5"/>
  <c r="BI93" i="5"/>
  <c r="BG93" i="5"/>
  <c r="BI92" i="5"/>
  <c r="BG92" i="5"/>
  <c r="BI91" i="5"/>
  <c r="BG91" i="5"/>
  <c r="BG89" i="5"/>
  <c r="BG88" i="5"/>
  <c r="BG87" i="5"/>
  <c r="BI85" i="5"/>
  <c r="BG85" i="5"/>
  <c r="BI84" i="5"/>
  <c r="BG84" i="5"/>
  <c r="BI83" i="5"/>
  <c r="BG83" i="5"/>
  <c r="BI82" i="5"/>
  <c r="BG82" i="5"/>
  <c r="BI81" i="5"/>
  <c r="BG81" i="5"/>
  <c r="BI79" i="5"/>
  <c r="BG79" i="5"/>
  <c r="BI77" i="5"/>
  <c r="BG77" i="5"/>
  <c r="BI76" i="5"/>
  <c r="BG76" i="5"/>
  <c r="BI75" i="5"/>
  <c r="BG75" i="5"/>
  <c r="BI74" i="5"/>
  <c r="BG74" i="5"/>
  <c r="BG72" i="5"/>
  <c r="BG71" i="5"/>
  <c r="BI70" i="5"/>
  <c r="BG70" i="5"/>
  <c r="BI69" i="5"/>
  <c r="BG69" i="5"/>
  <c r="BI68" i="5"/>
  <c r="BG68" i="5"/>
  <c r="BI67" i="5"/>
  <c r="BG67" i="5"/>
  <c r="BI65" i="5"/>
  <c r="BG65" i="5"/>
  <c r="BI64" i="5"/>
  <c r="BG64" i="5"/>
  <c r="BI63" i="5"/>
  <c r="BG63" i="5"/>
  <c r="BI62" i="5"/>
  <c r="BG62" i="5"/>
  <c r="BI61" i="5"/>
  <c r="BG61" i="5"/>
  <c r="BI60" i="5"/>
  <c r="BG60" i="5"/>
  <c r="BI59" i="5"/>
  <c r="BG59" i="5"/>
  <c r="BI58" i="5"/>
  <c r="BG58" i="5"/>
  <c r="BI57" i="5"/>
  <c r="BG57" i="5"/>
  <c r="BI56" i="5"/>
  <c r="BG56" i="5"/>
  <c r="BI55" i="5"/>
  <c r="BG55" i="5"/>
  <c r="BI54" i="5"/>
  <c r="BG54" i="5"/>
  <c r="BI53" i="5"/>
  <c r="BG53" i="5"/>
  <c r="BI52" i="5"/>
  <c r="BG52" i="5"/>
  <c r="BI51" i="5"/>
  <c r="BG51" i="5"/>
  <c r="BI50" i="5"/>
  <c r="BG50" i="5"/>
  <c r="BI49" i="5"/>
  <c r="BG49" i="5"/>
  <c r="BI48" i="5"/>
  <c r="BG48" i="5"/>
  <c r="BI47" i="5"/>
  <c r="BG47" i="5"/>
  <c r="BI45" i="5"/>
  <c r="BG45" i="5"/>
  <c r="BI44" i="5"/>
  <c r="BG44" i="5"/>
  <c r="BI43" i="5"/>
  <c r="BG43" i="5"/>
  <c r="BI42" i="5"/>
  <c r="BG42" i="5"/>
  <c r="BI41" i="5"/>
  <c r="BG41" i="5"/>
  <c r="BI40" i="5"/>
  <c r="BG40" i="5"/>
  <c r="BI39" i="5"/>
  <c r="BG39" i="5"/>
  <c r="BI38" i="5"/>
  <c r="BG38" i="5"/>
  <c r="BI36" i="5"/>
  <c r="BG36" i="5"/>
  <c r="BI35" i="5"/>
  <c r="BG35" i="5"/>
  <c r="BI34" i="5"/>
  <c r="BG34" i="5"/>
  <c r="BI33" i="5"/>
  <c r="BG33" i="5"/>
  <c r="BI32" i="5"/>
  <c r="BG32" i="5"/>
  <c r="BI31" i="5"/>
  <c r="BG31" i="5"/>
  <c r="BI30" i="5"/>
  <c r="BG30" i="5"/>
  <c r="BI29" i="5"/>
  <c r="BG29" i="5"/>
  <c r="BI28" i="5"/>
  <c r="BG28" i="5"/>
  <c r="BI27" i="5"/>
  <c r="BG27" i="5"/>
  <c r="BI26" i="5"/>
  <c r="BG26" i="5"/>
  <c r="BI23" i="5"/>
  <c r="BG23" i="5"/>
  <c r="BI22" i="5"/>
  <c r="BG22" i="5"/>
  <c r="BI21" i="5"/>
  <c r="BG21" i="5"/>
  <c r="BI20" i="5"/>
  <c r="BG20" i="5"/>
  <c r="BI19" i="5"/>
  <c r="BG19" i="5"/>
  <c r="BG18" i="5"/>
  <c r="BI17" i="5"/>
  <c r="BG17" i="5"/>
  <c r="BI24" i="5"/>
  <c r="BG24" i="5"/>
  <c r="BI15" i="5"/>
  <c r="BG15" i="5"/>
  <c r="BG14" i="5"/>
  <c r="BG13" i="5"/>
  <c r="BI12" i="5"/>
  <c r="BG12" i="5"/>
  <c r="BG11" i="5"/>
  <c r="BG10" i="5"/>
  <c r="BG9" i="5"/>
  <c r="AQ78" i="5" l="1"/>
  <c r="AW78" i="5" s="1"/>
  <c r="AQ97" i="5"/>
  <c r="AV97" i="5" s="1"/>
  <c r="AR78" i="5"/>
  <c r="AU78" i="5" s="1"/>
  <c r="AR97" i="5"/>
  <c r="AR99" i="5"/>
  <c r="CW16" i="5"/>
  <c r="CX16" i="5"/>
  <c r="CW37" i="5"/>
  <c r="CX37" i="5"/>
  <c r="CI86" i="5"/>
  <c r="CK86" i="5"/>
  <c r="CK97" i="5"/>
  <c r="CI16" i="5"/>
  <c r="CI37" i="5"/>
  <c r="CK37" i="5"/>
  <c r="CK99" i="5"/>
  <c r="CK101" i="5"/>
  <c r="CK73" i="5"/>
  <c r="CK46" i="5"/>
  <c r="CK25" i="5"/>
  <c r="CK16" i="5"/>
  <c r="CK66" i="5"/>
  <c r="CI78" i="5"/>
  <c r="CK78" i="5"/>
  <c r="CI97" i="5"/>
  <c r="CK8" i="5"/>
  <c r="CB7" i="5"/>
  <c r="CL7" i="5" s="1"/>
  <c r="CO7" i="5"/>
  <c r="CX7" i="5" s="1"/>
  <c r="CP7" i="5"/>
  <c r="CZ7" i="5" s="1"/>
  <c r="AS73" i="5"/>
  <c r="BU25" i="5"/>
  <c r="BU7" i="5"/>
  <c r="CA7" i="5"/>
  <c r="CJ7" i="5" s="1"/>
  <c r="AS101" i="5"/>
  <c r="AR16" i="5"/>
  <c r="AR8" i="5"/>
  <c r="AS80" i="5"/>
  <c r="AR80" i="5"/>
  <c r="AS8" i="5"/>
  <c r="AS16" i="5"/>
  <c r="AR90" i="5"/>
  <c r="AS90" i="5"/>
  <c r="AR73" i="5"/>
  <c r="AR101" i="5"/>
  <c r="AR66" i="5"/>
  <c r="AS37" i="5"/>
  <c r="AS66" i="5"/>
  <c r="AR37" i="5"/>
  <c r="AR46" i="5"/>
  <c r="AR86" i="5"/>
  <c r="AS46" i="5"/>
  <c r="AS86" i="5"/>
  <c r="AQ101" i="5"/>
  <c r="AW103" i="5"/>
  <c r="AV102" i="5"/>
  <c r="AW74" i="5"/>
  <c r="AV74" i="5"/>
  <c r="AW36" i="5"/>
  <c r="AW38" i="5"/>
  <c r="AW67" i="5"/>
  <c r="AV85" i="5"/>
  <c r="AU17" i="5"/>
  <c r="AU57" i="5"/>
  <c r="AU72" i="5"/>
  <c r="AU81" i="5"/>
  <c r="AU87" i="5"/>
  <c r="AU93" i="5"/>
  <c r="AV38" i="5"/>
  <c r="AU22" i="5"/>
  <c r="AU92" i="5"/>
  <c r="AU95" i="5"/>
  <c r="AW10" i="5"/>
  <c r="AW13" i="5"/>
  <c r="AV26" i="5"/>
  <c r="AW79" i="5"/>
  <c r="AV89" i="5"/>
  <c r="AW100" i="5"/>
  <c r="AV77" i="5"/>
  <c r="AV91" i="5"/>
  <c r="AW102" i="5"/>
  <c r="AU96" i="5"/>
  <c r="AW18" i="5"/>
  <c r="AV21" i="5"/>
  <c r="AW24" i="5"/>
  <c r="AV43" i="5"/>
  <c r="AW52" i="5"/>
  <c r="AW55" i="5"/>
  <c r="AW64" i="5"/>
  <c r="AV67" i="5"/>
  <c r="AW77" i="5"/>
  <c r="AV82" i="5"/>
  <c r="AV11" i="5"/>
  <c r="AW17" i="5"/>
  <c r="AV23" i="5"/>
  <c r="AW27" i="5"/>
  <c r="AW30" i="5"/>
  <c r="AW33" i="5"/>
  <c r="AW92" i="5"/>
  <c r="AW98" i="5"/>
  <c r="AV103" i="5"/>
  <c r="AW53" i="5"/>
  <c r="AV64" i="5"/>
  <c r="AU63" i="5"/>
  <c r="AV17" i="5"/>
  <c r="AU14" i="5"/>
  <c r="AQ8" i="5"/>
  <c r="AU11" i="5"/>
  <c r="AV39" i="5"/>
  <c r="AW71" i="5"/>
  <c r="AU69" i="5"/>
  <c r="AV18" i="5"/>
  <c r="AQ99" i="5"/>
  <c r="AV99" i="5" s="1"/>
  <c r="AW21" i="5"/>
  <c r="AT10" i="5"/>
  <c r="AT13" i="5"/>
  <c r="AU19" i="5"/>
  <c r="AU39" i="5"/>
  <c r="AT44" i="5"/>
  <c r="AT50" i="5"/>
  <c r="AU62" i="5"/>
  <c r="AU65" i="5"/>
  <c r="AU68" i="5"/>
  <c r="AT89" i="5"/>
  <c r="AU91" i="5"/>
  <c r="AU94" i="5"/>
  <c r="AU98" i="5"/>
  <c r="AU100" i="5"/>
  <c r="AW23" i="5"/>
  <c r="AV24" i="5"/>
  <c r="AV92" i="5"/>
  <c r="AW40" i="5"/>
  <c r="AW42" i="5"/>
  <c r="AW45" i="5"/>
  <c r="AW54" i="5"/>
  <c r="AV57" i="5"/>
  <c r="AW60" i="5"/>
  <c r="AV69" i="5"/>
  <c r="AW76" i="5"/>
  <c r="AW84" i="5"/>
  <c r="AT18" i="5"/>
  <c r="AT21" i="5"/>
  <c r="AT24" i="5"/>
  <c r="AT34" i="5"/>
  <c r="AU49" i="5"/>
  <c r="AW9" i="5"/>
  <c r="AW12" i="5"/>
  <c r="AW15" i="5"/>
  <c r="AW43" i="5"/>
  <c r="AV49" i="5"/>
  <c r="AV55" i="5"/>
  <c r="AV36" i="5"/>
  <c r="AU79" i="5"/>
  <c r="AV79" i="5"/>
  <c r="AW85" i="5"/>
  <c r="AW34" i="5"/>
  <c r="AR25" i="5"/>
  <c r="AW31" i="5"/>
  <c r="AS25" i="5"/>
  <c r="AU29" i="5"/>
  <c r="AW39" i="5"/>
  <c r="AT17" i="5"/>
  <c r="AU20" i="5"/>
  <c r="AU23" i="5"/>
  <c r="AU33" i="5"/>
  <c r="AU36" i="5"/>
  <c r="AU48" i="5"/>
  <c r="AU51" i="5"/>
  <c r="AU60" i="5"/>
  <c r="AV10" i="5"/>
  <c r="AV71" i="5"/>
  <c r="AT11" i="5"/>
  <c r="AT14" i="5"/>
  <c r="AV98" i="5"/>
  <c r="AU32" i="5"/>
  <c r="AW19" i="5"/>
  <c r="AW26" i="5"/>
  <c r="AW35" i="5"/>
  <c r="AV47" i="5"/>
  <c r="AW50" i="5"/>
  <c r="AW89" i="5"/>
  <c r="AV34" i="5"/>
  <c r="AV33" i="5"/>
  <c r="AT32" i="5"/>
  <c r="AV31" i="5"/>
  <c r="AT31" i="5"/>
  <c r="AW28" i="5"/>
  <c r="AU28" i="5"/>
  <c r="AU41" i="5"/>
  <c r="AT45" i="5"/>
  <c r="AU45" i="5"/>
  <c r="AU42" i="5"/>
  <c r="AT47" i="5"/>
  <c r="AW47" i="5"/>
  <c r="AU59" i="5"/>
  <c r="AU55" i="5"/>
  <c r="AW56" i="5"/>
  <c r="AT58" i="5"/>
  <c r="AU21" i="5"/>
  <c r="AT48" i="5"/>
  <c r="AT54" i="5"/>
  <c r="AT87" i="5"/>
  <c r="AW93" i="5"/>
  <c r="AW96" i="5"/>
  <c r="AU9" i="5"/>
  <c r="AU12" i="5"/>
  <c r="AU15" i="5"/>
  <c r="AU71" i="5"/>
  <c r="AT75" i="5"/>
  <c r="AV40" i="5"/>
  <c r="AT26" i="5"/>
  <c r="AU13" i="5"/>
  <c r="AQ73" i="5"/>
  <c r="AV84" i="5"/>
  <c r="AP97" i="5"/>
  <c r="AV19" i="5"/>
  <c r="AP90" i="5"/>
  <c r="AV42" i="5"/>
  <c r="AW14" i="5"/>
  <c r="AU61" i="5"/>
  <c r="AU70" i="5"/>
  <c r="AU74" i="5"/>
  <c r="AT77" i="5"/>
  <c r="AT85" i="5"/>
  <c r="AV76" i="5"/>
  <c r="AW58" i="5"/>
  <c r="AT96" i="5"/>
  <c r="AP86" i="5"/>
  <c r="AU83" i="5"/>
  <c r="AQ37" i="5"/>
  <c r="AV45" i="5"/>
  <c r="AW91" i="5"/>
  <c r="AW94" i="5"/>
  <c r="AV35" i="5"/>
  <c r="AU10" i="5"/>
  <c r="AT63" i="5"/>
  <c r="AT69" i="5"/>
  <c r="AV14" i="5"/>
  <c r="AU58" i="5"/>
  <c r="AW59" i="5"/>
  <c r="AW62" i="5"/>
  <c r="AW65" i="5"/>
  <c r="AQ66" i="5"/>
  <c r="AU85" i="5"/>
  <c r="AU77" i="5"/>
  <c r="BU78" i="5"/>
  <c r="AU35" i="5"/>
  <c r="AT102" i="5"/>
  <c r="AW57" i="5"/>
  <c r="AW69" i="5"/>
  <c r="AW72" i="5"/>
  <c r="AT92" i="5"/>
  <c r="AT95" i="5"/>
  <c r="AW11" i="5"/>
  <c r="AT20" i="5"/>
  <c r="AU27" i="5"/>
  <c r="AU30" i="5"/>
  <c r="AT33" i="5"/>
  <c r="AU38" i="5"/>
  <c r="AU43" i="5"/>
  <c r="AT49" i="5"/>
  <c r="AU52" i="5"/>
  <c r="AT55" i="5"/>
  <c r="AW61" i="5"/>
  <c r="AW82" i="5"/>
  <c r="AU18" i="5"/>
  <c r="AU50" i="5"/>
  <c r="AW22" i="5"/>
  <c r="AW29" i="5"/>
  <c r="AW32" i="5"/>
  <c r="AW48" i="5"/>
  <c r="AW81" i="5"/>
  <c r="AT94" i="5"/>
  <c r="AP101" i="5"/>
  <c r="AU31" i="5"/>
  <c r="AV93" i="5"/>
  <c r="AV60" i="5"/>
  <c r="AW63" i="5"/>
  <c r="AT72" i="5"/>
  <c r="AT76" i="5"/>
  <c r="AT81" i="5"/>
  <c r="AT98" i="5"/>
  <c r="AT100" i="5"/>
  <c r="AV13" i="5"/>
  <c r="AU24" i="5"/>
  <c r="AV65" i="5"/>
  <c r="AW49" i="5"/>
  <c r="AV52" i="5"/>
  <c r="AU64" i="5"/>
  <c r="AU67" i="5"/>
  <c r="AU44" i="5"/>
  <c r="AV59" i="5"/>
  <c r="AU102" i="5"/>
  <c r="AT23" i="5"/>
  <c r="AT30" i="5"/>
  <c r="AT36" i="5"/>
  <c r="AT38" i="5"/>
  <c r="AT52" i="5"/>
  <c r="AT74" i="5"/>
  <c r="AW87" i="5"/>
  <c r="AU26" i="5"/>
  <c r="AV96" i="5"/>
  <c r="AT28" i="5"/>
  <c r="AU53" i="5"/>
  <c r="AU88" i="5"/>
  <c r="AW95" i="5"/>
  <c r="AP73" i="5"/>
  <c r="AW70" i="5"/>
  <c r="AV15" i="5"/>
  <c r="AP16" i="5"/>
  <c r="AV27" i="5"/>
  <c r="AU34" i="5"/>
  <c r="AU47" i="5"/>
  <c r="AV56" i="5"/>
  <c r="AV62" i="5"/>
  <c r="AW41" i="5"/>
  <c r="AW44" i="5"/>
  <c r="AU56" i="5"/>
  <c r="AT59" i="5"/>
  <c r="AT62" i="5"/>
  <c r="AT65" i="5"/>
  <c r="AW88" i="5"/>
  <c r="AT93" i="5"/>
  <c r="AP99" i="5"/>
  <c r="AP37" i="5"/>
  <c r="AT79" i="5"/>
  <c r="AT83" i="5"/>
  <c r="AV12" i="5"/>
  <c r="AU75" i="5"/>
  <c r="AP80" i="5"/>
  <c r="AU103" i="5"/>
  <c r="AV9" i="5"/>
  <c r="AT42" i="5"/>
  <c r="AV53" i="5"/>
  <c r="AV29" i="5"/>
  <c r="AU40" i="5"/>
  <c r="AV100" i="5"/>
  <c r="AT53" i="5"/>
  <c r="AT61" i="5"/>
  <c r="AT64" i="5"/>
  <c r="AT67" i="5"/>
  <c r="AT84" i="5"/>
  <c r="AT103" i="5"/>
  <c r="AP66" i="5"/>
  <c r="AU76" i="5"/>
  <c r="AT70" i="5"/>
  <c r="AU89" i="5"/>
  <c r="AT27" i="5"/>
  <c r="AT40" i="5"/>
  <c r="AT51" i="5"/>
  <c r="AU54" i="5"/>
  <c r="AT68" i="5"/>
  <c r="AU82" i="5"/>
  <c r="AP8" i="5"/>
  <c r="AT12" i="5"/>
  <c r="AT15" i="5"/>
  <c r="AV50" i="5"/>
  <c r="AV44" i="5"/>
  <c r="AT9" i="5"/>
  <c r="AV72" i="5"/>
  <c r="AT19" i="5"/>
  <c r="AT43" i="5"/>
  <c r="AW51" i="5"/>
  <c r="AV54" i="5"/>
  <c r="AT57" i="5"/>
  <c r="AT71" i="5"/>
  <c r="AT22" i="5"/>
  <c r="AT60" i="5"/>
  <c r="AW75" i="5"/>
  <c r="AT88" i="5"/>
  <c r="AV32" i="5"/>
  <c r="AV41" i="5"/>
  <c r="AV58" i="5"/>
  <c r="AV94" i="5"/>
  <c r="AT29" i="5"/>
  <c r="AT41" i="5"/>
  <c r="AW20" i="5"/>
  <c r="AT39" i="5"/>
  <c r="AT91" i="5"/>
  <c r="AW83" i="5"/>
  <c r="AQ90" i="5"/>
  <c r="AV95" i="5"/>
  <c r="AV87" i="5"/>
  <c r="AV88" i="5"/>
  <c r="AQ86" i="5"/>
  <c r="AV83" i="5"/>
  <c r="AU84" i="5"/>
  <c r="AQ80" i="5"/>
  <c r="AT82" i="5"/>
  <c r="AV81" i="5"/>
  <c r="AV75" i="5"/>
  <c r="AV68" i="5"/>
  <c r="AW68" i="5"/>
  <c r="AV70" i="5"/>
  <c r="AV51" i="5"/>
  <c r="AV63" i="5"/>
  <c r="AT56" i="5"/>
  <c r="AV48" i="5"/>
  <c r="AP46" i="5"/>
  <c r="AV61" i="5"/>
  <c r="AQ46" i="5"/>
  <c r="AP25" i="5"/>
  <c r="AQ25" i="5"/>
  <c r="AT35" i="5"/>
  <c r="AV30" i="5"/>
  <c r="AV28" i="5"/>
  <c r="AV22" i="5"/>
  <c r="AV20" i="5"/>
  <c r="AQ16" i="5"/>
  <c r="CI8" i="5"/>
  <c r="CI101" i="5"/>
  <c r="CW66" i="5"/>
  <c r="CW25" i="5"/>
  <c r="CY37" i="5"/>
  <c r="CW80" i="5"/>
  <c r="BW101" i="5"/>
  <c r="CI90" i="5"/>
  <c r="CW78" i="5"/>
  <c r="CW86" i="5"/>
  <c r="CW97" i="5"/>
  <c r="CI99" i="5"/>
  <c r="CW46" i="5"/>
  <c r="CW73" i="5"/>
  <c r="CW90" i="5"/>
  <c r="CW99" i="5"/>
  <c r="CY46" i="5"/>
  <c r="CW8" i="5"/>
  <c r="CW101" i="5"/>
  <c r="CI25" i="5"/>
  <c r="CI80" i="5"/>
  <c r="BU66" i="5"/>
  <c r="BU86" i="5"/>
  <c r="BU8" i="5"/>
  <c r="BW66" i="5"/>
  <c r="CI46" i="5"/>
  <c r="CI73" i="5"/>
  <c r="CI66" i="5"/>
  <c r="BU97" i="5"/>
  <c r="BW25" i="5"/>
  <c r="BW80" i="5"/>
  <c r="BU46" i="5"/>
  <c r="BU73" i="5"/>
  <c r="BW78" i="5"/>
  <c r="BW86" i="5"/>
  <c r="BU90" i="5"/>
  <c r="BW97" i="5"/>
  <c r="BU99" i="5"/>
  <c r="BU101" i="5"/>
  <c r="AU97" i="5" l="1"/>
  <c r="AV78" i="5"/>
  <c r="AW97" i="5"/>
  <c r="AT78" i="5"/>
  <c r="AU99" i="5"/>
  <c r="AW73" i="5"/>
  <c r="AT73" i="5"/>
  <c r="CI7" i="5"/>
  <c r="CK7" i="5"/>
  <c r="AQ7" i="5"/>
  <c r="AP7" i="5"/>
  <c r="AR7" i="5"/>
  <c r="AS7" i="5"/>
  <c r="AW101" i="5"/>
  <c r="AW90" i="5"/>
  <c r="AT90" i="5"/>
  <c r="AU101" i="5"/>
  <c r="AW16" i="5"/>
  <c r="AU16" i="5"/>
  <c r="AW8" i="5"/>
  <c r="AW66" i="5"/>
  <c r="AW80" i="5"/>
  <c r="AU80" i="5"/>
  <c r="AT37" i="5"/>
  <c r="AU86" i="5"/>
  <c r="AW46" i="5"/>
  <c r="AU46" i="5"/>
  <c r="AU66" i="5"/>
  <c r="AW37" i="5"/>
  <c r="AV101" i="5"/>
  <c r="AW99" i="5"/>
  <c r="AT99" i="5"/>
  <c r="AV8" i="5"/>
  <c r="AT97" i="5"/>
  <c r="AU25" i="5"/>
  <c r="AW25" i="5"/>
  <c r="AU90" i="5"/>
  <c r="AT16" i="5"/>
  <c r="AV66" i="5"/>
  <c r="BW7" i="5"/>
  <c r="AT86" i="5"/>
  <c r="AV37" i="5"/>
  <c r="CY7" i="5"/>
  <c r="CW7" i="5"/>
  <c r="AV73" i="5"/>
  <c r="AU8" i="5"/>
  <c r="AT80" i="5"/>
  <c r="AU73" i="5"/>
  <c r="AU37" i="5"/>
  <c r="AT101" i="5"/>
  <c r="AT66" i="5"/>
  <c r="AT8" i="5"/>
  <c r="AV46" i="5"/>
  <c r="AV90" i="5"/>
  <c r="AV86" i="5"/>
  <c r="AW86" i="5"/>
  <c r="AV80" i="5"/>
  <c r="AT46" i="5"/>
  <c r="AV25" i="5"/>
  <c r="AT25" i="5"/>
  <c r="AV16" i="5"/>
  <c r="AZ8" i="5"/>
  <c r="BJ8" i="5" s="1"/>
  <c r="AW7" i="5" l="1"/>
  <c r="AV7" i="5"/>
  <c r="AT7" i="5"/>
  <c r="AU7" i="5"/>
  <c r="BI8" i="5"/>
  <c r="AZ101" i="5" l="1"/>
  <c r="BJ101" i="5" s="1"/>
  <c r="AY101" i="5"/>
  <c r="BH101" i="5" s="1"/>
  <c r="AZ99" i="5"/>
  <c r="BJ99" i="5" s="1"/>
  <c r="AY99" i="5"/>
  <c r="BH99" i="5" s="1"/>
  <c r="AZ97" i="5"/>
  <c r="BJ97" i="5" s="1"/>
  <c r="AY97" i="5"/>
  <c r="BH97" i="5" s="1"/>
  <c r="AZ90" i="5"/>
  <c r="BJ90" i="5" s="1"/>
  <c r="AY90" i="5"/>
  <c r="BH90" i="5" s="1"/>
  <c r="AZ86" i="5"/>
  <c r="BJ86" i="5" s="1"/>
  <c r="AY86" i="5"/>
  <c r="BH86" i="5" s="1"/>
  <c r="AZ78" i="5"/>
  <c r="BJ78" i="5" s="1"/>
  <c r="AY78" i="5"/>
  <c r="BH78" i="5" s="1"/>
  <c r="AZ80" i="5"/>
  <c r="BJ80" i="5" s="1"/>
  <c r="AY80" i="5"/>
  <c r="BH80" i="5" s="1"/>
  <c r="AZ73" i="5"/>
  <c r="BJ73" i="5" s="1"/>
  <c r="AY73" i="5"/>
  <c r="BH73" i="5" s="1"/>
  <c r="AZ66" i="5"/>
  <c r="BJ66" i="5" s="1"/>
  <c r="AY66" i="5"/>
  <c r="BH66" i="5" s="1"/>
  <c r="AZ46" i="5"/>
  <c r="BJ46" i="5" s="1"/>
  <c r="AY46" i="5"/>
  <c r="BH46" i="5" s="1"/>
  <c r="AZ37" i="5"/>
  <c r="BJ37" i="5" s="1"/>
  <c r="AY37" i="5"/>
  <c r="BH37" i="5" s="1"/>
  <c r="AZ25" i="5"/>
  <c r="BJ25" i="5" s="1"/>
  <c r="AY25" i="5"/>
  <c r="BH25" i="5" s="1"/>
  <c r="AZ16" i="5"/>
  <c r="BJ16" i="5" s="1"/>
  <c r="AY16" i="5"/>
  <c r="BH16" i="5" s="1"/>
  <c r="AY8" i="5"/>
  <c r="BH8" i="5" s="1"/>
  <c r="AY7" i="5" l="1"/>
  <c r="AZ7" i="5"/>
  <c r="BG78" i="5"/>
  <c r="BI80" i="5"/>
  <c r="BI78" i="5"/>
  <c r="BG86" i="5"/>
  <c r="BI37" i="5"/>
  <c r="BG90" i="5"/>
  <c r="BG97" i="5"/>
  <c r="BI97" i="5"/>
  <c r="BG46" i="5"/>
  <c r="BG80" i="5"/>
  <c r="BG16" i="5"/>
  <c r="BG25" i="5"/>
  <c r="BI90" i="5"/>
  <c r="BI16" i="5"/>
  <c r="BI25" i="5"/>
  <c r="BG99" i="5"/>
  <c r="BG101" i="5"/>
  <c r="BI101" i="5"/>
  <c r="BG37" i="5"/>
  <c r="BI46" i="5"/>
  <c r="BI66" i="5"/>
  <c r="BG66" i="5"/>
  <c r="BG73" i="5"/>
  <c r="BI73" i="5"/>
  <c r="BG8" i="5"/>
  <c r="AZ107" i="5" l="1"/>
  <c r="BJ7" i="5"/>
  <c r="AY107" i="5"/>
  <c r="BH7" i="5"/>
  <c r="BI7" i="5"/>
  <c r="BG7" i="5"/>
  <c r="C82" i="5" l="1"/>
  <c r="C83" i="5" s="1"/>
  <c r="C84" i="5" s="1"/>
  <c r="C85" i="5" s="1"/>
  <c r="C98" i="5" l="1"/>
  <c r="C74" i="5"/>
  <c r="C75" i="5" s="1"/>
  <c r="C76" i="5" s="1"/>
  <c r="C77" i="5" s="1"/>
  <c r="C102" i="5"/>
  <c r="C103" i="5" s="1"/>
  <c r="C79" i="5"/>
  <c r="C92" i="5"/>
  <c r="C93" i="5" s="1"/>
  <c r="C94" i="5" s="1"/>
  <c r="C95" i="5" s="1"/>
  <c r="C96" i="5" s="1"/>
  <c r="C68" i="5"/>
  <c r="C69" i="5" s="1"/>
  <c r="C70" i="5" s="1"/>
  <c r="C71" i="5" s="1"/>
  <c r="C72" i="5" s="1"/>
  <c r="C88" i="5"/>
  <c r="C89" i="5" s="1"/>
  <c r="C38" i="5"/>
  <c r="C39" i="5" s="1"/>
  <c r="C40" i="5" s="1"/>
  <c r="C41" i="5" s="1"/>
  <c r="C42" i="5" s="1"/>
  <c r="C43" i="5" s="1"/>
  <c r="C44" i="5" s="1"/>
  <c r="C45" i="5" s="1"/>
  <c r="C26" i="5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17" i="5"/>
  <c r="C18" i="5" s="1"/>
  <c r="C19" i="5" s="1"/>
  <c r="C20" i="5" s="1"/>
  <c r="C21" i="5" s="1"/>
  <c r="C22" i="5" s="1"/>
  <c r="C23" i="5" s="1"/>
  <c r="C24" i="5" s="1"/>
  <c r="C9" i="5"/>
  <c r="C10" i="5" s="1"/>
  <c r="C11" i="5" s="1"/>
  <c r="C12" i="5" s="1"/>
  <c r="C13" i="5" s="1"/>
  <c r="C14" i="5" s="1"/>
  <c r="C15" i="5" s="1"/>
  <c r="C48" i="5" l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</calcChain>
</file>

<file path=xl/sharedStrings.xml><?xml version="1.0" encoding="utf-8"?>
<sst xmlns="http://schemas.openxmlformats.org/spreadsheetml/2006/main" count="425" uniqueCount="163">
  <si>
    <t>№</t>
  </si>
  <si>
    <t xml:space="preserve">Жами </t>
  </si>
  <si>
    <t>Микрокредитбанк</t>
  </si>
  <si>
    <t>Асака банк</t>
  </si>
  <si>
    <t>Халқ банки</t>
  </si>
  <si>
    <t>Турон банк</t>
  </si>
  <si>
    <t>Ўзсаноатқурилишбанк</t>
  </si>
  <si>
    <t>Агро банк</t>
  </si>
  <si>
    <t>Нурафшон шаҳар</t>
  </si>
  <si>
    <t>Пискент туман</t>
  </si>
  <si>
    <t>Бўстонлиқ туман</t>
  </si>
  <si>
    <t>Бекобод шаҳар</t>
  </si>
  <si>
    <t>Зангиота туман</t>
  </si>
  <si>
    <t>Тошкент туман</t>
  </si>
  <si>
    <t>Юқоричирчиқ туман</t>
  </si>
  <si>
    <t>Бўка туман</t>
  </si>
  <si>
    <t>Қибрай туман</t>
  </si>
  <si>
    <t>Оҳангарон туман</t>
  </si>
  <si>
    <t>Янгийўл шаҳар</t>
  </si>
  <si>
    <t>Чиноз туман</t>
  </si>
  <si>
    <t>Чирчиқ шаҳар</t>
  </si>
  <si>
    <t>Паркент туман</t>
  </si>
  <si>
    <t>Оққўрғон туман</t>
  </si>
  <si>
    <t>Қуйичирчиқ туман</t>
  </si>
  <si>
    <t>Оҳангарон шаҳар</t>
  </si>
  <si>
    <t>Ўртачирчиқ туман</t>
  </si>
  <si>
    <t>Ангрен шаҳар</t>
  </si>
  <si>
    <t>Бекобод туман</t>
  </si>
  <si>
    <t>Олмалиқ шаҳар</t>
  </si>
  <si>
    <t>Миллий банк</t>
  </si>
  <si>
    <t>Ҳамкор банк</t>
  </si>
  <si>
    <t>Инфин банк</t>
  </si>
  <si>
    <t>Универсал банк</t>
  </si>
  <si>
    <t>Ипак йўли банк</t>
  </si>
  <si>
    <t>Тижорат банклари номи</t>
  </si>
  <si>
    <t>МФО</t>
  </si>
  <si>
    <t>00413</t>
  </si>
  <si>
    <t>00457</t>
  </si>
  <si>
    <t>00463</t>
  </si>
  <si>
    <t>00468</t>
  </si>
  <si>
    <t>00472</t>
  </si>
  <si>
    <t>00474</t>
  </si>
  <si>
    <t>00475</t>
  </si>
  <si>
    <t>00476</t>
  </si>
  <si>
    <t>00480</t>
  </si>
  <si>
    <t>00482</t>
  </si>
  <si>
    <t>00485</t>
  </si>
  <si>
    <t>01056</t>
  </si>
  <si>
    <t>01080</t>
  </si>
  <si>
    <t>01081</t>
  </si>
  <si>
    <t>Гарант банк</t>
  </si>
  <si>
    <t>Алоқа банк</t>
  </si>
  <si>
    <t>Бизнесни рив-ш банки</t>
  </si>
  <si>
    <t>Янгийўл туман</t>
  </si>
  <si>
    <t>Филиал (БХО/БХМ) жойлашган ҳудуд номи</t>
  </si>
  <si>
    <t>МЛБ Чирчиқ БХМ</t>
  </si>
  <si>
    <t>МЛБ Олмалиқ БХМ</t>
  </si>
  <si>
    <t>МЛБ Ғазалкент БХМ</t>
  </si>
  <si>
    <t>МЛБ Ангрен БХМ</t>
  </si>
  <si>
    <t>МЛБ Янгийўл БХМ</t>
  </si>
  <si>
    <t>МЛБ Бекобод БХМ</t>
  </si>
  <si>
    <t>СҚБ Бўка БХМ</t>
  </si>
  <si>
    <t>СҚБ Пискент БХМ</t>
  </si>
  <si>
    <t>СҚБ Ангрен БХМ</t>
  </si>
  <si>
    <t>СҚБ Олмалиқ БХМ</t>
  </si>
  <si>
    <t>СҚБ Чирчиқ БХМ</t>
  </si>
  <si>
    <t>СҚБ Қибрай БХМ</t>
  </si>
  <si>
    <t>СҚБ Бекобод БХМ</t>
  </si>
  <si>
    <t>АГБ Оҳангарон филиали</t>
  </si>
  <si>
    <t>АГБ Оққўрғон филиали</t>
  </si>
  <si>
    <t>АГБ Бўка филиали</t>
  </si>
  <si>
    <t>АГБ Бекобод филиали</t>
  </si>
  <si>
    <t>АГБ Пискент филиали</t>
  </si>
  <si>
    <t>АГБ Қуйичирчиқ филиали</t>
  </si>
  <si>
    <t>АГБ Чиноз филиали</t>
  </si>
  <si>
    <t>АГБ Юқоричирчиқ филиали</t>
  </si>
  <si>
    <t>АГБ Паркент филиали</t>
  </si>
  <si>
    <t>АГБ Янгийўл филиали</t>
  </si>
  <si>
    <t>МКБ Юқоричирчиқ БХМ</t>
  </si>
  <si>
    <t>МКБ Оққўрғон БХО</t>
  </si>
  <si>
    <t>МКБ Ғазалкент БХО</t>
  </si>
  <si>
    <t>МКБ Паркент БХО</t>
  </si>
  <si>
    <t>МКБ Нурафшон БХО</t>
  </si>
  <si>
    <t>МКБ Пискент БХО</t>
  </si>
  <si>
    <t>МКБ Келес БХО</t>
  </si>
  <si>
    <t>МКБ Оҳангарон БХО</t>
  </si>
  <si>
    <t>ХЛБ Янгийўл БХМ</t>
  </si>
  <si>
    <t>ХЛБ Бўстонлиқ БХМ</t>
  </si>
  <si>
    <t>ХЛБ Дўстобод БХМ</t>
  </si>
  <si>
    <t>ХЛБ Пискент БХМ</t>
  </si>
  <si>
    <t>ХЛБ Оққўрғон БХМ</t>
  </si>
  <si>
    <t>ХЛБ Паркент БХМ</t>
  </si>
  <si>
    <t>ХЛБ Юқоричирчиқ БХМ</t>
  </si>
  <si>
    <t>ХЛБ Зафар БХМ</t>
  </si>
  <si>
    <t>ХЛБ Қибрай БХМ</t>
  </si>
  <si>
    <t>ХЛБ Зангиота БХМ</t>
  </si>
  <si>
    <t>ХЛБ Чирчиқ БХМ</t>
  </si>
  <si>
    <t>ХЛБ Ангрен БХМ</t>
  </si>
  <si>
    <t>ХЛБ Олмалиқ БХМ</t>
  </si>
  <si>
    <t>ХЛБ Оҳангарон БХМ</t>
  </si>
  <si>
    <t>ХЛБ Бекобод БХМ</t>
  </si>
  <si>
    <t>ХЛБ Келес БХМ</t>
  </si>
  <si>
    <t>ХЛБ Нурафшон БХМ</t>
  </si>
  <si>
    <t>ХЛБ Чиноз БХМ</t>
  </si>
  <si>
    <t>ХЛБ Бўка БХМ</t>
  </si>
  <si>
    <t>БРБ Нурафшон БХО</t>
  </si>
  <si>
    <t>БРБ Оҳангарон БХМ</t>
  </si>
  <si>
    <t>БРБ Янгийўл БХМ</t>
  </si>
  <si>
    <t>БРБ Ғалаба 2-тоифали БХМ</t>
  </si>
  <si>
    <t>АЛБ Келес КХКМ</t>
  </si>
  <si>
    <t>АЛБ Бекобод КХКМ</t>
  </si>
  <si>
    <t>АЛБ Ўртачирчиқ КХКМ</t>
  </si>
  <si>
    <t>АЛБ Чирчиқ КХКМ</t>
  </si>
  <si>
    <t>ГТБ Ғазалкент БХО</t>
  </si>
  <si>
    <t>ГТБ Зангиота БХО</t>
  </si>
  <si>
    <t>ГТБ Қибрай БХО</t>
  </si>
  <si>
    <t>ҲМБ Чиноз Универсал БХО</t>
  </si>
  <si>
    <t>ҲМБ Янгийўл Универсал БХО</t>
  </si>
  <si>
    <t>ҲМБ Олмалиқ Универсал БХО</t>
  </si>
  <si>
    <t>ҲМБ Ангрен Универсал БХО</t>
  </si>
  <si>
    <t>ҲМБ Чирчиқ Универсал БХО</t>
  </si>
  <si>
    <t>ҲМБ Нурафшон Универсал БХО</t>
  </si>
  <si>
    <t>ИЙБ Янгийўл филиали</t>
  </si>
  <si>
    <t>ТУБ Чиноз БХО</t>
  </si>
  <si>
    <t>ТУБ Оҳангарон БХО</t>
  </si>
  <si>
    <t>ТУБ Зангиота БХМ</t>
  </si>
  <si>
    <t>ТУБ Бекобод БХО</t>
  </si>
  <si>
    <t>АСБ Нурафшон БХМ</t>
  </si>
  <si>
    <t>УНБ Зангиота БХМ</t>
  </si>
  <si>
    <t>ИФБ Тошкент вилоят филиали</t>
  </si>
  <si>
    <t>ИФБ Зангиота филиали</t>
  </si>
  <si>
    <t>Қичик бизнесни қўллаб қувватлаш комплекс дастури</t>
  </si>
  <si>
    <t>Бизнесга биринчи қадам</t>
  </si>
  <si>
    <t>Маҳалла лойиҳаси
(Паркент тажрибаси)</t>
  </si>
  <si>
    <t>Оилавий тадбиркорликни ривожлантириш дастурлари</t>
  </si>
  <si>
    <t>шундан</t>
  </si>
  <si>
    <t>Жами ажратилган 
кредитлар</t>
  </si>
  <si>
    <t>суммаси</t>
  </si>
  <si>
    <t>фоиз</t>
  </si>
  <si>
    <t>Дастурлар доирасида ажратилган кредитлар</t>
  </si>
  <si>
    <t>АГБ Ўртачирчиқ филиали</t>
  </si>
  <si>
    <t>БРБ Бекобод БХМ</t>
  </si>
  <si>
    <t>БРБ Ғазалкент БХМ</t>
  </si>
  <si>
    <t>МЛБ Нурафшон БХМ</t>
  </si>
  <si>
    <t>СҚБ Нурафшон БХО</t>
  </si>
  <si>
    <t>АЛБ Нурафшон БХМ</t>
  </si>
  <si>
    <t>млн.сўм</t>
  </si>
  <si>
    <t>Давр банк</t>
  </si>
  <si>
    <t>Йиллик режа</t>
  </si>
  <si>
    <t>ANOR банк</t>
  </si>
  <si>
    <t>Тошкент вилояти тижорат банклари томонидан 2026 йил январ-март ойилари дастурлар доирасида ажратилган кредитлар тўғрисида  
  МАЪЛУМОТ</t>
  </si>
  <si>
    <t>Ҳисобот кунига нисбатан</t>
  </si>
  <si>
    <t>01.04.2026 йил ҳолатига</t>
  </si>
  <si>
    <t>Январ-Апрел ойлари режаси</t>
  </si>
  <si>
    <t>Январ-Апрел 
ойлари режа 
бажарилиши</t>
  </si>
  <si>
    <t xml:space="preserve">Апрел ойи </t>
  </si>
  <si>
    <t>Доимий иш ўринларини яратиш</t>
  </si>
  <si>
    <t>1-4 кунлари</t>
  </si>
  <si>
    <t>6-10 кунлари</t>
  </si>
  <si>
    <t>13-17 кунлари</t>
  </si>
  <si>
    <t>20-24 кунлари</t>
  </si>
  <si>
    <t>Аҳоли даромадларини ошириш</t>
  </si>
  <si>
    <t>Микролойиҳалар ташкил этиш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</si>
</sst>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43" formatCode="_-* #,##0.00_-;\-* #,##0.00_-;_-* &quot;-&quot;??_-;_-@_-"/>
    <numFmt numFmtId="164" formatCode="_-* #,##0&quot;р.&quot;_-;\-* #,##0&quot;р.&quot;_-;_-* &quot;-&quot;&quot;р.&quot;_-;_-@_-"/>
    <numFmt numFmtId="165" formatCode="_-* #,##0.00_р_._-;\-* #,##0.00_р_._-;_-* &quot;-&quot;??_р_._-;_-@_-"/>
    <numFmt numFmtId="166" formatCode="#,##0.0"/>
    <numFmt numFmtId="167" formatCode="#"/>
    <numFmt numFmtId="168" formatCode="_-* #,##0.00\ _?_._-;\-* #,##0.00\ _?_._-;_-* &quot;-&quot;??\ _?_._-;_-@_-"/>
    <numFmt numFmtId="169" formatCode="_-* #,##0.00\ &quot;?.&quot;_-;\-* #,##0.00\ &quot;?.&quot;_-;_-* &quot;-&quot;??\ &quot;?.&quot;_-;_-@_-"/>
    <numFmt numFmtId="170" formatCode="\$#.00"/>
    <numFmt numFmtId="171" formatCode="%#.00"/>
    <numFmt numFmtId="172" formatCode="#\,##0.00"/>
    <numFmt numFmtId="173" formatCode="#.00"/>
    <numFmt numFmtId="174" formatCode="_-* #,##0\ &quot;d.&quot;_-;\-* #,##0\ &quot;d.&quot;_-;_-* &quot;-&quot;\ &quot;d.&quot;_-;_-@_-"/>
    <numFmt numFmtId="175" formatCode="_-* #,##0.00\ &quot;d.&quot;_-;\-* #,##0.00\ &quot;d.&quot;_-;_-* &quot;-&quot;??\ &quot;d.&quot;_-;_-@_-"/>
    <numFmt numFmtId="176" formatCode="_-* #,##0\ _р_._-;\-* #,##0\ _р_._-;_-* &quot;-&quot;\ _р_._-;_-@_-"/>
    <numFmt numFmtId="177" formatCode="_-&quot;Ј&quot;* #,##0_-;\-&quot;Ј&quot;* #,##0_-;_-&quot;Ј&quot;* &quot;-&quot;_-;_-@_-"/>
    <numFmt numFmtId="178" formatCode="_-&quot;Ј&quot;* #,##0.00_-;\-&quot;Ј&quot;* #,##0.00_-;_-&quot;Ј&quot;* &quot;-&quot;??_-;_-@_-"/>
    <numFmt numFmtId="179" formatCode="_-* #,##0.00[$€-1]_-;\-* #,##0.00[$€-1]_-;_-* &quot;-&quot;??[$€-1]_-"/>
    <numFmt numFmtId="180" formatCode="_(* #,##0_);_(* \(#,##0\);_(* &quot;-&quot;_);_(@_)"/>
    <numFmt numFmtId="181" formatCode="_(* #,##0.00_);_(* \(#,##0.00\);_(* &quot;-&quot;??_);_(@_)"/>
    <numFmt numFmtId="182" formatCode="_(&quot;$&quot;* #,##0_);_(&quot;$&quot;* \(#,##0\);_(&quot;$&quot;* &quot;-&quot;_);_(@_)"/>
    <numFmt numFmtId="183" formatCode="_(&quot;$&quot;* #,##0.00_);_(&quot;$&quot;* \(#,##0.00\);_(&quot;$&quot;* &quot;-&quot;??_);_(@_)"/>
    <numFmt numFmtId="184" formatCode="_-* #,##0\ _d_._-;\-* #,##0\ _d_._-;_-* &quot;-&quot;\ _d_._-;_-@_-"/>
    <numFmt numFmtId="185" formatCode="_-* #,##0.00\ _d_._-;\-* #,##0.00\ _d_._-;_-* &quot;-&quot;??\ _d_._-;_-@_-"/>
    <numFmt numFmtId="186" formatCode="#,##0.0_р_."/>
    <numFmt numFmtId="187" formatCode="_-* #,##0\ _?_._-;\-* #,##0\ _?_._-;_-* &quot;-&quot;\ _?_._-;_-@_-"/>
    <numFmt numFmtId="188" formatCode="_-* #,##0_р_._-;\-* #,##0_р_._-;_-* &quot;-&quot;??_р_._-;_-@_-"/>
    <numFmt numFmtId="189" formatCode="d/m"/>
  </numFmts>
  <fonts count="72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2"/>
      <color indexed="35"/>
      <name val="Courier"/>
      <family val="1"/>
      <charset val="204"/>
    </font>
    <font>
      <sz val="10"/>
      <color indexed="35"/>
      <name val="Courier"/>
      <family val="1"/>
      <charset val="204"/>
    </font>
    <font>
      <u/>
      <sz val="7.5"/>
      <color indexed="12"/>
      <name val="Arial Cyr"/>
      <charset val="204"/>
    </font>
    <font>
      <u/>
      <sz val="7.5"/>
      <color indexed="36"/>
      <name val="Arial Cyr"/>
      <charset val="204"/>
    </font>
    <font>
      <sz val="1"/>
      <color indexed="8"/>
      <name val="Courier"/>
      <family val="1"/>
      <charset val="204"/>
    </font>
    <font>
      <sz val="10"/>
      <name val="Arial"/>
      <family val="2"/>
      <charset val="204"/>
    </font>
    <font>
      <sz val="10"/>
      <name val="Helv"/>
      <family val="2"/>
    </font>
    <font>
      <sz val="10"/>
      <name val="Helv"/>
    </font>
    <font>
      <sz val="1"/>
      <color indexed="16"/>
      <name val="Courier"/>
      <family val="1"/>
      <charset val="204"/>
    </font>
    <font>
      <b/>
      <sz val="1"/>
      <color indexed="16"/>
      <name val="Courier"/>
      <family val="1"/>
      <charset val="204"/>
    </font>
    <font>
      <sz val="12"/>
      <color indexed="8"/>
      <name val="Courier"/>
      <family val="1"/>
      <charset val="204"/>
    </font>
    <font>
      <b/>
      <sz val="18"/>
      <color indexed="8"/>
      <name val="Courier"/>
      <family val="1"/>
      <charset val="204"/>
    </font>
    <font>
      <b/>
      <sz val="12"/>
      <color indexed="8"/>
      <name val="Courier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0"/>
      <color indexed="0"/>
      <name val="Courier"/>
      <family val="1"/>
      <charset val="204"/>
    </font>
    <font>
      <sz val="10"/>
      <color indexed="72"/>
      <name val="Courier"/>
      <family val="1"/>
      <charset val="204"/>
    </font>
    <font>
      <sz val="11"/>
      <color indexed="16"/>
      <name val="Calibri"/>
      <family val="2"/>
      <charset val="204"/>
    </font>
    <font>
      <b/>
      <sz val="11"/>
      <color indexed="53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1"/>
      <color indexed="8"/>
      <name val="Calibri"/>
      <family val="2"/>
      <charset val="204"/>
    </font>
    <font>
      <i/>
      <sz val="11"/>
      <color indexed="23"/>
      <name val="Calibri"/>
      <family val="2"/>
      <charset val="204"/>
    </font>
    <font>
      <i/>
      <sz val="1"/>
      <color indexed="18"/>
      <name val="Courier"/>
      <family val="1"/>
      <charset val="204"/>
    </font>
    <font>
      <i/>
      <sz val="1"/>
      <color indexed="16"/>
      <name val="Courier"/>
      <family val="1"/>
      <charset val="204"/>
    </font>
    <font>
      <sz val="11"/>
      <color indexed="17"/>
      <name val="Calibri"/>
      <family val="2"/>
      <charset val="204"/>
    </font>
    <font>
      <b/>
      <sz val="15"/>
      <color indexed="62"/>
      <name val="Calibri"/>
      <family val="2"/>
      <charset val="204"/>
    </font>
    <font>
      <b/>
      <sz val="13"/>
      <color indexed="62"/>
      <name val="Calibri"/>
      <family val="2"/>
      <charset val="204"/>
    </font>
    <font>
      <b/>
      <sz val="11"/>
      <color indexed="62"/>
      <name val="Calibri"/>
      <family val="2"/>
      <charset val="204"/>
    </font>
    <font>
      <sz val="12"/>
      <name val="Arial Cyr"/>
      <charset val="204"/>
    </font>
    <font>
      <sz val="12"/>
      <color indexed="0"/>
      <name val="Courier"/>
      <family val="1"/>
      <charset val="204"/>
    </font>
    <font>
      <sz val="11"/>
      <color indexed="62"/>
      <name val="Calibri"/>
      <family val="2"/>
      <charset val="204"/>
    </font>
    <font>
      <sz val="11"/>
      <color indexed="53"/>
      <name val="Calibri"/>
      <family val="2"/>
      <charset val="204"/>
    </font>
    <font>
      <sz val="11"/>
      <color indexed="60"/>
      <name val="Calibri"/>
      <family val="2"/>
      <charset val="204"/>
    </font>
    <font>
      <b/>
      <sz val="11"/>
      <color indexed="63"/>
      <name val="Calibri"/>
      <family val="2"/>
      <charset val="204"/>
    </font>
    <font>
      <sz val="10"/>
      <color indexed="8"/>
      <name val="Arial"/>
      <family val="2"/>
      <charset val="204"/>
    </font>
    <font>
      <b/>
      <sz val="10"/>
      <color indexed="8"/>
      <name val="Times New Roman"/>
      <family val="1"/>
      <charset val="204"/>
    </font>
    <font>
      <sz val="7"/>
      <color indexed="8"/>
      <name val="Times New Roman"/>
      <family val="1"/>
      <charset val="204"/>
    </font>
    <font>
      <b/>
      <sz val="6"/>
      <color indexed="8"/>
      <name val="Arial"/>
      <family val="2"/>
      <charset val="204"/>
    </font>
    <font>
      <b/>
      <sz val="18"/>
      <color indexed="62"/>
      <name val="Cambria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10"/>
      <name val="Calibri"/>
      <family val="2"/>
      <charset val="204"/>
    </font>
    <font>
      <sz val="11"/>
      <name val="Arial"/>
      <family val="2"/>
      <charset val="204"/>
    </font>
    <font>
      <sz val="10"/>
      <name val="Arial Cyr"/>
    </font>
    <font>
      <sz val="12"/>
      <name val="PANDA Times UZ"/>
      <family val="2"/>
    </font>
    <font>
      <sz val="10"/>
      <name val="Arial Cyr"/>
      <charset val="186"/>
    </font>
    <font>
      <sz val="10"/>
      <name val="Tahoma"/>
      <family val="2"/>
      <charset val="204"/>
    </font>
    <font>
      <sz val="11"/>
      <name val="돋움"/>
      <charset val="129"/>
    </font>
    <font>
      <sz val="10"/>
      <name val="Times New Roman"/>
      <family val="1"/>
      <charset val="204"/>
    </font>
    <font>
      <sz val="14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5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24"/>
      <name val="Times New Roman"/>
      <family val="1"/>
      <charset val="204"/>
    </font>
    <font>
      <i/>
      <sz val="12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sz val="10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6"/>
      <name val="Times New Roman"/>
      <family val="1"/>
      <charset val="204"/>
    </font>
    <font>
      <i/>
      <sz val="16"/>
      <name val="Times New Roman"/>
      <family val="1"/>
      <charset val="204"/>
    </font>
    <font>
      <sz val="16"/>
      <color theme="1"/>
      <name val="Times New Roman"/>
      <family val="1"/>
      <charset val="204"/>
    </font>
    <font>
      <i/>
      <sz val="16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i/>
      <sz val="12"/>
      <name val="Times New Roman"/>
      <family val="1"/>
      <charset val="204"/>
    </font>
  </fonts>
  <fills count="4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231">
    <xf numFmtId="0" fontId="0" fillId="0" borderId="0"/>
    <xf numFmtId="0" fontId="1" fillId="0" borderId="0"/>
    <xf numFmtId="165" fontId="1" fillId="0" borderId="0" applyFont="0" applyFill="0" applyBorder="0" applyAlignment="0" applyProtection="0"/>
    <xf numFmtId="167" fontId="2" fillId="0" borderId="0">
      <protection locked="0"/>
    </xf>
    <xf numFmtId="167" fontId="3" fillId="0" borderId="0">
      <protection locked="0"/>
    </xf>
    <xf numFmtId="167" fontId="3" fillId="0" borderId="0">
      <protection locked="0"/>
    </xf>
    <xf numFmtId="167" fontId="3" fillId="0" borderId="0">
      <protection locked="0"/>
    </xf>
    <xf numFmtId="167" fontId="3" fillId="0" borderId="0"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168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6" fillId="0" borderId="1"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8" fillId="0" borderId="0"/>
    <xf numFmtId="0" fontId="7" fillId="0" borderId="0"/>
    <xf numFmtId="0" fontId="1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>
      <protection locked="0"/>
    </xf>
    <xf numFmtId="0" fontId="6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167" fontId="10" fillId="0" borderId="0">
      <protection locked="0"/>
    </xf>
    <xf numFmtId="167" fontId="10" fillId="0" borderId="0">
      <protection locked="0"/>
    </xf>
    <xf numFmtId="167" fontId="10" fillId="0" borderId="0">
      <protection locked="0"/>
    </xf>
    <xf numFmtId="164" fontId="10" fillId="0" borderId="0">
      <protection locked="0"/>
    </xf>
    <xf numFmtId="0" fontId="10" fillId="0" borderId="1">
      <protection locked="0"/>
    </xf>
    <xf numFmtId="167" fontId="11" fillId="0" borderId="0">
      <protection locked="0"/>
    </xf>
    <xf numFmtId="167" fontId="11" fillId="0" borderId="0">
      <protection locked="0"/>
    </xf>
    <xf numFmtId="167" fontId="10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173" fontId="12" fillId="0" borderId="0">
      <protection locked="0"/>
    </xf>
    <xf numFmtId="167" fontId="13" fillId="0" borderId="0">
      <protection locked="0"/>
    </xf>
    <xf numFmtId="167" fontId="14" fillId="0" borderId="0">
      <protection locked="0"/>
    </xf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1" borderId="0" applyNumberFormat="0" applyBorder="0" applyAlignment="0" applyProtection="0"/>
    <xf numFmtId="0" fontId="15" fillId="6" borderId="0" applyNumberFormat="0" applyBorder="0" applyAlignment="0" applyProtection="0"/>
    <xf numFmtId="0" fontId="15" fillId="9" borderId="0" applyNumberFormat="0" applyBorder="0" applyAlignment="0" applyProtection="0"/>
    <xf numFmtId="0" fontId="15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167" fontId="17" fillId="0" borderId="0">
      <protection locked="0"/>
    </xf>
    <xf numFmtId="167" fontId="17" fillId="0" borderId="0">
      <protection locked="0"/>
    </xf>
    <xf numFmtId="167" fontId="18" fillId="0" borderId="0">
      <protection locked="0"/>
    </xf>
    <xf numFmtId="0" fontId="16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4" borderId="0" applyNumberFormat="0" applyBorder="0" applyAlignment="0" applyProtection="0"/>
    <xf numFmtId="0" fontId="15" fillId="22" borderId="0" applyNumberFormat="0" applyBorder="0" applyAlignment="0" applyProtection="0"/>
    <xf numFmtId="0" fontId="15" fillId="26" borderId="0" applyNumberFormat="0" applyBorder="0" applyAlignment="0" applyProtection="0"/>
    <xf numFmtId="0" fontId="16" fillId="23" borderId="0" applyNumberFormat="0" applyBorder="0" applyAlignment="0" applyProtection="0"/>
    <xf numFmtId="0" fontId="16" fillId="27" borderId="0" applyNumberFormat="0" applyBorder="0" applyAlignment="0" applyProtection="0"/>
    <xf numFmtId="0" fontId="16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14" borderId="0" applyNumberFormat="0" applyBorder="0" applyAlignment="0" applyProtection="0"/>
    <xf numFmtId="0" fontId="16" fillId="28" borderId="0" applyNumberFormat="0" applyBorder="0" applyAlignment="0" applyProtection="0"/>
    <xf numFmtId="0" fontId="15" fillId="29" borderId="0" applyNumberFormat="0" applyBorder="0" applyAlignment="0" applyProtection="0"/>
    <xf numFmtId="0" fontId="15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15" borderId="0" applyNumberFormat="0" applyBorder="0" applyAlignment="0" applyProtection="0"/>
    <xf numFmtId="0" fontId="16" fillId="30" borderId="0" applyNumberFormat="0" applyBorder="0" applyAlignment="0" applyProtection="0"/>
    <xf numFmtId="0" fontId="15" fillId="22" borderId="0" applyNumberFormat="0" applyBorder="0" applyAlignment="0" applyProtection="0"/>
    <xf numFmtId="0" fontId="15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174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0" fontId="19" fillId="33" borderId="0" applyNumberFormat="0" applyBorder="0" applyAlignment="0" applyProtection="0"/>
    <xf numFmtId="0" fontId="20" fillId="34" borderId="2" applyNumberFormat="0" applyAlignment="0" applyProtection="0"/>
    <xf numFmtId="0" fontId="21" fillId="24" borderId="3" applyNumberFormat="0" applyAlignment="0" applyProtection="0"/>
    <xf numFmtId="176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3" fontId="1" fillId="0" borderId="0" applyFont="0" applyFill="0" applyBorder="0" applyAlignment="0" applyProtection="0"/>
    <xf numFmtId="177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3" fontId="1" fillId="0" borderId="0" applyFont="0" applyFill="0" applyBorder="0" applyAlignment="0" applyProtection="0"/>
    <xf numFmtId="0" fontId="22" fillId="35" borderId="0" applyNumberFormat="0" applyBorder="0" applyAlignment="0" applyProtection="0"/>
    <xf numFmtId="0" fontId="22" fillId="36" borderId="0" applyNumberFormat="0" applyBorder="0" applyAlignment="0" applyProtection="0"/>
    <xf numFmtId="0" fontId="22" fillId="37" borderId="0" applyNumberFormat="0" applyBorder="0" applyAlignment="0" applyProtection="0"/>
    <xf numFmtId="179" fontId="1" fillId="0" borderId="0" applyFont="0" applyFill="0" applyBorder="0" applyAlignment="0" applyProtection="0"/>
    <xf numFmtId="0" fontId="23" fillId="0" borderId="0" applyNumberFormat="0" applyFill="0" applyBorder="0" applyAlignment="0" applyProtection="0"/>
    <xf numFmtId="164" fontId="10" fillId="0" borderId="0">
      <protection locked="0"/>
    </xf>
    <xf numFmtId="164" fontId="10" fillId="0" borderId="0">
      <protection locked="0"/>
    </xf>
    <xf numFmtId="164" fontId="24" fillId="0" borderId="0">
      <protection locked="0"/>
    </xf>
    <xf numFmtId="164" fontId="10" fillId="0" borderId="0">
      <protection locked="0"/>
    </xf>
    <xf numFmtId="164" fontId="10" fillId="0" borderId="0">
      <protection locked="0"/>
    </xf>
    <xf numFmtId="164" fontId="10" fillId="0" borderId="0">
      <protection locked="0"/>
    </xf>
    <xf numFmtId="164" fontId="25" fillId="0" borderId="0">
      <protection locked="0"/>
    </xf>
    <xf numFmtId="0" fontId="26" fillId="26" borderId="0" applyNumberFormat="0" applyBorder="0" applyAlignment="0" applyProtection="0"/>
    <xf numFmtId="0" fontId="27" fillId="0" borderId="4" applyNumberFormat="0" applyFill="0" applyAlignment="0" applyProtection="0"/>
    <xf numFmtId="0" fontId="28" fillId="0" borderId="5" applyNumberFormat="0" applyFill="0" applyAlignment="0" applyProtection="0"/>
    <xf numFmtId="0" fontId="29" fillId="0" borderId="6" applyNumberFormat="0" applyFill="0" applyAlignment="0" applyProtection="0"/>
    <xf numFmtId="0" fontId="29" fillId="0" borderId="0" applyNumberFormat="0" applyFill="0" applyBorder="0" applyAlignment="0" applyProtection="0"/>
    <xf numFmtId="167" fontId="17" fillId="0" borderId="0">
      <protection locked="0"/>
    </xf>
    <xf numFmtId="0" fontId="30" fillId="0" borderId="0"/>
    <xf numFmtId="167" fontId="31" fillId="0" borderId="0"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32" fillId="31" borderId="2" applyNumberFormat="0" applyAlignment="0" applyProtection="0"/>
    <xf numFmtId="0" fontId="33" fillId="0" borderId="7" applyNumberFormat="0" applyFill="0" applyAlignment="0" applyProtection="0"/>
    <xf numFmtId="180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2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0" fontId="34" fillId="38" borderId="0" applyNumberFormat="0" applyBorder="0" applyAlignment="0" applyProtection="0"/>
    <xf numFmtId="0" fontId="7" fillId="0" borderId="0"/>
    <xf numFmtId="0" fontId="15" fillId="22" borderId="8" applyNumberFormat="0" applyFont="0" applyAlignment="0" applyProtection="0"/>
    <xf numFmtId="184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67" fontId="17" fillId="0" borderId="0">
      <protection locked="0"/>
    </xf>
    <xf numFmtId="167" fontId="17" fillId="0" borderId="0">
      <protection locked="0"/>
    </xf>
    <xf numFmtId="167" fontId="18" fillId="0" borderId="0">
      <protection locked="0"/>
    </xf>
    <xf numFmtId="0" fontId="35" fillId="34" borderId="9" applyNumberFormat="0" applyAlignment="0" applyProtection="0"/>
    <xf numFmtId="0" fontId="1" fillId="0" borderId="0"/>
    <xf numFmtId="0" fontId="1" fillId="0" borderId="0" applyNumberFormat="0" applyFill="0" applyBorder="0" applyAlignment="0" applyProtection="0"/>
    <xf numFmtId="0" fontId="36" fillId="39" borderId="0">
      <alignment horizontal="left" vertical="top"/>
    </xf>
    <xf numFmtId="0" fontId="37" fillId="39" borderId="0">
      <alignment horizontal="center" vertical="center"/>
    </xf>
    <xf numFmtId="0" fontId="38" fillId="39" borderId="0">
      <alignment horizontal="center" vertical="top"/>
    </xf>
    <xf numFmtId="0" fontId="38" fillId="39" borderId="0">
      <alignment horizontal="center" vertical="top"/>
    </xf>
    <xf numFmtId="0" fontId="38" fillId="39" borderId="0">
      <alignment horizontal="center" vertical="top"/>
    </xf>
    <xf numFmtId="0" fontId="38" fillId="39" borderId="0">
      <alignment horizontal="left" vertical="top"/>
    </xf>
    <xf numFmtId="0" fontId="38" fillId="39" borderId="0">
      <alignment horizontal="left" vertical="top"/>
    </xf>
    <xf numFmtId="0" fontId="38" fillId="39" borderId="0">
      <alignment horizontal="right" vertical="center"/>
    </xf>
    <xf numFmtId="0" fontId="38" fillId="39" borderId="0">
      <alignment horizontal="right" vertical="center"/>
    </xf>
    <xf numFmtId="0" fontId="39" fillId="39" borderId="0">
      <alignment horizontal="right" vertical="top"/>
    </xf>
    <xf numFmtId="0" fontId="40" fillId="0" borderId="0" applyNumberFormat="0" applyFill="0" applyBorder="0" applyAlignment="0" applyProtection="0"/>
    <xf numFmtId="0" fontId="7" fillId="0" borderId="0"/>
    <xf numFmtId="0" fontId="4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42" fillId="0" borderId="0" applyNumberFormat="0" applyFill="0" applyBorder="0" applyAlignment="0" applyProtection="0"/>
    <xf numFmtId="183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0" fontId="30" fillId="0" borderId="0">
      <alignment horizont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3" fillId="0" borderId="0"/>
    <xf numFmtId="0" fontId="15" fillId="0" borderId="0"/>
    <xf numFmtId="0" fontId="15" fillId="0" borderId="0"/>
    <xf numFmtId="0" fontId="15" fillId="0" borderId="0"/>
    <xf numFmtId="0" fontId="7" fillId="0" borderId="0"/>
    <xf numFmtId="0" fontId="43" fillId="0" borderId="0"/>
    <xf numFmtId="0" fontId="43" fillId="0" borderId="0"/>
    <xf numFmtId="0" fontId="15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15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4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44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15" fillId="0" borderId="0"/>
    <xf numFmtId="0" fontId="43" fillId="0" borderId="0"/>
    <xf numFmtId="0" fontId="43" fillId="0" borderId="0"/>
    <xf numFmtId="0" fontId="43" fillId="0" borderId="0"/>
    <xf numFmtId="0" fontId="15" fillId="0" borderId="0"/>
    <xf numFmtId="0" fontId="43" fillId="0" borderId="0"/>
    <xf numFmtId="0" fontId="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40" borderId="8" applyNumberFormat="0" applyFont="0" applyAlignment="0" applyProtection="0"/>
    <xf numFmtId="0" fontId="15" fillId="40" borderId="8" applyNumberFormat="0" applyFont="0" applyAlignment="0" applyProtection="0"/>
    <xf numFmtId="0" fontId="15" fillId="40" borderId="8" applyNumberFormat="0" applyFont="0" applyAlignment="0" applyProtection="0"/>
    <xf numFmtId="0" fontId="15" fillId="40" borderId="8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8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88" fontId="4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88" fontId="47" fillId="0" borderId="0" applyFont="0" applyFill="0" applyBorder="0" applyAlignment="0" applyProtection="0"/>
    <xf numFmtId="188" fontId="4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88" fontId="47" fillId="0" borderId="0" applyFont="0" applyFill="0" applyBorder="0" applyAlignment="0" applyProtection="0"/>
    <xf numFmtId="188" fontId="47" fillId="0" borderId="0" applyFont="0" applyFill="0" applyBorder="0" applyAlignment="0" applyProtection="0"/>
    <xf numFmtId="188" fontId="47" fillId="0" borderId="0" applyFont="0" applyFill="0" applyBorder="0" applyAlignment="0" applyProtection="0"/>
    <xf numFmtId="188" fontId="47" fillId="0" borderId="0" applyFont="0" applyFill="0" applyBorder="0" applyAlignment="0" applyProtection="0"/>
    <xf numFmtId="189" fontId="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6" fontId="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7" fontId="10" fillId="0" borderId="0">
      <protection locked="0"/>
    </xf>
    <xf numFmtId="0" fontId="48" fillId="0" borderId="0"/>
    <xf numFmtId="0" fontId="51" fillId="0" borderId="0"/>
    <xf numFmtId="9" fontId="51" fillId="0" borderId="0" applyFont="0" applyFill="0" applyBorder="0" applyAlignment="0" applyProtection="0"/>
    <xf numFmtId="0" fontId="1" fillId="0" borderId="0"/>
    <xf numFmtId="0" fontId="51" fillId="0" borderId="0"/>
    <xf numFmtId="0" fontId="51" fillId="0" borderId="0"/>
  </cellStyleXfs>
  <cellXfs count="71">
    <xf numFmtId="0" fontId="0" fillId="0" borderId="0" xfId="0"/>
    <xf numFmtId="0" fontId="49" fillId="2" borderId="0" xfId="1" applyFont="1" applyFill="1" applyAlignment="1">
      <alignment horizontal="center" vertical="center"/>
    </xf>
    <xf numFmtId="0" fontId="49" fillId="2" borderId="0" xfId="1" applyFont="1" applyFill="1" applyAlignment="1">
      <alignment vertical="center"/>
    </xf>
    <xf numFmtId="0" fontId="53" fillId="2" borderId="0" xfId="1" applyFont="1" applyFill="1" applyAlignment="1">
      <alignment vertical="center"/>
    </xf>
    <xf numFmtId="3" fontId="49" fillId="2" borderId="0" xfId="1" applyNumberFormat="1" applyFont="1" applyFill="1" applyAlignment="1">
      <alignment vertical="center"/>
    </xf>
    <xf numFmtId="0" fontId="54" fillId="0" borderId="11" xfId="1" applyFont="1" applyBorder="1" applyAlignment="1">
      <alignment horizontal="center" vertical="center" wrapText="1"/>
    </xf>
    <xf numFmtId="0" fontId="54" fillId="41" borderId="11" xfId="1" applyFont="1" applyFill="1" applyBorder="1" applyAlignment="1">
      <alignment horizontal="center" vertical="center" wrapText="1"/>
    </xf>
    <xf numFmtId="0" fontId="56" fillId="41" borderId="11" xfId="1" applyFont="1" applyFill="1" applyBorder="1" applyAlignment="1">
      <alignment horizontal="center" vertical="center" wrapText="1"/>
    </xf>
    <xf numFmtId="0" fontId="50" fillId="0" borderId="11" xfId="1" applyFont="1" applyBorder="1" applyAlignment="1">
      <alignment horizontal="left" vertical="center"/>
    </xf>
    <xf numFmtId="1" fontId="50" fillId="0" borderId="11" xfId="0" applyNumberFormat="1" applyFont="1" applyBorder="1" applyAlignment="1">
      <alignment horizontal="center" vertical="center"/>
    </xf>
    <xf numFmtId="3" fontId="53" fillId="2" borderId="0" xfId="1" applyNumberFormat="1" applyFont="1" applyFill="1" applyAlignment="1">
      <alignment vertical="center"/>
    </xf>
    <xf numFmtId="0" fontId="50" fillId="0" borderId="11" xfId="1" applyFont="1" applyBorder="1" applyAlignment="1">
      <alignment horizontal="center" vertical="center" wrapText="1"/>
    </xf>
    <xf numFmtId="0" fontId="50" fillId="0" borderId="11" xfId="0" applyFont="1" applyBorder="1" applyAlignment="1">
      <alignment horizontal="center" vertical="center"/>
    </xf>
    <xf numFmtId="3" fontId="56" fillId="41" borderId="11" xfId="1" applyNumberFormat="1" applyFont="1" applyFill="1" applyBorder="1" applyAlignment="1">
      <alignment horizontal="center" vertical="center" wrapText="1"/>
    </xf>
    <xf numFmtId="3" fontId="52" fillId="2" borderId="0" xfId="1" applyNumberFormat="1" applyFont="1" applyFill="1" applyAlignment="1">
      <alignment horizontal="center" vertical="center" wrapText="1"/>
    </xf>
    <xf numFmtId="3" fontId="56" fillId="41" borderId="11" xfId="0" applyNumberFormat="1" applyFont="1" applyFill="1" applyBorder="1" applyAlignment="1">
      <alignment horizontal="center" vertical="center" wrapText="1"/>
    </xf>
    <xf numFmtId="3" fontId="50" fillId="2" borderId="11" xfId="1" applyNumberFormat="1" applyFont="1" applyFill="1" applyBorder="1" applyAlignment="1">
      <alignment horizontal="center" vertical="center"/>
    </xf>
    <xf numFmtId="9" fontId="50" fillId="2" borderId="11" xfId="1227" applyFont="1" applyFill="1" applyBorder="1" applyAlignment="1">
      <alignment horizontal="center" vertical="center"/>
    </xf>
    <xf numFmtId="0" fontId="55" fillId="41" borderId="13" xfId="0" applyFont="1" applyFill="1" applyBorder="1" applyAlignment="1">
      <alignment horizontal="center" vertical="center" wrapText="1"/>
    </xf>
    <xf numFmtId="3" fontId="56" fillId="41" borderId="11" xfId="1" applyNumberFormat="1" applyFont="1" applyFill="1" applyBorder="1" applyAlignment="1">
      <alignment horizontal="center" vertical="center"/>
    </xf>
    <xf numFmtId="9" fontId="56" fillId="41" borderId="11" xfId="1227" applyFont="1" applyFill="1" applyBorder="1" applyAlignment="1">
      <alignment horizontal="center" vertical="center"/>
    </xf>
    <xf numFmtId="3" fontId="60" fillId="41" borderId="11" xfId="1" applyNumberFormat="1" applyFont="1" applyFill="1" applyBorder="1" applyAlignment="1">
      <alignment horizontal="center" vertical="center"/>
    </xf>
    <xf numFmtId="3" fontId="61" fillId="2" borderId="11" xfId="1" applyNumberFormat="1" applyFont="1" applyFill="1" applyBorder="1" applyAlignment="1">
      <alignment horizontal="center" vertical="center"/>
    </xf>
    <xf numFmtId="9" fontId="61" fillId="2" borderId="11" xfId="1227" applyFont="1" applyFill="1" applyBorder="1" applyAlignment="1">
      <alignment horizontal="center" vertical="center"/>
    </xf>
    <xf numFmtId="3" fontId="50" fillId="0" borderId="11" xfId="1" applyNumberFormat="1" applyFont="1" applyFill="1" applyBorder="1" applyAlignment="1">
      <alignment horizontal="center" vertical="center"/>
    </xf>
    <xf numFmtId="3" fontId="49" fillId="41" borderId="0" xfId="1" applyNumberFormat="1" applyFont="1" applyFill="1" applyAlignment="1">
      <alignment vertical="center"/>
    </xf>
    <xf numFmtId="0" fontId="49" fillId="41" borderId="0" xfId="1" applyFont="1" applyFill="1" applyAlignment="1">
      <alignment vertical="center"/>
    </xf>
    <xf numFmtId="3" fontId="52" fillId="41" borderId="0" xfId="1" applyNumberFormat="1" applyFont="1" applyFill="1" applyAlignment="1">
      <alignment vertical="center"/>
    </xf>
    <xf numFmtId="0" fontId="52" fillId="41" borderId="0" xfId="1" applyFont="1" applyFill="1" applyAlignment="1">
      <alignment vertical="center"/>
    </xf>
    <xf numFmtId="0" fontId="62" fillId="2" borderId="0" xfId="1" applyFont="1" applyFill="1" applyAlignment="1">
      <alignment vertical="center"/>
    </xf>
    <xf numFmtId="3" fontId="64" fillId="41" borderId="11" xfId="1" applyNumberFormat="1" applyFont="1" applyFill="1" applyBorder="1" applyAlignment="1">
      <alignment horizontal="center" vertical="center"/>
    </xf>
    <xf numFmtId="3" fontId="65" fillId="2" borderId="11" xfId="1" applyNumberFormat="1" applyFont="1" applyFill="1" applyBorder="1" applyAlignment="1">
      <alignment horizontal="center" vertical="center"/>
    </xf>
    <xf numFmtId="9" fontId="65" fillId="2" borderId="11" xfId="1227" applyFont="1" applyFill="1" applyBorder="1" applyAlignment="1">
      <alignment horizontal="center" vertical="center"/>
    </xf>
    <xf numFmtId="0" fontId="66" fillId="2" borderId="0" xfId="1" applyFont="1" applyFill="1" applyAlignment="1">
      <alignment vertical="center"/>
    </xf>
    <xf numFmtId="3" fontId="66" fillId="2" borderId="0" xfId="1" applyNumberFormat="1" applyFont="1" applyFill="1" applyAlignment="1">
      <alignment vertical="center"/>
    </xf>
    <xf numFmtId="0" fontId="66" fillId="0" borderId="0" xfId="0" applyFont="1" applyAlignment="1">
      <alignment vertical="center" wrapText="1"/>
    </xf>
    <xf numFmtId="0" fontId="66" fillId="0" borderId="0" xfId="0" applyFont="1" applyAlignment="1">
      <alignment horizontal="center" vertical="center" wrapText="1"/>
    </xf>
    <xf numFmtId="0" fontId="68" fillId="2" borderId="0" xfId="1" applyFont="1" applyFill="1" applyAlignment="1">
      <alignment vertical="center"/>
    </xf>
    <xf numFmtId="3" fontId="70" fillId="0" borderId="11" xfId="1" applyNumberFormat="1" applyFont="1" applyBorder="1" applyAlignment="1">
      <alignment horizontal="center" vertical="center" wrapText="1"/>
    </xf>
    <xf numFmtId="3" fontId="50" fillId="2" borderId="11" xfId="1" applyNumberFormat="1" applyFont="1" applyFill="1" applyBorder="1" applyAlignment="1">
      <alignment horizontal="center" vertical="center"/>
    </xf>
    <xf numFmtId="0" fontId="71" fillId="41" borderId="11" xfId="1228" applyFont="1" applyFill="1" applyBorder="1" applyAlignment="1">
      <alignment horizontal="center" vertical="center" wrapText="1"/>
    </xf>
    <xf numFmtId="0" fontId="52" fillId="41" borderId="11" xfId="1228" applyFont="1" applyFill="1" applyBorder="1" applyAlignment="1">
      <alignment horizontal="center" vertical="center" wrapText="1"/>
    </xf>
    <xf numFmtId="0" fontId="58" fillId="41" borderId="11" xfId="1228" applyFont="1" applyFill="1" applyBorder="1" applyAlignment="1">
      <alignment horizontal="center" vertical="center" wrapText="1"/>
    </xf>
    <xf numFmtId="0" fontId="63" fillId="41" borderId="11" xfId="1228" applyFont="1" applyFill="1" applyBorder="1" applyAlignment="1">
      <alignment horizontal="center" vertical="center" wrapText="1"/>
    </xf>
    <xf numFmtId="3" fontId="58" fillId="41" borderId="11" xfId="1228" applyNumberFormat="1" applyFont="1" applyFill="1" applyBorder="1" applyAlignment="1">
      <alignment horizontal="center" vertical="center" wrapText="1"/>
    </xf>
    <xf numFmtId="3" fontId="50" fillId="2" borderId="11" xfId="1227" applyNumberFormat="1" applyFont="1" applyFill="1" applyBorder="1" applyAlignment="1">
      <alignment horizontal="center" vertical="center"/>
    </xf>
    <xf numFmtId="3" fontId="56" fillId="41" borderId="11" xfId="1227" applyNumberFormat="1" applyFont="1" applyFill="1" applyBorder="1" applyAlignment="1">
      <alignment horizontal="center" vertical="center"/>
    </xf>
    <xf numFmtId="9" fontId="65" fillId="2" borderId="0" xfId="1227" applyFont="1" applyFill="1" applyBorder="1" applyAlignment="1">
      <alignment horizontal="center" vertical="center"/>
    </xf>
    <xf numFmtId="3" fontId="56" fillId="2" borderId="11" xfId="1" applyNumberFormat="1" applyFont="1" applyFill="1" applyBorder="1" applyAlignment="1">
      <alignment horizontal="center" vertical="center"/>
    </xf>
    <xf numFmtId="9" fontId="56" fillId="2" borderId="11" xfId="1227" applyFont="1" applyFill="1" applyBorder="1" applyAlignment="1">
      <alignment horizontal="center" vertical="center"/>
    </xf>
    <xf numFmtId="3" fontId="64" fillId="2" borderId="11" xfId="1" applyNumberFormat="1" applyFont="1" applyFill="1" applyBorder="1" applyAlignment="1">
      <alignment horizontal="center" vertical="center"/>
    </xf>
    <xf numFmtId="3" fontId="56" fillId="0" borderId="11" xfId="1" applyNumberFormat="1" applyFont="1" applyFill="1" applyBorder="1" applyAlignment="1">
      <alignment horizontal="center" vertical="center"/>
    </xf>
    <xf numFmtId="3" fontId="64" fillId="0" borderId="11" xfId="1" applyNumberFormat="1" applyFont="1" applyFill="1" applyBorder="1" applyAlignment="1">
      <alignment horizontal="center" vertical="center"/>
    </xf>
    <xf numFmtId="3" fontId="60" fillId="2" borderId="11" xfId="1" applyNumberFormat="1" applyFont="1" applyFill="1" applyBorder="1" applyAlignment="1">
      <alignment horizontal="center" vertical="center"/>
    </xf>
    <xf numFmtId="0" fontId="57" fillId="0" borderId="0" xfId="1" applyFont="1" applyAlignment="1">
      <alignment vertical="center" wrapText="1"/>
    </xf>
    <xf numFmtId="0" fontId="52" fillId="41" borderId="11" xfId="1228" applyFont="1" applyFill="1" applyBorder="1" applyAlignment="1">
      <alignment horizontal="center" vertical="center" wrapText="1"/>
    </xf>
    <xf numFmtId="0" fontId="58" fillId="41" borderId="11" xfId="1228" applyFont="1" applyFill="1" applyBorder="1" applyAlignment="1">
      <alignment horizontal="center" vertical="center" wrapText="1"/>
    </xf>
    <xf numFmtId="0" fontId="67" fillId="0" borderId="0" xfId="0" applyFont="1" applyBorder="1" applyAlignment="1">
      <alignment vertical="center" wrapText="1"/>
    </xf>
    <xf numFmtId="166" fontId="56" fillId="41" borderId="11" xfId="2" applyNumberFormat="1" applyFont="1" applyFill="1" applyBorder="1" applyAlignment="1">
      <alignment horizontal="center" vertical="center" wrapText="1"/>
    </xf>
    <xf numFmtId="0" fontId="58" fillId="41" borderId="11" xfId="1228" applyFont="1" applyFill="1" applyBorder="1" applyAlignment="1">
      <alignment horizontal="center" vertical="center" wrapText="1"/>
    </xf>
    <xf numFmtId="0" fontId="52" fillId="41" borderId="11" xfId="1228" applyFont="1" applyFill="1" applyBorder="1" applyAlignment="1">
      <alignment horizontal="center" vertical="center" wrapText="1"/>
    </xf>
    <xf numFmtId="3" fontId="52" fillId="41" borderId="11" xfId="1228" applyNumberFormat="1" applyFont="1" applyFill="1" applyBorder="1" applyAlignment="1">
      <alignment horizontal="center" vertical="center" wrapText="1"/>
    </xf>
    <xf numFmtId="0" fontId="56" fillId="41" borderId="11" xfId="1228" applyFont="1" applyFill="1" applyBorder="1" applyAlignment="1">
      <alignment horizontal="center" vertical="center" wrapText="1"/>
    </xf>
    <xf numFmtId="0" fontId="57" fillId="0" borderId="0" xfId="1" applyFont="1" applyAlignment="1">
      <alignment horizontal="center" vertical="center" wrapText="1"/>
    </xf>
    <xf numFmtId="0" fontId="63" fillId="41" borderId="11" xfId="1228" applyFont="1" applyFill="1" applyBorder="1" applyAlignment="1">
      <alignment horizontal="center" vertical="center" wrapText="1"/>
    </xf>
    <xf numFmtId="0" fontId="69" fillId="2" borderId="15" xfId="1" applyFont="1" applyFill="1" applyBorder="1" applyAlignment="1">
      <alignment horizontal="center" vertical="center"/>
    </xf>
    <xf numFmtId="0" fontId="59" fillId="41" borderId="11" xfId="1228" applyFont="1" applyFill="1" applyBorder="1" applyAlignment="1">
      <alignment horizontal="center" vertical="center" wrapText="1"/>
    </xf>
    <xf numFmtId="0" fontId="55" fillId="41" borderId="12" xfId="0" applyFont="1" applyFill="1" applyBorder="1" applyAlignment="1">
      <alignment horizontal="center" vertical="center" wrapText="1"/>
    </xf>
    <xf numFmtId="0" fontId="55" fillId="41" borderId="14" xfId="0" applyFont="1" applyFill="1" applyBorder="1" applyAlignment="1">
      <alignment horizontal="center" vertical="center" wrapText="1"/>
    </xf>
    <xf numFmtId="0" fontId="55" fillId="41" borderId="13" xfId="0" applyFont="1" applyFill="1" applyBorder="1" applyAlignment="1">
      <alignment horizontal="center" vertical="center" wrapText="1"/>
    </xf>
    <xf numFmtId="0" fontId="55" fillId="41" borderId="11" xfId="0" applyFont="1" applyFill="1" applyBorder="1" applyAlignment="1">
      <alignment horizontal="center" vertical="center" wrapText="1"/>
    </xf>
  </cellXfs>
  <cellStyles count="1231">
    <cellStyle name="???????" xfId="3" xr:uid="{00000000-0005-0000-0000-000000000000}"/>
    <cellStyle name="????????" xfId="4" xr:uid="{00000000-0005-0000-0000-000001000000}"/>
    <cellStyle name="???????? [0]" xfId="5" xr:uid="{00000000-0005-0000-0000-000002000000}"/>
    <cellStyle name="??????????" xfId="6" xr:uid="{00000000-0005-0000-0000-000003000000}"/>
    <cellStyle name="?????????? [0]" xfId="7" xr:uid="{00000000-0005-0000-0000-000004000000}"/>
    <cellStyle name="???????????" xfId="8" xr:uid="{00000000-0005-0000-0000-000005000000}"/>
    <cellStyle name="????????????? ???????????" xfId="9" xr:uid="{00000000-0005-0000-0000-000006000000}"/>
    <cellStyle name="??????????_1" xfId="10" xr:uid="{00000000-0005-0000-0000-000007000000}"/>
    <cellStyle name="????????_ ?? 25 ???" xfId="11" xr:uid="{00000000-0005-0000-0000-000008000000}"/>
    <cellStyle name="???????_ ????.???" xfId="12" xr:uid="{00000000-0005-0000-0000-000009000000}"/>
    <cellStyle name="??????_ ?? 25 ???" xfId="13" xr:uid="{00000000-0005-0000-0000-00000A000000}"/>
    <cellStyle name="?’ћѓћ‚›‰" xfId="14" xr:uid="{00000000-0005-0000-0000-00000B000000}"/>
    <cellStyle name="_2.45 таблица ижтимоий" xfId="15" xr:uid="{00000000-0005-0000-0000-00000C000000}"/>
    <cellStyle name="_2.45 таблица ижтимоий_омонатлар 01.09.2011 йил" xfId="16" xr:uid="{00000000-0005-0000-0000-00000D000000}"/>
    <cellStyle name="_2.45 таблица ижтимоий_омонатлар 01.10.2011 йил" xfId="17" xr:uid="{00000000-0005-0000-0000-00000E000000}"/>
    <cellStyle name="_2.45 таблица ижтимоий_омонатлар 01.11.2011 йил" xfId="18" xr:uid="{00000000-0005-0000-0000-00000F000000}"/>
    <cellStyle name="_2.45 таблица ижтимоий_омонатлар 01.12.2011" xfId="19" xr:uid="{00000000-0005-0000-0000-000010000000}"/>
    <cellStyle name="_2.46 таблица ижтимоий" xfId="20" xr:uid="{00000000-0005-0000-0000-000011000000}"/>
    <cellStyle name="_2.46 таблица ижтимоий_омонатлар 01.09.2011 йил" xfId="21" xr:uid="{00000000-0005-0000-0000-000012000000}"/>
    <cellStyle name="_2.46 таблица ижтимоий_омонатлар 01.10.2011 йил" xfId="22" xr:uid="{00000000-0005-0000-0000-000013000000}"/>
    <cellStyle name="_2.46 таблица ижтимоий_омонатлар 01.11.2011 йил" xfId="23" xr:uid="{00000000-0005-0000-0000-000014000000}"/>
    <cellStyle name="_2.46 таблица ижтимоий_омонатлар 01.12.2011" xfId="24" xr:uid="{00000000-0005-0000-0000-000015000000}"/>
    <cellStyle name="_2.58 таблица ВЭС" xfId="25" xr:uid="{00000000-0005-0000-0000-000016000000}"/>
    <cellStyle name="_2.58 таблица ВЭС_омонатлар 01.09.2011 йил" xfId="26" xr:uid="{00000000-0005-0000-0000-000017000000}"/>
    <cellStyle name="_2.58 таблица ВЭС_омонатлар 01.10.2011 йил" xfId="27" xr:uid="{00000000-0005-0000-0000-000018000000}"/>
    <cellStyle name="_2.58 таблица ВЭС_омонатлар 01.11.2011 йил" xfId="28" xr:uid="{00000000-0005-0000-0000-000019000000}"/>
    <cellStyle name="_2.58 таблица ВЭС_омонатлар 01.12.2011" xfId="29" xr:uid="{00000000-0005-0000-0000-00001A000000}"/>
    <cellStyle name="_2.58 узгаргани" xfId="30" xr:uid="{00000000-0005-0000-0000-00001B000000}"/>
    <cellStyle name="_2.58 узгаргани_Нам дастур 2009-2012 (ўзбек)" xfId="31" xr:uid="{00000000-0005-0000-0000-00001C000000}"/>
    <cellStyle name="_2008 КХ ЯНГИ ДАСТУР" xfId="32" xr:uid="{00000000-0005-0000-0000-00001D000000}"/>
    <cellStyle name="_2008 КХ ЯНГИ ДАСТУР_Нам дастур 2009-2012 (ўзбек)" xfId="33" xr:uid="{00000000-0005-0000-0000-00001E000000}"/>
    <cellStyle name="_2008_9_ой_якун_маълумот" xfId="34" xr:uid="{00000000-0005-0000-0000-00001F000000}"/>
    <cellStyle name="_2008й прогноз ДАСТУР" xfId="35" xr:uid="{00000000-0005-0000-0000-000020000000}"/>
    <cellStyle name="_2008й прогноз ДАСТУР_омонатлар 01.09.2011 йил" xfId="36" xr:uid="{00000000-0005-0000-0000-000021000000}"/>
    <cellStyle name="_2008й прогноз ДАСТУР_омонатлар 01.10.2011 йил" xfId="37" xr:uid="{00000000-0005-0000-0000-000022000000}"/>
    <cellStyle name="_2008й прогноз ДАСТУР_омонатлар 01.11.2011 йил" xfId="38" xr:uid="{00000000-0005-0000-0000-000023000000}"/>
    <cellStyle name="_2008й прогноз ДАСТУР_омонатлар 01.12.2011" xfId="39" xr:uid="{00000000-0005-0000-0000-000024000000}"/>
    <cellStyle name="_21а жадваллар" xfId="40" xr:uid="{00000000-0005-0000-0000-000025000000}"/>
    <cellStyle name="_21а жадваллар_232 ижроси" xfId="41" xr:uid="{00000000-0005-0000-0000-000026000000}"/>
    <cellStyle name="_21а жадваллар_АХБОРОТ ТАХЛИЛГАга жадваллар (по туманам)" xfId="42" xr:uid="{00000000-0005-0000-0000-000027000000}"/>
    <cellStyle name="_21а жадваллар_АХБОРОТ ТАХЛИЛГАга жадваллар (по туманам)_омонатлар 01.09.2011 йил" xfId="43" xr:uid="{00000000-0005-0000-0000-000028000000}"/>
    <cellStyle name="_21а жадваллар_АХБОРОТ ТАХЛИЛГАга жадваллар (по туманам)_омонатлар 01.10.2011 йил" xfId="44" xr:uid="{00000000-0005-0000-0000-000029000000}"/>
    <cellStyle name="_21а жадваллар_АХБОРОТ ТАХЛИЛГАга жадваллар (по туманам)_омонатлар 01.11.2011 йил" xfId="45" xr:uid="{00000000-0005-0000-0000-00002A000000}"/>
    <cellStyle name="_21а жадваллар_АХБОРОТ ТАХЛИЛГАга жадваллар (по туманам)_омонатлар 01.12.2011" xfId="46" xr:uid="{00000000-0005-0000-0000-00002B000000}"/>
    <cellStyle name="_21а жадваллар_Жадвал саноат 2009 ОХИРИ" xfId="47" xr:uid="{00000000-0005-0000-0000-00002C000000}"/>
    <cellStyle name="_21а жадваллар_Жадвал саноат 2009 ОХИРИ_омонатлар 01.09.2011 йил" xfId="48" xr:uid="{00000000-0005-0000-0000-00002D000000}"/>
    <cellStyle name="_21а жадваллар_Жадвал саноат 2009 ОХИРИ_омонатлар 01.10.2011 йил" xfId="49" xr:uid="{00000000-0005-0000-0000-00002E000000}"/>
    <cellStyle name="_21а жадваллар_Жадвал саноат 2009 ОХИРИ_омонатлар 01.11.2011 йил" xfId="50" xr:uid="{00000000-0005-0000-0000-00002F000000}"/>
    <cellStyle name="_21а жадваллар_Жадвал саноат 2009 ОХИРИ_омонатлар 01.12.2011" xfId="51" xr:uid="{00000000-0005-0000-0000-000030000000}"/>
    <cellStyle name="_21а жадваллар_иктисодга" xfId="52" xr:uid="{00000000-0005-0000-0000-000031000000}"/>
    <cellStyle name="_21а жадваллар_иктисодга_омонатлар 01.09.2011 йил" xfId="53" xr:uid="{00000000-0005-0000-0000-000032000000}"/>
    <cellStyle name="_21а жадваллар_иктисодга_омонатлар 01.10.2011 йил" xfId="54" xr:uid="{00000000-0005-0000-0000-000033000000}"/>
    <cellStyle name="_21а жадваллар_иктисодга_омонатлар 01.11.2011 йил" xfId="55" xr:uid="{00000000-0005-0000-0000-000034000000}"/>
    <cellStyle name="_21а жадваллар_иктисодга_омонатлар 01.12.2011" xfId="56" xr:uid="{00000000-0005-0000-0000-000035000000}"/>
    <cellStyle name="_21а жадваллар_ОКИБ" xfId="57" xr:uid="{00000000-0005-0000-0000-000036000000}"/>
    <cellStyle name="_21а жадваллар_ОКИБ_омонатлар 01.09.2011 йил" xfId="58" xr:uid="{00000000-0005-0000-0000-000037000000}"/>
    <cellStyle name="_21а жадваллар_ОКИБ_омонатлар 01.10.2011 йил" xfId="59" xr:uid="{00000000-0005-0000-0000-000038000000}"/>
    <cellStyle name="_21а жадваллар_ОКИБ_омонатлар 01.11.2011 йил" xfId="60" xr:uid="{00000000-0005-0000-0000-000039000000}"/>
    <cellStyle name="_21а жадваллар_ОКИБ_омонатлар 01.12.2011" xfId="61" xr:uid="{00000000-0005-0000-0000-00003A000000}"/>
    <cellStyle name="_21а жадваллар_омонатлар 01.09.2011 йил" xfId="62" xr:uid="{00000000-0005-0000-0000-00003B000000}"/>
    <cellStyle name="_21а жадваллар_омонатлар 01.10.2011 йил" xfId="63" xr:uid="{00000000-0005-0000-0000-00003C000000}"/>
    <cellStyle name="_21а жадваллар_омонатлар 01.11.2011 йил" xfId="64" xr:uid="{00000000-0005-0000-0000-00003D000000}"/>
    <cellStyle name="_21а жадваллар_омонатлар 01.12.2011" xfId="65" xr:uid="{00000000-0005-0000-0000-00003E000000}"/>
    <cellStyle name="_21а жадваллар_ПРОМ 2010-1чорак-жадваллар 23.03" xfId="66" xr:uid="{00000000-0005-0000-0000-00003F000000}"/>
    <cellStyle name="_21а жадваллар_СВОД жадваллар-2009 6 ой" xfId="67" xr:uid="{00000000-0005-0000-0000-000040000000}"/>
    <cellStyle name="_21а жадваллар_СВОД жадваллар-2009 6 ой_омонатлар 01.09.2011 йил" xfId="68" xr:uid="{00000000-0005-0000-0000-000041000000}"/>
    <cellStyle name="_21а жадваллар_СВОД жадваллар-2009 6 ой_омонатлар 01.10.2011 йил" xfId="69" xr:uid="{00000000-0005-0000-0000-000042000000}"/>
    <cellStyle name="_21а жадваллар_СВОД жадваллар-2009 6 ой_омонатлар 01.11.2011 йил" xfId="70" xr:uid="{00000000-0005-0000-0000-000043000000}"/>
    <cellStyle name="_21а жадваллар_СВОД жадваллар-2009 6 ой_омонатлар 01.12.2011" xfId="71" xr:uid="{00000000-0005-0000-0000-000044000000}"/>
    <cellStyle name="_21а жадваллар_Сухроб Вилоят свод" xfId="72" xr:uid="{00000000-0005-0000-0000-000045000000}"/>
    <cellStyle name="_21а жадваллар_Сухроб Вилоят свод_омонатлар 01.09.2011 йил" xfId="73" xr:uid="{00000000-0005-0000-0000-000046000000}"/>
    <cellStyle name="_21а жадваллар_Сухроб Вилоят свод_омонатлар 01.10.2011 йил" xfId="74" xr:uid="{00000000-0005-0000-0000-000047000000}"/>
    <cellStyle name="_21а жадваллар_Сухроб Вилоят свод_омонатлар 01.11.2011 йил" xfId="75" xr:uid="{00000000-0005-0000-0000-000048000000}"/>
    <cellStyle name="_21а жадваллар_Сухроб Вилоят свод_омонатлар 01.12.2011" xfId="76" xr:uid="{00000000-0005-0000-0000-000049000000}"/>
    <cellStyle name="_308 форма" xfId="77" xr:uid="{00000000-0005-0000-0000-00004A000000}"/>
    <cellStyle name="_308 форма_232 ижроси" xfId="78" xr:uid="{00000000-0005-0000-0000-00004B000000}"/>
    <cellStyle name="_308 форма_АХБОРОТ ТАХЛИЛГАга жадваллар (по туманам)" xfId="79" xr:uid="{00000000-0005-0000-0000-00004C000000}"/>
    <cellStyle name="_308 форма_АХБОРОТ ТАХЛИЛГАга жадваллар (по туманам)_омонатлар 01.09.2011 йил" xfId="80" xr:uid="{00000000-0005-0000-0000-00004D000000}"/>
    <cellStyle name="_308 форма_АХБОРОТ ТАХЛИЛГАга жадваллар (по туманам)_омонатлар 01.10.2011 йил" xfId="81" xr:uid="{00000000-0005-0000-0000-00004E000000}"/>
    <cellStyle name="_308 форма_АХБОРОТ ТАХЛИЛГАга жадваллар (по туманам)_омонатлар 01.11.2011 йил" xfId="82" xr:uid="{00000000-0005-0000-0000-00004F000000}"/>
    <cellStyle name="_308 форма_АХБОРОТ ТАХЛИЛГАга жадваллар (по туманам)_омонатлар 01.12.2011" xfId="83" xr:uid="{00000000-0005-0000-0000-000050000000}"/>
    <cellStyle name="_308 форма_Жадвал саноат 2009 ОХИРИ" xfId="84" xr:uid="{00000000-0005-0000-0000-000051000000}"/>
    <cellStyle name="_308 форма_Жадвал саноат 2009 ОХИРИ_омонатлар 01.09.2011 йил" xfId="85" xr:uid="{00000000-0005-0000-0000-000052000000}"/>
    <cellStyle name="_308 форма_Жадвал саноат 2009 ОХИРИ_омонатлар 01.10.2011 йил" xfId="86" xr:uid="{00000000-0005-0000-0000-000053000000}"/>
    <cellStyle name="_308 форма_Жадвал саноат 2009 ОХИРИ_омонатлар 01.11.2011 йил" xfId="87" xr:uid="{00000000-0005-0000-0000-000054000000}"/>
    <cellStyle name="_308 форма_Жадвал саноат 2009 ОХИРИ_омонатлар 01.12.2011" xfId="88" xr:uid="{00000000-0005-0000-0000-000055000000}"/>
    <cellStyle name="_308 форма_иктисодга" xfId="89" xr:uid="{00000000-0005-0000-0000-000056000000}"/>
    <cellStyle name="_308 форма_иктисодга_омонатлар 01.09.2011 йил" xfId="90" xr:uid="{00000000-0005-0000-0000-000057000000}"/>
    <cellStyle name="_308 форма_иктисодга_омонатлар 01.10.2011 йил" xfId="91" xr:uid="{00000000-0005-0000-0000-000058000000}"/>
    <cellStyle name="_308 форма_иктисодга_омонатлар 01.11.2011 йил" xfId="92" xr:uid="{00000000-0005-0000-0000-000059000000}"/>
    <cellStyle name="_308 форма_иктисодга_омонатлар 01.12.2011" xfId="93" xr:uid="{00000000-0005-0000-0000-00005A000000}"/>
    <cellStyle name="_308 форма_ОКИБ" xfId="94" xr:uid="{00000000-0005-0000-0000-00005B000000}"/>
    <cellStyle name="_308 форма_ОКИБ_омонатлар 01.09.2011 йил" xfId="95" xr:uid="{00000000-0005-0000-0000-00005C000000}"/>
    <cellStyle name="_308 форма_ОКИБ_омонатлар 01.10.2011 йил" xfId="96" xr:uid="{00000000-0005-0000-0000-00005D000000}"/>
    <cellStyle name="_308 форма_ОКИБ_омонатлар 01.11.2011 йил" xfId="97" xr:uid="{00000000-0005-0000-0000-00005E000000}"/>
    <cellStyle name="_308 форма_ОКИБ_омонатлар 01.12.2011" xfId="98" xr:uid="{00000000-0005-0000-0000-00005F000000}"/>
    <cellStyle name="_308 форма_омонатлар 01.09.2011 йил" xfId="99" xr:uid="{00000000-0005-0000-0000-000060000000}"/>
    <cellStyle name="_308 форма_омонатлар 01.10.2011 йил" xfId="100" xr:uid="{00000000-0005-0000-0000-000061000000}"/>
    <cellStyle name="_308 форма_омонатлар 01.11.2011 йил" xfId="101" xr:uid="{00000000-0005-0000-0000-000062000000}"/>
    <cellStyle name="_308 форма_омонатлар 01.12.2011" xfId="102" xr:uid="{00000000-0005-0000-0000-000063000000}"/>
    <cellStyle name="_308 форма_ПРОМ 2010-1чорак-жадваллар 23.03" xfId="103" xr:uid="{00000000-0005-0000-0000-000064000000}"/>
    <cellStyle name="_308 форма_СВОД жадваллар-2009 6 ой" xfId="104" xr:uid="{00000000-0005-0000-0000-000065000000}"/>
    <cellStyle name="_308 форма_СВОД жадваллар-2009 6 ой_омонатлар 01.09.2011 йил" xfId="105" xr:uid="{00000000-0005-0000-0000-000066000000}"/>
    <cellStyle name="_308 форма_СВОД жадваллар-2009 6 ой_омонатлар 01.10.2011 йил" xfId="106" xr:uid="{00000000-0005-0000-0000-000067000000}"/>
    <cellStyle name="_308 форма_СВОД жадваллар-2009 6 ой_омонатлар 01.11.2011 йил" xfId="107" xr:uid="{00000000-0005-0000-0000-000068000000}"/>
    <cellStyle name="_308 форма_СВОД жадваллар-2009 6 ой_омонатлар 01.12.2011" xfId="108" xr:uid="{00000000-0005-0000-0000-000069000000}"/>
    <cellStyle name="_308 форма_Сухроб Вилоят свод" xfId="109" xr:uid="{00000000-0005-0000-0000-00006A000000}"/>
    <cellStyle name="_308 форма_Сухроб Вилоят свод_омонатлар 01.09.2011 йил" xfId="110" xr:uid="{00000000-0005-0000-0000-00006B000000}"/>
    <cellStyle name="_308 форма_Сухроб Вилоят свод_омонатлар 01.10.2011 йил" xfId="111" xr:uid="{00000000-0005-0000-0000-00006C000000}"/>
    <cellStyle name="_308 форма_Сухроб Вилоят свод_омонатлар 01.11.2011 йил" xfId="112" xr:uid="{00000000-0005-0000-0000-00006D000000}"/>
    <cellStyle name="_308 форма_Сухроб Вилоят свод_омонатлар 01.12.2011" xfId="113" xr:uid="{00000000-0005-0000-0000-00006E000000}"/>
    <cellStyle name="_5-илова кабмин" xfId="114" xr:uid="{00000000-0005-0000-0000-00006F000000}"/>
    <cellStyle name="_7- Банклар буйича Хоразм111" xfId="115" xr:uid="{00000000-0005-0000-0000-000070000000}"/>
    <cellStyle name="_№5-5а-5б-Озик-овкат-иссикхона-паррандачилик 2010 йил" xfId="116" xr:uid="{00000000-0005-0000-0000-000071000000}"/>
    <cellStyle name="_Акмал акага" xfId="117" xr:uid="{00000000-0005-0000-0000-000072000000}"/>
    <cellStyle name="_Андижон" xfId="118" xr:uid="{00000000-0005-0000-0000-000073000000}"/>
    <cellStyle name="_Вилоят касана12" xfId="119" xr:uid="{00000000-0005-0000-0000-000074000000}"/>
    <cellStyle name="_ДАСТУР макет" xfId="120" xr:uid="{00000000-0005-0000-0000-000075000000}"/>
    <cellStyle name="_ДАСТУР макет_232 ижроси" xfId="121" xr:uid="{00000000-0005-0000-0000-000076000000}"/>
    <cellStyle name="_ДАСТУР макет_АХБОРОТ ТАХЛИЛГАга жадваллар (по туманам)" xfId="122" xr:uid="{00000000-0005-0000-0000-000077000000}"/>
    <cellStyle name="_ДАСТУР макет_АХБОРОТ ТАХЛИЛГАга жадваллар (по туманам)_омонатлар 01.09.2011 йил" xfId="123" xr:uid="{00000000-0005-0000-0000-000078000000}"/>
    <cellStyle name="_ДАСТУР макет_АХБОРОТ ТАХЛИЛГАга жадваллар (по туманам)_омонатлар 01.10.2011 йил" xfId="124" xr:uid="{00000000-0005-0000-0000-000079000000}"/>
    <cellStyle name="_ДАСТУР макет_АХБОРОТ ТАХЛИЛГАга жадваллар (по туманам)_омонатлар 01.11.2011 йил" xfId="125" xr:uid="{00000000-0005-0000-0000-00007A000000}"/>
    <cellStyle name="_ДАСТУР макет_АХБОРОТ ТАХЛИЛГАга жадваллар (по туманам)_омонатлар 01.12.2011" xfId="126" xr:uid="{00000000-0005-0000-0000-00007B000000}"/>
    <cellStyle name="_ДАСТУР макет_Жадвал саноат 2009 ОХИРИ" xfId="127" xr:uid="{00000000-0005-0000-0000-00007C000000}"/>
    <cellStyle name="_ДАСТУР макет_Жадвал саноат 2009 ОХИРИ_омонатлар 01.09.2011 йил" xfId="128" xr:uid="{00000000-0005-0000-0000-00007D000000}"/>
    <cellStyle name="_ДАСТУР макет_Жадвал саноат 2009 ОХИРИ_омонатлар 01.10.2011 йил" xfId="129" xr:uid="{00000000-0005-0000-0000-00007E000000}"/>
    <cellStyle name="_ДАСТУР макет_Жадвал саноат 2009 ОХИРИ_омонатлар 01.11.2011 йил" xfId="130" xr:uid="{00000000-0005-0000-0000-00007F000000}"/>
    <cellStyle name="_ДАСТУР макет_Жадвал саноат 2009 ОХИРИ_омонатлар 01.12.2011" xfId="131" xr:uid="{00000000-0005-0000-0000-000080000000}"/>
    <cellStyle name="_ДАСТУР макет_иктисодга" xfId="132" xr:uid="{00000000-0005-0000-0000-000081000000}"/>
    <cellStyle name="_ДАСТУР макет_иктисодга_омонатлар 01.09.2011 йил" xfId="133" xr:uid="{00000000-0005-0000-0000-000082000000}"/>
    <cellStyle name="_ДАСТУР макет_иктисодга_омонатлар 01.10.2011 йил" xfId="134" xr:uid="{00000000-0005-0000-0000-000083000000}"/>
    <cellStyle name="_ДАСТУР макет_иктисодга_омонатлар 01.11.2011 йил" xfId="135" xr:uid="{00000000-0005-0000-0000-000084000000}"/>
    <cellStyle name="_ДАСТУР макет_иктисодга_омонатлар 01.12.2011" xfId="136" xr:uid="{00000000-0005-0000-0000-000085000000}"/>
    <cellStyle name="_ДАСТУР макет_ОКИБ" xfId="137" xr:uid="{00000000-0005-0000-0000-000086000000}"/>
    <cellStyle name="_ДАСТУР макет_ОКИБ_омонатлар 01.09.2011 йил" xfId="138" xr:uid="{00000000-0005-0000-0000-000087000000}"/>
    <cellStyle name="_ДАСТУР макет_ОКИБ_омонатлар 01.10.2011 йил" xfId="139" xr:uid="{00000000-0005-0000-0000-000088000000}"/>
    <cellStyle name="_ДАСТУР макет_ОКИБ_омонатлар 01.11.2011 йил" xfId="140" xr:uid="{00000000-0005-0000-0000-000089000000}"/>
    <cellStyle name="_ДАСТУР макет_ОКИБ_омонатлар 01.12.2011" xfId="141" xr:uid="{00000000-0005-0000-0000-00008A000000}"/>
    <cellStyle name="_ДАСТУР макет_омонатлар 01.09.2011 йил" xfId="142" xr:uid="{00000000-0005-0000-0000-00008B000000}"/>
    <cellStyle name="_ДАСТУР макет_омонатлар 01.10.2011 йил" xfId="143" xr:uid="{00000000-0005-0000-0000-00008C000000}"/>
    <cellStyle name="_ДАСТУР макет_омонатлар 01.11.2011 йил" xfId="144" xr:uid="{00000000-0005-0000-0000-00008D000000}"/>
    <cellStyle name="_ДАСТУР макет_омонатлар 01.12.2011" xfId="145" xr:uid="{00000000-0005-0000-0000-00008E000000}"/>
    <cellStyle name="_ДАСТУР макет_ПРОМ 2010-1чорак-жадваллар 23.03" xfId="146" xr:uid="{00000000-0005-0000-0000-00008F000000}"/>
    <cellStyle name="_ДАСТУР макет_СВОД жадваллар-2009 6 ой" xfId="147" xr:uid="{00000000-0005-0000-0000-000090000000}"/>
    <cellStyle name="_ДАСТУР макет_СВОД жадваллар-2009 6 ой_омонатлар 01.09.2011 йил" xfId="148" xr:uid="{00000000-0005-0000-0000-000091000000}"/>
    <cellStyle name="_ДАСТУР макет_СВОД жадваллар-2009 6 ой_омонатлар 01.10.2011 йил" xfId="149" xr:uid="{00000000-0005-0000-0000-000092000000}"/>
    <cellStyle name="_ДАСТУР макет_СВОД жадваллар-2009 6 ой_омонатлар 01.11.2011 йил" xfId="150" xr:uid="{00000000-0005-0000-0000-000093000000}"/>
    <cellStyle name="_ДАСТУР макет_СВОД жадваллар-2009 6 ой_омонатлар 01.12.2011" xfId="151" xr:uid="{00000000-0005-0000-0000-000094000000}"/>
    <cellStyle name="_ДАСТУР макет_Сухроб Вилоят свод" xfId="152" xr:uid="{00000000-0005-0000-0000-000095000000}"/>
    <cellStyle name="_ДАСТУР макет_Сухроб Вилоят свод_омонатлар 01.09.2011 йил" xfId="153" xr:uid="{00000000-0005-0000-0000-000096000000}"/>
    <cellStyle name="_ДАСТУР макет_Сухроб Вилоят свод_омонатлар 01.10.2011 йил" xfId="154" xr:uid="{00000000-0005-0000-0000-000097000000}"/>
    <cellStyle name="_ДАСТУР макет_Сухроб Вилоят свод_омонатлар 01.11.2011 йил" xfId="155" xr:uid="{00000000-0005-0000-0000-000098000000}"/>
    <cellStyle name="_ДАСТУР макет_Сухроб Вилоят свод_омонатлар 01.12.2011" xfId="156" xr:uid="{00000000-0005-0000-0000-000099000000}"/>
    <cellStyle name="_ДАСТУР обл план 2007-09" xfId="157" xr:uid="{00000000-0005-0000-0000-00009A000000}"/>
    <cellStyle name="_ДАСТУР обл план 2007-09_232 ижроси" xfId="158" xr:uid="{00000000-0005-0000-0000-00009B000000}"/>
    <cellStyle name="_ДАСТУР обл план 2007-09_АХБОРОТ ТАХЛИЛГАга жадваллар (по туманам)" xfId="159" xr:uid="{00000000-0005-0000-0000-00009C000000}"/>
    <cellStyle name="_ДАСТУР обл план 2007-09_АХБОРОТ ТАХЛИЛГАга жадваллар (по туманам)_омонатлар 01.09.2011 йил" xfId="160" xr:uid="{00000000-0005-0000-0000-00009D000000}"/>
    <cellStyle name="_ДАСТУР обл план 2007-09_АХБОРОТ ТАХЛИЛГАга жадваллар (по туманам)_омонатлар 01.10.2011 йил" xfId="161" xr:uid="{00000000-0005-0000-0000-00009E000000}"/>
    <cellStyle name="_ДАСТУР обл план 2007-09_АХБОРОТ ТАХЛИЛГАга жадваллар (по туманам)_омонатлар 01.11.2011 йил" xfId="162" xr:uid="{00000000-0005-0000-0000-00009F000000}"/>
    <cellStyle name="_ДАСТУР обл план 2007-09_АХБОРОТ ТАХЛИЛГАга жадваллар (по туманам)_омонатлар 01.12.2011" xfId="163" xr:uid="{00000000-0005-0000-0000-0000A0000000}"/>
    <cellStyle name="_ДАСТУР обл план 2007-09_Жадвал саноат 2009 ОХИРИ" xfId="164" xr:uid="{00000000-0005-0000-0000-0000A1000000}"/>
    <cellStyle name="_ДАСТУР обл план 2007-09_Жадвал саноат 2009 ОХИРИ_омонатлар 01.09.2011 йил" xfId="165" xr:uid="{00000000-0005-0000-0000-0000A2000000}"/>
    <cellStyle name="_ДАСТУР обл план 2007-09_Жадвал саноат 2009 ОХИРИ_омонатлар 01.10.2011 йил" xfId="166" xr:uid="{00000000-0005-0000-0000-0000A3000000}"/>
    <cellStyle name="_ДАСТУР обл план 2007-09_Жадвал саноат 2009 ОХИРИ_омонатлар 01.11.2011 йил" xfId="167" xr:uid="{00000000-0005-0000-0000-0000A4000000}"/>
    <cellStyle name="_ДАСТУР обл план 2007-09_Жадвал саноат 2009 ОХИРИ_омонатлар 01.12.2011" xfId="168" xr:uid="{00000000-0005-0000-0000-0000A5000000}"/>
    <cellStyle name="_ДАСТУР обл план 2007-09_иктисодга" xfId="169" xr:uid="{00000000-0005-0000-0000-0000A6000000}"/>
    <cellStyle name="_ДАСТУР обл план 2007-09_иктисодга_омонатлар 01.09.2011 йил" xfId="170" xr:uid="{00000000-0005-0000-0000-0000A7000000}"/>
    <cellStyle name="_ДАСТУР обл план 2007-09_иктисодга_омонатлар 01.10.2011 йил" xfId="171" xr:uid="{00000000-0005-0000-0000-0000A8000000}"/>
    <cellStyle name="_ДАСТУР обл план 2007-09_иктисодга_омонатлар 01.11.2011 йил" xfId="172" xr:uid="{00000000-0005-0000-0000-0000A9000000}"/>
    <cellStyle name="_ДАСТУР обл план 2007-09_иктисодга_омонатлар 01.12.2011" xfId="173" xr:uid="{00000000-0005-0000-0000-0000AA000000}"/>
    <cellStyle name="_ДАСТУР обл план 2007-09_ОКИБ" xfId="174" xr:uid="{00000000-0005-0000-0000-0000AB000000}"/>
    <cellStyle name="_ДАСТУР обл план 2007-09_ОКИБ_омонатлар 01.09.2011 йил" xfId="175" xr:uid="{00000000-0005-0000-0000-0000AC000000}"/>
    <cellStyle name="_ДАСТУР обл план 2007-09_ОКИБ_омонатлар 01.10.2011 йил" xfId="176" xr:uid="{00000000-0005-0000-0000-0000AD000000}"/>
    <cellStyle name="_ДАСТУР обл план 2007-09_ОКИБ_омонатлар 01.11.2011 йил" xfId="177" xr:uid="{00000000-0005-0000-0000-0000AE000000}"/>
    <cellStyle name="_ДАСТУР обл план 2007-09_ОКИБ_омонатлар 01.12.2011" xfId="178" xr:uid="{00000000-0005-0000-0000-0000AF000000}"/>
    <cellStyle name="_ДАСТУР обл план 2007-09_омонатлар 01.09.2011 йил" xfId="179" xr:uid="{00000000-0005-0000-0000-0000B0000000}"/>
    <cellStyle name="_ДАСТУР обл план 2007-09_омонатлар 01.10.2011 йил" xfId="180" xr:uid="{00000000-0005-0000-0000-0000B1000000}"/>
    <cellStyle name="_ДАСТУР обл план 2007-09_омонатлар 01.11.2011 йил" xfId="181" xr:uid="{00000000-0005-0000-0000-0000B2000000}"/>
    <cellStyle name="_ДАСТУР обл план 2007-09_омонатлар 01.12.2011" xfId="182" xr:uid="{00000000-0005-0000-0000-0000B3000000}"/>
    <cellStyle name="_ДАСТУР обл план 2007-09_ПРОМ 2010-1чорак-жадваллар 23.03" xfId="183" xr:uid="{00000000-0005-0000-0000-0000B4000000}"/>
    <cellStyle name="_ДАСТУР обл план 2007-09_СВОД жадваллар-2009 6 ой" xfId="184" xr:uid="{00000000-0005-0000-0000-0000B5000000}"/>
    <cellStyle name="_ДАСТУР обл план 2007-09_СВОД жадваллар-2009 6 ой_омонатлар 01.09.2011 йил" xfId="185" xr:uid="{00000000-0005-0000-0000-0000B6000000}"/>
    <cellStyle name="_ДАСТУР обл план 2007-09_СВОД жадваллар-2009 6 ой_омонатлар 01.10.2011 йил" xfId="186" xr:uid="{00000000-0005-0000-0000-0000B7000000}"/>
    <cellStyle name="_ДАСТУР обл план 2007-09_СВОД жадваллар-2009 6 ой_омонатлар 01.11.2011 йил" xfId="187" xr:uid="{00000000-0005-0000-0000-0000B8000000}"/>
    <cellStyle name="_ДАСТУР обл план 2007-09_СВОД жадваллар-2009 6 ой_омонатлар 01.12.2011" xfId="188" xr:uid="{00000000-0005-0000-0000-0000B9000000}"/>
    <cellStyle name="_ДАСТУР обл план 2007-09_Сухроб Вилоят свод" xfId="189" xr:uid="{00000000-0005-0000-0000-0000BA000000}"/>
    <cellStyle name="_ДАСТУР обл план 2007-09_Сухроб Вилоят свод_омонатлар 01.09.2011 йил" xfId="190" xr:uid="{00000000-0005-0000-0000-0000BB000000}"/>
    <cellStyle name="_ДАСТУР обл план 2007-09_Сухроб Вилоят свод_омонатлар 01.10.2011 йил" xfId="191" xr:uid="{00000000-0005-0000-0000-0000BC000000}"/>
    <cellStyle name="_ДАСТУР обл план 2007-09_Сухроб Вилоят свод_омонатлар 01.11.2011 йил" xfId="192" xr:uid="{00000000-0005-0000-0000-0000BD000000}"/>
    <cellStyle name="_ДАСТУР обл план 2007-09_Сухроб Вилоят свод_омонатлар 01.12.2011" xfId="193" xr:uid="{00000000-0005-0000-0000-0000BE000000}"/>
    <cellStyle name="_Жиззах" xfId="194" xr:uid="{00000000-0005-0000-0000-0000BF000000}"/>
    <cellStyle name="_Жиззах_232 ижроси" xfId="195" xr:uid="{00000000-0005-0000-0000-0000C0000000}"/>
    <cellStyle name="_Жиззах_АХБОРОТ ТАХЛИЛГАга жадваллар (по туманам)" xfId="196" xr:uid="{00000000-0005-0000-0000-0000C1000000}"/>
    <cellStyle name="_Жиззах_АХБОРОТ ТАХЛИЛГАга жадваллар (по туманам)_омонатлар 01.09.2011 йил" xfId="197" xr:uid="{00000000-0005-0000-0000-0000C2000000}"/>
    <cellStyle name="_Жиззах_АХБОРОТ ТАХЛИЛГАга жадваллар (по туманам)_омонатлар 01.10.2011 йил" xfId="198" xr:uid="{00000000-0005-0000-0000-0000C3000000}"/>
    <cellStyle name="_Жиззах_АХБОРОТ ТАХЛИЛГАга жадваллар (по туманам)_омонатлар 01.11.2011 йил" xfId="199" xr:uid="{00000000-0005-0000-0000-0000C4000000}"/>
    <cellStyle name="_Жиззах_АХБОРОТ ТАХЛИЛГАга жадваллар (по туманам)_омонатлар 01.12.2011" xfId="200" xr:uid="{00000000-0005-0000-0000-0000C5000000}"/>
    <cellStyle name="_Жиззах_Жадвал саноат 2009 ОХИРИ" xfId="201" xr:uid="{00000000-0005-0000-0000-0000C6000000}"/>
    <cellStyle name="_Жиззах_Жадвал саноат 2009 ОХИРИ_омонатлар 01.09.2011 йил" xfId="202" xr:uid="{00000000-0005-0000-0000-0000C7000000}"/>
    <cellStyle name="_Жиззах_Жадвал саноат 2009 ОХИРИ_омонатлар 01.10.2011 йил" xfId="203" xr:uid="{00000000-0005-0000-0000-0000C8000000}"/>
    <cellStyle name="_Жиззах_Жадвал саноат 2009 ОХИРИ_омонатлар 01.11.2011 йил" xfId="204" xr:uid="{00000000-0005-0000-0000-0000C9000000}"/>
    <cellStyle name="_Жиззах_Жадвал саноат 2009 ОХИРИ_омонатлар 01.12.2011" xfId="205" xr:uid="{00000000-0005-0000-0000-0000CA000000}"/>
    <cellStyle name="_Жиззах_иктисодга" xfId="206" xr:uid="{00000000-0005-0000-0000-0000CB000000}"/>
    <cellStyle name="_Жиззах_иктисодга_омонатлар 01.09.2011 йил" xfId="207" xr:uid="{00000000-0005-0000-0000-0000CC000000}"/>
    <cellStyle name="_Жиззах_иктисодга_омонатлар 01.10.2011 йил" xfId="208" xr:uid="{00000000-0005-0000-0000-0000CD000000}"/>
    <cellStyle name="_Жиззах_иктисодга_омонатлар 01.11.2011 йил" xfId="209" xr:uid="{00000000-0005-0000-0000-0000CE000000}"/>
    <cellStyle name="_Жиззах_иктисодга_омонатлар 01.12.2011" xfId="210" xr:uid="{00000000-0005-0000-0000-0000CF000000}"/>
    <cellStyle name="_Жиззах_ОКИБ" xfId="211" xr:uid="{00000000-0005-0000-0000-0000D0000000}"/>
    <cellStyle name="_Жиззах_ОКИБ_омонатлар 01.09.2011 йил" xfId="212" xr:uid="{00000000-0005-0000-0000-0000D1000000}"/>
    <cellStyle name="_Жиззах_ОКИБ_омонатлар 01.10.2011 йил" xfId="213" xr:uid="{00000000-0005-0000-0000-0000D2000000}"/>
    <cellStyle name="_Жиззах_ОКИБ_омонатлар 01.11.2011 йил" xfId="214" xr:uid="{00000000-0005-0000-0000-0000D3000000}"/>
    <cellStyle name="_Жиззах_ОКИБ_омонатлар 01.12.2011" xfId="215" xr:uid="{00000000-0005-0000-0000-0000D4000000}"/>
    <cellStyle name="_Жиззах_омонатлар 01.09.2011 йил" xfId="216" xr:uid="{00000000-0005-0000-0000-0000D5000000}"/>
    <cellStyle name="_Жиззах_омонатлар 01.10.2011 йил" xfId="217" xr:uid="{00000000-0005-0000-0000-0000D6000000}"/>
    <cellStyle name="_Жиззах_омонатлар 01.11.2011 йил" xfId="218" xr:uid="{00000000-0005-0000-0000-0000D7000000}"/>
    <cellStyle name="_Жиззах_омонатлар 01.12.2011" xfId="219" xr:uid="{00000000-0005-0000-0000-0000D8000000}"/>
    <cellStyle name="_Жиззах_ПРОМ 2010-1чорак-жадваллар 23.03" xfId="220" xr:uid="{00000000-0005-0000-0000-0000D9000000}"/>
    <cellStyle name="_Жиззах_СВОД жадваллар-2009 6 ой" xfId="221" xr:uid="{00000000-0005-0000-0000-0000DA000000}"/>
    <cellStyle name="_Жиззах_СВОД жадваллар-2009 6 ой_омонатлар 01.09.2011 йил" xfId="222" xr:uid="{00000000-0005-0000-0000-0000DB000000}"/>
    <cellStyle name="_Жиззах_СВОД жадваллар-2009 6 ой_омонатлар 01.10.2011 йил" xfId="223" xr:uid="{00000000-0005-0000-0000-0000DC000000}"/>
    <cellStyle name="_Жиззах_СВОД жадваллар-2009 6 ой_омонатлар 01.11.2011 йил" xfId="224" xr:uid="{00000000-0005-0000-0000-0000DD000000}"/>
    <cellStyle name="_Жиззах_СВОД жадваллар-2009 6 ой_омонатлар 01.12.2011" xfId="225" xr:uid="{00000000-0005-0000-0000-0000DE000000}"/>
    <cellStyle name="_Жиззах_Сухроб Вилоят свод" xfId="226" xr:uid="{00000000-0005-0000-0000-0000DF000000}"/>
    <cellStyle name="_Жиззах_Сухроб Вилоят свод_омонатлар 01.09.2011 йил" xfId="227" xr:uid="{00000000-0005-0000-0000-0000E0000000}"/>
    <cellStyle name="_Жиззах_Сухроб Вилоят свод_омонатлар 01.10.2011 йил" xfId="228" xr:uid="{00000000-0005-0000-0000-0000E1000000}"/>
    <cellStyle name="_Жиззах_Сухроб Вилоят свод_омонатлар 01.11.2011 йил" xfId="229" xr:uid="{00000000-0005-0000-0000-0000E2000000}"/>
    <cellStyle name="_Жиззах_Сухроб Вилоят свод_омонатлар 01.12.2011" xfId="230" xr:uid="{00000000-0005-0000-0000-0000E3000000}"/>
    <cellStyle name="_иктисодга" xfId="231" xr:uid="{00000000-0005-0000-0000-0000E4000000}"/>
    <cellStyle name="_индикатор" xfId="232" xr:uid="{00000000-0005-0000-0000-0000E5000000}"/>
    <cellStyle name="_индикатор_омонатлар 01.09.2011 йил" xfId="233" xr:uid="{00000000-0005-0000-0000-0000E6000000}"/>
    <cellStyle name="_индикатор_омонатлар 01.10.2011 йил" xfId="234" xr:uid="{00000000-0005-0000-0000-0000E7000000}"/>
    <cellStyle name="_индикатор_омонатлар 01.11.2011 йил" xfId="235" xr:uid="{00000000-0005-0000-0000-0000E8000000}"/>
    <cellStyle name="_индикатор_омонатлар 01.12.2011" xfId="236" xr:uid="{00000000-0005-0000-0000-0000E9000000}"/>
    <cellStyle name="_Касаначи 4 ой" xfId="237" xr:uid="{00000000-0005-0000-0000-0000EA000000}"/>
    <cellStyle name="_Кашкадарё" xfId="238" xr:uid="{00000000-0005-0000-0000-0000EB000000}"/>
    <cellStyle name="_Кашкадарё_232 ижроси" xfId="239" xr:uid="{00000000-0005-0000-0000-0000EC000000}"/>
    <cellStyle name="_Кашкадарё_АХБОРОТ ТАХЛИЛГАга жадваллар (по туманам)" xfId="240" xr:uid="{00000000-0005-0000-0000-0000ED000000}"/>
    <cellStyle name="_Кашкадарё_АХБОРОТ ТАХЛИЛГАга жадваллар (по туманам)_омонатлар 01.09.2011 йил" xfId="241" xr:uid="{00000000-0005-0000-0000-0000EE000000}"/>
    <cellStyle name="_Кашкадарё_АХБОРОТ ТАХЛИЛГАга жадваллар (по туманам)_омонатлар 01.10.2011 йил" xfId="242" xr:uid="{00000000-0005-0000-0000-0000EF000000}"/>
    <cellStyle name="_Кашкадарё_АХБОРОТ ТАХЛИЛГАга жадваллар (по туманам)_омонатлар 01.11.2011 йил" xfId="243" xr:uid="{00000000-0005-0000-0000-0000F0000000}"/>
    <cellStyle name="_Кашкадарё_АХБОРОТ ТАХЛИЛГАга жадваллар (по туманам)_омонатлар 01.12.2011" xfId="244" xr:uid="{00000000-0005-0000-0000-0000F1000000}"/>
    <cellStyle name="_Кашкадарё_Жадвал саноат 2009 ОХИРИ" xfId="245" xr:uid="{00000000-0005-0000-0000-0000F2000000}"/>
    <cellStyle name="_Кашкадарё_Жадвал саноат 2009 ОХИРИ_омонатлар 01.09.2011 йил" xfId="246" xr:uid="{00000000-0005-0000-0000-0000F3000000}"/>
    <cellStyle name="_Кашкадарё_Жадвал саноат 2009 ОХИРИ_омонатлар 01.10.2011 йил" xfId="247" xr:uid="{00000000-0005-0000-0000-0000F4000000}"/>
    <cellStyle name="_Кашкадарё_Жадвал саноат 2009 ОХИРИ_омонатлар 01.11.2011 йил" xfId="248" xr:uid="{00000000-0005-0000-0000-0000F5000000}"/>
    <cellStyle name="_Кашкадарё_Жадвал саноат 2009 ОХИРИ_омонатлар 01.12.2011" xfId="249" xr:uid="{00000000-0005-0000-0000-0000F6000000}"/>
    <cellStyle name="_Кашкадарё_иктисодга" xfId="250" xr:uid="{00000000-0005-0000-0000-0000F7000000}"/>
    <cellStyle name="_Кашкадарё_иктисодга_омонатлар 01.09.2011 йил" xfId="251" xr:uid="{00000000-0005-0000-0000-0000F8000000}"/>
    <cellStyle name="_Кашкадарё_иктисодга_омонатлар 01.10.2011 йил" xfId="252" xr:uid="{00000000-0005-0000-0000-0000F9000000}"/>
    <cellStyle name="_Кашкадарё_иктисодга_омонатлар 01.11.2011 йил" xfId="253" xr:uid="{00000000-0005-0000-0000-0000FA000000}"/>
    <cellStyle name="_Кашкадарё_иктисодга_омонатлар 01.12.2011" xfId="254" xr:uid="{00000000-0005-0000-0000-0000FB000000}"/>
    <cellStyle name="_Кашкадарё_ОКИБ" xfId="255" xr:uid="{00000000-0005-0000-0000-0000FC000000}"/>
    <cellStyle name="_Кашкадарё_ОКИБ_омонатлар 01.09.2011 йил" xfId="256" xr:uid="{00000000-0005-0000-0000-0000FD000000}"/>
    <cellStyle name="_Кашкадарё_ОКИБ_омонатлар 01.10.2011 йил" xfId="257" xr:uid="{00000000-0005-0000-0000-0000FE000000}"/>
    <cellStyle name="_Кашкадарё_ОКИБ_омонатлар 01.11.2011 йил" xfId="258" xr:uid="{00000000-0005-0000-0000-0000FF000000}"/>
    <cellStyle name="_Кашкадарё_ОКИБ_омонатлар 01.12.2011" xfId="259" xr:uid="{00000000-0005-0000-0000-000000010000}"/>
    <cellStyle name="_Кашкадарё_омонатлар 01.09.2011 йил" xfId="260" xr:uid="{00000000-0005-0000-0000-000001010000}"/>
    <cellStyle name="_Кашкадарё_омонатлар 01.10.2011 йил" xfId="261" xr:uid="{00000000-0005-0000-0000-000002010000}"/>
    <cellStyle name="_Кашкадарё_омонатлар 01.11.2011 йил" xfId="262" xr:uid="{00000000-0005-0000-0000-000003010000}"/>
    <cellStyle name="_Кашкадарё_омонатлар 01.12.2011" xfId="263" xr:uid="{00000000-0005-0000-0000-000004010000}"/>
    <cellStyle name="_Кашкадарё_ПРОМ 2010-1чорак-жадваллар 23.03" xfId="264" xr:uid="{00000000-0005-0000-0000-000005010000}"/>
    <cellStyle name="_Кашкадарё_СВОД жадваллар-2009 6 ой" xfId="265" xr:uid="{00000000-0005-0000-0000-000006010000}"/>
    <cellStyle name="_Кашкадарё_СВОД жадваллар-2009 6 ой_омонатлар 01.09.2011 йил" xfId="266" xr:uid="{00000000-0005-0000-0000-000007010000}"/>
    <cellStyle name="_Кашкадарё_СВОД жадваллар-2009 6 ой_омонатлар 01.10.2011 йил" xfId="267" xr:uid="{00000000-0005-0000-0000-000008010000}"/>
    <cellStyle name="_Кашкадарё_СВОД жадваллар-2009 6 ой_омонатлар 01.11.2011 йил" xfId="268" xr:uid="{00000000-0005-0000-0000-000009010000}"/>
    <cellStyle name="_Кашкадарё_СВОД жадваллар-2009 6 ой_омонатлар 01.12.2011" xfId="269" xr:uid="{00000000-0005-0000-0000-00000A010000}"/>
    <cellStyle name="_Кашкадарё_Сухроб Вилоят свод" xfId="270" xr:uid="{00000000-0005-0000-0000-00000B010000}"/>
    <cellStyle name="_Кашкадарё_Сухроб Вилоят свод_омонатлар 01.09.2011 йил" xfId="271" xr:uid="{00000000-0005-0000-0000-00000C010000}"/>
    <cellStyle name="_Кашкадарё_Сухроб Вилоят свод_омонатлар 01.10.2011 йил" xfId="272" xr:uid="{00000000-0005-0000-0000-00000D010000}"/>
    <cellStyle name="_Кашкадарё_Сухроб Вилоят свод_омонатлар 01.11.2011 йил" xfId="273" xr:uid="{00000000-0005-0000-0000-00000E010000}"/>
    <cellStyle name="_Кашкадарё_Сухроб Вилоят свод_омонатлар 01.12.2011" xfId="274" xr:uid="{00000000-0005-0000-0000-00000F010000}"/>
    <cellStyle name="_кварталиктисод+" xfId="275" xr:uid="{00000000-0005-0000-0000-000010010000}"/>
    <cellStyle name="_Книга1" xfId="276" xr:uid="{00000000-0005-0000-0000-000011010000}"/>
    <cellStyle name="_Книга3" xfId="277" xr:uid="{00000000-0005-0000-0000-000012010000}"/>
    <cellStyle name="_Комплекс Дастури (24-38)" xfId="278" xr:uid="{00000000-0005-0000-0000-000013010000}"/>
    <cellStyle name="_Копия Иктисод формалари о" xfId="279" xr:uid="{00000000-0005-0000-0000-000014010000}"/>
    <cellStyle name="_Копия Иктисод формалари о_Нам дастур 2009-2012 (ўзбек)" xfId="280" xr:uid="{00000000-0005-0000-0000-000015010000}"/>
    <cellStyle name="_Лойихалар бўйича маълумот " xfId="281" xr:uid="{00000000-0005-0000-0000-000016010000}"/>
    <cellStyle name="_МОЛИЯ даромад-харажат" xfId="282" xr:uid="{00000000-0005-0000-0000-000017010000}"/>
    <cellStyle name="_МОЛИЯ даромад-харажат_омонатлар 01.09.2011 йил" xfId="283" xr:uid="{00000000-0005-0000-0000-000018010000}"/>
    <cellStyle name="_МОЛИЯ даромад-харажат_омонатлар 01.10.2011 йил" xfId="284" xr:uid="{00000000-0005-0000-0000-000019010000}"/>
    <cellStyle name="_МОЛИЯ даромад-харажат_омонатлар 01.11.2011 йил" xfId="285" xr:uid="{00000000-0005-0000-0000-00001A010000}"/>
    <cellStyle name="_МОЛИЯ даромад-харажат_омонатлар 01.12.2011" xfId="286" xr:uid="{00000000-0005-0000-0000-00001B010000}"/>
    <cellStyle name="_Наманган-1" xfId="287" xr:uid="{00000000-0005-0000-0000-00001C010000}"/>
    <cellStyle name="_Наманган-1_232 ижроси" xfId="288" xr:uid="{00000000-0005-0000-0000-00001D010000}"/>
    <cellStyle name="_Наманган-1_АХБОРОТ ТАХЛИЛГАга жадваллар (по туманам)" xfId="289" xr:uid="{00000000-0005-0000-0000-00001E010000}"/>
    <cellStyle name="_Наманган-1_АХБОРОТ ТАХЛИЛГАга жадваллар (по туманам)_омонатлар 01.09.2011 йил" xfId="290" xr:uid="{00000000-0005-0000-0000-00001F010000}"/>
    <cellStyle name="_Наманган-1_АХБОРОТ ТАХЛИЛГАга жадваллар (по туманам)_омонатлар 01.10.2011 йил" xfId="291" xr:uid="{00000000-0005-0000-0000-000020010000}"/>
    <cellStyle name="_Наманган-1_АХБОРОТ ТАХЛИЛГАга жадваллар (по туманам)_омонатлар 01.11.2011 йил" xfId="292" xr:uid="{00000000-0005-0000-0000-000021010000}"/>
    <cellStyle name="_Наманган-1_АХБОРОТ ТАХЛИЛГАга жадваллар (по туманам)_омонатлар 01.12.2011" xfId="293" xr:uid="{00000000-0005-0000-0000-000022010000}"/>
    <cellStyle name="_Наманган-1_Жадвал саноат 2009 ОХИРИ" xfId="294" xr:uid="{00000000-0005-0000-0000-000023010000}"/>
    <cellStyle name="_Наманган-1_Жадвал саноат 2009 ОХИРИ_омонатлар 01.09.2011 йил" xfId="295" xr:uid="{00000000-0005-0000-0000-000024010000}"/>
    <cellStyle name="_Наманган-1_Жадвал саноат 2009 ОХИРИ_омонатлар 01.10.2011 йил" xfId="296" xr:uid="{00000000-0005-0000-0000-000025010000}"/>
    <cellStyle name="_Наманган-1_Жадвал саноат 2009 ОХИРИ_омонатлар 01.11.2011 йил" xfId="297" xr:uid="{00000000-0005-0000-0000-000026010000}"/>
    <cellStyle name="_Наманган-1_Жадвал саноат 2009 ОХИРИ_омонатлар 01.12.2011" xfId="298" xr:uid="{00000000-0005-0000-0000-000027010000}"/>
    <cellStyle name="_Наманган-1_иктисодга" xfId="299" xr:uid="{00000000-0005-0000-0000-000028010000}"/>
    <cellStyle name="_Наманган-1_иктисодга_омонатлар 01.09.2011 йил" xfId="300" xr:uid="{00000000-0005-0000-0000-000029010000}"/>
    <cellStyle name="_Наманган-1_иктисодга_омонатлар 01.10.2011 йил" xfId="301" xr:uid="{00000000-0005-0000-0000-00002A010000}"/>
    <cellStyle name="_Наманган-1_иктисодга_омонатлар 01.11.2011 йил" xfId="302" xr:uid="{00000000-0005-0000-0000-00002B010000}"/>
    <cellStyle name="_Наманган-1_иктисодга_омонатлар 01.12.2011" xfId="303" xr:uid="{00000000-0005-0000-0000-00002C010000}"/>
    <cellStyle name="_Наманган-1_ОКИБ" xfId="304" xr:uid="{00000000-0005-0000-0000-00002D010000}"/>
    <cellStyle name="_Наманган-1_ОКИБ_омонатлар 01.09.2011 йил" xfId="305" xr:uid="{00000000-0005-0000-0000-00002E010000}"/>
    <cellStyle name="_Наманган-1_ОКИБ_омонатлар 01.10.2011 йил" xfId="306" xr:uid="{00000000-0005-0000-0000-00002F010000}"/>
    <cellStyle name="_Наманган-1_ОКИБ_омонатлар 01.11.2011 йил" xfId="307" xr:uid="{00000000-0005-0000-0000-000030010000}"/>
    <cellStyle name="_Наманган-1_ОКИБ_омонатлар 01.12.2011" xfId="308" xr:uid="{00000000-0005-0000-0000-000031010000}"/>
    <cellStyle name="_Наманган-1_омонатлар 01.09.2011 йил" xfId="309" xr:uid="{00000000-0005-0000-0000-000032010000}"/>
    <cellStyle name="_Наманган-1_омонатлар 01.10.2011 йил" xfId="310" xr:uid="{00000000-0005-0000-0000-000033010000}"/>
    <cellStyle name="_Наманган-1_омонатлар 01.11.2011 йил" xfId="311" xr:uid="{00000000-0005-0000-0000-000034010000}"/>
    <cellStyle name="_Наманган-1_омонатлар 01.12.2011" xfId="312" xr:uid="{00000000-0005-0000-0000-000035010000}"/>
    <cellStyle name="_Наманган-1_ПРОМ 2010-1чорак-жадваллар 23.03" xfId="313" xr:uid="{00000000-0005-0000-0000-000036010000}"/>
    <cellStyle name="_Наманган-1_СВОД жадваллар-2009 6 ой" xfId="314" xr:uid="{00000000-0005-0000-0000-000037010000}"/>
    <cellStyle name="_Наманган-1_СВОД жадваллар-2009 6 ой_омонатлар 01.09.2011 йил" xfId="315" xr:uid="{00000000-0005-0000-0000-000038010000}"/>
    <cellStyle name="_Наманган-1_СВОД жадваллар-2009 6 ой_омонатлар 01.10.2011 йил" xfId="316" xr:uid="{00000000-0005-0000-0000-000039010000}"/>
    <cellStyle name="_Наманган-1_СВОД жадваллар-2009 6 ой_омонатлар 01.11.2011 йил" xfId="317" xr:uid="{00000000-0005-0000-0000-00003A010000}"/>
    <cellStyle name="_Наманган-1_СВОД жадваллар-2009 6 ой_омонатлар 01.12.2011" xfId="318" xr:uid="{00000000-0005-0000-0000-00003B010000}"/>
    <cellStyle name="_Наманган-1_Сухроб Вилоят свод" xfId="319" xr:uid="{00000000-0005-0000-0000-00003C010000}"/>
    <cellStyle name="_Наманган-1_Сухроб Вилоят свод_омонатлар 01.09.2011 йил" xfId="320" xr:uid="{00000000-0005-0000-0000-00003D010000}"/>
    <cellStyle name="_Наманган-1_Сухроб Вилоят свод_омонатлар 01.10.2011 йил" xfId="321" xr:uid="{00000000-0005-0000-0000-00003E010000}"/>
    <cellStyle name="_Наманган-1_Сухроб Вилоят свод_омонатлар 01.11.2011 йил" xfId="322" xr:uid="{00000000-0005-0000-0000-00003F010000}"/>
    <cellStyle name="_Наманган-1_Сухроб Вилоят свод_омонатлар 01.12.2011" xfId="323" xr:uid="{00000000-0005-0000-0000-000040010000}"/>
    <cellStyle name="_ПП-1050 формы" xfId="324" xr:uid="{00000000-0005-0000-0000-000041010000}"/>
    <cellStyle name="_Самар_анд" xfId="325" xr:uid="{00000000-0005-0000-0000-000042010000}"/>
    <cellStyle name="_Самар_анд_232 ижроси" xfId="326" xr:uid="{00000000-0005-0000-0000-000043010000}"/>
    <cellStyle name="_Самар_анд_АХБОРОТ ТАХЛИЛГАга жадваллар (по туманам)" xfId="327" xr:uid="{00000000-0005-0000-0000-000044010000}"/>
    <cellStyle name="_Самар_анд_АХБОРОТ ТАХЛИЛГАга жадваллар (по туманам)_омонатлар 01.09.2011 йил" xfId="328" xr:uid="{00000000-0005-0000-0000-000045010000}"/>
    <cellStyle name="_Самар_анд_АХБОРОТ ТАХЛИЛГАга жадваллар (по туманам)_омонатлар 01.10.2011 йил" xfId="329" xr:uid="{00000000-0005-0000-0000-000046010000}"/>
    <cellStyle name="_Самар_анд_АХБОРОТ ТАХЛИЛГАга жадваллар (по туманам)_омонатлар 01.11.2011 йил" xfId="330" xr:uid="{00000000-0005-0000-0000-000047010000}"/>
    <cellStyle name="_Самар_анд_АХБОРОТ ТАХЛИЛГАга жадваллар (по туманам)_омонатлар 01.12.2011" xfId="331" xr:uid="{00000000-0005-0000-0000-000048010000}"/>
    <cellStyle name="_Самар_анд_Жадвал саноат 2009 ОХИРИ" xfId="332" xr:uid="{00000000-0005-0000-0000-000049010000}"/>
    <cellStyle name="_Самар_анд_Жадвал саноат 2009 ОХИРИ_омонатлар 01.09.2011 йил" xfId="333" xr:uid="{00000000-0005-0000-0000-00004A010000}"/>
    <cellStyle name="_Самар_анд_Жадвал саноат 2009 ОХИРИ_омонатлар 01.10.2011 йил" xfId="334" xr:uid="{00000000-0005-0000-0000-00004B010000}"/>
    <cellStyle name="_Самар_анд_Жадвал саноат 2009 ОХИРИ_омонатлар 01.11.2011 йил" xfId="335" xr:uid="{00000000-0005-0000-0000-00004C010000}"/>
    <cellStyle name="_Самар_анд_Жадвал саноат 2009 ОХИРИ_омонатлар 01.12.2011" xfId="336" xr:uid="{00000000-0005-0000-0000-00004D010000}"/>
    <cellStyle name="_Самар_анд_иктисодга" xfId="337" xr:uid="{00000000-0005-0000-0000-00004E010000}"/>
    <cellStyle name="_Самар_анд_иктисодга_омонатлар 01.09.2011 йил" xfId="338" xr:uid="{00000000-0005-0000-0000-00004F010000}"/>
    <cellStyle name="_Самар_анд_иктисодга_омонатлар 01.10.2011 йил" xfId="339" xr:uid="{00000000-0005-0000-0000-000050010000}"/>
    <cellStyle name="_Самар_анд_иктисодга_омонатлар 01.11.2011 йил" xfId="340" xr:uid="{00000000-0005-0000-0000-000051010000}"/>
    <cellStyle name="_Самар_анд_иктисодга_омонатлар 01.12.2011" xfId="341" xr:uid="{00000000-0005-0000-0000-000052010000}"/>
    <cellStyle name="_Самар_анд_ОКИБ" xfId="342" xr:uid="{00000000-0005-0000-0000-000053010000}"/>
    <cellStyle name="_Самар_анд_ОКИБ_омонатлар 01.09.2011 йил" xfId="343" xr:uid="{00000000-0005-0000-0000-000054010000}"/>
    <cellStyle name="_Самар_анд_ОКИБ_омонатлар 01.10.2011 йил" xfId="344" xr:uid="{00000000-0005-0000-0000-000055010000}"/>
    <cellStyle name="_Самар_анд_ОКИБ_омонатлар 01.11.2011 йил" xfId="345" xr:uid="{00000000-0005-0000-0000-000056010000}"/>
    <cellStyle name="_Самар_анд_ОКИБ_омонатлар 01.12.2011" xfId="346" xr:uid="{00000000-0005-0000-0000-000057010000}"/>
    <cellStyle name="_Самар_анд_омонатлар 01.09.2011 йил" xfId="347" xr:uid="{00000000-0005-0000-0000-000058010000}"/>
    <cellStyle name="_Самар_анд_омонатлар 01.10.2011 йил" xfId="348" xr:uid="{00000000-0005-0000-0000-000059010000}"/>
    <cellStyle name="_Самар_анд_омонатлар 01.11.2011 йил" xfId="349" xr:uid="{00000000-0005-0000-0000-00005A010000}"/>
    <cellStyle name="_Самар_анд_омонатлар 01.12.2011" xfId="350" xr:uid="{00000000-0005-0000-0000-00005B010000}"/>
    <cellStyle name="_Самар_анд_ПРОМ 2010-1чорак-жадваллар 23.03" xfId="351" xr:uid="{00000000-0005-0000-0000-00005C010000}"/>
    <cellStyle name="_Самар_анд_СВОД жадваллар-2009 6 ой" xfId="352" xr:uid="{00000000-0005-0000-0000-00005D010000}"/>
    <cellStyle name="_Самар_анд_СВОД жадваллар-2009 6 ой_омонатлар 01.09.2011 йил" xfId="353" xr:uid="{00000000-0005-0000-0000-00005E010000}"/>
    <cellStyle name="_Самар_анд_СВОД жадваллар-2009 6 ой_омонатлар 01.10.2011 йил" xfId="354" xr:uid="{00000000-0005-0000-0000-00005F010000}"/>
    <cellStyle name="_Самар_анд_СВОД жадваллар-2009 6 ой_омонатлар 01.11.2011 йил" xfId="355" xr:uid="{00000000-0005-0000-0000-000060010000}"/>
    <cellStyle name="_Самар_анд_СВОД жадваллар-2009 6 ой_омонатлар 01.12.2011" xfId="356" xr:uid="{00000000-0005-0000-0000-000061010000}"/>
    <cellStyle name="_Самар_анд_Сухроб Вилоят свод" xfId="357" xr:uid="{00000000-0005-0000-0000-000062010000}"/>
    <cellStyle name="_Самар_анд_Сухроб Вилоят свод_омонатлар 01.09.2011 йил" xfId="358" xr:uid="{00000000-0005-0000-0000-000063010000}"/>
    <cellStyle name="_Самар_анд_Сухроб Вилоят свод_омонатлар 01.10.2011 йил" xfId="359" xr:uid="{00000000-0005-0000-0000-000064010000}"/>
    <cellStyle name="_Самар_анд_Сухроб Вилоят свод_омонатлар 01.11.2011 йил" xfId="360" xr:uid="{00000000-0005-0000-0000-000065010000}"/>
    <cellStyle name="_Самар_анд_Сухроб Вилоят свод_омонатлар 01.12.2011" xfId="361" xr:uid="{00000000-0005-0000-0000-000066010000}"/>
    <cellStyle name="_Сирдарё" xfId="362" xr:uid="{00000000-0005-0000-0000-000067010000}"/>
    <cellStyle name="_Сирдарё_232 ижроси" xfId="363" xr:uid="{00000000-0005-0000-0000-000068010000}"/>
    <cellStyle name="_Сирдарё_АХБОРОТ ТАХЛИЛГАга жадваллар (по туманам)" xfId="364" xr:uid="{00000000-0005-0000-0000-000069010000}"/>
    <cellStyle name="_Сирдарё_АХБОРОТ ТАХЛИЛГАга жадваллар (по туманам)_омонатлар 01.09.2011 йил" xfId="365" xr:uid="{00000000-0005-0000-0000-00006A010000}"/>
    <cellStyle name="_Сирдарё_АХБОРОТ ТАХЛИЛГАга жадваллар (по туманам)_омонатлар 01.10.2011 йил" xfId="366" xr:uid="{00000000-0005-0000-0000-00006B010000}"/>
    <cellStyle name="_Сирдарё_АХБОРОТ ТАХЛИЛГАга жадваллар (по туманам)_омонатлар 01.11.2011 йил" xfId="367" xr:uid="{00000000-0005-0000-0000-00006C010000}"/>
    <cellStyle name="_Сирдарё_АХБОРОТ ТАХЛИЛГАга жадваллар (по туманам)_омонатлар 01.12.2011" xfId="368" xr:uid="{00000000-0005-0000-0000-00006D010000}"/>
    <cellStyle name="_Сирдарё_Жадвал саноат 2009 ОХИРИ" xfId="369" xr:uid="{00000000-0005-0000-0000-00006E010000}"/>
    <cellStyle name="_Сирдарё_Жадвал саноат 2009 ОХИРИ_омонатлар 01.09.2011 йил" xfId="370" xr:uid="{00000000-0005-0000-0000-00006F010000}"/>
    <cellStyle name="_Сирдарё_Жадвал саноат 2009 ОХИРИ_омонатлар 01.10.2011 йил" xfId="371" xr:uid="{00000000-0005-0000-0000-000070010000}"/>
    <cellStyle name="_Сирдарё_Жадвал саноат 2009 ОХИРИ_омонатлар 01.11.2011 йил" xfId="372" xr:uid="{00000000-0005-0000-0000-000071010000}"/>
    <cellStyle name="_Сирдарё_Жадвал саноат 2009 ОХИРИ_омонатлар 01.12.2011" xfId="373" xr:uid="{00000000-0005-0000-0000-000072010000}"/>
    <cellStyle name="_Сирдарё_иктисодга" xfId="374" xr:uid="{00000000-0005-0000-0000-000073010000}"/>
    <cellStyle name="_Сирдарё_иктисодга_омонатлар 01.09.2011 йил" xfId="375" xr:uid="{00000000-0005-0000-0000-000074010000}"/>
    <cellStyle name="_Сирдарё_иктисодга_омонатлар 01.10.2011 йил" xfId="376" xr:uid="{00000000-0005-0000-0000-000075010000}"/>
    <cellStyle name="_Сирдарё_иктисодга_омонатлар 01.11.2011 йил" xfId="377" xr:uid="{00000000-0005-0000-0000-000076010000}"/>
    <cellStyle name="_Сирдарё_иктисодга_омонатлар 01.12.2011" xfId="378" xr:uid="{00000000-0005-0000-0000-000077010000}"/>
    <cellStyle name="_Сирдарё_ОКИБ" xfId="379" xr:uid="{00000000-0005-0000-0000-000078010000}"/>
    <cellStyle name="_Сирдарё_ОКИБ_омонатлар 01.09.2011 йил" xfId="380" xr:uid="{00000000-0005-0000-0000-000079010000}"/>
    <cellStyle name="_Сирдарё_ОКИБ_омонатлар 01.10.2011 йил" xfId="381" xr:uid="{00000000-0005-0000-0000-00007A010000}"/>
    <cellStyle name="_Сирдарё_ОКИБ_омонатлар 01.11.2011 йил" xfId="382" xr:uid="{00000000-0005-0000-0000-00007B010000}"/>
    <cellStyle name="_Сирдарё_ОКИБ_омонатлар 01.12.2011" xfId="383" xr:uid="{00000000-0005-0000-0000-00007C010000}"/>
    <cellStyle name="_Сирдарё_омонатлар 01.09.2011 йил" xfId="384" xr:uid="{00000000-0005-0000-0000-00007D010000}"/>
    <cellStyle name="_Сирдарё_омонатлар 01.10.2011 йил" xfId="385" xr:uid="{00000000-0005-0000-0000-00007E010000}"/>
    <cellStyle name="_Сирдарё_омонатлар 01.11.2011 йил" xfId="386" xr:uid="{00000000-0005-0000-0000-00007F010000}"/>
    <cellStyle name="_Сирдарё_омонатлар 01.12.2011" xfId="387" xr:uid="{00000000-0005-0000-0000-000080010000}"/>
    <cellStyle name="_Сирдарё_ПРОМ 2010-1чорак-жадваллар 23.03" xfId="388" xr:uid="{00000000-0005-0000-0000-000081010000}"/>
    <cellStyle name="_Сирдарё_СВОД жадваллар-2009 6 ой" xfId="389" xr:uid="{00000000-0005-0000-0000-000082010000}"/>
    <cellStyle name="_Сирдарё_СВОД жадваллар-2009 6 ой_омонатлар 01.09.2011 йил" xfId="390" xr:uid="{00000000-0005-0000-0000-000083010000}"/>
    <cellStyle name="_Сирдарё_СВОД жадваллар-2009 6 ой_омонатлар 01.10.2011 йил" xfId="391" xr:uid="{00000000-0005-0000-0000-000084010000}"/>
    <cellStyle name="_Сирдарё_СВОД жадваллар-2009 6 ой_омонатлар 01.11.2011 йил" xfId="392" xr:uid="{00000000-0005-0000-0000-000085010000}"/>
    <cellStyle name="_Сирдарё_СВОД жадваллар-2009 6 ой_омонатлар 01.12.2011" xfId="393" xr:uid="{00000000-0005-0000-0000-000086010000}"/>
    <cellStyle name="_Сирдарё_Сухроб Вилоят свод" xfId="394" xr:uid="{00000000-0005-0000-0000-000087010000}"/>
    <cellStyle name="_Сирдарё_Сухроб Вилоят свод_омонатлар 01.09.2011 йил" xfId="395" xr:uid="{00000000-0005-0000-0000-000088010000}"/>
    <cellStyle name="_Сирдарё_Сухроб Вилоят свод_омонатлар 01.10.2011 йил" xfId="396" xr:uid="{00000000-0005-0000-0000-000089010000}"/>
    <cellStyle name="_Сирдарё_Сухроб Вилоят свод_омонатлар 01.11.2011 йил" xfId="397" xr:uid="{00000000-0005-0000-0000-00008A010000}"/>
    <cellStyle name="_Сирдарё_Сухроб Вилоят свод_омонатлар 01.12.2011" xfId="398" xr:uid="{00000000-0005-0000-0000-00008B010000}"/>
    <cellStyle name="_Сурхондарё " xfId="399" xr:uid="{00000000-0005-0000-0000-00008C010000}"/>
    <cellStyle name="_Сурхондарё _232 ижроси" xfId="400" xr:uid="{00000000-0005-0000-0000-00008D010000}"/>
    <cellStyle name="_Сурхондарё _АХБОРОТ ТАХЛИЛГАга жадваллар (по туманам)" xfId="401" xr:uid="{00000000-0005-0000-0000-00008E010000}"/>
    <cellStyle name="_Сурхондарё _АХБОРОТ ТАХЛИЛГАга жадваллар (по туманам)_омонатлар 01.09.2011 йил" xfId="402" xr:uid="{00000000-0005-0000-0000-00008F010000}"/>
    <cellStyle name="_Сурхондарё _АХБОРОТ ТАХЛИЛГАга жадваллар (по туманам)_омонатлар 01.10.2011 йил" xfId="403" xr:uid="{00000000-0005-0000-0000-000090010000}"/>
    <cellStyle name="_Сурхондарё _АХБОРОТ ТАХЛИЛГАга жадваллар (по туманам)_омонатлар 01.11.2011 йил" xfId="404" xr:uid="{00000000-0005-0000-0000-000091010000}"/>
    <cellStyle name="_Сурхондарё _АХБОРОТ ТАХЛИЛГАга жадваллар (по туманам)_омонатлар 01.12.2011" xfId="405" xr:uid="{00000000-0005-0000-0000-000092010000}"/>
    <cellStyle name="_Сурхондарё _Жадвал саноат 2009 ОХИРИ" xfId="406" xr:uid="{00000000-0005-0000-0000-000093010000}"/>
    <cellStyle name="_Сурхондарё _Жадвал саноат 2009 ОХИРИ_омонатлар 01.09.2011 йил" xfId="407" xr:uid="{00000000-0005-0000-0000-000094010000}"/>
    <cellStyle name="_Сурхондарё _Жадвал саноат 2009 ОХИРИ_омонатлар 01.10.2011 йил" xfId="408" xr:uid="{00000000-0005-0000-0000-000095010000}"/>
    <cellStyle name="_Сурхондарё _Жадвал саноат 2009 ОХИРИ_омонатлар 01.11.2011 йил" xfId="409" xr:uid="{00000000-0005-0000-0000-000096010000}"/>
    <cellStyle name="_Сурхондарё _Жадвал саноат 2009 ОХИРИ_омонатлар 01.12.2011" xfId="410" xr:uid="{00000000-0005-0000-0000-000097010000}"/>
    <cellStyle name="_Сурхондарё _иктисодга" xfId="411" xr:uid="{00000000-0005-0000-0000-000098010000}"/>
    <cellStyle name="_Сурхондарё _иктисодга_омонатлар 01.09.2011 йил" xfId="412" xr:uid="{00000000-0005-0000-0000-000099010000}"/>
    <cellStyle name="_Сурхондарё _иктисодга_омонатлар 01.10.2011 йил" xfId="413" xr:uid="{00000000-0005-0000-0000-00009A010000}"/>
    <cellStyle name="_Сурхондарё _иктисодга_омонатлар 01.11.2011 йил" xfId="414" xr:uid="{00000000-0005-0000-0000-00009B010000}"/>
    <cellStyle name="_Сурхондарё _иктисодга_омонатлар 01.12.2011" xfId="415" xr:uid="{00000000-0005-0000-0000-00009C010000}"/>
    <cellStyle name="_Сурхондарё _ОКИБ" xfId="416" xr:uid="{00000000-0005-0000-0000-00009D010000}"/>
    <cellStyle name="_Сурхондарё _ОКИБ_омонатлар 01.09.2011 йил" xfId="417" xr:uid="{00000000-0005-0000-0000-00009E010000}"/>
    <cellStyle name="_Сурхондарё _ОКИБ_омонатлар 01.10.2011 йил" xfId="418" xr:uid="{00000000-0005-0000-0000-00009F010000}"/>
    <cellStyle name="_Сурхондарё _ОКИБ_омонатлар 01.11.2011 йил" xfId="419" xr:uid="{00000000-0005-0000-0000-0000A0010000}"/>
    <cellStyle name="_Сурхондарё _ОКИБ_омонатлар 01.12.2011" xfId="420" xr:uid="{00000000-0005-0000-0000-0000A1010000}"/>
    <cellStyle name="_Сурхондарё _омонатлар 01.09.2011 йил" xfId="421" xr:uid="{00000000-0005-0000-0000-0000A2010000}"/>
    <cellStyle name="_Сурхондарё _омонатлар 01.10.2011 йил" xfId="422" xr:uid="{00000000-0005-0000-0000-0000A3010000}"/>
    <cellStyle name="_Сурхондарё _омонатлар 01.11.2011 йил" xfId="423" xr:uid="{00000000-0005-0000-0000-0000A4010000}"/>
    <cellStyle name="_Сурхондарё _омонатлар 01.12.2011" xfId="424" xr:uid="{00000000-0005-0000-0000-0000A5010000}"/>
    <cellStyle name="_Сурхондарё _ПРОМ 2010-1чорак-жадваллар 23.03" xfId="425" xr:uid="{00000000-0005-0000-0000-0000A6010000}"/>
    <cellStyle name="_Сурхондарё _СВОД жадваллар-2009 6 ой" xfId="426" xr:uid="{00000000-0005-0000-0000-0000A7010000}"/>
    <cellStyle name="_Сурхондарё _СВОД жадваллар-2009 6 ой_омонатлар 01.09.2011 йил" xfId="427" xr:uid="{00000000-0005-0000-0000-0000A8010000}"/>
    <cellStyle name="_Сурхондарё _СВОД жадваллар-2009 6 ой_омонатлар 01.10.2011 йил" xfId="428" xr:uid="{00000000-0005-0000-0000-0000A9010000}"/>
    <cellStyle name="_Сурхондарё _СВОД жадваллар-2009 6 ой_омонатлар 01.11.2011 йил" xfId="429" xr:uid="{00000000-0005-0000-0000-0000AA010000}"/>
    <cellStyle name="_Сурхондарё _СВОД жадваллар-2009 6 ой_омонатлар 01.12.2011" xfId="430" xr:uid="{00000000-0005-0000-0000-0000AB010000}"/>
    <cellStyle name="_Сурхондарё _Сухроб Вилоят свод" xfId="431" xr:uid="{00000000-0005-0000-0000-0000AC010000}"/>
    <cellStyle name="_Сурхондарё _Сухроб Вилоят свод_омонатлар 01.09.2011 йил" xfId="432" xr:uid="{00000000-0005-0000-0000-0000AD010000}"/>
    <cellStyle name="_Сурхондарё _Сухроб Вилоят свод_омонатлар 01.10.2011 йил" xfId="433" xr:uid="{00000000-0005-0000-0000-0000AE010000}"/>
    <cellStyle name="_Сурхондарё _Сухроб Вилоят свод_омонатлар 01.11.2011 йил" xfId="434" xr:uid="{00000000-0005-0000-0000-0000AF010000}"/>
    <cellStyle name="_Сурхондарё _Сухроб Вилоят свод_омонатлар 01.12.2011" xfId="435" xr:uid="{00000000-0005-0000-0000-0000B0010000}"/>
    <cellStyle name="_Сухроб Вилоят свод" xfId="436" xr:uid="{00000000-0005-0000-0000-0000B1010000}"/>
    <cellStyle name="_Таблица 6 (Локализация)" xfId="437" xr:uid="{00000000-0005-0000-0000-0000B2010000}"/>
    <cellStyle name="_Тошкент в." xfId="438" xr:uid="{00000000-0005-0000-0000-0000B3010000}"/>
    <cellStyle name="_Тошкент в._омонатлар 01.09.2011 йил" xfId="439" xr:uid="{00000000-0005-0000-0000-0000B4010000}"/>
    <cellStyle name="_Тошкент в._омонатлар 01.10.2011 йил" xfId="440" xr:uid="{00000000-0005-0000-0000-0000B5010000}"/>
    <cellStyle name="_Тошкент в._омонатлар 01.11.2011 йил" xfId="441" xr:uid="{00000000-0005-0000-0000-0000B6010000}"/>
    <cellStyle name="_Тошкент в._омонатлар 01.12.2011" xfId="442" xr:uid="{00000000-0005-0000-0000-0000B7010000}"/>
    <cellStyle name="_Тошкент в._СВОД - 2011 туман (шахар) дастури" xfId="443" xr:uid="{00000000-0005-0000-0000-0000B8010000}"/>
    <cellStyle name="_учта туман буйича касана" xfId="444" xr:uid="{00000000-0005-0000-0000-0000B9010000}"/>
    <cellStyle name="_Фаолият" xfId="445" xr:uid="{00000000-0005-0000-0000-0000BA010000}"/>
    <cellStyle name="_Фаолият_67 та жадвал №2" xfId="446" xr:uid="{00000000-0005-0000-0000-0000BB010000}"/>
    <cellStyle name="_Фаолият_67 талик жадвал-Иктисод №1" xfId="447" xr:uid="{00000000-0005-0000-0000-0000BC010000}"/>
    <cellStyle name="_Фаолият_БАЖАРИЛИШИ 1-май" xfId="448" xr:uid="{00000000-0005-0000-0000-0000BD010000}"/>
    <cellStyle name="_Фаолият_БАЖАРИЛИШИ 1-май_омонатлар 01.09.2011 йил" xfId="449" xr:uid="{00000000-0005-0000-0000-0000BE010000}"/>
    <cellStyle name="_Фаолият_БАЖАРИЛИШИ 1-май_омонатлар 01.10.2011 йил" xfId="450" xr:uid="{00000000-0005-0000-0000-0000BF010000}"/>
    <cellStyle name="_Фаолият_БАЖАРИЛИШИ 1-май_омонатлар 01.11.2011 йил" xfId="451" xr:uid="{00000000-0005-0000-0000-0000C0010000}"/>
    <cellStyle name="_Фаолият_БАЖАРИЛИШИ 1-май_омонатлар 01.12.2011" xfId="452" xr:uid="{00000000-0005-0000-0000-0000C1010000}"/>
    <cellStyle name="_Фаолият_Бобир учун 67 талик жадвал-Иктисод" xfId="453" xr:uid="{00000000-0005-0000-0000-0000C2010000}"/>
    <cellStyle name="_Фаолият_иктисодга" xfId="454" xr:uid="{00000000-0005-0000-0000-0000C3010000}"/>
    <cellStyle name="_Фаолият_иктисодга_омонатлар 01.09.2011 йил" xfId="455" xr:uid="{00000000-0005-0000-0000-0000C4010000}"/>
    <cellStyle name="_Фаолият_иктисодга_омонатлар 01.10.2011 йил" xfId="456" xr:uid="{00000000-0005-0000-0000-0000C5010000}"/>
    <cellStyle name="_Фаолият_иктисодга_омонатлар 01.11.2011 йил" xfId="457" xr:uid="{00000000-0005-0000-0000-0000C6010000}"/>
    <cellStyle name="_Фаолият_иктисодга_омонатлар 01.12.2011" xfId="458" xr:uid="{00000000-0005-0000-0000-0000C7010000}"/>
    <cellStyle name="_Фаолият_Касаначи 4 ой" xfId="459" xr:uid="{00000000-0005-0000-0000-0000C8010000}"/>
    <cellStyle name="_Фаолият_қишлоқ таррақиёти 82 банд тўлиқ" xfId="460" xr:uid="{00000000-0005-0000-0000-0000C9010000}"/>
    <cellStyle name="_Фаолият_қишлоқ таррақиёти 82 банд тўлиқ_омонатлар 01.09.2011 йил" xfId="461" xr:uid="{00000000-0005-0000-0000-0000CA010000}"/>
    <cellStyle name="_Фаолият_қишлоқ таррақиёти 82 банд тўлиқ_омонатлар 01.10.2011 йил" xfId="462" xr:uid="{00000000-0005-0000-0000-0000CB010000}"/>
    <cellStyle name="_Фаолият_қишлоқ таррақиёти 82 банд тўлиқ_омонатлар 01.11.2011 йил" xfId="463" xr:uid="{00000000-0005-0000-0000-0000CC010000}"/>
    <cellStyle name="_Фаолият_қишлоқ таррақиёти 82 банд тўлиқ_омонатлар 01.12.2011" xfId="464" xr:uid="{00000000-0005-0000-0000-0000CD010000}"/>
    <cellStyle name="_Фаолият_омонатлар 01.09.2011 йил" xfId="465" xr:uid="{00000000-0005-0000-0000-0000CE010000}"/>
    <cellStyle name="_Фаолият_омонатлар 01.10.2011 йил" xfId="466" xr:uid="{00000000-0005-0000-0000-0000CF010000}"/>
    <cellStyle name="_Фаолият_омонатлар 01.11.2011 йил" xfId="467" xr:uid="{00000000-0005-0000-0000-0000D0010000}"/>
    <cellStyle name="_Фаолият_омонатлар 01.12.2011" xfId="468" xr:uid="{00000000-0005-0000-0000-0000D1010000}"/>
    <cellStyle name="_Фаолият_СВОД жадваллар-2009 6 ой" xfId="469" xr:uid="{00000000-0005-0000-0000-0000D2010000}"/>
    <cellStyle name="_Фаолият_СВОД жадваллар-2009 6 ой_омонатлар 01.09.2011 йил" xfId="470" xr:uid="{00000000-0005-0000-0000-0000D3010000}"/>
    <cellStyle name="_Фаолият_СВОД жадваллар-2009 6 ой_омонатлар 01.10.2011 йил" xfId="471" xr:uid="{00000000-0005-0000-0000-0000D4010000}"/>
    <cellStyle name="_Фаолият_СВОД жадваллар-2009 6 ой_омонатлар 01.11.2011 йил" xfId="472" xr:uid="{00000000-0005-0000-0000-0000D5010000}"/>
    <cellStyle name="_Фаолият_СВОД жадваллар-2009 6 ой_омонатлар 01.12.2011" xfId="473" xr:uid="{00000000-0005-0000-0000-0000D6010000}"/>
    <cellStyle name="_Фаолият_Сухроб Вилоят свод" xfId="474" xr:uid="{00000000-0005-0000-0000-0000D7010000}"/>
    <cellStyle name="_Фаолият_Сухроб Вилоят свод_омонатлар 01.09.2011 йил" xfId="475" xr:uid="{00000000-0005-0000-0000-0000D8010000}"/>
    <cellStyle name="_Фаолият_Сухроб Вилоят свод_омонатлар 01.10.2011 йил" xfId="476" xr:uid="{00000000-0005-0000-0000-0000D9010000}"/>
    <cellStyle name="_Фаолият_Сухроб Вилоят свод_омонатлар 01.11.2011 йил" xfId="477" xr:uid="{00000000-0005-0000-0000-0000DA010000}"/>
    <cellStyle name="_Фаолият_Сухроб Вилоят свод_омонатлар 01.12.2011" xfId="478" xr:uid="{00000000-0005-0000-0000-0000DB010000}"/>
    <cellStyle name="_Фаолият_учта туман буйича касана" xfId="479" xr:uid="{00000000-0005-0000-0000-0000DC010000}"/>
    <cellStyle name="_Фаолият_ЯИЎ-сервис" xfId="480" xr:uid="{00000000-0005-0000-0000-0000DD010000}"/>
    <cellStyle name="_Фаолият_ЯИЎ-сервис_омонатлар 01.09.2011 йил" xfId="481" xr:uid="{00000000-0005-0000-0000-0000DE010000}"/>
    <cellStyle name="_Фаолият_ЯИЎ-сервис_омонатлар 01.10.2011 йил" xfId="482" xr:uid="{00000000-0005-0000-0000-0000DF010000}"/>
    <cellStyle name="_Фаолият_ЯИЎ-сервис_омонатлар 01.11.2011 йил" xfId="483" xr:uid="{00000000-0005-0000-0000-0000E0010000}"/>
    <cellStyle name="_Фаолият_ЯИЎ-сервис_омонатлар 01.12.2011" xfId="484" xr:uid="{00000000-0005-0000-0000-0000E1010000}"/>
    <cellStyle name="_Фарғона" xfId="485" xr:uid="{00000000-0005-0000-0000-0000E2010000}"/>
    <cellStyle name="_Фарғона_омонатлар 01.09.2011 йил" xfId="486" xr:uid="{00000000-0005-0000-0000-0000E3010000}"/>
    <cellStyle name="_Фарғона_омонатлар 01.10.2011 йил" xfId="487" xr:uid="{00000000-0005-0000-0000-0000E4010000}"/>
    <cellStyle name="_Фарғона_омонатлар 01.11.2011 йил" xfId="488" xr:uid="{00000000-0005-0000-0000-0000E5010000}"/>
    <cellStyle name="_Фарғона_омонатлар 01.12.2011" xfId="489" xr:uid="{00000000-0005-0000-0000-0000E6010000}"/>
    <cellStyle name="_Фарғона_СВОД - 2011 туман (шахар) дастури" xfId="490" xr:uid="{00000000-0005-0000-0000-0000E7010000}"/>
    <cellStyle name="_Хокимиятга 01.03.2009й" xfId="491" xr:uid="{00000000-0005-0000-0000-0000E8010000}"/>
    <cellStyle name="_Хоразм" xfId="492" xr:uid="{00000000-0005-0000-0000-0000E9010000}"/>
    <cellStyle name="_Хоразм_232 ижроси" xfId="493" xr:uid="{00000000-0005-0000-0000-0000EA010000}"/>
    <cellStyle name="_Хоразм_АХБОРОТ ТАХЛИЛГАга жадваллар (по туманам)" xfId="494" xr:uid="{00000000-0005-0000-0000-0000EB010000}"/>
    <cellStyle name="_Хоразм_АХБОРОТ ТАХЛИЛГАга жадваллар (по туманам)_омонатлар 01.09.2011 йил" xfId="495" xr:uid="{00000000-0005-0000-0000-0000EC010000}"/>
    <cellStyle name="_Хоразм_АХБОРОТ ТАХЛИЛГАга жадваллар (по туманам)_омонатлар 01.10.2011 йил" xfId="496" xr:uid="{00000000-0005-0000-0000-0000ED010000}"/>
    <cellStyle name="_Хоразм_АХБОРОТ ТАХЛИЛГАга жадваллар (по туманам)_омонатлар 01.11.2011 йил" xfId="497" xr:uid="{00000000-0005-0000-0000-0000EE010000}"/>
    <cellStyle name="_Хоразм_АХБОРОТ ТАХЛИЛГАга жадваллар (по туманам)_омонатлар 01.12.2011" xfId="498" xr:uid="{00000000-0005-0000-0000-0000EF010000}"/>
    <cellStyle name="_Хоразм_Жадвал саноат 2009 ОХИРИ" xfId="499" xr:uid="{00000000-0005-0000-0000-0000F0010000}"/>
    <cellStyle name="_Хоразм_Жадвал саноат 2009 ОХИРИ_омонатлар 01.09.2011 йил" xfId="500" xr:uid="{00000000-0005-0000-0000-0000F1010000}"/>
    <cellStyle name="_Хоразм_Жадвал саноат 2009 ОХИРИ_омонатлар 01.10.2011 йил" xfId="501" xr:uid="{00000000-0005-0000-0000-0000F2010000}"/>
    <cellStyle name="_Хоразм_Жадвал саноат 2009 ОХИРИ_омонатлар 01.11.2011 йил" xfId="502" xr:uid="{00000000-0005-0000-0000-0000F3010000}"/>
    <cellStyle name="_Хоразм_Жадвал саноат 2009 ОХИРИ_омонатлар 01.12.2011" xfId="503" xr:uid="{00000000-0005-0000-0000-0000F4010000}"/>
    <cellStyle name="_Хоразм_иктисодга" xfId="504" xr:uid="{00000000-0005-0000-0000-0000F5010000}"/>
    <cellStyle name="_Хоразм_иктисодга_омонатлар 01.09.2011 йил" xfId="505" xr:uid="{00000000-0005-0000-0000-0000F6010000}"/>
    <cellStyle name="_Хоразм_иктисодга_омонатлар 01.10.2011 йил" xfId="506" xr:uid="{00000000-0005-0000-0000-0000F7010000}"/>
    <cellStyle name="_Хоразм_иктисодга_омонатлар 01.11.2011 йил" xfId="507" xr:uid="{00000000-0005-0000-0000-0000F8010000}"/>
    <cellStyle name="_Хоразм_иктисодга_омонатлар 01.12.2011" xfId="508" xr:uid="{00000000-0005-0000-0000-0000F9010000}"/>
    <cellStyle name="_Хоразм_ОКИБ" xfId="509" xr:uid="{00000000-0005-0000-0000-0000FA010000}"/>
    <cellStyle name="_Хоразм_ОКИБ_омонатлар 01.09.2011 йил" xfId="510" xr:uid="{00000000-0005-0000-0000-0000FB010000}"/>
    <cellStyle name="_Хоразм_ОКИБ_омонатлар 01.10.2011 йил" xfId="511" xr:uid="{00000000-0005-0000-0000-0000FC010000}"/>
    <cellStyle name="_Хоразм_ОКИБ_омонатлар 01.11.2011 йил" xfId="512" xr:uid="{00000000-0005-0000-0000-0000FD010000}"/>
    <cellStyle name="_Хоразм_ОКИБ_омонатлар 01.12.2011" xfId="513" xr:uid="{00000000-0005-0000-0000-0000FE010000}"/>
    <cellStyle name="_Хоразм_омонатлар 01.09.2011 йил" xfId="514" xr:uid="{00000000-0005-0000-0000-0000FF010000}"/>
    <cellStyle name="_Хоразм_омонатлар 01.10.2011 йил" xfId="515" xr:uid="{00000000-0005-0000-0000-000000020000}"/>
    <cellStyle name="_Хоразм_омонатлар 01.11.2011 йил" xfId="516" xr:uid="{00000000-0005-0000-0000-000001020000}"/>
    <cellStyle name="_Хоразм_омонатлар 01.12.2011" xfId="517" xr:uid="{00000000-0005-0000-0000-000002020000}"/>
    <cellStyle name="_Хоразм_ПРОМ 2010-1чорак-жадваллар 23.03" xfId="518" xr:uid="{00000000-0005-0000-0000-000003020000}"/>
    <cellStyle name="_Хоразм_СВОД жадваллар-2009 6 ой" xfId="519" xr:uid="{00000000-0005-0000-0000-000004020000}"/>
    <cellStyle name="_Хоразм_СВОД жадваллар-2009 6 ой_омонатлар 01.09.2011 йил" xfId="520" xr:uid="{00000000-0005-0000-0000-000005020000}"/>
    <cellStyle name="_Хоразм_СВОД жадваллар-2009 6 ой_омонатлар 01.10.2011 йил" xfId="521" xr:uid="{00000000-0005-0000-0000-000006020000}"/>
    <cellStyle name="_Хоразм_СВОД жадваллар-2009 6 ой_омонатлар 01.11.2011 йил" xfId="522" xr:uid="{00000000-0005-0000-0000-000007020000}"/>
    <cellStyle name="_Хоразм_СВОД жадваллар-2009 6 ой_омонатлар 01.12.2011" xfId="523" xr:uid="{00000000-0005-0000-0000-000008020000}"/>
    <cellStyle name="_Хоразм_Сухроб Вилоят свод" xfId="524" xr:uid="{00000000-0005-0000-0000-000009020000}"/>
    <cellStyle name="_Хоразм_Сухроб Вилоят свод_омонатлар 01.09.2011 йил" xfId="525" xr:uid="{00000000-0005-0000-0000-00000A020000}"/>
    <cellStyle name="_Хоразм_Сухроб Вилоят свод_омонатлар 01.10.2011 йил" xfId="526" xr:uid="{00000000-0005-0000-0000-00000B020000}"/>
    <cellStyle name="_Хоразм_Сухроб Вилоят свод_омонатлар 01.11.2011 йил" xfId="527" xr:uid="{00000000-0005-0000-0000-00000C020000}"/>
    <cellStyle name="_Хоразм_Сухроб Вилоят свод_омонатлар 01.12.2011" xfId="528" xr:uid="{00000000-0005-0000-0000-00000D020000}"/>
    <cellStyle name="_чора-тадбир свод" xfId="529" xr:uid="{00000000-0005-0000-0000-00000E020000}"/>
    <cellStyle name="_чора-тадбир свод_67 та жадвал №2" xfId="530" xr:uid="{00000000-0005-0000-0000-00000F020000}"/>
    <cellStyle name="_чора-тадбир свод_67 талик жадвал-Иктисод №1" xfId="531" xr:uid="{00000000-0005-0000-0000-000010020000}"/>
    <cellStyle name="_чора-тадбир свод_БАЖАРИЛИШИ 1-май" xfId="532" xr:uid="{00000000-0005-0000-0000-000011020000}"/>
    <cellStyle name="_чора-тадбир свод_БАЖАРИЛИШИ 1-май_омонатлар 01.09.2011 йил" xfId="533" xr:uid="{00000000-0005-0000-0000-000012020000}"/>
    <cellStyle name="_чора-тадбир свод_БАЖАРИЛИШИ 1-май_омонатлар 01.10.2011 йил" xfId="534" xr:uid="{00000000-0005-0000-0000-000013020000}"/>
    <cellStyle name="_чора-тадбир свод_БАЖАРИЛИШИ 1-май_омонатлар 01.11.2011 йил" xfId="535" xr:uid="{00000000-0005-0000-0000-000014020000}"/>
    <cellStyle name="_чора-тадбир свод_БАЖАРИЛИШИ 1-май_омонатлар 01.12.2011" xfId="536" xr:uid="{00000000-0005-0000-0000-000015020000}"/>
    <cellStyle name="_чора-тадбир свод_Бобир учун 67 талик жадвал-Иктисод" xfId="537" xr:uid="{00000000-0005-0000-0000-000016020000}"/>
    <cellStyle name="_чора-тадбир свод_иктисодга" xfId="538" xr:uid="{00000000-0005-0000-0000-000017020000}"/>
    <cellStyle name="_чора-тадбир свод_иктисодга_омонатлар 01.09.2011 йил" xfId="539" xr:uid="{00000000-0005-0000-0000-000018020000}"/>
    <cellStyle name="_чора-тадбир свод_иктисодга_омонатлар 01.10.2011 йил" xfId="540" xr:uid="{00000000-0005-0000-0000-000019020000}"/>
    <cellStyle name="_чора-тадбир свод_иктисодга_омонатлар 01.11.2011 йил" xfId="541" xr:uid="{00000000-0005-0000-0000-00001A020000}"/>
    <cellStyle name="_чора-тадбир свод_иктисодга_омонатлар 01.12.2011" xfId="542" xr:uid="{00000000-0005-0000-0000-00001B020000}"/>
    <cellStyle name="_чора-тадбир свод_Касаначи 4 ой" xfId="543" xr:uid="{00000000-0005-0000-0000-00001C020000}"/>
    <cellStyle name="_чора-тадбир свод_қишлоқ таррақиёти 82 банд тўлиқ" xfId="544" xr:uid="{00000000-0005-0000-0000-00001D020000}"/>
    <cellStyle name="_чора-тадбир свод_қишлоқ таррақиёти 82 банд тўлиқ_омонатлар 01.09.2011 йил" xfId="545" xr:uid="{00000000-0005-0000-0000-00001E020000}"/>
    <cellStyle name="_чора-тадбир свод_қишлоқ таррақиёти 82 банд тўлиқ_омонатлар 01.10.2011 йил" xfId="546" xr:uid="{00000000-0005-0000-0000-00001F020000}"/>
    <cellStyle name="_чора-тадбир свод_қишлоқ таррақиёти 82 банд тўлиқ_омонатлар 01.11.2011 йил" xfId="547" xr:uid="{00000000-0005-0000-0000-000020020000}"/>
    <cellStyle name="_чора-тадбир свод_қишлоқ таррақиёти 82 банд тўлиқ_омонатлар 01.12.2011" xfId="548" xr:uid="{00000000-0005-0000-0000-000021020000}"/>
    <cellStyle name="_чора-тадбир свод_омонатлар 01.09.2011 йил" xfId="549" xr:uid="{00000000-0005-0000-0000-000022020000}"/>
    <cellStyle name="_чора-тадбир свод_омонатлар 01.10.2011 йил" xfId="550" xr:uid="{00000000-0005-0000-0000-000023020000}"/>
    <cellStyle name="_чора-тадбир свод_омонатлар 01.11.2011 йил" xfId="551" xr:uid="{00000000-0005-0000-0000-000024020000}"/>
    <cellStyle name="_чора-тадбир свод_омонатлар 01.12.2011" xfId="552" xr:uid="{00000000-0005-0000-0000-000025020000}"/>
    <cellStyle name="_чора-тадбир свод_СВОД жадваллар-2009 6 ой" xfId="553" xr:uid="{00000000-0005-0000-0000-000026020000}"/>
    <cellStyle name="_чора-тадбир свод_СВОД жадваллар-2009 6 ой_омонатлар 01.09.2011 йил" xfId="554" xr:uid="{00000000-0005-0000-0000-000027020000}"/>
    <cellStyle name="_чора-тадбир свод_СВОД жадваллар-2009 6 ой_омонатлар 01.10.2011 йил" xfId="555" xr:uid="{00000000-0005-0000-0000-000028020000}"/>
    <cellStyle name="_чора-тадбир свод_СВОД жадваллар-2009 6 ой_омонатлар 01.11.2011 йил" xfId="556" xr:uid="{00000000-0005-0000-0000-000029020000}"/>
    <cellStyle name="_чора-тадбир свод_СВОД жадваллар-2009 6 ой_омонатлар 01.12.2011" xfId="557" xr:uid="{00000000-0005-0000-0000-00002A020000}"/>
    <cellStyle name="_чора-тадбир свод_Сухроб Вилоят свод" xfId="558" xr:uid="{00000000-0005-0000-0000-00002B020000}"/>
    <cellStyle name="_чора-тадбир свод_Сухроб Вилоят свод_омонатлар 01.09.2011 йил" xfId="559" xr:uid="{00000000-0005-0000-0000-00002C020000}"/>
    <cellStyle name="_чора-тадбир свод_Сухроб Вилоят свод_омонатлар 01.10.2011 йил" xfId="560" xr:uid="{00000000-0005-0000-0000-00002D020000}"/>
    <cellStyle name="_чора-тадбир свод_Сухроб Вилоят свод_омонатлар 01.11.2011 йил" xfId="561" xr:uid="{00000000-0005-0000-0000-00002E020000}"/>
    <cellStyle name="_чора-тадбир свод_Сухроб Вилоят свод_омонатлар 01.12.2011" xfId="562" xr:uid="{00000000-0005-0000-0000-00002F020000}"/>
    <cellStyle name="_чора-тадбир свод_учта туман буйича касана" xfId="563" xr:uid="{00000000-0005-0000-0000-000030020000}"/>
    <cellStyle name="_чора-тадбир свод_ЯИЎ-сервис" xfId="564" xr:uid="{00000000-0005-0000-0000-000031020000}"/>
    <cellStyle name="_чора-тадбир свод_ЯИЎ-сервис_омонатлар 01.09.2011 йил" xfId="565" xr:uid="{00000000-0005-0000-0000-000032020000}"/>
    <cellStyle name="_чора-тадбир свод_ЯИЎ-сервис_омонатлар 01.10.2011 йил" xfId="566" xr:uid="{00000000-0005-0000-0000-000033020000}"/>
    <cellStyle name="_чора-тадбир свод_ЯИЎ-сервис_омонатлар 01.11.2011 йил" xfId="567" xr:uid="{00000000-0005-0000-0000-000034020000}"/>
    <cellStyle name="_чора-тадбир свод_ЯИЎ-сервис_омонатлар 01.12.2011" xfId="568" xr:uid="{00000000-0005-0000-0000-000035020000}"/>
    <cellStyle name="”?ќђќ‘ћ‚›‰" xfId="569" xr:uid="{00000000-0005-0000-0000-000036020000}"/>
    <cellStyle name="”?љ‘?ђћ‚ђќќ›‰" xfId="570" xr:uid="{00000000-0005-0000-0000-000037020000}"/>
    <cellStyle name="”€ќђќ‘ћ‚›‰" xfId="571" xr:uid="{00000000-0005-0000-0000-000038020000}"/>
    <cellStyle name="”€љ‘€ђћ‚ђќќ›‰" xfId="572" xr:uid="{00000000-0005-0000-0000-000039020000}"/>
    <cellStyle name="”ќђќ‘ћ‚›‰" xfId="573" xr:uid="{00000000-0005-0000-0000-00003A020000}"/>
    <cellStyle name="”љ‘ђћ‚ђќќ›‰" xfId="574" xr:uid="{00000000-0005-0000-0000-00003B020000}"/>
    <cellStyle name="„…ќ…†ќ›‰" xfId="575" xr:uid="{00000000-0005-0000-0000-00003C020000}"/>
    <cellStyle name="„ђ’ђ" xfId="576" xr:uid="{00000000-0005-0000-0000-00003D020000}"/>
    <cellStyle name="€’ћѓћ‚›‰" xfId="577" xr:uid="{00000000-0005-0000-0000-00003E020000}"/>
    <cellStyle name="‡ђѓћ‹ћ‚ћљ1" xfId="578" xr:uid="{00000000-0005-0000-0000-00003F020000}"/>
    <cellStyle name="‡ђѓћ‹ћ‚ћљ2" xfId="579" xr:uid="{00000000-0005-0000-0000-000040020000}"/>
    <cellStyle name="’ћѓћ‚›‰" xfId="580" xr:uid="{00000000-0005-0000-0000-000041020000}"/>
    <cellStyle name="" xfId="581" xr:uid="{00000000-0005-0000-0000-000042020000}"/>
    <cellStyle name="" xfId="582" xr:uid="{00000000-0005-0000-0000-000043020000}"/>
    <cellStyle name="_1-кисм 1-свод" xfId="583" xr:uid="{00000000-0005-0000-0000-000044020000}"/>
    <cellStyle name="_1-кисм 1-свод" xfId="584" xr:uid="{00000000-0005-0000-0000-000045020000}"/>
    <cellStyle name="_2010 йил 1-ярим йиллик лойихалар" xfId="585" xr:uid="{00000000-0005-0000-0000-000046020000}"/>
    <cellStyle name="_2010 йил 1-ярим йиллик лойихалар" xfId="586" xr:uid="{00000000-0005-0000-0000-000047020000}"/>
    <cellStyle name="_232 ижроси" xfId="587" xr:uid="{00000000-0005-0000-0000-000048020000}"/>
    <cellStyle name="_232 ижроси" xfId="588" xr:uid="{00000000-0005-0000-0000-000049020000}"/>
    <cellStyle name="_232 ижроси_омонатлар 01.09.2011 йил" xfId="589" xr:uid="{00000000-0005-0000-0000-00004A020000}"/>
    <cellStyle name="_232 ижроси_омонатлар 01.09.2011 йил" xfId="590" xr:uid="{00000000-0005-0000-0000-00004B020000}"/>
    <cellStyle name="_232 ижроси_омонатлар 01.10.2011 йил" xfId="591" xr:uid="{00000000-0005-0000-0000-00004C020000}"/>
    <cellStyle name="_232 ижроси_омонатлар 01.10.2011 йил" xfId="592" xr:uid="{00000000-0005-0000-0000-00004D020000}"/>
    <cellStyle name="_232 ижроси_омонатлар 01.11.2011 йил" xfId="593" xr:uid="{00000000-0005-0000-0000-00004E020000}"/>
    <cellStyle name="_232 ижроси_омонатлар 01.11.2011 йил" xfId="594" xr:uid="{00000000-0005-0000-0000-00004F020000}"/>
    <cellStyle name="_232 ижроси_омонатлар 01.12.2011" xfId="595" xr:uid="{00000000-0005-0000-0000-000050020000}"/>
    <cellStyle name="_232 ижроси_омонатлар 01.12.2011" xfId="596" xr:uid="{00000000-0005-0000-0000-000051020000}"/>
    <cellStyle name="_АХБОРОТ ТАХЛИЛГАга жадваллар (по туманам)" xfId="597" xr:uid="{00000000-0005-0000-0000-000052020000}"/>
    <cellStyle name="_АХБОРОТ ТАХЛИЛГАга жадваллар (по туманам)" xfId="598" xr:uid="{00000000-0005-0000-0000-000053020000}"/>
    <cellStyle name="_Жадвал саноат 2009 ОХИРИ" xfId="599" xr:uid="{00000000-0005-0000-0000-000054020000}"/>
    <cellStyle name="_Жадвал саноат 2009 ОХИРИ" xfId="600" xr:uid="{00000000-0005-0000-0000-000055020000}"/>
    <cellStyle name="_иктисодга" xfId="601" xr:uid="{00000000-0005-0000-0000-000056020000}"/>
    <cellStyle name="_иктисодга" xfId="602" xr:uid="{00000000-0005-0000-0000-000057020000}"/>
    <cellStyle name="_МВЭС Хусанбой" xfId="603" xr:uid="{00000000-0005-0000-0000-000058020000}"/>
    <cellStyle name="_МВЭС Хусанбой" xfId="604" xr:uid="{00000000-0005-0000-0000-000059020000}"/>
    <cellStyle name="_МВЭС2" xfId="605" xr:uid="{00000000-0005-0000-0000-00005A020000}"/>
    <cellStyle name="_МВЭС2" xfId="606" xr:uid="{00000000-0005-0000-0000-00005B020000}"/>
    <cellStyle name="_ОКИБ" xfId="607" xr:uid="{00000000-0005-0000-0000-00005C020000}"/>
    <cellStyle name="_ОКИБ" xfId="608" xr:uid="{00000000-0005-0000-0000-00005D020000}"/>
    <cellStyle name="_ПРОМ 2010-1чорак-жадваллар 23.03" xfId="609" xr:uid="{00000000-0005-0000-0000-00005E020000}"/>
    <cellStyle name="_ПРОМ 2010-1чорак-жадваллар 23.03" xfId="610" xr:uid="{00000000-0005-0000-0000-00005F020000}"/>
    <cellStyle name="_ПРОМ 2010-1чорак-жадваллар 23.03_11-жадвал Акбарга" xfId="611" xr:uid="{00000000-0005-0000-0000-000060020000}"/>
    <cellStyle name="_ПРОМ 2010-1чорак-жадваллар 23.03_11-жадвал Акбарга" xfId="612" xr:uid="{00000000-0005-0000-0000-000061020000}"/>
    <cellStyle name="_ПРОМ 2010-1чорак-жадваллар 23.03_11-жадвал Акбарга_омонатлар 01.09.2011 йил" xfId="613" xr:uid="{00000000-0005-0000-0000-000062020000}"/>
    <cellStyle name="_ПРОМ 2010-1чорак-жадваллар 23.03_11-жадвал Акбарга_омонатлар 01.09.2011 йил" xfId="614" xr:uid="{00000000-0005-0000-0000-000063020000}"/>
    <cellStyle name="_ПРОМ 2010-1чорак-жадваллар 23.03_11-жадвал Акбарга_омонатлар 01.10.2011 йил" xfId="615" xr:uid="{00000000-0005-0000-0000-000064020000}"/>
    <cellStyle name="_ПРОМ 2010-1чорак-жадваллар 23.03_11-жадвал Акбарга_омонатлар 01.10.2011 йил" xfId="616" xr:uid="{00000000-0005-0000-0000-000065020000}"/>
    <cellStyle name="_ПРОМ 2010-1чорак-жадваллар 23.03_11-жадвал Акбарга_омонатлар 01.11.2011 йил" xfId="617" xr:uid="{00000000-0005-0000-0000-000066020000}"/>
    <cellStyle name="_ПРОМ 2010-1чорак-жадваллар 23.03_11-жадвал Акбарга_омонатлар 01.11.2011 йил" xfId="618" xr:uid="{00000000-0005-0000-0000-000067020000}"/>
    <cellStyle name="_ПРОМ 2010-1чорак-жадваллар 23.03_11-жадвал Акбарга_омонатлар 01.12.2011" xfId="619" xr:uid="{00000000-0005-0000-0000-000068020000}"/>
    <cellStyle name="_ПРОМ 2010-1чорак-жадваллар 23.03_11-жадвал Акбарга_омонатлар 01.12.2011" xfId="620" xr:uid="{00000000-0005-0000-0000-000069020000}"/>
    <cellStyle name="_ПРОМ 2010-1чорак-жадваллар 23.03_озиқ-овқат" xfId="621" xr:uid="{00000000-0005-0000-0000-00006A020000}"/>
    <cellStyle name="_ПРОМ 2010-1чорак-жадваллар 23.03_озиқ-овқат" xfId="622" xr:uid="{00000000-0005-0000-0000-00006B020000}"/>
    <cellStyle name="_ПРОМ 2010-1чорак-жадваллар 23.03_озиқ-овқат_омонатлар 01.09.2011 йил" xfId="623" xr:uid="{00000000-0005-0000-0000-00006C020000}"/>
    <cellStyle name="_ПРОМ 2010-1чорак-жадваллар 23.03_озиқ-овқат_омонатлар 01.09.2011 йил" xfId="624" xr:uid="{00000000-0005-0000-0000-00006D020000}"/>
    <cellStyle name="_ПРОМ 2010-1чорак-жадваллар 23.03_озиқ-овқат_омонатлар 01.10.2011 йил" xfId="625" xr:uid="{00000000-0005-0000-0000-00006E020000}"/>
    <cellStyle name="_ПРОМ 2010-1чорак-жадваллар 23.03_озиқ-овқат_омонатлар 01.10.2011 йил" xfId="626" xr:uid="{00000000-0005-0000-0000-00006F020000}"/>
    <cellStyle name="_ПРОМ 2010-1чорак-жадваллар 23.03_озиқ-овқат_омонатлар 01.11.2011 йил" xfId="627" xr:uid="{00000000-0005-0000-0000-000070020000}"/>
    <cellStyle name="_ПРОМ 2010-1чорак-жадваллар 23.03_озиқ-овқат_омонатлар 01.11.2011 йил" xfId="628" xr:uid="{00000000-0005-0000-0000-000071020000}"/>
    <cellStyle name="_ПРОМ 2010-1чорак-жадваллар 23.03_озиқ-овқат_омонатлар 01.12.2011" xfId="629" xr:uid="{00000000-0005-0000-0000-000072020000}"/>
    <cellStyle name="_ПРОМ 2010-1чорак-жадваллар 23.03_озиқ-овқат_омонатлар 01.12.2011" xfId="630" xr:uid="{00000000-0005-0000-0000-000073020000}"/>
    <cellStyle name="_ПРОМ 2010-1чорак-жадваллар 23.03_омонатлар 01.09.2011 йил" xfId="631" xr:uid="{00000000-0005-0000-0000-000074020000}"/>
    <cellStyle name="_ПРОМ 2010-1чорак-жадваллар 23.03_омонатлар 01.09.2011 йил" xfId="632" xr:uid="{00000000-0005-0000-0000-000075020000}"/>
    <cellStyle name="_ПРОМ 2010-1чорак-жадваллар 23.03_омонатлар 01.10.2011 йил" xfId="633" xr:uid="{00000000-0005-0000-0000-000076020000}"/>
    <cellStyle name="_ПРОМ 2010-1чорак-жадваллар 23.03_омонатлар 01.10.2011 йил" xfId="634" xr:uid="{00000000-0005-0000-0000-000077020000}"/>
    <cellStyle name="_ПРОМ 2010-1чорак-жадваллар 23.03_омонатлар 01.11.2011 йил" xfId="635" xr:uid="{00000000-0005-0000-0000-000078020000}"/>
    <cellStyle name="_ПРОМ 2010-1чорак-жадваллар 23.03_омонатлар 01.11.2011 йил" xfId="636" xr:uid="{00000000-0005-0000-0000-000079020000}"/>
    <cellStyle name="_ПРОМ 2010-1чорак-жадваллар 23.03_омонатлар 01.12.2011" xfId="637" xr:uid="{00000000-0005-0000-0000-00007A020000}"/>
    <cellStyle name="_ПРОМ 2010-1чорак-жадваллар 23.03_омонатлар 01.12.2011" xfId="638" xr:uid="{00000000-0005-0000-0000-00007B020000}"/>
    <cellStyle name="_СВОД Жадваллар 2008-2012й" xfId="639" xr:uid="{00000000-0005-0000-0000-00007C020000}"/>
    <cellStyle name="_СВОД Жадваллар 2008-2012й" xfId="640" xr:uid="{00000000-0005-0000-0000-00007D020000}"/>
    <cellStyle name="_СВОД Жадваллар 2008-2012й_СВОД Прогноз 2008-2012й" xfId="641" xr:uid="{00000000-0005-0000-0000-00007E020000}"/>
    <cellStyle name="_СВОД Жадваллар 2008-2012й_СВОД Прогноз 2008-2012й" xfId="642" xr:uid="{00000000-0005-0000-0000-00007F020000}"/>
    <cellStyle name="_СВОД жадваллар-2009 6 ой" xfId="643" xr:uid="{00000000-0005-0000-0000-000080020000}"/>
    <cellStyle name="_СВОД жадваллар-2009 6 ой" xfId="644" xr:uid="{00000000-0005-0000-0000-000081020000}"/>
    <cellStyle name="_СВОД Прогноз 2008-2012й" xfId="645" xr:uid="{00000000-0005-0000-0000-000082020000}"/>
    <cellStyle name="_СВОД Прогноз 2008-2012й" xfId="646" xr:uid="{00000000-0005-0000-0000-000083020000}"/>
    <cellStyle name="_Сухроб Вилоят свод" xfId="647" xr:uid="{00000000-0005-0000-0000-000084020000}"/>
    <cellStyle name="_Сухроб Вилоят свод" xfId="648" xr:uid="{00000000-0005-0000-0000-000085020000}"/>
    <cellStyle name="_Фарғона" xfId="649" xr:uid="{00000000-0005-0000-0000-000086020000}"/>
    <cellStyle name="_Фарғона" xfId="650" xr:uid="{00000000-0005-0000-0000-000087020000}"/>
    <cellStyle name="_Фарғона_11-жадвал Акбарга" xfId="651" xr:uid="{00000000-0005-0000-0000-000088020000}"/>
    <cellStyle name="_Фарғона_11-жадвал Акбарга" xfId="652" xr:uid="{00000000-0005-0000-0000-000089020000}"/>
    <cellStyle name="_Фарғона_11-жадвал Акбарга_Омонат 1.12.2010" xfId="653" xr:uid="{00000000-0005-0000-0000-00008A020000}"/>
    <cellStyle name="_Фарғона_11-жадвал Акбарга_Омонат 1.12.2010" xfId="654" xr:uid="{00000000-0005-0000-0000-00008B020000}"/>
    <cellStyle name="_Фарғона_11-жадвал Акбарга_Омонат 1.12.2010_омонатлар 01.09.2011 йил" xfId="655" xr:uid="{00000000-0005-0000-0000-00008C020000}"/>
    <cellStyle name="_Фарғона_11-жадвал Акбарга_Омонат 1.12.2010_омонатлар 01.09.2011 йил" xfId="656" xr:uid="{00000000-0005-0000-0000-00008D020000}"/>
    <cellStyle name="_Фарғона_11-жадвал Акбарга_Омонат 1.12.2010_омонатлар 01.10.2011 йил" xfId="657" xr:uid="{00000000-0005-0000-0000-00008E020000}"/>
    <cellStyle name="_Фарғона_11-жадвал Акбарга_Омонат 1.12.2010_омонатлар 01.10.2011 йил" xfId="658" xr:uid="{00000000-0005-0000-0000-00008F020000}"/>
    <cellStyle name="_Фарғона_11-жадвал Акбарга_Омонат 1.12.2010_омонатлар 01.11.2011 йил" xfId="659" xr:uid="{00000000-0005-0000-0000-000090020000}"/>
    <cellStyle name="_Фарғона_11-жадвал Акбарга_Омонат 1.12.2010_омонатлар 01.11.2011 йил" xfId="660" xr:uid="{00000000-0005-0000-0000-000091020000}"/>
    <cellStyle name="_Фарғона_11-жадвал Акбарга_Омонат 1.12.2010_омонатлар 01.12.2011" xfId="661" xr:uid="{00000000-0005-0000-0000-000092020000}"/>
    <cellStyle name="_Фарғона_11-жадвал Акбарга_Омонат 1.12.2010_омонатлар 01.12.2011" xfId="662" xr:uid="{00000000-0005-0000-0000-000093020000}"/>
    <cellStyle name="_Фарғона_11-жадвал Акбарга_омонатлар 01.09.2011 йил" xfId="663" xr:uid="{00000000-0005-0000-0000-000094020000}"/>
    <cellStyle name="_Фарғона_11-жадвал Акбарга_омонатлар 01.09.2011 йил" xfId="664" xr:uid="{00000000-0005-0000-0000-000095020000}"/>
    <cellStyle name="_Фарғона_11-жадвал Акбарга_омонатлар 01.10.2011 йил" xfId="665" xr:uid="{00000000-0005-0000-0000-000096020000}"/>
    <cellStyle name="_Фарғона_11-жадвал Акбарга_омонатлар 01.10.2011 йил" xfId="666" xr:uid="{00000000-0005-0000-0000-000097020000}"/>
    <cellStyle name="_Фарғона_11-жадвал Акбарга_омонатлар 01.11.2011 йил" xfId="667" xr:uid="{00000000-0005-0000-0000-000098020000}"/>
    <cellStyle name="_Фарғона_11-жадвал Акбарга_омонатлар 01.11.2011 йил" xfId="668" xr:uid="{00000000-0005-0000-0000-000099020000}"/>
    <cellStyle name="_Фарғона_11-жадвал Акбарга_омонатлар 01.12.2011" xfId="669" xr:uid="{00000000-0005-0000-0000-00009A020000}"/>
    <cellStyle name="_Фарғона_11-жадвал Акбарга_омонатлар 01.12.2011" xfId="670" xr:uid="{00000000-0005-0000-0000-00009B020000}"/>
    <cellStyle name="_Фарғона_1-кисм 1-свод" xfId="671" xr:uid="{00000000-0005-0000-0000-00009C020000}"/>
    <cellStyle name="_Фарғона_1-кисм 1-свод" xfId="672" xr:uid="{00000000-0005-0000-0000-00009D020000}"/>
    <cellStyle name="_Фарғона_озиқ-овқат" xfId="673" xr:uid="{00000000-0005-0000-0000-00009E020000}"/>
    <cellStyle name="_Фарғона_озиқ-овқат" xfId="674" xr:uid="{00000000-0005-0000-0000-00009F020000}"/>
    <cellStyle name="_Фарғона_озиқ-овқат_Омонат 1.12.2010" xfId="675" xr:uid="{00000000-0005-0000-0000-0000A0020000}"/>
    <cellStyle name="_Фарғона_озиқ-овқат_Омонат 1.12.2010" xfId="676" xr:uid="{00000000-0005-0000-0000-0000A1020000}"/>
    <cellStyle name="_Фарғона_озиқ-овқат_Омонат 1.12.2010_омонатлар 01.09.2011 йил" xfId="677" xr:uid="{00000000-0005-0000-0000-0000A2020000}"/>
    <cellStyle name="_Фарғона_озиқ-овқат_Омонат 1.12.2010_омонатлар 01.09.2011 йил" xfId="678" xr:uid="{00000000-0005-0000-0000-0000A3020000}"/>
    <cellStyle name="_Фарғона_озиқ-овқат_Омонат 1.12.2010_омонатлар 01.10.2011 йил" xfId="679" xr:uid="{00000000-0005-0000-0000-0000A4020000}"/>
    <cellStyle name="_Фарғона_озиқ-овқат_Омонат 1.12.2010_омонатлар 01.10.2011 йил" xfId="680" xr:uid="{00000000-0005-0000-0000-0000A5020000}"/>
    <cellStyle name="_Фарғона_озиқ-овқат_Омонат 1.12.2010_омонатлар 01.11.2011 йил" xfId="681" xr:uid="{00000000-0005-0000-0000-0000A6020000}"/>
    <cellStyle name="_Фарғона_озиқ-овқат_Омонат 1.12.2010_омонатлар 01.11.2011 йил" xfId="682" xr:uid="{00000000-0005-0000-0000-0000A7020000}"/>
    <cellStyle name="_Фарғона_озиқ-овқат_Омонат 1.12.2010_омонатлар 01.12.2011" xfId="683" xr:uid="{00000000-0005-0000-0000-0000A8020000}"/>
    <cellStyle name="_Фарғона_озиқ-овқат_Омонат 1.12.2010_омонатлар 01.12.2011" xfId="684" xr:uid="{00000000-0005-0000-0000-0000A9020000}"/>
    <cellStyle name="_Фарғона_озиқ-овқат_омонатлар 01.09.2011 йил" xfId="685" xr:uid="{00000000-0005-0000-0000-0000AA020000}"/>
    <cellStyle name="_Фарғона_озиқ-овқат_омонатлар 01.09.2011 йил" xfId="686" xr:uid="{00000000-0005-0000-0000-0000AB020000}"/>
    <cellStyle name="_Фарғона_озиқ-овқат_омонатлар 01.10.2011 йил" xfId="687" xr:uid="{00000000-0005-0000-0000-0000AC020000}"/>
    <cellStyle name="_Фарғона_озиқ-овқат_омонатлар 01.10.2011 йил" xfId="688" xr:uid="{00000000-0005-0000-0000-0000AD020000}"/>
    <cellStyle name="_Фарғона_озиқ-овқат_омонатлар 01.11.2011 йил" xfId="689" xr:uid="{00000000-0005-0000-0000-0000AE020000}"/>
    <cellStyle name="_Фарғона_озиқ-овқат_омонатлар 01.11.2011 йил" xfId="690" xr:uid="{00000000-0005-0000-0000-0000AF020000}"/>
    <cellStyle name="_Фарғона_озиқ-овқат_омонатлар 01.12.2011" xfId="691" xr:uid="{00000000-0005-0000-0000-0000B0020000}"/>
    <cellStyle name="_Фарғона_озиқ-овқат_омонатлар 01.12.2011" xfId="692" xr:uid="{00000000-0005-0000-0000-0000B1020000}"/>
    <cellStyle name="_Фарғона_СВОД - 2011 туман (шахар) дастури" xfId="693" xr:uid="{00000000-0005-0000-0000-0000B2020000}"/>
    <cellStyle name="_Фарғона_СВОД - 2011 туман (шахар) дастури" xfId="694" xr:uid="{00000000-0005-0000-0000-0000B3020000}"/>
    <cellStyle name="_Фарғона_СВОД - 2011 туман (шахар) дастури_омонатлар 01.09.2011 йил" xfId="695" xr:uid="{00000000-0005-0000-0000-0000B4020000}"/>
    <cellStyle name="_Фарғона_СВОД - 2011 туман (шахар) дастури_омонатлар 01.09.2011 йил" xfId="696" xr:uid="{00000000-0005-0000-0000-0000B5020000}"/>
    <cellStyle name="_Фарғона_СВОД - 2011 туман (шахар) дастури_омонатлар 01.10.2011 йил" xfId="697" xr:uid="{00000000-0005-0000-0000-0000B6020000}"/>
    <cellStyle name="_Фарғона_СВОД - 2011 туман (шахар) дастури_омонатлар 01.10.2011 йил" xfId="698" xr:uid="{00000000-0005-0000-0000-0000B7020000}"/>
    <cellStyle name="_Фарғона_СВОД - 2011 туман (шахар) дастури_омонатлар 01.11.2011 йил" xfId="699" xr:uid="{00000000-0005-0000-0000-0000B8020000}"/>
    <cellStyle name="_Фарғона_СВОД - 2011 туман (шахар) дастури_омонатлар 01.11.2011 йил" xfId="700" xr:uid="{00000000-0005-0000-0000-0000B9020000}"/>
    <cellStyle name="_Фарғона_СВОД - 2011 туман (шахар) дастури_омонатлар 01.12.2011" xfId="701" xr:uid="{00000000-0005-0000-0000-0000BA020000}"/>
    <cellStyle name="_Фарғона_СВОД - 2011 туман (шахар) дастури_омонатлар 01.12.2011" xfId="702" xr:uid="{00000000-0005-0000-0000-0000BB020000}"/>
    <cellStyle name="" xfId="703" xr:uid="{00000000-0005-0000-0000-0000BC020000}"/>
    <cellStyle name="" xfId="704" xr:uid="{00000000-0005-0000-0000-0000BD020000}"/>
    <cellStyle name="_1-кисм 1-свод" xfId="705" xr:uid="{00000000-0005-0000-0000-0000BE020000}"/>
    <cellStyle name="_1-кисм 1-свод" xfId="706" xr:uid="{00000000-0005-0000-0000-0000BF020000}"/>
    <cellStyle name="_2010 йил 1-ярим йиллик лойихалар" xfId="707" xr:uid="{00000000-0005-0000-0000-0000C0020000}"/>
    <cellStyle name="_2010 йил 1-ярим йиллик лойихалар" xfId="708" xr:uid="{00000000-0005-0000-0000-0000C1020000}"/>
    <cellStyle name="_232 ижроси" xfId="709" xr:uid="{00000000-0005-0000-0000-0000C2020000}"/>
    <cellStyle name="_232 ижроси" xfId="710" xr:uid="{00000000-0005-0000-0000-0000C3020000}"/>
    <cellStyle name="_232 ижроси_омонатлар 01.09.2011 йил" xfId="711" xr:uid="{00000000-0005-0000-0000-0000C4020000}"/>
    <cellStyle name="_232 ижроси_омонатлар 01.09.2011 йил" xfId="712" xr:uid="{00000000-0005-0000-0000-0000C5020000}"/>
    <cellStyle name="_232 ижроси_омонатлар 01.10.2011 йил" xfId="713" xr:uid="{00000000-0005-0000-0000-0000C6020000}"/>
    <cellStyle name="_232 ижроси_омонатлар 01.10.2011 йил" xfId="714" xr:uid="{00000000-0005-0000-0000-0000C7020000}"/>
    <cellStyle name="_232 ижроси_омонатлар 01.11.2011 йил" xfId="715" xr:uid="{00000000-0005-0000-0000-0000C8020000}"/>
    <cellStyle name="_232 ижроси_омонатлар 01.11.2011 йил" xfId="716" xr:uid="{00000000-0005-0000-0000-0000C9020000}"/>
    <cellStyle name="_232 ижроси_омонатлар 01.12.2011" xfId="717" xr:uid="{00000000-0005-0000-0000-0000CA020000}"/>
    <cellStyle name="_232 ижроси_омонатлар 01.12.2011" xfId="718" xr:uid="{00000000-0005-0000-0000-0000CB020000}"/>
    <cellStyle name="_АХБОРОТ ТАХЛИЛГАга жадваллар (по туманам)" xfId="719" xr:uid="{00000000-0005-0000-0000-0000CC020000}"/>
    <cellStyle name="_АХБОРОТ ТАХЛИЛГАга жадваллар (по туманам)" xfId="720" xr:uid="{00000000-0005-0000-0000-0000CD020000}"/>
    <cellStyle name="_Жадвал саноат 2009 ОХИРИ" xfId="721" xr:uid="{00000000-0005-0000-0000-0000CE020000}"/>
    <cellStyle name="_Жадвал саноат 2009 ОХИРИ" xfId="722" xr:uid="{00000000-0005-0000-0000-0000CF020000}"/>
    <cellStyle name="_иктисодга" xfId="723" xr:uid="{00000000-0005-0000-0000-0000D0020000}"/>
    <cellStyle name="_иктисодга" xfId="724" xr:uid="{00000000-0005-0000-0000-0000D1020000}"/>
    <cellStyle name="_МВЭС Хусанбой" xfId="725" xr:uid="{00000000-0005-0000-0000-0000D2020000}"/>
    <cellStyle name="_МВЭС Хусанбой" xfId="726" xr:uid="{00000000-0005-0000-0000-0000D3020000}"/>
    <cellStyle name="_МВЭС2" xfId="727" xr:uid="{00000000-0005-0000-0000-0000D4020000}"/>
    <cellStyle name="_МВЭС2" xfId="728" xr:uid="{00000000-0005-0000-0000-0000D5020000}"/>
    <cellStyle name="_ОКИБ" xfId="729" xr:uid="{00000000-0005-0000-0000-0000D6020000}"/>
    <cellStyle name="_ОКИБ" xfId="730" xr:uid="{00000000-0005-0000-0000-0000D7020000}"/>
    <cellStyle name="_ПРОМ 2010-1чорак-жадваллар 23.03" xfId="731" xr:uid="{00000000-0005-0000-0000-0000D8020000}"/>
    <cellStyle name="_ПРОМ 2010-1чорак-жадваллар 23.03" xfId="732" xr:uid="{00000000-0005-0000-0000-0000D9020000}"/>
    <cellStyle name="_ПРОМ 2010-1чорак-жадваллар 23.03_11-жадвал Акбарга" xfId="733" xr:uid="{00000000-0005-0000-0000-0000DA020000}"/>
    <cellStyle name="_ПРОМ 2010-1чорак-жадваллар 23.03_11-жадвал Акбарга" xfId="734" xr:uid="{00000000-0005-0000-0000-0000DB020000}"/>
    <cellStyle name="_ПРОМ 2010-1чорак-жадваллар 23.03_11-жадвал Акбарга_омонатлар 01.09.2011 йил" xfId="735" xr:uid="{00000000-0005-0000-0000-0000DC020000}"/>
    <cellStyle name="_ПРОМ 2010-1чорак-жадваллар 23.03_11-жадвал Акбарга_омонатлар 01.09.2011 йил" xfId="736" xr:uid="{00000000-0005-0000-0000-0000DD020000}"/>
    <cellStyle name="_ПРОМ 2010-1чорак-жадваллар 23.03_11-жадвал Акбарга_омонатлар 01.10.2011 йил" xfId="737" xr:uid="{00000000-0005-0000-0000-0000DE020000}"/>
    <cellStyle name="_ПРОМ 2010-1чорак-жадваллар 23.03_11-жадвал Акбарга_омонатлар 01.10.2011 йил" xfId="738" xr:uid="{00000000-0005-0000-0000-0000DF020000}"/>
    <cellStyle name="_ПРОМ 2010-1чорак-жадваллар 23.03_11-жадвал Акбарга_омонатлар 01.11.2011 йил" xfId="739" xr:uid="{00000000-0005-0000-0000-0000E0020000}"/>
    <cellStyle name="_ПРОМ 2010-1чорак-жадваллар 23.03_11-жадвал Акбарга_омонатлар 01.11.2011 йил" xfId="740" xr:uid="{00000000-0005-0000-0000-0000E1020000}"/>
    <cellStyle name="_ПРОМ 2010-1чорак-жадваллар 23.03_11-жадвал Акбарга_омонатлар 01.12.2011" xfId="741" xr:uid="{00000000-0005-0000-0000-0000E2020000}"/>
    <cellStyle name="_ПРОМ 2010-1чорак-жадваллар 23.03_11-жадвал Акбарга_омонатлар 01.12.2011" xfId="742" xr:uid="{00000000-0005-0000-0000-0000E3020000}"/>
    <cellStyle name="_ПРОМ 2010-1чорак-жадваллар 23.03_озиқ-овқат" xfId="743" xr:uid="{00000000-0005-0000-0000-0000E4020000}"/>
    <cellStyle name="_ПРОМ 2010-1чорак-жадваллар 23.03_озиқ-овқат" xfId="744" xr:uid="{00000000-0005-0000-0000-0000E5020000}"/>
    <cellStyle name="_ПРОМ 2010-1чорак-жадваллар 23.03_озиқ-овқат_омонатлар 01.09.2011 йил" xfId="745" xr:uid="{00000000-0005-0000-0000-0000E6020000}"/>
    <cellStyle name="_ПРОМ 2010-1чорак-жадваллар 23.03_озиқ-овқат_омонатлар 01.09.2011 йил" xfId="746" xr:uid="{00000000-0005-0000-0000-0000E7020000}"/>
    <cellStyle name="_ПРОМ 2010-1чорак-жадваллар 23.03_озиқ-овқат_омонатлар 01.10.2011 йил" xfId="747" xr:uid="{00000000-0005-0000-0000-0000E8020000}"/>
    <cellStyle name="_ПРОМ 2010-1чорак-жадваллар 23.03_озиқ-овқат_омонатлар 01.10.2011 йил" xfId="748" xr:uid="{00000000-0005-0000-0000-0000E9020000}"/>
    <cellStyle name="_ПРОМ 2010-1чорак-жадваллар 23.03_озиқ-овқат_омонатлар 01.11.2011 йил" xfId="749" xr:uid="{00000000-0005-0000-0000-0000EA020000}"/>
    <cellStyle name="_ПРОМ 2010-1чорак-жадваллар 23.03_озиқ-овқат_омонатлар 01.11.2011 йил" xfId="750" xr:uid="{00000000-0005-0000-0000-0000EB020000}"/>
    <cellStyle name="_ПРОМ 2010-1чорак-жадваллар 23.03_озиқ-овқат_омонатлар 01.12.2011" xfId="751" xr:uid="{00000000-0005-0000-0000-0000EC020000}"/>
    <cellStyle name="_ПРОМ 2010-1чорак-жадваллар 23.03_озиқ-овқат_омонатлар 01.12.2011" xfId="752" xr:uid="{00000000-0005-0000-0000-0000ED020000}"/>
    <cellStyle name="_ПРОМ 2010-1чорак-жадваллар 23.03_омонатлар 01.09.2011 йил" xfId="753" xr:uid="{00000000-0005-0000-0000-0000EE020000}"/>
    <cellStyle name="_ПРОМ 2010-1чорак-жадваллар 23.03_омонатлар 01.09.2011 йил" xfId="754" xr:uid="{00000000-0005-0000-0000-0000EF020000}"/>
    <cellStyle name="_ПРОМ 2010-1чорак-жадваллар 23.03_омонатлар 01.10.2011 йил" xfId="755" xr:uid="{00000000-0005-0000-0000-0000F0020000}"/>
    <cellStyle name="_ПРОМ 2010-1чорак-жадваллар 23.03_омонатлар 01.10.2011 йил" xfId="756" xr:uid="{00000000-0005-0000-0000-0000F1020000}"/>
    <cellStyle name="_ПРОМ 2010-1чорак-жадваллар 23.03_омонатлар 01.11.2011 йил" xfId="757" xr:uid="{00000000-0005-0000-0000-0000F2020000}"/>
    <cellStyle name="_ПРОМ 2010-1чорак-жадваллар 23.03_омонатлар 01.11.2011 йил" xfId="758" xr:uid="{00000000-0005-0000-0000-0000F3020000}"/>
    <cellStyle name="_ПРОМ 2010-1чорак-жадваллар 23.03_омонатлар 01.12.2011" xfId="759" xr:uid="{00000000-0005-0000-0000-0000F4020000}"/>
    <cellStyle name="_ПРОМ 2010-1чорак-жадваллар 23.03_омонатлар 01.12.2011" xfId="760" xr:uid="{00000000-0005-0000-0000-0000F5020000}"/>
    <cellStyle name="_СВОД Жадваллар 2008-2012й" xfId="761" xr:uid="{00000000-0005-0000-0000-0000F6020000}"/>
    <cellStyle name="_СВОД Жадваллар 2008-2012й" xfId="762" xr:uid="{00000000-0005-0000-0000-0000F7020000}"/>
    <cellStyle name="_СВОД Жадваллар 2008-2012й_СВОД Прогноз 2008-2012й" xfId="763" xr:uid="{00000000-0005-0000-0000-0000F8020000}"/>
    <cellStyle name="_СВОД Жадваллар 2008-2012й_СВОД Прогноз 2008-2012й" xfId="764" xr:uid="{00000000-0005-0000-0000-0000F9020000}"/>
    <cellStyle name="_СВОД жадваллар-2009 6 ой" xfId="765" xr:uid="{00000000-0005-0000-0000-0000FA020000}"/>
    <cellStyle name="_СВОД жадваллар-2009 6 ой" xfId="766" xr:uid="{00000000-0005-0000-0000-0000FB020000}"/>
    <cellStyle name="_СВОД Прогноз 2008-2012й" xfId="767" xr:uid="{00000000-0005-0000-0000-0000FC020000}"/>
    <cellStyle name="_СВОД Прогноз 2008-2012й" xfId="768" xr:uid="{00000000-0005-0000-0000-0000FD020000}"/>
    <cellStyle name="_Сухроб Вилоят свод" xfId="769" xr:uid="{00000000-0005-0000-0000-0000FE020000}"/>
    <cellStyle name="_Сухроб Вилоят свод" xfId="770" xr:uid="{00000000-0005-0000-0000-0000FF020000}"/>
    <cellStyle name="_Фарғона" xfId="771" xr:uid="{00000000-0005-0000-0000-000000030000}"/>
    <cellStyle name="_Фарғона" xfId="772" xr:uid="{00000000-0005-0000-0000-000001030000}"/>
    <cellStyle name="_Фарғона_11-жадвал Акбарга" xfId="773" xr:uid="{00000000-0005-0000-0000-000002030000}"/>
    <cellStyle name="_Фарғона_11-жадвал Акбарга" xfId="774" xr:uid="{00000000-0005-0000-0000-000003030000}"/>
    <cellStyle name="_Фарғона_11-жадвал Акбарга_Омонат 1.12.2010" xfId="775" xr:uid="{00000000-0005-0000-0000-000004030000}"/>
    <cellStyle name="_Фарғона_11-жадвал Акбарга_Омонат 1.12.2010" xfId="776" xr:uid="{00000000-0005-0000-0000-000005030000}"/>
    <cellStyle name="_Фарғона_11-жадвал Акбарга_Омонат 1.12.2010_омонатлар 01.09.2011 йил" xfId="777" xr:uid="{00000000-0005-0000-0000-000006030000}"/>
    <cellStyle name="_Фарғона_11-жадвал Акбарга_Омонат 1.12.2010_омонатлар 01.09.2011 йил" xfId="778" xr:uid="{00000000-0005-0000-0000-000007030000}"/>
    <cellStyle name="_Фарғона_11-жадвал Акбарга_Омонат 1.12.2010_омонатлар 01.10.2011 йил" xfId="779" xr:uid="{00000000-0005-0000-0000-000008030000}"/>
    <cellStyle name="_Фарғона_11-жадвал Акбарга_Омонат 1.12.2010_омонатлар 01.10.2011 йил" xfId="780" xr:uid="{00000000-0005-0000-0000-000009030000}"/>
    <cellStyle name="_Фарғона_11-жадвал Акбарга_Омонат 1.12.2010_омонатлар 01.11.2011 йил" xfId="781" xr:uid="{00000000-0005-0000-0000-00000A030000}"/>
    <cellStyle name="_Фарғона_11-жадвал Акбарга_Омонат 1.12.2010_омонатлар 01.11.2011 йил" xfId="782" xr:uid="{00000000-0005-0000-0000-00000B030000}"/>
    <cellStyle name="_Фарғона_11-жадвал Акбарга_Омонат 1.12.2010_омонатлар 01.12.2011" xfId="783" xr:uid="{00000000-0005-0000-0000-00000C030000}"/>
    <cellStyle name="_Фарғона_11-жадвал Акбарга_Омонат 1.12.2010_омонатлар 01.12.2011" xfId="784" xr:uid="{00000000-0005-0000-0000-00000D030000}"/>
    <cellStyle name="_Фарғона_11-жадвал Акбарга_омонатлар 01.09.2011 йил" xfId="785" xr:uid="{00000000-0005-0000-0000-00000E030000}"/>
    <cellStyle name="_Фарғона_11-жадвал Акбарга_омонатлар 01.09.2011 йил" xfId="786" xr:uid="{00000000-0005-0000-0000-00000F030000}"/>
    <cellStyle name="_Фарғона_11-жадвал Акбарга_омонатлар 01.10.2011 йил" xfId="787" xr:uid="{00000000-0005-0000-0000-000010030000}"/>
    <cellStyle name="_Фарғона_11-жадвал Акбарга_омонатлар 01.10.2011 йил" xfId="788" xr:uid="{00000000-0005-0000-0000-000011030000}"/>
    <cellStyle name="_Фарғона_11-жадвал Акбарга_омонатлар 01.11.2011 йил" xfId="789" xr:uid="{00000000-0005-0000-0000-000012030000}"/>
    <cellStyle name="_Фарғона_11-жадвал Акбарга_омонатлар 01.11.2011 йил" xfId="790" xr:uid="{00000000-0005-0000-0000-000013030000}"/>
    <cellStyle name="_Фарғона_11-жадвал Акбарга_омонатлар 01.12.2011" xfId="791" xr:uid="{00000000-0005-0000-0000-000014030000}"/>
    <cellStyle name="_Фарғона_11-жадвал Акбарга_омонатлар 01.12.2011" xfId="792" xr:uid="{00000000-0005-0000-0000-000015030000}"/>
    <cellStyle name="_Фарғона_1-кисм 1-свод" xfId="793" xr:uid="{00000000-0005-0000-0000-000016030000}"/>
    <cellStyle name="_Фарғона_1-кисм 1-свод" xfId="794" xr:uid="{00000000-0005-0000-0000-000017030000}"/>
    <cellStyle name="_Фарғона_озиқ-овқат" xfId="795" xr:uid="{00000000-0005-0000-0000-000018030000}"/>
    <cellStyle name="_Фарғона_озиқ-овқат" xfId="796" xr:uid="{00000000-0005-0000-0000-000019030000}"/>
    <cellStyle name="_Фарғона_озиқ-овқат_Омонат 1.12.2010" xfId="797" xr:uid="{00000000-0005-0000-0000-00001A030000}"/>
    <cellStyle name="_Фарғона_озиқ-овқат_Омонат 1.12.2010" xfId="798" xr:uid="{00000000-0005-0000-0000-00001B030000}"/>
    <cellStyle name="_Фарғона_озиқ-овқат_Омонат 1.12.2010_омонатлар 01.09.2011 йил" xfId="799" xr:uid="{00000000-0005-0000-0000-00001C030000}"/>
    <cellStyle name="_Фарғона_озиқ-овқат_Омонат 1.12.2010_омонатлар 01.09.2011 йил" xfId="800" xr:uid="{00000000-0005-0000-0000-00001D030000}"/>
    <cellStyle name="_Фарғона_озиқ-овқат_Омонат 1.12.2010_омонатлар 01.10.2011 йил" xfId="801" xr:uid="{00000000-0005-0000-0000-00001E030000}"/>
    <cellStyle name="_Фарғона_озиқ-овқат_Омонат 1.12.2010_омонатлар 01.10.2011 йил" xfId="802" xr:uid="{00000000-0005-0000-0000-00001F030000}"/>
    <cellStyle name="_Фарғона_озиқ-овқат_Омонат 1.12.2010_омонатлар 01.11.2011 йил" xfId="803" xr:uid="{00000000-0005-0000-0000-000020030000}"/>
    <cellStyle name="_Фарғона_озиқ-овқат_Омонат 1.12.2010_омонатлар 01.11.2011 йил" xfId="804" xr:uid="{00000000-0005-0000-0000-000021030000}"/>
    <cellStyle name="_Фарғона_озиқ-овқат_Омонат 1.12.2010_омонатлар 01.12.2011" xfId="805" xr:uid="{00000000-0005-0000-0000-000022030000}"/>
    <cellStyle name="_Фарғона_озиқ-овқат_Омонат 1.12.2010_омонатлар 01.12.2011" xfId="806" xr:uid="{00000000-0005-0000-0000-000023030000}"/>
    <cellStyle name="_Фарғона_озиқ-овқат_омонатлар 01.09.2011 йил" xfId="807" xr:uid="{00000000-0005-0000-0000-000024030000}"/>
    <cellStyle name="_Фарғона_озиқ-овқат_омонатлар 01.09.2011 йил" xfId="808" xr:uid="{00000000-0005-0000-0000-000025030000}"/>
    <cellStyle name="_Фарғона_озиқ-овқат_омонатлар 01.10.2011 йил" xfId="809" xr:uid="{00000000-0005-0000-0000-000026030000}"/>
    <cellStyle name="_Фарғона_озиқ-овқат_омонатлар 01.10.2011 йил" xfId="810" xr:uid="{00000000-0005-0000-0000-000027030000}"/>
    <cellStyle name="_Фарғона_озиқ-овқат_омонатлар 01.11.2011 йил" xfId="811" xr:uid="{00000000-0005-0000-0000-000028030000}"/>
    <cellStyle name="_Фарғона_озиқ-овқат_омонатлар 01.11.2011 йил" xfId="812" xr:uid="{00000000-0005-0000-0000-000029030000}"/>
    <cellStyle name="_Фарғона_озиқ-овқат_омонатлар 01.12.2011" xfId="813" xr:uid="{00000000-0005-0000-0000-00002A030000}"/>
    <cellStyle name="_Фарғона_озиқ-овқат_омонатлар 01.12.2011" xfId="814" xr:uid="{00000000-0005-0000-0000-00002B030000}"/>
    <cellStyle name="_Фарғона_СВОД - 2011 туман (шахар) дастури" xfId="815" xr:uid="{00000000-0005-0000-0000-00002C030000}"/>
    <cellStyle name="_Фарғона_СВОД - 2011 туман (шахар) дастури" xfId="816" xr:uid="{00000000-0005-0000-0000-00002D030000}"/>
    <cellStyle name="_Фарғона_СВОД - 2011 туман (шахар) дастури_омонатлар 01.09.2011 йил" xfId="817" xr:uid="{00000000-0005-0000-0000-00002E030000}"/>
    <cellStyle name="_Фарғона_СВОД - 2011 туман (шахар) дастури_омонатлар 01.09.2011 йил" xfId="818" xr:uid="{00000000-0005-0000-0000-00002F030000}"/>
    <cellStyle name="_Фарғона_СВОД - 2011 туман (шахар) дастури_омонатлар 01.10.2011 йил" xfId="819" xr:uid="{00000000-0005-0000-0000-000030030000}"/>
    <cellStyle name="_Фарғона_СВОД - 2011 туман (шахар) дастури_омонатлар 01.10.2011 йил" xfId="820" xr:uid="{00000000-0005-0000-0000-000031030000}"/>
    <cellStyle name="_Фарғона_СВОД - 2011 туман (шахар) дастури_омонатлар 01.11.2011 йил" xfId="821" xr:uid="{00000000-0005-0000-0000-000032030000}"/>
    <cellStyle name="_Фарғона_СВОД - 2011 туман (шахар) дастури_омонатлар 01.11.2011 йил" xfId="822" xr:uid="{00000000-0005-0000-0000-000033030000}"/>
    <cellStyle name="_Фарғона_СВОД - 2011 туман (шахар) дастури_омонатлар 01.12.2011" xfId="823" xr:uid="{00000000-0005-0000-0000-000034030000}"/>
    <cellStyle name="_Фарғона_СВОД - 2011 туман (шахар) дастури_омонатлар 01.12.2011" xfId="824" xr:uid="{00000000-0005-0000-0000-000035030000}"/>
    <cellStyle name="" xfId="825" xr:uid="{00000000-0005-0000-0000-000036030000}"/>
    <cellStyle name="1" xfId="826" xr:uid="{00000000-0005-0000-0000-000037030000}"/>
    <cellStyle name="2" xfId="827" xr:uid="{00000000-0005-0000-0000-000038030000}"/>
    <cellStyle name="20% - Accent1" xfId="828" xr:uid="{00000000-0005-0000-0000-000039030000}"/>
    <cellStyle name="20% - Accent2" xfId="829" xr:uid="{00000000-0005-0000-0000-00003A030000}"/>
    <cellStyle name="20% - Accent3" xfId="830" xr:uid="{00000000-0005-0000-0000-00003B030000}"/>
    <cellStyle name="20% - Accent4" xfId="831" xr:uid="{00000000-0005-0000-0000-00003C030000}"/>
    <cellStyle name="20% - Accent5" xfId="832" xr:uid="{00000000-0005-0000-0000-00003D030000}"/>
    <cellStyle name="20% - Accent6" xfId="833" xr:uid="{00000000-0005-0000-0000-00003E030000}"/>
    <cellStyle name="40% - Accent1" xfId="834" xr:uid="{00000000-0005-0000-0000-00003F030000}"/>
    <cellStyle name="40% - Accent2" xfId="835" xr:uid="{00000000-0005-0000-0000-000040030000}"/>
    <cellStyle name="40% - Accent3" xfId="836" xr:uid="{00000000-0005-0000-0000-000041030000}"/>
    <cellStyle name="40% - Accent4" xfId="837" xr:uid="{00000000-0005-0000-0000-000042030000}"/>
    <cellStyle name="40% - Accent5" xfId="838" xr:uid="{00000000-0005-0000-0000-000043030000}"/>
    <cellStyle name="40% - Accent6" xfId="839" xr:uid="{00000000-0005-0000-0000-000044030000}"/>
    <cellStyle name="60% - Accent1" xfId="840" xr:uid="{00000000-0005-0000-0000-000045030000}"/>
    <cellStyle name="60% - Accent2" xfId="841" xr:uid="{00000000-0005-0000-0000-000046030000}"/>
    <cellStyle name="60% - Accent3" xfId="842" xr:uid="{00000000-0005-0000-0000-000047030000}"/>
    <cellStyle name="60% - Accent4" xfId="843" xr:uid="{00000000-0005-0000-0000-000048030000}"/>
    <cellStyle name="60% - Accent5" xfId="844" xr:uid="{00000000-0005-0000-0000-000049030000}"/>
    <cellStyle name="60% - Accent6" xfId="845" xr:uid="{00000000-0005-0000-0000-00004A030000}"/>
    <cellStyle name="Aaia?iue" xfId="846" xr:uid="{00000000-0005-0000-0000-00004B030000}"/>
    <cellStyle name="Aaia?iue [0]" xfId="847" xr:uid="{00000000-0005-0000-0000-00004C030000}"/>
    <cellStyle name="Aaia?iue_,, 255 якуни" xfId="848" xr:uid="{00000000-0005-0000-0000-00004D030000}"/>
    <cellStyle name="Accent1" xfId="849" xr:uid="{00000000-0005-0000-0000-00004E030000}"/>
    <cellStyle name="Accent1 - 20%" xfId="850" xr:uid="{00000000-0005-0000-0000-00004F030000}"/>
    <cellStyle name="Accent1 - 40%" xfId="851" xr:uid="{00000000-0005-0000-0000-000050030000}"/>
    <cellStyle name="Accent1 - 60%" xfId="852" xr:uid="{00000000-0005-0000-0000-000051030000}"/>
    <cellStyle name="Accent1_СВОД - 2011 туман (шахар) дастури" xfId="853" xr:uid="{00000000-0005-0000-0000-000052030000}"/>
    <cellStyle name="Accent2" xfId="854" xr:uid="{00000000-0005-0000-0000-000053030000}"/>
    <cellStyle name="Accent2 - 20%" xfId="855" xr:uid="{00000000-0005-0000-0000-000054030000}"/>
    <cellStyle name="Accent2 - 40%" xfId="856" xr:uid="{00000000-0005-0000-0000-000055030000}"/>
    <cellStyle name="Accent2 - 60%" xfId="857" xr:uid="{00000000-0005-0000-0000-000056030000}"/>
    <cellStyle name="Accent2_СВОД - 2011 туман (шахар) дастури" xfId="858" xr:uid="{00000000-0005-0000-0000-000057030000}"/>
    <cellStyle name="Accent3" xfId="859" xr:uid="{00000000-0005-0000-0000-000058030000}"/>
    <cellStyle name="Accent3 - 20%" xfId="860" xr:uid="{00000000-0005-0000-0000-000059030000}"/>
    <cellStyle name="Accent3 - 40%" xfId="861" xr:uid="{00000000-0005-0000-0000-00005A030000}"/>
    <cellStyle name="Accent3 - 60%" xfId="862" xr:uid="{00000000-0005-0000-0000-00005B030000}"/>
    <cellStyle name="Accent3_СВОД - 2011 туман (шахар) дастури" xfId="863" xr:uid="{00000000-0005-0000-0000-00005C030000}"/>
    <cellStyle name="Accent4" xfId="864" xr:uid="{00000000-0005-0000-0000-00005D030000}"/>
    <cellStyle name="Accent4 - 20%" xfId="865" xr:uid="{00000000-0005-0000-0000-00005E030000}"/>
    <cellStyle name="Accent4 - 40%" xfId="866" xr:uid="{00000000-0005-0000-0000-00005F030000}"/>
    <cellStyle name="Accent4 - 60%" xfId="867" xr:uid="{00000000-0005-0000-0000-000060030000}"/>
    <cellStyle name="Accent4_СВОД - 2011 туман (шахар) дастури" xfId="868" xr:uid="{00000000-0005-0000-0000-000061030000}"/>
    <cellStyle name="Accent5" xfId="869" xr:uid="{00000000-0005-0000-0000-000062030000}"/>
    <cellStyle name="Accent5 - 20%" xfId="870" xr:uid="{00000000-0005-0000-0000-000063030000}"/>
    <cellStyle name="Accent5 - 40%" xfId="871" xr:uid="{00000000-0005-0000-0000-000064030000}"/>
    <cellStyle name="Accent5 - 60%" xfId="872" xr:uid="{00000000-0005-0000-0000-000065030000}"/>
    <cellStyle name="Accent5_СВОД - 2011 туман (шахар) дастури" xfId="873" xr:uid="{00000000-0005-0000-0000-000066030000}"/>
    <cellStyle name="Accent6" xfId="874" xr:uid="{00000000-0005-0000-0000-000067030000}"/>
    <cellStyle name="Accent6 - 20%" xfId="875" xr:uid="{00000000-0005-0000-0000-000068030000}"/>
    <cellStyle name="Accent6 - 40%" xfId="876" xr:uid="{00000000-0005-0000-0000-000069030000}"/>
    <cellStyle name="Accent6 - 60%" xfId="877" xr:uid="{00000000-0005-0000-0000-00006A030000}"/>
    <cellStyle name="Accent6_СВОД - 2011 туман (шахар) дастури" xfId="878" xr:uid="{00000000-0005-0000-0000-00006B030000}"/>
    <cellStyle name="Acdldnnueer" xfId="879" xr:uid="{00000000-0005-0000-0000-00006C030000}"/>
    <cellStyle name="Alilciue [0]_ 2003 aia" xfId="880" xr:uid="{00000000-0005-0000-0000-00006D030000}"/>
    <cellStyle name="Alilciue_ 2003 aia" xfId="881" xr:uid="{00000000-0005-0000-0000-00006E030000}"/>
    <cellStyle name="Bad" xfId="882" xr:uid="{00000000-0005-0000-0000-00006F030000}"/>
    <cellStyle name="Calculation" xfId="883" xr:uid="{00000000-0005-0000-0000-000070030000}"/>
    <cellStyle name="Check Cell" xfId="884" xr:uid="{00000000-0005-0000-0000-000071030000}"/>
    <cellStyle name="Comma [0]_Sheet1 (2)" xfId="885" xr:uid="{00000000-0005-0000-0000-000072030000}"/>
    <cellStyle name="Comma_DSPLIST" xfId="886" xr:uid="{00000000-0005-0000-0000-000073030000}"/>
    <cellStyle name="Comma0" xfId="887" xr:uid="{00000000-0005-0000-0000-000074030000}"/>
    <cellStyle name="Currency [0]_DSPLIST" xfId="888" xr:uid="{00000000-0005-0000-0000-000075030000}"/>
    <cellStyle name="Currency_DSPLIST" xfId="889" xr:uid="{00000000-0005-0000-0000-000076030000}"/>
    <cellStyle name="Currency0" xfId="890" xr:uid="{00000000-0005-0000-0000-000077030000}"/>
    <cellStyle name="Emphasis 1" xfId="891" xr:uid="{00000000-0005-0000-0000-000078030000}"/>
    <cellStyle name="Emphasis 2" xfId="892" xr:uid="{00000000-0005-0000-0000-000079030000}"/>
    <cellStyle name="Emphasis 3" xfId="893" xr:uid="{00000000-0005-0000-0000-00007A030000}"/>
    <cellStyle name="Euro" xfId="894" xr:uid="{00000000-0005-0000-0000-00007B030000}"/>
    <cellStyle name="Explanatory Text" xfId="895" xr:uid="{00000000-0005-0000-0000-00007C030000}"/>
    <cellStyle name="F2" xfId="896" xr:uid="{00000000-0005-0000-0000-00007D030000}"/>
    <cellStyle name="F3" xfId="897" xr:uid="{00000000-0005-0000-0000-00007E030000}"/>
    <cellStyle name="F4" xfId="898" xr:uid="{00000000-0005-0000-0000-00007F030000}"/>
    <cellStyle name="F5" xfId="899" xr:uid="{00000000-0005-0000-0000-000080030000}"/>
    <cellStyle name="F6" xfId="900" xr:uid="{00000000-0005-0000-0000-000081030000}"/>
    <cellStyle name="F7" xfId="901" xr:uid="{00000000-0005-0000-0000-000082030000}"/>
    <cellStyle name="F8" xfId="902" xr:uid="{00000000-0005-0000-0000-000083030000}"/>
    <cellStyle name="Good" xfId="903" xr:uid="{00000000-0005-0000-0000-000084030000}"/>
    <cellStyle name="Heading 1" xfId="904" xr:uid="{00000000-0005-0000-0000-000085030000}"/>
    <cellStyle name="Heading 2" xfId="905" xr:uid="{00000000-0005-0000-0000-000086030000}"/>
    <cellStyle name="Heading 3" xfId="906" xr:uid="{00000000-0005-0000-0000-000087030000}"/>
    <cellStyle name="Heading 4" xfId="907" xr:uid="{00000000-0005-0000-0000-000088030000}"/>
    <cellStyle name="I?ioaioiue" xfId="908" xr:uid="{00000000-0005-0000-0000-000089030000}"/>
    <cellStyle name="I`u?iue_Deri98_D" xfId="909" xr:uid="{00000000-0005-0000-0000-00008A030000}"/>
    <cellStyle name="Iau?iue" xfId="910" xr:uid="{00000000-0005-0000-0000-00008B030000}"/>
    <cellStyle name="Ineduararr?n? acdldnnueer" xfId="911" xr:uid="{00000000-0005-0000-0000-00008C030000}"/>
    <cellStyle name="Input" xfId="912" xr:uid="{00000000-0005-0000-0000-00008D030000}"/>
    <cellStyle name="Linked Cell" xfId="913" xr:uid="{00000000-0005-0000-0000-00008E030000}"/>
    <cellStyle name="Milliers [0]_Conversion Summary" xfId="914" xr:uid="{00000000-0005-0000-0000-00008F030000}"/>
    <cellStyle name="Milliers_Conversion Summary" xfId="915" xr:uid="{00000000-0005-0000-0000-000090030000}"/>
    <cellStyle name="Monйtaire [0]_Conversion Summary" xfId="916" xr:uid="{00000000-0005-0000-0000-000091030000}"/>
    <cellStyle name="Monйtaire_Conversion Summary" xfId="917" xr:uid="{00000000-0005-0000-0000-000092030000}"/>
    <cellStyle name="Neutral" xfId="918" xr:uid="{00000000-0005-0000-0000-000093030000}"/>
    <cellStyle name="Normal_08026-9" xfId="919" xr:uid="{00000000-0005-0000-0000-000094030000}"/>
    <cellStyle name="Note" xfId="920" xr:uid="{00000000-0005-0000-0000-000095030000}"/>
    <cellStyle name="Nun??c [0]_ 2003 aia" xfId="921" xr:uid="{00000000-0005-0000-0000-000096030000}"/>
    <cellStyle name="Nun??c_ 2003 aia" xfId="922" xr:uid="{00000000-0005-0000-0000-000097030000}"/>
    <cellStyle name="Ociriniaue [0]_1" xfId="923" xr:uid="{00000000-0005-0000-0000-000098030000}"/>
    <cellStyle name="Ociriniaue_1" xfId="924" xr:uid="{00000000-0005-0000-0000-000099030000}"/>
    <cellStyle name="Oeiainiaue" xfId="925" xr:uid="{00000000-0005-0000-0000-00009A030000}"/>
    <cellStyle name="Oeiainiaue [0]" xfId="926" xr:uid="{00000000-0005-0000-0000-00009B030000}"/>
    <cellStyle name="Oeiainiaue_,, 255 якуни" xfId="927" xr:uid="{00000000-0005-0000-0000-00009C030000}"/>
    <cellStyle name="Output" xfId="928" xr:uid="{00000000-0005-0000-0000-00009D030000}"/>
    <cellStyle name="s]_x000d__x000a_;load=rrtsklst.exe_x000d__x000a_Beep=yes_x000d__x000a_NullPort=None_x000d__x000a_BorderWidth=3_x000d__x000a_CursorBlinkRate=530_x000d__x000a_DoubleClickSpeed=452_x000d__x000a_Programs=com" xfId="929" xr:uid="{00000000-0005-0000-0000-00009E030000}"/>
    <cellStyle name="s]_x000d__x000a_load=_x000d__x000a_run=_x000d__x000a_NullPort=None_x000d__x000a_device=Epson FX-1170,EPSON9,LPT1:_x000d__x000a__x000d__x000a_[Desktop]_x000d__x000a_Wallpaper=C:\WIN95\SKY.BMP_x000d__x000a_TileWallpap" xfId="930" xr:uid="{00000000-0005-0000-0000-00009F030000}"/>
    <cellStyle name="S0" xfId="931" xr:uid="{00000000-0005-0000-0000-0000A0030000}"/>
    <cellStyle name="S1" xfId="932" xr:uid="{00000000-0005-0000-0000-0000A1030000}"/>
    <cellStyle name="S2" xfId="933" xr:uid="{00000000-0005-0000-0000-0000A2030000}"/>
    <cellStyle name="S3" xfId="934" xr:uid="{00000000-0005-0000-0000-0000A3030000}"/>
    <cellStyle name="S4" xfId="935" xr:uid="{00000000-0005-0000-0000-0000A4030000}"/>
    <cellStyle name="S5" xfId="936" xr:uid="{00000000-0005-0000-0000-0000A5030000}"/>
    <cellStyle name="S6" xfId="937" xr:uid="{00000000-0005-0000-0000-0000A6030000}"/>
    <cellStyle name="S7" xfId="938" xr:uid="{00000000-0005-0000-0000-0000A7030000}"/>
    <cellStyle name="S8" xfId="939" xr:uid="{00000000-0005-0000-0000-0000A8030000}"/>
    <cellStyle name="S9" xfId="940" xr:uid="{00000000-0005-0000-0000-0000A9030000}"/>
    <cellStyle name="Sheet Title" xfId="941" xr:uid="{00000000-0005-0000-0000-0000AA030000}"/>
    <cellStyle name="Style 1" xfId="942" xr:uid="{00000000-0005-0000-0000-0000AB030000}"/>
    <cellStyle name="Title" xfId="943" xr:uid="{00000000-0005-0000-0000-0000AC030000}"/>
    <cellStyle name="Total" xfId="944" xr:uid="{00000000-0005-0000-0000-0000AD030000}"/>
    <cellStyle name="Warning Text" xfId="945" xr:uid="{00000000-0005-0000-0000-0000AE030000}"/>
    <cellStyle name="Денежный 2" xfId="946" xr:uid="{00000000-0005-0000-0000-0000AF030000}"/>
    <cellStyle name="Денежный 3" xfId="947" xr:uid="{00000000-0005-0000-0000-0000B0030000}"/>
    <cellStyle name="ельводхоз" xfId="948" xr:uid="{00000000-0005-0000-0000-0000B1030000}"/>
    <cellStyle name="Обычный" xfId="0" builtinId="0"/>
    <cellStyle name="Обычный 10" xfId="949" xr:uid="{00000000-0005-0000-0000-0000B3030000}"/>
    <cellStyle name="Обычный 100" xfId="950" xr:uid="{00000000-0005-0000-0000-0000B4030000}"/>
    <cellStyle name="Обычный 101" xfId="951" xr:uid="{00000000-0005-0000-0000-0000B5030000}"/>
    <cellStyle name="Обычный 102" xfId="952" xr:uid="{00000000-0005-0000-0000-0000B6030000}"/>
    <cellStyle name="Обычный 103" xfId="953" xr:uid="{00000000-0005-0000-0000-0000B7030000}"/>
    <cellStyle name="Обычный 104" xfId="954" xr:uid="{00000000-0005-0000-0000-0000B8030000}"/>
    <cellStyle name="Обычный 105" xfId="955" xr:uid="{00000000-0005-0000-0000-0000B9030000}"/>
    <cellStyle name="Обычный 106" xfId="956" xr:uid="{00000000-0005-0000-0000-0000BA030000}"/>
    <cellStyle name="Обычный 107" xfId="957" xr:uid="{00000000-0005-0000-0000-0000BB030000}"/>
    <cellStyle name="Обычный 108" xfId="958" xr:uid="{00000000-0005-0000-0000-0000BC030000}"/>
    <cellStyle name="Обычный 109" xfId="959" xr:uid="{00000000-0005-0000-0000-0000BD030000}"/>
    <cellStyle name="Обычный 11" xfId="960" xr:uid="{00000000-0005-0000-0000-0000BE030000}"/>
    <cellStyle name="Обычный 110" xfId="961" xr:uid="{00000000-0005-0000-0000-0000BF030000}"/>
    <cellStyle name="Обычный 111" xfId="962" xr:uid="{00000000-0005-0000-0000-0000C0030000}"/>
    <cellStyle name="Обычный 112" xfId="963" xr:uid="{00000000-0005-0000-0000-0000C1030000}"/>
    <cellStyle name="Обычный 113" xfId="964" xr:uid="{00000000-0005-0000-0000-0000C2030000}"/>
    <cellStyle name="Обычный 114" xfId="965" xr:uid="{00000000-0005-0000-0000-0000C3030000}"/>
    <cellStyle name="Обычный 115" xfId="966" xr:uid="{00000000-0005-0000-0000-0000C4030000}"/>
    <cellStyle name="Обычный 116" xfId="967" xr:uid="{00000000-0005-0000-0000-0000C5030000}"/>
    <cellStyle name="Обычный 117" xfId="968" xr:uid="{00000000-0005-0000-0000-0000C6030000}"/>
    <cellStyle name="Обычный 118" xfId="969" xr:uid="{00000000-0005-0000-0000-0000C7030000}"/>
    <cellStyle name="Обычный 12" xfId="970" xr:uid="{00000000-0005-0000-0000-0000C8030000}"/>
    <cellStyle name="Обычный 13" xfId="971" xr:uid="{00000000-0005-0000-0000-0000C9030000}"/>
    <cellStyle name="Обычный 14" xfId="972" xr:uid="{00000000-0005-0000-0000-0000CA030000}"/>
    <cellStyle name="Обычный 15" xfId="973" xr:uid="{00000000-0005-0000-0000-0000CB030000}"/>
    <cellStyle name="Обычный 16" xfId="974" xr:uid="{00000000-0005-0000-0000-0000CC030000}"/>
    <cellStyle name="Обычный 17" xfId="975" xr:uid="{00000000-0005-0000-0000-0000CD030000}"/>
    <cellStyle name="Обычный 18" xfId="976" xr:uid="{00000000-0005-0000-0000-0000CE030000}"/>
    <cellStyle name="Обычный 19" xfId="977" xr:uid="{00000000-0005-0000-0000-0000CF030000}"/>
    <cellStyle name="Обычный 2" xfId="1" xr:uid="{00000000-0005-0000-0000-0000D0030000}"/>
    <cellStyle name="Обычный 2 10" xfId="978" xr:uid="{00000000-0005-0000-0000-0000D1030000}"/>
    <cellStyle name="Обычный 2 11" xfId="979" xr:uid="{00000000-0005-0000-0000-0000D2030000}"/>
    <cellStyle name="Обычный 2 12" xfId="980" xr:uid="{00000000-0005-0000-0000-0000D3030000}"/>
    <cellStyle name="Обычный 2 2" xfId="981" xr:uid="{00000000-0005-0000-0000-0000D4030000}"/>
    <cellStyle name="Обычный 2 2 10" xfId="982" xr:uid="{00000000-0005-0000-0000-0000D5030000}"/>
    <cellStyle name="Обычный 2 2 11" xfId="983" xr:uid="{00000000-0005-0000-0000-0000D6030000}"/>
    <cellStyle name="Обычный 2 2 12" xfId="984" xr:uid="{00000000-0005-0000-0000-0000D7030000}"/>
    <cellStyle name="Обычный 2 2 2" xfId="985" xr:uid="{00000000-0005-0000-0000-0000D8030000}"/>
    <cellStyle name="Обычный 2 2 2 2" xfId="986" xr:uid="{00000000-0005-0000-0000-0000D9030000}"/>
    <cellStyle name="Обычный 2 2 2 2 2" xfId="987" xr:uid="{00000000-0005-0000-0000-0000DA030000}"/>
    <cellStyle name="Обычный 2 2 2 2 2 2" xfId="988" xr:uid="{00000000-0005-0000-0000-0000DB030000}"/>
    <cellStyle name="Обычный 2 2 2 2 2 3" xfId="989" xr:uid="{00000000-0005-0000-0000-0000DC030000}"/>
    <cellStyle name="Обычный 2 2 2 2 2 4" xfId="990" xr:uid="{00000000-0005-0000-0000-0000DD030000}"/>
    <cellStyle name="Обычный 2 2 2 2 3" xfId="991" xr:uid="{00000000-0005-0000-0000-0000DE030000}"/>
    <cellStyle name="Обычный 2 2 2 2 4" xfId="992" xr:uid="{00000000-0005-0000-0000-0000DF030000}"/>
    <cellStyle name="Обычный 2 2 2 2 5" xfId="993" xr:uid="{00000000-0005-0000-0000-0000E0030000}"/>
    <cellStyle name="Обычный 2 2 2 2 6" xfId="994" xr:uid="{00000000-0005-0000-0000-0000E1030000}"/>
    <cellStyle name="Обычный 2 2 2 2 7" xfId="995" xr:uid="{00000000-0005-0000-0000-0000E2030000}"/>
    <cellStyle name="Обычный 2 2 2 3" xfId="996" xr:uid="{00000000-0005-0000-0000-0000E3030000}"/>
    <cellStyle name="Обычный 2 2 2 4" xfId="997" xr:uid="{00000000-0005-0000-0000-0000E4030000}"/>
    <cellStyle name="Обычный 2 2 2 5" xfId="998" xr:uid="{00000000-0005-0000-0000-0000E5030000}"/>
    <cellStyle name="Обычный 2 2 2 5 2" xfId="999" xr:uid="{00000000-0005-0000-0000-0000E6030000}"/>
    <cellStyle name="Обычный 2 2 2 5 3" xfId="1000" xr:uid="{00000000-0005-0000-0000-0000E7030000}"/>
    <cellStyle name="Обычный 2 2 2 5 4" xfId="1001" xr:uid="{00000000-0005-0000-0000-0000E8030000}"/>
    <cellStyle name="Обычный 2 2 2 6" xfId="1002" xr:uid="{00000000-0005-0000-0000-0000E9030000}"/>
    <cellStyle name="Обычный 2 2 2 7" xfId="1003" xr:uid="{00000000-0005-0000-0000-0000EA030000}"/>
    <cellStyle name="Обычный 2 2 2 8" xfId="1004" xr:uid="{00000000-0005-0000-0000-0000EB030000}"/>
    <cellStyle name="Обычный 2 2 2 9" xfId="1005" xr:uid="{00000000-0005-0000-0000-0000EC030000}"/>
    <cellStyle name="Обычный 2 2 2_Омонат 01.02.14" xfId="1006" xr:uid="{00000000-0005-0000-0000-0000ED030000}"/>
    <cellStyle name="Обычный 2 2 3" xfId="1007" xr:uid="{00000000-0005-0000-0000-0000EE030000}"/>
    <cellStyle name="Обычный 2 2 4" xfId="1008" xr:uid="{00000000-0005-0000-0000-0000EF030000}"/>
    <cellStyle name="Обычный 2 2 5" xfId="1009" xr:uid="{00000000-0005-0000-0000-0000F0030000}"/>
    <cellStyle name="Обычный 2 2 6" xfId="1010" xr:uid="{00000000-0005-0000-0000-0000F1030000}"/>
    <cellStyle name="Обычный 2 2 7" xfId="1011" xr:uid="{00000000-0005-0000-0000-0000F2030000}"/>
    <cellStyle name="Обычный 2 2 8" xfId="1012" xr:uid="{00000000-0005-0000-0000-0000F3030000}"/>
    <cellStyle name="Обычный 2 2 8 2" xfId="1013" xr:uid="{00000000-0005-0000-0000-0000F4030000}"/>
    <cellStyle name="Обычный 2 2 8 3" xfId="1014" xr:uid="{00000000-0005-0000-0000-0000F5030000}"/>
    <cellStyle name="Обычный 2 2 8 4" xfId="1015" xr:uid="{00000000-0005-0000-0000-0000F6030000}"/>
    <cellStyle name="Обычный 2 2 9" xfId="1016" xr:uid="{00000000-0005-0000-0000-0000F7030000}"/>
    <cellStyle name="Обычный 2 2_1-ЯИУ жадвал май якуни-свод-КМ" xfId="1017" xr:uid="{00000000-0005-0000-0000-0000F8030000}"/>
    <cellStyle name="Обычный 2 3" xfId="1018" xr:uid="{00000000-0005-0000-0000-0000F9030000}"/>
    <cellStyle name="Обычный 2 3 2" xfId="1019" xr:uid="{00000000-0005-0000-0000-0000FA030000}"/>
    <cellStyle name="Обычный 2 3_232 ижроси" xfId="1020" xr:uid="{00000000-0005-0000-0000-0000FB030000}"/>
    <cellStyle name="Обычный 2 4" xfId="1021" xr:uid="{00000000-0005-0000-0000-0000FC030000}"/>
    <cellStyle name="Обычный 2 5" xfId="1022" xr:uid="{00000000-0005-0000-0000-0000FD030000}"/>
    <cellStyle name="Обычный 2 6" xfId="1023" xr:uid="{00000000-0005-0000-0000-0000FE030000}"/>
    <cellStyle name="Обычный 2 7" xfId="1024" xr:uid="{00000000-0005-0000-0000-0000FF030000}"/>
    <cellStyle name="Обычный 2 8" xfId="1025" xr:uid="{00000000-0005-0000-0000-000000040000}"/>
    <cellStyle name="Обычный 2 8 2" xfId="1026" xr:uid="{00000000-0005-0000-0000-000001040000}"/>
    <cellStyle name="Обычный 2 8 3" xfId="1027" xr:uid="{00000000-0005-0000-0000-000002040000}"/>
    <cellStyle name="Обычный 2 8 4" xfId="1028" xr:uid="{00000000-0005-0000-0000-000003040000}"/>
    <cellStyle name="Обычный 2 8_Омонат 01.02.14" xfId="1029" xr:uid="{00000000-0005-0000-0000-000004040000}"/>
    <cellStyle name="Обычный 2 9" xfId="1030" xr:uid="{00000000-0005-0000-0000-000005040000}"/>
    <cellStyle name="Обычный 2_67 талик жадвал-Иктисод №1" xfId="1031" xr:uid="{00000000-0005-0000-0000-000006040000}"/>
    <cellStyle name="Обычный 20" xfId="1032" xr:uid="{00000000-0005-0000-0000-000007040000}"/>
    <cellStyle name="Обычный 21" xfId="1033" xr:uid="{00000000-0005-0000-0000-000008040000}"/>
    <cellStyle name="Обычный 22" xfId="1034" xr:uid="{00000000-0005-0000-0000-000009040000}"/>
    <cellStyle name="Обычный 23" xfId="1035" xr:uid="{00000000-0005-0000-0000-00000A040000}"/>
    <cellStyle name="Обычный 24" xfId="1036" xr:uid="{00000000-0005-0000-0000-00000B040000}"/>
    <cellStyle name="Обычный 25" xfId="1037" xr:uid="{00000000-0005-0000-0000-00000C040000}"/>
    <cellStyle name="Обычный 26" xfId="1038" xr:uid="{00000000-0005-0000-0000-00000D040000}"/>
    <cellStyle name="Обычный 27" xfId="1039" xr:uid="{00000000-0005-0000-0000-00000E040000}"/>
    <cellStyle name="Обычный 28" xfId="1040" xr:uid="{00000000-0005-0000-0000-00000F040000}"/>
    <cellStyle name="Обычный 29" xfId="1041" xr:uid="{00000000-0005-0000-0000-000010040000}"/>
    <cellStyle name="Обычный 3" xfId="1042" xr:uid="{00000000-0005-0000-0000-000011040000}"/>
    <cellStyle name="Обычный 3 10" xfId="1043" xr:uid="{00000000-0005-0000-0000-000012040000}"/>
    <cellStyle name="Обычный 3 11" xfId="1226" xr:uid="{00000000-0005-0000-0000-000013040000}"/>
    <cellStyle name="Обычный 3 2" xfId="1044" xr:uid="{00000000-0005-0000-0000-000014040000}"/>
    <cellStyle name="Обычный 3 2 4" xfId="1229" xr:uid="{19580869-FC4D-4396-9CFF-9AA613C364FF}"/>
    <cellStyle name="Обычный 3 2 4 2" xfId="1230" xr:uid="{3E2BC0F5-A782-4BD6-8D6C-BF0989F2D242}"/>
    <cellStyle name="Обычный 3 3" xfId="1045" xr:uid="{00000000-0005-0000-0000-000015040000}"/>
    <cellStyle name="Обычный 3 4" xfId="1046" xr:uid="{00000000-0005-0000-0000-000016040000}"/>
    <cellStyle name="Обычный 3 5" xfId="1047" xr:uid="{00000000-0005-0000-0000-000017040000}"/>
    <cellStyle name="Обычный 3 6" xfId="1048" xr:uid="{00000000-0005-0000-0000-000018040000}"/>
    <cellStyle name="Обычный 3 7" xfId="1049" xr:uid="{00000000-0005-0000-0000-000019040000}"/>
    <cellStyle name="Обычный 3 8" xfId="1050" xr:uid="{00000000-0005-0000-0000-00001A040000}"/>
    <cellStyle name="Обычный 3 9" xfId="1051" xr:uid="{00000000-0005-0000-0000-00001B040000}"/>
    <cellStyle name="Обычный 30" xfId="1052" xr:uid="{00000000-0005-0000-0000-00001C040000}"/>
    <cellStyle name="Обычный 31" xfId="1053" xr:uid="{00000000-0005-0000-0000-00001D040000}"/>
    <cellStyle name="Обычный 32" xfId="1054" xr:uid="{00000000-0005-0000-0000-00001E040000}"/>
    <cellStyle name="Обычный 33" xfId="1055" xr:uid="{00000000-0005-0000-0000-00001F040000}"/>
    <cellStyle name="Обычный 34" xfId="1056" xr:uid="{00000000-0005-0000-0000-000020040000}"/>
    <cellStyle name="Обычный 35" xfId="1057" xr:uid="{00000000-0005-0000-0000-000021040000}"/>
    <cellStyle name="Обычный 36" xfId="1058" xr:uid="{00000000-0005-0000-0000-000022040000}"/>
    <cellStyle name="Обычный 37" xfId="1059" xr:uid="{00000000-0005-0000-0000-000023040000}"/>
    <cellStyle name="Обычный 38" xfId="1060" xr:uid="{00000000-0005-0000-0000-000024040000}"/>
    <cellStyle name="Обычный 39" xfId="1061" xr:uid="{00000000-0005-0000-0000-000025040000}"/>
    <cellStyle name="Обычный 4" xfId="1062" xr:uid="{00000000-0005-0000-0000-000026040000}"/>
    <cellStyle name="Обычный 4 2" xfId="1063" xr:uid="{00000000-0005-0000-0000-000027040000}"/>
    <cellStyle name="Обычный 4 3" xfId="1064" xr:uid="{00000000-0005-0000-0000-000028040000}"/>
    <cellStyle name="Обычный 4 4" xfId="1065" xr:uid="{00000000-0005-0000-0000-000029040000}"/>
    <cellStyle name="Обычный 4 5" xfId="1066" xr:uid="{00000000-0005-0000-0000-00002A040000}"/>
    <cellStyle name="Обычный 4_Тош вил. депозитлар" xfId="1067" xr:uid="{00000000-0005-0000-0000-00002B040000}"/>
    <cellStyle name="Обычный 40" xfId="1068" xr:uid="{00000000-0005-0000-0000-00002C040000}"/>
    <cellStyle name="Обычный 41" xfId="1069" xr:uid="{00000000-0005-0000-0000-00002D040000}"/>
    <cellStyle name="Обычный 42" xfId="1070" xr:uid="{00000000-0005-0000-0000-00002E040000}"/>
    <cellStyle name="Обычный 43" xfId="1071" xr:uid="{00000000-0005-0000-0000-00002F040000}"/>
    <cellStyle name="Обычный 44" xfId="1072" xr:uid="{00000000-0005-0000-0000-000030040000}"/>
    <cellStyle name="Обычный 45" xfId="1073" xr:uid="{00000000-0005-0000-0000-000031040000}"/>
    <cellStyle name="Обычный 46" xfId="1074" xr:uid="{00000000-0005-0000-0000-000032040000}"/>
    <cellStyle name="Обычный 47" xfId="1075" xr:uid="{00000000-0005-0000-0000-000033040000}"/>
    <cellStyle name="Обычный 48" xfId="1076" xr:uid="{00000000-0005-0000-0000-000034040000}"/>
    <cellStyle name="Обычный 49" xfId="1077" xr:uid="{00000000-0005-0000-0000-000035040000}"/>
    <cellStyle name="Обычный 5" xfId="1078" xr:uid="{00000000-0005-0000-0000-000036040000}"/>
    <cellStyle name="Обычный 5 2" xfId="1079" xr:uid="{00000000-0005-0000-0000-000037040000}"/>
    <cellStyle name="Обычный 5 3" xfId="1080" xr:uid="{00000000-0005-0000-0000-000038040000}"/>
    <cellStyle name="Обычный 5 4" xfId="1081" xr:uid="{00000000-0005-0000-0000-000039040000}"/>
    <cellStyle name="Обычный 5 5" xfId="1082" xr:uid="{00000000-0005-0000-0000-00003A040000}"/>
    <cellStyle name="Обычный 5_Тош вил. депозитлар" xfId="1083" xr:uid="{00000000-0005-0000-0000-00003B040000}"/>
    <cellStyle name="Обычный 50" xfId="1084" xr:uid="{00000000-0005-0000-0000-00003C040000}"/>
    <cellStyle name="Обычный 51" xfId="1085" xr:uid="{00000000-0005-0000-0000-00003D040000}"/>
    <cellStyle name="Обычный 52" xfId="1086" xr:uid="{00000000-0005-0000-0000-00003E040000}"/>
    <cellStyle name="Обычный 53" xfId="1087" xr:uid="{00000000-0005-0000-0000-00003F040000}"/>
    <cellStyle name="Обычный 54" xfId="1088" xr:uid="{00000000-0005-0000-0000-000040040000}"/>
    <cellStyle name="Обычный 55" xfId="1089" xr:uid="{00000000-0005-0000-0000-000041040000}"/>
    <cellStyle name="Обычный 56" xfId="1090" xr:uid="{00000000-0005-0000-0000-000042040000}"/>
    <cellStyle name="Обычный 57" xfId="1091" xr:uid="{00000000-0005-0000-0000-000043040000}"/>
    <cellStyle name="Обычный 58" xfId="1092" xr:uid="{00000000-0005-0000-0000-000044040000}"/>
    <cellStyle name="Обычный 59" xfId="1093" xr:uid="{00000000-0005-0000-0000-000045040000}"/>
    <cellStyle name="Обычный 6" xfId="1094" xr:uid="{00000000-0005-0000-0000-000046040000}"/>
    <cellStyle name="Обычный 6 2" xfId="1095" xr:uid="{00000000-0005-0000-0000-000047040000}"/>
    <cellStyle name="Обычный 6 3" xfId="1096" xr:uid="{00000000-0005-0000-0000-000048040000}"/>
    <cellStyle name="Обычный 6 4" xfId="1097" xr:uid="{00000000-0005-0000-0000-000049040000}"/>
    <cellStyle name="Обычный 6 5" xfId="1098" xr:uid="{00000000-0005-0000-0000-00004A040000}"/>
    <cellStyle name="Обычный 6_Тош вил. депозитлар" xfId="1099" xr:uid="{00000000-0005-0000-0000-00004B040000}"/>
    <cellStyle name="Обычный 60" xfId="1100" xr:uid="{00000000-0005-0000-0000-00004C040000}"/>
    <cellStyle name="Обычный 61" xfId="1101" xr:uid="{00000000-0005-0000-0000-00004D040000}"/>
    <cellStyle name="Обычный 62" xfId="1102" xr:uid="{00000000-0005-0000-0000-00004E040000}"/>
    <cellStyle name="Обычный 63" xfId="1103" xr:uid="{00000000-0005-0000-0000-00004F040000}"/>
    <cellStyle name="Обычный 64" xfId="1104" xr:uid="{00000000-0005-0000-0000-000050040000}"/>
    <cellStyle name="Обычный 65" xfId="1105" xr:uid="{00000000-0005-0000-0000-000051040000}"/>
    <cellStyle name="Обычный 66" xfId="1106" xr:uid="{00000000-0005-0000-0000-000052040000}"/>
    <cellStyle name="Обычный 67" xfId="1107" xr:uid="{00000000-0005-0000-0000-000053040000}"/>
    <cellStyle name="Обычный 68" xfId="1108" xr:uid="{00000000-0005-0000-0000-000054040000}"/>
    <cellStyle name="Обычный 69" xfId="1109" xr:uid="{00000000-0005-0000-0000-000055040000}"/>
    <cellStyle name="Обычный 7" xfId="1110" xr:uid="{00000000-0005-0000-0000-000056040000}"/>
    <cellStyle name="Обычный 7 2" xfId="1111" xr:uid="{00000000-0005-0000-0000-000057040000}"/>
    <cellStyle name="Обычный 7 3" xfId="1112" xr:uid="{00000000-0005-0000-0000-000058040000}"/>
    <cellStyle name="Обычный 7 4" xfId="1113" xr:uid="{00000000-0005-0000-0000-000059040000}"/>
    <cellStyle name="Обычный 7 5" xfId="1114" xr:uid="{00000000-0005-0000-0000-00005A040000}"/>
    <cellStyle name="Обычный 7_Омонат 01.02.14" xfId="1115" xr:uid="{00000000-0005-0000-0000-00005B040000}"/>
    <cellStyle name="Обычный 70" xfId="1116" xr:uid="{00000000-0005-0000-0000-00005C040000}"/>
    <cellStyle name="Обычный 71" xfId="1117" xr:uid="{00000000-0005-0000-0000-00005D040000}"/>
    <cellStyle name="Обычный 72" xfId="1118" xr:uid="{00000000-0005-0000-0000-00005E040000}"/>
    <cellStyle name="Обычный 73" xfId="1119" xr:uid="{00000000-0005-0000-0000-00005F040000}"/>
    <cellStyle name="Обычный 74" xfId="1120" xr:uid="{00000000-0005-0000-0000-000060040000}"/>
    <cellStyle name="Обычный 75" xfId="1121" xr:uid="{00000000-0005-0000-0000-000061040000}"/>
    <cellStyle name="Обычный 76" xfId="1122" xr:uid="{00000000-0005-0000-0000-000062040000}"/>
    <cellStyle name="Обычный 77" xfId="1123" xr:uid="{00000000-0005-0000-0000-000063040000}"/>
    <cellStyle name="Обычный 78" xfId="1124" xr:uid="{00000000-0005-0000-0000-000064040000}"/>
    <cellStyle name="Обычный 79" xfId="1125" xr:uid="{00000000-0005-0000-0000-000065040000}"/>
    <cellStyle name="Обычный 8" xfId="1126" xr:uid="{00000000-0005-0000-0000-000066040000}"/>
    <cellStyle name="Обычный 8 2" xfId="1127" xr:uid="{00000000-0005-0000-0000-000067040000}"/>
    <cellStyle name="Обычный 8 3" xfId="1128" xr:uid="{00000000-0005-0000-0000-000068040000}"/>
    <cellStyle name="Обычный 8 4" xfId="1129" xr:uid="{00000000-0005-0000-0000-000069040000}"/>
    <cellStyle name="Обычный 8 5" xfId="1130" xr:uid="{00000000-0005-0000-0000-00006A040000}"/>
    <cellStyle name="Обычный 8_Тош вил. депозитлар" xfId="1131" xr:uid="{00000000-0005-0000-0000-00006B040000}"/>
    <cellStyle name="Обычный 80" xfId="1132" xr:uid="{00000000-0005-0000-0000-00006C040000}"/>
    <cellStyle name="Обычный 81" xfId="1133" xr:uid="{00000000-0005-0000-0000-00006D040000}"/>
    <cellStyle name="Обычный 82" xfId="1134" xr:uid="{00000000-0005-0000-0000-00006E040000}"/>
    <cellStyle name="Обычный 83" xfId="1135" xr:uid="{00000000-0005-0000-0000-00006F040000}"/>
    <cellStyle name="Обычный 84" xfId="1136" xr:uid="{00000000-0005-0000-0000-000070040000}"/>
    <cellStyle name="Обычный 85" xfId="1137" xr:uid="{00000000-0005-0000-0000-000071040000}"/>
    <cellStyle name="Обычный 86" xfId="1138" xr:uid="{00000000-0005-0000-0000-000072040000}"/>
    <cellStyle name="Обычный 87" xfId="1139" xr:uid="{00000000-0005-0000-0000-000073040000}"/>
    <cellStyle name="Обычный 88" xfId="1140" xr:uid="{00000000-0005-0000-0000-000074040000}"/>
    <cellStyle name="Обычный 89" xfId="1141" xr:uid="{00000000-0005-0000-0000-000075040000}"/>
    <cellStyle name="Обычный 9" xfId="1142" xr:uid="{00000000-0005-0000-0000-000076040000}"/>
    <cellStyle name="Обычный 90" xfId="1143" xr:uid="{00000000-0005-0000-0000-000077040000}"/>
    <cellStyle name="Обычный 91" xfId="1144" xr:uid="{00000000-0005-0000-0000-000078040000}"/>
    <cellStyle name="Обычный 92" xfId="1145" xr:uid="{00000000-0005-0000-0000-000079040000}"/>
    <cellStyle name="Обычный 93" xfId="1146" xr:uid="{00000000-0005-0000-0000-00007A040000}"/>
    <cellStyle name="Обычный 94" xfId="1147" xr:uid="{00000000-0005-0000-0000-00007B040000}"/>
    <cellStyle name="Обычный 95" xfId="1148" xr:uid="{00000000-0005-0000-0000-00007C040000}"/>
    <cellStyle name="Обычный 96" xfId="1149" xr:uid="{00000000-0005-0000-0000-00007D040000}"/>
    <cellStyle name="Обычный 97" xfId="1150" xr:uid="{00000000-0005-0000-0000-00007E040000}"/>
    <cellStyle name="Обычный 98" xfId="1151" xr:uid="{00000000-0005-0000-0000-00007F040000}"/>
    <cellStyle name="Обычный 99" xfId="1152" xr:uid="{00000000-0005-0000-0000-000080040000}"/>
    <cellStyle name="Обычный_24.09.08" xfId="1228" xr:uid="{96EFA8E8-A8F1-4126-92F3-00148D136790}"/>
    <cellStyle name="Примечание 2" xfId="1153" xr:uid="{00000000-0005-0000-0000-000081040000}"/>
    <cellStyle name="Примечание 3" xfId="1154" xr:uid="{00000000-0005-0000-0000-000082040000}"/>
    <cellStyle name="Примечание 4" xfId="1155" xr:uid="{00000000-0005-0000-0000-000083040000}"/>
    <cellStyle name="Примечание 5" xfId="1156" xr:uid="{00000000-0005-0000-0000-000084040000}"/>
    <cellStyle name="Процентный" xfId="1227" builtinId="5"/>
    <cellStyle name="Процентный 2" xfId="1157" xr:uid="{00000000-0005-0000-0000-000085040000}"/>
    <cellStyle name="Процентный 2 2" xfId="1158" xr:uid="{00000000-0005-0000-0000-000086040000}"/>
    <cellStyle name="Процентный 2 3" xfId="1159" xr:uid="{00000000-0005-0000-0000-000087040000}"/>
    <cellStyle name="Процентный 2 4" xfId="1160" xr:uid="{00000000-0005-0000-0000-000088040000}"/>
    <cellStyle name="Процентный 2 5" xfId="1161" xr:uid="{00000000-0005-0000-0000-000089040000}"/>
    <cellStyle name="Процентный 3" xfId="1162" xr:uid="{00000000-0005-0000-0000-00008A040000}"/>
    <cellStyle name="Процентный 3 2" xfId="1163" xr:uid="{00000000-0005-0000-0000-00008B040000}"/>
    <cellStyle name="Процентный 3 3" xfId="1164" xr:uid="{00000000-0005-0000-0000-00008C040000}"/>
    <cellStyle name="Процентный 3 4" xfId="1165" xr:uid="{00000000-0005-0000-0000-00008D040000}"/>
    <cellStyle name="Стиль 1" xfId="1166" xr:uid="{00000000-0005-0000-0000-00008E040000}"/>
    <cellStyle name="Стиль 1 2" xfId="1167" xr:uid="{00000000-0005-0000-0000-00008F040000}"/>
    <cellStyle name="Стиль 1_136-карор буйича" xfId="1168" xr:uid="{00000000-0005-0000-0000-000090040000}"/>
    <cellStyle name="Тысячи [0]_  осн" xfId="1169" xr:uid="{00000000-0005-0000-0000-000091040000}"/>
    <cellStyle name="Тысячи_  осн" xfId="1170" xr:uid="{00000000-0005-0000-0000-000092040000}"/>
    <cellStyle name="Финансовый 10" xfId="2" xr:uid="{00000000-0005-0000-0000-000093040000}"/>
    <cellStyle name="Финансовый 11" xfId="1171" xr:uid="{00000000-0005-0000-0000-000094040000}"/>
    <cellStyle name="Финансовый 12" xfId="1172" xr:uid="{00000000-0005-0000-0000-000095040000}"/>
    <cellStyle name="Финансовый 13" xfId="1173" xr:uid="{00000000-0005-0000-0000-000096040000}"/>
    <cellStyle name="Финансовый 16" xfId="1174" xr:uid="{00000000-0005-0000-0000-000097040000}"/>
    <cellStyle name="Финансовый 2" xfId="1175" xr:uid="{00000000-0005-0000-0000-000098040000}"/>
    <cellStyle name="Финансовый 2 2" xfId="1176" xr:uid="{00000000-0005-0000-0000-000099040000}"/>
    <cellStyle name="Финансовый 2 2 2" xfId="1177" xr:uid="{00000000-0005-0000-0000-00009A040000}"/>
    <cellStyle name="Финансовый 2 2 2 2" xfId="1178" xr:uid="{00000000-0005-0000-0000-00009B040000}"/>
    <cellStyle name="Финансовый 2 2 2 3" xfId="1179" xr:uid="{00000000-0005-0000-0000-00009C040000}"/>
    <cellStyle name="Финансовый 2 2 2 4" xfId="1180" xr:uid="{00000000-0005-0000-0000-00009D040000}"/>
    <cellStyle name="Финансовый 2 2 3" xfId="1181" xr:uid="{00000000-0005-0000-0000-00009E040000}"/>
    <cellStyle name="Финансовый 2 2 4" xfId="1182" xr:uid="{00000000-0005-0000-0000-00009F040000}"/>
    <cellStyle name="Финансовый 2 2 5" xfId="1183" xr:uid="{00000000-0005-0000-0000-0000A0040000}"/>
    <cellStyle name="Финансовый 2 2 6" xfId="1184" xr:uid="{00000000-0005-0000-0000-0000A1040000}"/>
    <cellStyle name="Финансовый 2 2 7" xfId="1185" xr:uid="{00000000-0005-0000-0000-0000A2040000}"/>
    <cellStyle name="Финансовый 2 3" xfId="1186" xr:uid="{00000000-0005-0000-0000-0000A3040000}"/>
    <cellStyle name="Финансовый 2 4" xfId="1187" xr:uid="{00000000-0005-0000-0000-0000A4040000}"/>
    <cellStyle name="Финансовый 2 5" xfId="1188" xr:uid="{00000000-0005-0000-0000-0000A5040000}"/>
    <cellStyle name="Финансовый 2 6" xfId="1189" xr:uid="{00000000-0005-0000-0000-0000A6040000}"/>
    <cellStyle name="Финансовый 2 7" xfId="1190" xr:uid="{00000000-0005-0000-0000-0000A7040000}"/>
    <cellStyle name="Финансовый 2_Тош вил. депозитлар" xfId="1191" xr:uid="{00000000-0005-0000-0000-0000A8040000}"/>
    <cellStyle name="Финансовый 3" xfId="1192" xr:uid="{00000000-0005-0000-0000-0000A9040000}"/>
    <cellStyle name="Финансовый 3 2" xfId="1193" xr:uid="{00000000-0005-0000-0000-0000AA040000}"/>
    <cellStyle name="Финансовый 3 3" xfId="1194" xr:uid="{00000000-0005-0000-0000-0000AB040000}"/>
    <cellStyle name="Финансовый 3 4" xfId="1195" xr:uid="{00000000-0005-0000-0000-0000AC040000}"/>
    <cellStyle name="Финансовый 3 5" xfId="1196" xr:uid="{00000000-0005-0000-0000-0000AD040000}"/>
    <cellStyle name="Финансовый 3_Тош вил. депозитлар" xfId="1197" xr:uid="{00000000-0005-0000-0000-0000AE040000}"/>
    <cellStyle name="Финансовый 4" xfId="1198" xr:uid="{00000000-0005-0000-0000-0000AF040000}"/>
    <cellStyle name="Финансовый 5" xfId="1199" xr:uid="{00000000-0005-0000-0000-0000B0040000}"/>
    <cellStyle name="Финансовый 5 2" xfId="1200" xr:uid="{00000000-0005-0000-0000-0000B1040000}"/>
    <cellStyle name="Финансовый 5 3" xfId="1201" xr:uid="{00000000-0005-0000-0000-0000B2040000}"/>
    <cellStyle name="Финансовый 5 4" xfId="1202" xr:uid="{00000000-0005-0000-0000-0000B3040000}"/>
    <cellStyle name="Финансовый 5 5" xfId="1203" xr:uid="{00000000-0005-0000-0000-0000B4040000}"/>
    <cellStyle name="Финансовый 6" xfId="1204" xr:uid="{00000000-0005-0000-0000-0000B5040000}"/>
    <cellStyle name="Финансовый 6 2" xfId="1205" xr:uid="{00000000-0005-0000-0000-0000B6040000}"/>
    <cellStyle name="Финансовый 6 3" xfId="1206" xr:uid="{00000000-0005-0000-0000-0000B7040000}"/>
    <cellStyle name="Финансовый 6 4" xfId="1207" xr:uid="{00000000-0005-0000-0000-0000B8040000}"/>
    <cellStyle name="Финансовый 6 5" xfId="1208" xr:uid="{00000000-0005-0000-0000-0000B9040000}"/>
    <cellStyle name="Финансовый 7" xfId="1209" xr:uid="{00000000-0005-0000-0000-0000BA040000}"/>
    <cellStyle name="Финансовый 7 2" xfId="1210" xr:uid="{00000000-0005-0000-0000-0000BB040000}"/>
    <cellStyle name="Финансовый 7 3" xfId="1211" xr:uid="{00000000-0005-0000-0000-0000BC040000}"/>
    <cellStyle name="Финансовый 7 4" xfId="1212" xr:uid="{00000000-0005-0000-0000-0000BD040000}"/>
    <cellStyle name="Финансовый 7 5" xfId="1213" xr:uid="{00000000-0005-0000-0000-0000BE040000}"/>
    <cellStyle name="Финансовый 8" xfId="1214" xr:uid="{00000000-0005-0000-0000-0000BF040000}"/>
    <cellStyle name="Финансовый 8 2" xfId="1215" xr:uid="{00000000-0005-0000-0000-0000C0040000}"/>
    <cellStyle name="Финансовый 8 3" xfId="1216" xr:uid="{00000000-0005-0000-0000-0000C1040000}"/>
    <cellStyle name="Финансовый 8 4" xfId="1217" xr:uid="{00000000-0005-0000-0000-0000C2040000}"/>
    <cellStyle name="Финансовый 8 5" xfId="1218" xr:uid="{00000000-0005-0000-0000-0000C3040000}"/>
    <cellStyle name="Финансовый 9" xfId="1219" xr:uid="{00000000-0005-0000-0000-0000C4040000}"/>
    <cellStyle name="Финансовый 9 2" xfId="1220" xr:uid="{00000000-0005-0000-0000-0000C5040000}"/>
    <cellStyle name="Финансовый 9 3" xfId="1221" xr:uid="{00000000-0005-0000-0000-0000C6040000}"/>
    <cellStyle name="Финансовый 9 4" xfId="1222" xr:uid="{00000000-0005-0000-0000-0000C7040000}"/>
    <cellStyle name="Финансовый 9 5" xfId="1223" xr:uid="{00000000-0005-0000-0000-0000C8040000}"/>
    <cellStyle name="Џђћ–…ќ’ќ›‰" xfId="1224" xr:uid="{00000000-0005-0000-0000-0000C9040000}"/>
    <cellStyle name="표준_03-01-##_Raw materials for Uz-DongWon" xfId="1225" xr:uid="{00000000-0005-0000-0000-0000CA040000}"/>
  </cellStyles>
  <dxfs count="50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DK107"/>
  <sheetViews>
    <sheetView showZeros="0" tabSelected="1" view="pageBreakPreview" topLeftCell="C1" zoomScale="85" zoomScaleNormal="85" zoomScaleSheetLayoutView="85" workbookViewId="0">
      <selection activeCell="E8" sqref="E8"/>
    </sheetView>
  </sheetViews>
  <sheetFormatPr defaultRowHeight="12.75"/>
  <cols>
    <col min="1" max="1" width="18.42578125" style="4" hidden="1" customWidth="1"/>
    <col min="2" max="2" width="9.28515625" style="2" hidden="1" customWidth="1"/>
    <col min="3" max="3" width="6.7109375" style="1" customWidth="1"/>
    <col min="4" max="4" width="38.42578125" style="2" customWidth="1"/>
    <col min="5" max="5" width="11.28515625" style="4" customWidth="1"/>
    <col min="6" max="6" width="16.140625" style="2" customWidth="1"/>
    <col min="7" max="7" width="10.85546875" style="2" customWidth="1"/>
    <col min="8" max="8" width="11.28515625" style="2" customWidth="1"/>
    <col min="9" max="9" width="11.140625" style="2" customWidth="1"/>
    <col min="10" max="10" width="10.85546875" style="2" customWidth="1"/>
    <col min="11" max="11" width="11.28515625" style="2" customWidth="1"/>
    <col min="12" max="12" width="15.140625" style="2" customWidth="1"/>
    <col min="13" max="13" width="11.140625" style="2" customWidth="1"/>
    <col min="14" max="14" width="11" style="2" customWidth="1"/>
    <col min="15" max="15" width="9.7109375" style="2" customWidth="1"/>
    <col min="16" max="16" width="10.85546875" style="2" customWidth="1"/>
    <col min="17" max="17" width="8.7109375" style="2" customWidth="1"/>
    <col min="18" max="18" width="11.7109375" style="2" customWidth="1"/>
    <col min="19" max="19" width="11.28515625" style="4" customWidth="1"/>
    <col min="20" max="20" width="16.140625" style="2" customWidth="1"/>
    <col min="21" max="21" width="10.85546875" style="2" customWidth="1"/>
    <col min="22" max="22" width="11.28515625" style="2" customWidth="1"/>
    <col min="23" max="23" width="11.140625" style="2" customWidth="1"/>
    <col min="24" max="24" width="10.85546875" style="2" customWidth="1"/>
    <col min="25" max="25" width="11.28515625" style="2" customWidth="1"/>
    <col min="26" max="26" width="15.140625" style="2" customWidth="1"/>
    <col min="27" max="27" width="11.140625" style="2" customWidth="1"/>
    <col min="28" max="28" width="11" style="2" customWidth="1"/>
    <col min="29" max="29" width="9.7109375" style="2" customWidth="1"/>
    <col min="30" max="30" width="10.85546875" style="2" customWidth="1"/>
    <col min="31" max="31" width="8.7109375" style="2" customWidth="1"/>
    <col min="32" max="32" width="11.7109375" style="2" customWidth="1"/>
    <col min="33" max="33" width="11.28515625" style="4" customWidth="1"/>
    <col min="34" max="34" width="16.140625" style="2" customWidth="1"/>
    <col min="35" max="35" width="10.85546875" style="2" customWidth="1"/>
    <col min="36" max="36" width="15.140625" style="2" customWidth="1"/>
    <col min="37" max="37" width="11.140625" style="2" customWidth="1"/>
    <col min="38" max="38" width="11" style="2" customWidth="1"/>
    <col min="39" max="39" width="9.7109375" style="2" customWidth="1"/>
    <col min="40" max="40" width="10.85546875" style="2" customWidth="1"/>
    <col min="41" max="41" width="8.7109375" style="2" customWidth="1"/>
    <col min="42" max="42" width="16.140625" style="2" customWidth="1"/>
    <col min="43" max="43" width="13.42578125" style="2" customWidth="1"/>
    <col min="44" max="44" width="15.140625" style="2" customWidth="1"/>
    <col min="45" max="45" width="12.7109375" style="2" customWidth="1"/>
    <col min="46" max="47" width="11" style="2" customWidth="1"/>
    <col min="48" max="48" width="10.140625" style="2" customWidth="1"/>
    <col min="49" max="49" width="8.7109375" style="2" customWidth="1"/>
    <col min="50" max="50" width="11.28515625" style="4" customWidth="1"/>
    <col min="51" max="51" width="16.140625" style="2" customWidth="1"/>
    <col min="52" max="52" width="10.85546875" style="2" customWidth="1"/>
    <col min="53" max="53" width="11.28515625" style="2" customWidth="1"/>
    <col min="54" max="54" width="11.140625" style="2" customWidth="1"/>
    <col min="55" max="55" width="10.85546875" style="2" customWidth="1"/>
    <col min="56" max="56" width="11.28515625" style="2" customWidth="1"/>
    <col min="57" max="57" width="15.140625" style="2" customWidth="1"/>
    <col min="58" max="58" width="11.140625" style="2" customWidth="1"/>
    <col min="59" max="59" width="11" style="2" customWidth="1"/>
    <col min="60" max="60" width="9.7109375" style="2" customWidth="1"/>
    <col min="61" max="61" width="10.85546875" style="2" customWidth="1"/>
    <col min="62" max="62" width="8.7109375" style="2" customWidth="1"/>
    <col min="63" max="63" width="11.7109375" style="2" customWidth="1"/>
    <col min="64" max="64" width="11.85546875" style="4" customWidth="1"/>
    <col min="65" max="65" width="13" style="2" customWidth="1"/>
    <col min="66" max="66" width="10.85546875" style="2" customWidth="1"/>
    <col min="67" max="67" width="11.28515625" style="2" customWidth="1"/>
    <col min="68" max="68" width="11.42578125" style="2" customWidth="1"/>
    <col min="69" max="69" width="10.85546875" style="2" customWidth="1"/>
    <col min="70" max="70" width="13.42578125" style="2" customWidth="1"/>
    <col min="71" max="71" width="15.140625" style="2" customWidth="1"/>
    <col min="72" max="72" width="12.7109375" style="2" customWidth="1"/>
    <col min="73" max="74" width="11" style="2" customWidth="1"/>
    <col min="75" max="75" width="11.7109375" style="2" customWidth="1"/>
    <col min="76" max="76" width="9.85546875" style="2" customWidth="1"/>
    <col min="77" max="77" width="11.7109375" style="2" customWidth="1"/>
    <col min="78" max="78" width="13.140625" style="4" customWidth="1"/>
    <col min="79" max="79" width="12" style="2" customWidth="1"/>
    <col min="80" max="80" width="12.140625" style="2" customWidth="1"/>
    <col min="81" max="81" width="11.28515625" style="2" customWidth="1"/>
    <col min="82" max="82" width="11.140625" style="2" customWidth="1"/>
    <col min="83" max="83" width="11.5703125" style="2" customWidth="1"/>
    <col min="84" max="84" width="13.42578125" style="2" customWidth="1"/>
    <col min="85" max="85" width="15.140625" style="2" customWidth="1"/>
    <col min="86" max="86" width="12.7109375" style="2" customWidth="1"/>
    <col min="87" max="88" width="11" style="2" customWidth="1"/>
    <col min="89" max="89" width="10.140625" style="2" customWidth="1"/>
    <col min="90" max="90" width="9.28515625" style="2" customWidth="1"/>
    <col min="91" max="91" width="11.5703125" style="2" hidden="1" customWidth="1"/>
    <col min="92" max="92" width="11.85546875" style="4" customWidth="1"/>
    <col min="93" max="93" width="16.140625" style="2" customWidth="1"/>
    <col min="94" max="94" width="13.42578125" style="2" customWidth="1"/>
    <col min="95" max="95" width="12.28515625" style="2" customWidth="1"/>
    <col min="96" max="98" width="13.42578125" style="2" customWidth="1"/>
    <col min="99" max="99" width="15.140625" style="2" customWidth="1"/>
    <col min="100" max="100" width="12.7109375" style="2" customWidth="1"/>
    <col min="101" max="102" width="11" style="29" customWidth="1"/>
    <col min="103" max="103" width="10.85546875" style="29" customWidth="1"/>
    <col min="104" max="104" width="8.7109375" style="29" customWidth="1"/>
    <col min="105" max="105" width="12" style="29" customWidth="1"/>
    <col min="106" max="16384" width="9.140625" style="2"/>
  </cols>
  <sheetData>
    <row r="1" spans="1:115" ht="76.5" customHeight="1">
      <c r="A1" s="2"/>
      <c r="C1" s="63" t="s">
        <v>150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3"/>
      <c r="BF1" s="63"/>
      <c r="BG1" s="63"/>
      <c r="BH1" s="63"/>
      <c r="BI1" s="63"/>
      <c r="BJ1" s="63"/>
      <c r="BK1" s="63"/>
      <c r="BL1" s="63"/>
      <c r="BM1" s="63"/>
      <c r="BN1" s="63"/>
      <c r="BO1" s="63"/>
      <c r="BP1" s="63"/>
      <c r="BQ1" s="63"/>
      <c r="BR1" s="63"/>
      <c r="BS1" s="63"/>
      <c r="BT1" s="63"/>
      <c r="BU1" s="63"/>
      <c r="BV1" s="63"/>
      <c r="BW1" s="63"/>
      <c r="BX1" s="63"/>
      <c r="BY1" s="63"/>
      <c r="BZ1" s="63" t="s">
        <v>150</v>
      </c>
      <c r="CA1" s="63"/>
      <c r="CB1" s="63"/>
      <c r="CC1" s="63"/>
      <c r="CD1" s="63"/>
      <c r="CE1" s="63"/>
      <c r="CF1" s="63"/>
      <c r="CG1" s="63"/>
      <c r="CH1" s="63"/>
      <c r="CI1" s="63"/>
      <c r="CJ1" s="63"/>
      <c r="CK1" s="63"/>
      <c r="CL1" s="63"/>
      <c r="CM1" s="63"/>
      <c r="CN1" s="63"/>
      <c r="CO1" s="63"/>
      <c r="CP1" s="63"/>
      <c r="CQ1" s="63"/>
      <c r="CR1" s="63"/>
      <c r="CS1" s="63"/>
      <c r="CT1" s="63"/>
      <c r="CU1" s="63"/>
      <c r="CV1" s="63"/>
      <c r="CW1" s="63"/>
      <c r="CX1" s="63"/>
      <c r="CY1" s="63"/>
      <c r="CZ1" s="63"/>
      <c r="DA1" s="63"/>
      <c r="DB1" s="54"/>
      <c r="DC1" s="54"/>
      <c r="DD1" s="54"/>
      <c r="DE1" s="54"/>
      <c r="DF1" s="54"/>
      <c r="DG1" s="54"/>
      <c r="DH1" s="54"/>
      <c r="DI1" s="54"/>
      <c r="DJ1" s="54"/>
      <c r="DK1" s="54"/>
    </row>
    <row r="2" spans="1:115" s="33" customFormat="1" ht="18" customHeight="1">
      <c r="A2" s="34"/>
      <c r="B2" s="35"/>
      <c r="C2" s="36"/>
      <c r="D2" s="57" t="s">
        <v>152</v>
      </c>
      <c r="E2" s="34"/>
      <c r="S2" s="34"/>
      <c r="AG2" s="34"/>
      <c r="AP2" s="57"/>
      <c r="AX2" s="34"/>
      <c r="BL2" s="34"/>
      <c r="BZ2" s="34"/>
      <c r="CN2" s="34"/>
      <c r="CW2" s="37"/>
      <c r="CX2" s="37"/>
      <c r="CY2" s="65" t="s">
        <v>146</v>
      </c>
      <c r="CZ2" s="65"/>
      <c r="DA2" s="65"/>
    </row>
    <row r="3" spans="1:115" s="3" customFormat="1" ht="72" customHeight="1">
      <c r="A3" s="14" t="s">
        <v>54</v>
      </c>
      <c r="B3" s="67" t="s">
        <v>35</v>
      </c>
      <c r="C3" s="70" t="s">
        <v>0</v>
      </c>
      <c r="D3" s="70" t="s">
        <v>34</v>
      </c>
      <c r="E3" s="62" t="s">
        <v>156</v>
      </c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 t="s">
        <v>161</v>
      </c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 t="s">
        <v>162</v>
      </c>
      <c r="AH3" s="62"/>
      <c r="AI3" s="62"/>
      <c r="AJ3" s="62"/>
      <c r="AK3" s="62"/>
      <c r="AL3" s="62"/>
      <c r="AM3" s="62"/>
      <c r="AN3" s="62"/>
      <c r="AO3" s="62"/>
      <c r="AP3" s="62" t="s">
        <v>139</v>
      </c>
      <c r="AQ3" s="62"/>
      <c r="AR3" s="62"/>
      <c r="AS3" s="62"/>
      <c r="AT3" s="62"/>
      <c r="AU3" s="62"/>
      <c r="AV3" s="62"/>
      <c r="AW3" s="62"/>
      <c r="AX3" s="62" t="s">
        <v>131</v>
      </c>
      <c r="AY3" s="62"/>
      <c r="AZ3" s="62"/>
      <c r="BA3" s="62"/>
      <c r="BB3" s="62"/>
      <c r="BC3" s="62"/>
      <c r="BD3" s="62"/>
      <c r="BE3" s="62"/>
      <c r="BF3" s="62"/>
      <c r="BG3" s="62"/>
      <c r="BH3" s="62"/>
      <c r="BI3" s="62"/>
      <c r="BJ3" s="62"/>
      <c r="BK3" s="62"/>
      <c r="BL3" s="62" t="s">
        <v>132</v>
      </c>
      <c r="BM3" s="62"/>
      <c r="BN3" s="62"/>
      <c r="BO3" s="62"/>
      <c r="BP3" s="62"/>
      <c r="BQ3" s="62"/>
      <c r="BR3" s="62"/>
      <c r="BS3" s="62"/>
      <c r="BT3" s="62"/>
      <c r="BU3" s="62"/>
      <c r="BV3" s="62"/>
      <c r="BW3" s="62"/>
      <c r="BX3" s="62"/>
      <c r="BY3" s="62"/>
      <c r="BZ3" s="62" t="s">
        <v>133</v>
      </c>
      <c r="CA3" s="62"/>
      <c r="CB3" s="62"/>
      <c r="CC3" s="62"/>
      <c r="CD3" s="62"/>
      <c r="CE3" s="62"/>
      <c r="CF3" s="62"/>
      <c r="CG3" s="62"/>
      <c r="CH3" s="62"/>
      <c r="CI3" s="62"/>
      <c r="CJ3" s="62"/>
      <c r="CK3" s="62"/>
      <c r="CL3" s="62"/>
      <c r="CM3" s="62"/>
      <c r="CN3" s="62" t="s">
        <v>134</v>
      </c>
      <c r="CO3" s="62"/>
      <c r="CP3" s="62"/>
      <c r="CQ3" s="62"/>
      <c r="CR3" s="62"/>
      <c r="CS3" s="62"/>
      <c r="CT3" s="62"/>
      <c r="CU3" s="62"/>
      <c r="CV3" s="62"/>
      <c r="CW3" s="62"/>
      <c r="CX3" s="62"/>
      <c r="CY3" s="62"/>
      <c r="CZ3" s="62"/>
      <c r="DA3" s="62"/>
    </row>
    <row r="4" spans="1:115" s="3" customFormat="1" ht="39" customHeight="1">
      <c r="A4" s="14"/>
      <c r="B4" s="68"/>
      <c r="C4" s="70"/>
      <c r="D4" s="70"/>
      <c r="E4" s="61" t="s">
        <v>148</v>
      </c>
      <c r="F4" s="56" t="s">
        <v>135</v>
      </c>
      <c r="G4" s="59" t="s">
        <v>135</v>
      </c>
      <c r="H4" s="59"/>
      <c r="I4" s="59"/>
      <c r="J4" s="59"/>
      <c r="K4" s="59"/>
      <c r="L4" s="60" t="s">
        <v>136</v>
      </c>
      <c r="M4" s="56" t="s">
        <v>135</v>
      </c>
      <c r="N4" s="60" t="s">
        <v>154</v>
      </c>
      <c r="O4" s="60"/>
      <c r="P4" s="59" t="s">
        <v>135</v>
      </c>
      <c r="Q4" s="59"/>
      <c r="R4" s="60" t="s">
        <v>151</v>
      </c>
      <c r="S4" s="61" t="s">
        <v>148</v>
      </c>
      <c r="T4" s="56" t="s">
        <v>135</v>
      </c>
      <c r="U4" s="59" t="s">
        <v>135</v>
      </c>
      <c r="V4" s="59"/>
      <c r="W4" s="59"/>
      <c r="X4" s="59"/>
      <c r="Y4" s="59"/>
      <c r="Z4" s="60" t="s">
        <v>136</v>
      </c>
      <c r="AA4" s="56" t="s">
        <v>135</v>
      </c>
      <c r="AB4" s="60" t="s">
        <v>154</v>
      </c>
      <c r="AC4" s="60"/>
      <c r="AD4" s="59" t="s">
        <v>135</v>
      </c>
      <c r="AE4" s="59"/>
      <c r="AF4" s="60" t="s">
        <v>151</v>
      </c>
      <c r="AG4" s="61" t="s">
        <v>148</v>
      </c>
      <c r="AH4" s="56" t="s">
        <v>135</v>
      </c>
      <c r="AI4" s="56" t="s">
        <v>135</v>
      </c>
      <c r="AJ4" s="60" t="s">
        <v>136</v>
      </c>
      <c r="AK4" s="56" t="s">
        <v>135</v>
      </c>
      <c r="AL4" s="60" t="s">
        <v>154</v>
      </c>
      <c r="AM4" s="60"/>
      <c r="AN4" s="59" t="s">
        <v>135</v>
      </c>
      <c r="AO4" s="59"/>
      <c r="AP4" s="60" t="s">
        <v>153</v>
      </c>
      <c r="AQ4" s="42" t="s">
        <v>135</v>
      </c>
      <c r="AR4" s="60" t="s">
        <v>136</v>
      </c>
      <c r="AS4" s="42" t="s">
        <v>135</v>
      </c>
      <c r="AT4" s="60" t="s">
        <v>154</v>
      </c>
      <c r="AU4" s="60"/>
      <c r="AV4" s="59" t="s">
        <v>135</v>
      </c>
      <c r="AW4" s="59"/>
      <c r="AX4" s="61" t="s">
        <v>148</v>
      </c>
      <c r="AY4" s="42" t="s">
        <v>135</v>
      </c>
      <c r="AZ4" s="59" t="s">
        <v>135</v>
      </c>
      <c r="BA4" s="59"/>
      <c r="BB4" s="59"/>
      <c r="BC4" s="59"/>
      <c r="BD4" s="59"/>
      <c r="BE4" s="60" t="s">
        <v>136</v>
      </c>
      <c r="BF4" s="42" t="s">
        <v>135</v>
      </c>
      <c r="BG4" s="60" t="s">
        <v>154</v>
      </c>
      <c r="BH4" s="60"/>
      <c r="BI4" s="59" t="s">
        <v>135</v>
      </c>
      <c r="BJ4" s="59"/>
      <c r="BK4" s="60" t="s">
        <v>151</v>
      </c>
      <c r="BL4" s="61" t="s">
        <v>148</v>
      </c>
      <c r="BM4" s="60" t="s">
        <v>153</v>
      </c>
      <c r="BN4" s="59" t="s">
        <v>135</v>
      </c>
      <c r="BO4" s="59"/>
      <c r="BP4" s="59"/>
      <c r="BQ4" s="59"/>
      <c r="BR4" s="59"/>
      <c r="BS4" s="60" t="s">
        <v>136</v>
      </c>
      <c r="BT4" s="42" t="s">
        <v>135</v>
      </c>
      <c r="BU4" s="60" t="s">
        <v>154</v>
      </c>
      <c r="BV4" s="60"/>
      <c r="BW4" s="59" t="s">
        <v>135</v>
      </c>
      <c r="BX4" s="59"/>
      <c r="BY4" s="60" t="s">
        <v>151</v>
      </c>
      <c r="BZ4" s="61" t="s">
        <v>148</v>
      </c>
      <c r="CA4" s="60" t="s">
        <v>153</v>
      </c>
      <c r="CB4" s="59" t="s">
        <v>135</v>
      </c>
      <c r="CC4" s="59"/>
      <c r="CD4" s="59"/>
      <c r="CE4" s="59"/>
      <c r="CF4" s="59"/>
      <c r="CG4" s="60" t="s">
        <v>136</v>
      </c>
      <c r="CH4" s="42" t="s">
        <v>135</v>
      </c>
      <c r="CI4" s="60" t="s">
        <v>154</v>
      </c>
      <c r="CJ4" s="60"/>
      <c r="CK4" s="59" t="s">
        <v>135</v>
      </c>
      <c r="CL4" s="59"/>
      <c r="CM4" s="60" t="s">
        <v>151</v>
      </c>
      <c r="CN4" s="61" t="s">
        <v>148</v>
      </c>
      <c r="CO4" s="60" t="s">
        <v>153</v>
      </c>
      <c r="CP4" s="59" t="s">
        <v>135</v>
      </c>
      <c r="CQ4" s="59"/>
      <c r="CR4" s="59"/>
      <c r="CS4" s="59"/>
      <c r="CT4" s="59"/>
      <c r="CU4" s="60" t="s">
        <v>136</v>
      </c>
      <c r="CV4" s="42" t="s">
        <v>135</v>
      </c>
      <c r="CW4" s="66" t="s">
        <v>154</v>
      </c>
      <c r="CX4" s="66"/>
      <c r="CY4" s="64" t="s">
        <v>135</v>
      </c>
      <c r="CZ4" s="64"/>
      <c r="DA4" s="60" t="s">
        <v>151</v>
      </c>
    </row>
    <row r="5" spans="1:115" s="3" customFormat="1" ht="53.25" customHeight="1">
      <c r="A5" s="10"/>
      <c r="B5" s="69"/>
      <c r="C5" s="70"/>
      <c r="D5" s="70"/>
      <c r="E5" s="61"/>
      <c r="F5" s="55" t="s">
        <v>153</v>
      </c>
      <c r="G5" s="55" t="s">
        <v>155</v>
      </c>
      <c r="H5" s="40" t="s">
        <v>157</v>
      </c>
      <c r="I5" s="40" t="s">
        <v>158</v>
      </c>
      <c r="J5" s="40" t="s">
        <v>159</v>
      </c>
      <c r="K5" s="40" t="s">
        <v>160</v>
      </c>
      <c r="L5" s="60"/>
      <c r="M5" s="55" t="s">
        <v>155</v>
      </c>
      <c r="N5" s="60"/>
      <c r="O5" s="60"/>
      <c r="P5" s="60" t="s">
        <v>155</v>
      </c>
      <c r="Q5" s="60"/>
      <c r="R5" s="60"/>
      <c r="S5" s="61"/>
      <c r="T5" s="55" t="s">
        <v>153</v>
      </c>
      <c r="U5" s="55" t="s">
        <v>155</v>
      </c>
      <c r="V5" s="40" t="s">
        <v>157</v>
      </c>
      <c r="W5" s="40" t="s">
        <v>158</v>
      </c>
      <c r="X5" s="40" t="s">
        <v>159</v>
      </c>
      <c r="Y5" s="40" t="s">
        <v>160</v>
      </c>
      <c r="Z5" s="60"/>
      <c r="AA5" s="55" t="s">
        <v>155</v>
      </c>
      <c r="AB5" s="60"/>
      <c r="AC5" s="60"/>
      <c r="AD5" s="60" t="s">
        <v>155</v>
      </c>
      <c r="AE5" s="60"/>
      <c r="AF5" s="60"/>
      <c r="AG5" s="61"/>
      <c r="AH5" s="55" t="s">
        <v>153</v>
      </c>
      <c r="AI5" s="55" t="s">
        <v>155</v>
      </c>
      <c r="AJ5" s="60"/>
      <c r="AK5" s="55" t="s">
        <v>155</v>
      </c>
      <c r="AL5" s="60"/>
      <c r="AM5" s="60"/>
      <c r="AN5" s="60" t="s">
        <v>155</v>
      </c>
      <c r="AO5" s="60"/>
      <c r="AP5" s="60"/>
      <c r="AQ5" s="41" t="s">
        <v>155</v>
      </c>
      <c r="AR5" s="60"/>
      <c r="AS5" s="41" t="s">
        <v>155</v>
      </c>
      <c r="AT5" s="60"/>
      <c r="AU5" s="60"/>
      <c r="AV5" s="60" t="s">
        <v>155</v>
      </c>
      <c r="AW5" s="60"/>
      <c r="AX5" s="61"/>
      <c r="AY5" s="41" t="s">
        <v>153</v>
      </c>
      <c r="AZ5" s="55" t="s">
        <v>155</v>
      </c>
      <c r="BA5" s="40" t="s">
        <v>157</v>
      </c>
      <c r="BB5" s="40" t="s">
        <v>158</v>
      </c>
      <c r="BC5" s="40" t="s">
        <v>159</v>
      </c>
      <c r="BD5" s="40" t="s">
        <v>160</v>
      </c>
      <c r="BE5" s="60"/>
      <c r="BF5" s="41" t="s">
        <v>155</v>
      </c>
      <c r="BG5" s="60"/>
      <c r="BH5" s="60"/>
      <c r="BI5" s="60" t="s">
        <v>155</v>
      </c>
      <c r="BJ5" s="60"/>
      <c r="BK5" s="60"/>
      <c r="BL5" s="61"/>
      <c r="BM5" s="60"/>
      <c r="BN5" s="55" t="s">
        <v>155</v>
      </c>
      <c r="BO5" s="40" t="s">
        <v>157</v>
      </c>
      <c r="BP5" s="40" t="s">
        <v>158</v>
      </c>
      <c r="BQ5" s="40" t="s">
        <v>159</v>
      </c>
      <c r="BR5" s="40" t="s">
        <v>160</v>
      </c>
      <c r="BS5" s="60"/>
      <c r="BT5" s="41" t="s">
        <v>155</v>
      </c>
      <c r="BU5" s="60"/>
      <c r="BV5" s="60"/>
      <c r="BW5" s="60" t="s">
        <v>155</v>
      </c>
      <c r="BX5" s="60"/>
      <c r="BY5" s="60"/>
      <c r="BZ5" s="61"/>
      <c r="CA5" s="60"/>
      <c r="CB5" s="55" t="s">
        <v>155</v>
      </c>
      <c r="CC5" s="40" t="s">
        <v>157</v>
      </c>
      <c r="CD5" s="40" t="s">
        <v>158</v>
      </c>
      <c r="CE5" s="40" t="s">
        <v>159</v>
      </c>
      <c r="CF5" s="40" t="s">
        <v>160</v>
      </c>
      <c r="CG5" s="60"/>
      <c r="CH5" s="41" t="s">
        <v>155</v>
      </c>
      <c r="CI5" s="60"/>
      <c r="CJ5" s="60"/>
      <c r="CK5" s="60" t="s">
        <v>155</v>
      </c>
      <c r="CL5" s="60"/>
      <c r="CM5" s="60"/>
      <c r="CN5" s="61"/>
      <c r="CO5" s="60"/>
      <c r="CP5" s="55" t="s">
        <v>155</v>
      </c>
      <c r="CQ5" s="40" t="s">
        <v>157</v>
      </c>
      <c r="CR5" s="40" t="s">
        <v>158</v>
      </c>
      <c r="CS5" s="40" t="s">
        <v>159</v>
      </c>
      <c r="CT5" s="40" t="s">
        <v>160</v>
      </c>
      <c r="CU5" s="60"/>
      <c r="CV5" s="41" t="s">
        <v>155</v>
      </c>
      <c r="CW5" s="66"/>
      <c r="CX5" s="66"/>
      <c r="CY5" s="66" t="s">
        <v>155</v>
      </c>
      <c r="CZ5" s="66"/>
      <c r="DA5" s="60"/>
    </row>
    <row r="6" spans="1:115" s="3" customFormat="1" ht="29.25" customHeight="1">
      <c r="A6" s="10"/>
      <c r="B6" s="18"/>
      <c r="C6" s="70"/>
      <c r="D6" s="70"/>
      <c r="E6" s="44" t="s">
        <v>137</v>
      </c>
      <c r="F6" s="56" t="s">
        <v>137</v>
      </c>
      <c r="G6" s="56" t="s">
        <v>137</v>
      </c>
      <c r="H6" s="56" t="s">
        <v>137</v>
      </c>
      <c r="I6" s="56" t="s">
        <v>137</v>
      </c>
      <c r="J6" s="56" t="s">
        <v>137</v>
      </c>
      <c r="K6" s="56" t="s">
        <v>137</v>
      </c>
      <c r="L6" s="56" t="s">
        <v>137</v>
      </c>
      <c r="M6" s="56" t="s">
        <v>137</v>
      </c>
      <c r="N6" s="56" t="s">
        <v>137</v>
      </c>
      <c r="O6" s="56" t="s">
        <v>138</v>
      </c>
      <c r="P6" s="56" t="s">
        <v>137</v>
      </c>
      <c r="Q6" s="56" t="s">
        <v>138</v>
      </c>
      <c r="R6" s="56" t="s">
        <v>138</v>
      </c>
      <c r="S6" s="44" t="s">
        <v>137</v>
      </c>
      <c r="T6" s="56" t="s">
        <v>137</v>
      </c>
      <c r="U6" s="56" t="s">
        <v>137</v>
      </c>
      <c r="V6" s="56" t="s">
        <v>137</v>
      </c>
      <c r="W6" s="56" t="s">
        <v>137</v>
      </c>
      <c r="X6" s="56" t="s">
        <v>137</v>
      </c>
      <c r="Y6" s="56" t="s">
        <v>137</v>
      </c>
      <c r="Z6" s="56" t="s">
        <v>137</v>
      </c>
      <c r="AA6" s="56" t="s">
        <v>137</v>
      </c>
      <c r="AB6" s="56" t="s">
        <v>137</v>
      </c>
      <c r="AC6" s="56" t="s">
        <v>138</v>
      </c>
      <c r="AD6" s="56" t="s">
        <v>137</v>
      </c>
      <c r="AE6" s="56" t="s">
        <v>138</v>
      </c>
      <c r="AF6" s="56" t="s">
        <v>138</v>
      </c>
      <c r="AG6" s="44" t="s">
        <v>137</v>
      </c>
      <c r="AH6" s="56" t="s">
        <v>137</v>
      </c>
      <c r="AI6" s="56" t="s">
        <v>137</v>
      </c>
      <c r="AJ6" s="56" t="s">
        <v>137</v>
      </c>
      <c r="AK6" s="56" t="s">
        <v>137</v>
      </c>
      <c r="AL6" s="56" t="s">
        <v>137</v>
      </c>
      <c r="AM6" s="56" t="s">
        <v>138</v>
      </c>
      <c r="AN6" s="56" t="s">
        <v>137</v>
      </c>
      <c r="AO6" s="56" t="s">
        <v>138</v>
      </c>
      <c r="AP6" s="42" t="s">
        <v>137</v>
      </c>
      <c r="AQ6" s="42" t="s">
        <v>137</v>
      </c>
      <c r="AR6" s="42" t="s">
        <v>137</v>
      </c>
      <c r="AS6" s="42" t="s">
        <v>137</v>
      </c>
      <c r="AT6" s="42" t="s">
        <v>137</v>
      </c>
      <c r="AU6" s="42" t="s">
        <v>138</v>
      </c>
      <c r="AV6" s="42" t="s">
        <v>137</v>
      </c>
      <c r="AW6" s="42" t="s">
        <v>138</v>
      </c>
      <c r="AX6" s="44" t="s">
        <v>137</v>
      </c>
      <c r="AY6" s="42" t="s">
        <v>137</v>
      </c>
      <c r="AZ6" s="42" t="s">
        <v>137</v>
      </c>
      <c r="BA6" s="42" t="s">
        <v>137</v>
      </c>
      <c r="BB6" s="42" t="s">
        <v>137</v>
      </c>
      <c r="BC6" s="42" t="s">
        <v>137</v>
      </c>
      <c r="BD6" s="42" t="s">
        <v>137</v>
      </c>
      <c r="BE6" s="42" t="s">
        <v>137</v>
      </c>
      <c r="BF6" s="42" t="s">
        <v>137</v>
      </c>
      <c r="BG6" s="42" t="s">
        <v>137</v>
      </c>
      <c r="BH6" s="42" t="s">
        <v>138</v>
      </c>
      <c r="BI6" s="42" t="s">
        <v>137</v>
      </c>
      <c r="BJ6" s="42" t="s">
        <v>138</v>
      </c>
      <c r="BK6" s="42" t="s">
        <v>138</v>
      </c>
      <c r="BL6" s="44" t="s">
        <v>137</v>
      </c>
      <c r="BM6" s="42" t="s">
        <v>137</v>
      </c>
      <c r="BN6" s="42" t="s">
        <v>137</v>
      </c>
      <c r="BO6" s="42" t="s">
        <v>137</v>
      </c>
      <c r="BP6" s="42" t="s">
        <v>137</v>
      </c>
      <c r="BQ6" s="42" t="s">
        <v>137</v>
      </c>
      <c r="BR6" s="42" t="s">
        <v>137</v>
      </c>
      <c r="BS6" s="42" t="s">
        <v>137</v>
      </c>
      <c r="BT6" s="42" t="s">
        <v>137</v>
      </c>
      <c r="BU6" s="42" t="s">
        <v>137</v>
      </c>
      <c r="BV6" s="42" t="s">
        <v>138</v>
      </c>
      <c r="BW6" s="42" t="s">
        <v>137</v>
      </c>
      <c r="BX6" s="42" t="s">
        <v>138</v>
      </c>
      <c r="BY6" s="42" t="s">
        <v>138</v>
      </c>
      <c r="BZ6" s="44" t="s">
        <v>137</v>
      </c>
      <c r="CA6" s="42" t="s">
        <v>137</v>
      </c>
      <c r="CB6" s="42" t="s">
        <v>137</v>
      </c>
      <c r="CC6" s="42" t="s">
        <v>137</v>
      </c>
      <c r="CD6" s="42" t="s">
        <v>137</v>
      </c>
      <c r="CE6" s="42" t="s">
        <v>137</v>
      </c>
      <c r="CF6" s="42" t="s">
        <v>137</v>
      </c>
      <c r="CG6" s="42" t="s">
        <v>137</v>
      </c>
      <c r="CH6" s="42" t="s">
        <v>137</v>
      </c>
      <c r="CI6" s="42" t="s">
        <v>137</v>
      </c>
      <c r="CJ6" s="42" t="s">
        <v>138</v>
      </c>
      <c r="CK6" s="42" t="s">
        <v>137</v>
      </c>
      <c r="CL6" s="42" t="s">
        <v>138</v>
      </c>
      <c r="CM6" s="42" t="s">
        <v>138</v>
      </c>
      <c r="CN6" s="44" t="s">
        <v>137</v>
      </c>
      <c r="CO6" s="42" t="s">
        <v>137</v>
      </c>
      <c r="CP6" s="42" t="s">
        <v>137</v>
      </c>
      <c r="CQ6" s="42" t="s">
        <v>137</v>
      </c>
      <c r="CR6" s="42" t="s">
        <v>137</v>
      </c>
      <c r="CS6" s="42" t="s">
        <v>137</v>
      </c>
      <c r="CT6" s="42" t="s">
        <v>137</v>
      </c>
      <c r="CU6" s="42" t="s">
        <v>137</v>
      </c>
      <c r="CV6" s="42" t="s">
        <v>137</v>
      </c>
      <c r="CW6" s="43" t="s">
        <v>137</v>
      </c>
      <c r="CX6" s="43" t="s">
        <v>138</v>
      </c>
      <c r="CY6" s="43" t="s">
        <v>137</v>
      </c>
      <c r="CZ6" s="43" t="s">
        <v>138</v>
      </c>
      <c r="DA6" s="42" t="s">
        <v>138</v>
      </c>
    </row>
    <row r="7" spans="1:115" s="28" customFormat="1" ht="24" customHeight="1">
      <c r="A7" s="27"/>
      <c r="B7" s="7"/>
      <c r="C7" s="58" t="s">
        <v>1</v>
      </c>
      <c r="D7" s="58"/>
      <c r="E7" s="15">
        <f>+SUM(E8,E16,E25,E37,E46,E66,E73,E78,E80,E86,E90,E97,E99,E101,E104,E105,)</f>
        <v>390149.99699999997</v>
      </c>
      <c r="F7" s="15">
        <f t="shared" ref="F7:G7" si="0">+SUM(F8,F16,F25,F37,F46,F66,F73,F78,F80,F86,F90,F97,F99,F101,F104,F105,)</f>
        <v>58451.753764176217</v>
      </c>
      <c r="G7" s="15">
        <f t="shared" si="0"/>
        <v>27049.571942631603</v>
      </c>
      <c r="H7" s="15">
        <f t="shared" ref="H7:M7" si="1">+SUM(H8,H16,H25,H37,H46,H66,H73,H78,H80,H86,H90,H97,H99,H101,H104,)</f>
        <v>6674.7793492942637</v>
      </c>
      <c r="I7" s="15">
        <f t="shared" si="1"/>
        <v>13349.558698588527</v>
      </c>
      <c r="J7" s="15">
        <f t="shared" si="1"/>
        <v>20024.338047882793</v>
      </c>
      <c r="K7" s="15">
        <f t="shared" si="1"/>
        <v>26699.117397177055</v>
      </c>
      <c r="L7" s="15">
        <f t="shared" si="1"/>
        <v>97644.631627920011</v>
      </c>
      <c r="M7" s="15">
        <f t="shared" si="1"/>
        <v>40666.625185000004</v>
      </c>
      <c r="N7" s="19">
        <f t="shared" ref="N7:N70" si="2">+L7-F7</f>
        <v>39192.877863743794</v>
      </c>
      <c r="O7" s="20">
        <f>+IF(F7&lt;=0,0,L7/F7)</f>
        <v>1.6705167140385142</v>
      </c>
      <c r="P7" s="19">
        <f>+M7-G7</f>
        <v>13617.053242368402</v>
      </c>
      <c r="Q7" s="20">
        <f>+IF(G7&lt;=0,0,M7/G7)</f>
        <v>1.5034110436663577</v>
      </c>
      <c r="R7" s="20">
        <f>+IF(K7&lt;=0,0,M7/K7)</f>
        <v>1.523144925730757</v>
      </c>
      <c r="S7" s="15">
        <f>+SUM(S8,S16,S25,S37,S46,S66,S73,S78,S80,S86,S90,S97,S99,S101,S104,S105,)</f>
        <v>390149.99699999997</v>
      </c>
      <c r="T7" s="15">
        <f t="shared" ref="T7:U7" si="3">+SUM(T8,T16,T25,T37,T46,T66,T73,T78,T80,T86,T90,T97,T99,T101,T104,T105,)</f>
        <v>58451.753764176217</v>
      </c>
      <c r="U7" s="15">
        <f t="shared" si="3"/>
        <v>27049.571942631603</v>
      </c>
      <c r="V7" s="15">
        <f t="shared" ref="V7:AA7" si="4">+SUM(V8,V16,V25,V37,V46,V66,V73,V78,V80,V86,V90,V97,V99,V101,V104,)</f>
        <v>6674.7793492942637</v>
      </c>
      <c r="W7" s="15">
        <f t="shared" si="4"/>
        <v>13349.558698588527</v>
      </c>
      <c r="X7" s="15">
        <f t="shared" si="4"/>
        <v>20024.338047882793</v>
      </c>
      <c r="Y7" s="15">
        <f t="shared" si="4"/>
        <v>26699.117397177055</v>
      </c>
      <c r="Z7" s="15">
        <f t="shared" si="4"/>
        <v>97644.631627920011</v>
      </c>
      <c r="AA7" s="15">
        <f t="shared" si="4"/>
        <v>40666.625185000004</v>
      </c>
      <c r="AB7" s="19">
        <f t="shared" ref="AB7:AB70" si="5">+Z7-T7</f>
        <v>39192.877863743794</v>
      </c>
      <c r="AC7" s="20">
        <f>+IF(T7&lt;=0,0,Z7/T7)</f>
        <v>1.6705167140385142</v>
      </c>
      <c r="AD7" s="19">
        <f>+AA7-U7</f>
        <v>13617.053242368402</v>
      </c>
      <c r="AE7" s="20">
        <f>+IF(U7&lt;=0,0,AA7/U7)</f>
        <v>1.5034110436663577</v>
      </c>
      <c r="AF7" s="20">
        <f>+IF(Y7&lt;=0,0,AA7/Y7)</f>
        <v>1.523144925730757</v>
      </c>
      <c r="AG7" s="15">
        <f>+SUM(AG8,AG16,AG25,AG37,AG46,AG66,AG73,AG78,AG80,AG86,AG90,AG97,AG99,AG101,AG104,AG105,)</f>
        <v>390149.99699999997</v>
      </c>
      <c r="AH7" s="15">
        <f t="shared" ref="AH7:AI7" si="6">+SUM(AH8,AH16,AH25,AH37,AH46,AH66,AH73,AH78,AH80,AH86,AH90,AH97,AH99,AH101,AH104,AH105,)</f>
        <v>58451.753764176217</v>
      </c>
      <c r="AI7" s="15">
        <f t="shared" si="6"/>
        <v>27049.571942631603</v>
      </c>
      <c r="AJ7" s="15">
        <f t="shared" ref="AJ7:AK7" si="7">+SUM(AJ8,AJ16,AJ25,AJ37,AJ46,AJ66,AJ73,AJ78,AJ80,AJ86,AJ90,AJ97,AJ99,AJ101,AJ104,)</f>
        <v>97644.631627920011</v>
      </c>
      <c r="AK7" s="15">
        <f t="shared" si="7"/>
        <v>40666.625185000004</v>
      </c>
      <c r="AL7" s="19">
        <f>+AJ7-AH7</f>
        <v>39192.877863743794</v>
      </c>
      <c r="AM7" s="20">
        <f>+IF(AH7&lt;=0,0,AJ7/AH7)</f>
        <v>1.6705167140385142</v>
      </c>
      <c r="AN7" s="19">
        <f>+AK7-AI7</f>
        <v>13617.053242368402</v>
      </c>
      <c r="AO7" s="20">
        <f>+IF(AI7&lt;=0,0,AK7/AI7)</f>
        <v>1.5034110436663577</v>
      </c>
      <c r="AP7" s="15">
        <f t="shared" ref="AP7" si="8">+SUM(AP8,AP16,AP25,AP37,AP46,AP66,AP73,AP78,AP80,AP86,AP90,AP97,AP99,AP101,AP104,)</f>
        <v>371996.41794901626</v>
      </c>
      <c r="AQ7" s="15">
        <f t="shared" ref="AQ7" si="9">+SUM(AQ8,AQ16,AQ25,AQ37,AQ46,AQ66,AQ73,AQ78,AQ80,AQ86,AQ90,AQ97,AQ99,AQ101,AQ104,)</f>
        <v>156506.31952393675</v>
      </c>
      <c r="AR7" s="15">
        <f t="shared" ref="AR7" si="10">+SUM(AR8,AR16,AR25,AR37,AR46,AR66,AR73,AR78,AR80,AR86,AR90,AR97,AR99,AR101,AR104,)</f>
        <v>558393.34273938392</v>
      </c>
      <c r="AS7" s="15">
        <f t="shared" ref="AS7" si="11">+SUM(AS8,AS16,AS25,AS37,AS46,AS66,AS73,AS78,AS80,AS86,AS90,AS97,AS99,AS101,AS104,)</f>
        <v>262121.98707939405</v>
      </c>
      <c r="AT7" s="19">
        <f t="shared" ref="AT7" si="12">+AR7-AP7</f>
        <v>186396.92479036766</v>
      </c>
      <c r="AU7" s="20">
        <f t="shared" ref="AU7:AU8" si="13">+AR7/AP7</f>
        <v>1.5010718270301038</v>
      </c>
      <c r="AV7" s="19">
        <f t="shared" ref="AV7:AV8" si="14">+AS7-AQ7</f>
        <v>105615.6675554573</v>
      </c>
      <c r="AW7" s="20">
        <f t="shared" ref="AW7:AW8" si="15">+AS7/AQ7</f>
        <v>1.6748332455629946</v>
      </c>
      <c r="AX7" s="15">
        <f>+SUM(AX8,AX16,AX25,AX37,AX46,AX66,AX73,AX78,AX80,AX86,AX90,AX97,AX99,AX101,AX104,AX105,)</f>
        <v>390149.99699999997</v>
      </c>
      <c r="AY7" s="15">
        <f t="shared" ref="AY7:AZ7" si="16">+SUM(AY8,AY16,AY25,AY37,AY46,AY66,AY73,AY78,AY80,AY86,AY90,AY97,AY99,AY101,AY104,AY105,)</f>
        <v>58451.753764176217</v>
      </c>
      <c r="AZ7" s="15">
        <f t="shared" si="16"/>
        <v>27049.571942631603</v>
      </c>
      <c r="BA7" s="15">
        <f t="shared" ref="BA7:BD7" si="17">+SUM(BA8,BA16,BA25,BA37,BA46,BA66,BA73,BA78,BA80,BA86,BA90,BA97,BA99,BA101,BA104,)</f>
        <v>6674.7793492942637</v>
      </c>
      <c r="BB7" s="15">
        <f t="shared" si="17"/>
        <v>13349.558698588527</v>
      </c>
      <c r="BC7" s="15">
        <f t="shared" si="17"/>
        <v>20024.338047882793</v>
      </c>
      <c r="BD7" s="15">
        <f t="shared" si="17"/>
        <v>26699.117397177055</v>
      </c>
      <c r="BE7" s="15">
        <f t="shared" ref="BE7" si="18">+SUM(BE8,BE16,BE25,BE37,BE46,BE66,BE73,BE78,BE80,BE86,BE90,BE97,BE99,BE101,BE104,)</f>
        <v>97644.631627920011</v>
      </c>
      <c r="BF7" s="15">
        <f t="shared" ref="BF7" si="19">+SUM(BF8,BF16,BF25,BF37,BF46,BF66,BF73,BF78,BF80,BF86,BF90,BF97,BF99,BF101,BF104,)</f>
        <v>40666.625185000004</v>
      </c>
      <c r="BG7" s="19">
        <f t="shared" ref="BG7:BG38" si="20">+BE7-AY7</f>
        <v>39192.877863743794</v>
      </c>
      <c r="BH7" s="20">
        <f>+IF(AY7&lt;=0,0,BE7/AY7)</f>
        <v>1.6705167140385142</v>
      </c>
      <c r="BI7" s="19">
        <f>+BF7-AZ7</f>
        <v>13617.053242368402</v>
      </c>
      <c r="BJ7" s="20">
        <f>+IF(AZ7&lt;=0,0,BF7/AZ7)</f>
        <v>1.5034110436663577</v>
      </c>
      <c r="BK7" s="20">
        <f>+IF(BD7&lt;=0,0,BF7/BD7)</f>
        <v>1.523144925730757</v>
      </c>
      <c r="BL7" s="15">
        <f t="shared" ref="BL7:BR7" si="21">+SUM(BL8,BL16,BL25,BL37,BL46,BL66,BL73,BL78,BL80,BL86,BL90,BL97,BL99,BL101,BL104,)</f>
        <v>357894.87896106095</v>
      </c>
      <c r="BM7" s="15">
        <f t="shared" si="21"/>
        <v>54670.553310839634</v>
      </c>
      <c r="BN7" s="15">
        <f t="shared" si="21"/>
        <v>25674.986155712748</v>
      </c>
      <c r="BO7" s="15">
        <f t="shared" si="21"/>
        <v>6418.746538928187</v>
      </c>
      <c r="BP7" s="15">
        <f t="shared" si="21"/>
        <v>12837.493077856374</v>
      </c>
      <c r="BQ7" s="15">
        <f t="shared" si="21"/>
        <v>19256.239616784558</v>
      </c>
      <c r="BR7" s="15">
        <f t="shared" si="21"/>
        <v>25674.986155712748</v>
      </c>
      <c r="BS7" s="15">
        <f>+SUM(BS8,BS16,BS25,BS37,BS46,BS66,BS73,BS78,BS80,BS86,BS90,BS97,BS99,BS101,BS104,)+BS105</f>
        <v>90642.112817980014</v>
      </c>
      <c r="BT7" s="15">
        <f>+SUM(BT8,BT16,BT25,BT37,BT46,BT66,BT73,BT78,BT80,BT86,BT90,BT97,BT99,BT101,BT104,)</f>
        <v>45304.012642979993</v>
      </c>
      <c r="BU7" s="19">
        <f t="shared" ref="BU7:BU38" si="22">+BS7-BM7</f>
        <v>35971.55950714038</v>
      </c>
      <c r="BV7" s="20">
        <f>+IF(BM7&lt;=0,0,BS7/BM7)</f>
        <v>1.6579695526880323</v>
      </c>
      <c r="BW7" s="19">
        <f t="shared" ref="BW7:BW16" si="23">+BT7-BN7</f>
        <v>19629.026487267245</v>
      </c>
      <c r="BX7" s="20">
        <f>+IF(BN7&lt;=0,0,BT7/BN7)</f>
        <v>1.7645194575070779</v>
      </c>
      <c r="BY7" s="20">
        <f>+IF(BR7&lt;=0,0,BT7/BR7)</f>
        <v>1.7645194575070779</v>
      </c>
      <c r="BZ7" s="15">
        <f>+SUM(BZ8,BZ16,BZ25,BZ37,BZ46,BZ66,BZ73,BZ78,BZ80,BZ86,BZ90,BZ97,BZ99,BZ101,BZ104,)</f>
        <v>1561661.7390304201</v>
      </c>
      <c r="CA7" s="15">
        <f>+SUM(CA8,CA16,CA25,CA37,CA46,CA66,CA73,CA78,CA80,CA86,CA90,CA97,CA99,CA101,CA104,)</f>
        <v>207412.56099690279</v>
      </c>
      <c r="CB7" s="15">
        <f>+SUM(CB8,CB16,CB25,CB37,CB46,CB66,CB73,CB78,CB80,CB86,CB90,CB97,CB99,CB101,CB104,)</f>
        <v>65164.942516706826</v>
      </c>
      <c r="CC7" s="15">
        <f t="shared" ref="CC7:CF7" si="24">+SUM(CC8,CC16,CC25,CC37,CC46,CC66,CC73,CC78,CC80,CC86,CC90,CC97,CC99,CC101,CC104,)</f>
        <v>16291.235629176706</v>
      </c>
      <c r="CD7" s="15">
        <f t="shared" si="24"/>
        <v>32582.471258353413</v>
      </c>
      <c r="CE7" s="15">
        <f t="shared" si="24"/>
        <v>48873.706887530119</v>
      </c>
      <c r="CF7" s="15">
        <f t="shared" si="24"/>
        <v>65164.942516706826</v>
      </c>
      <c r="CG7" s="15">
        <f>+SUM(CG8,CG16,CG25,CG37,CG46,CG66,CG73,CG78,CG80,CG86,CG90,CG97,CG99,CG101,CG104,)</f>
        <v>289324.12479348393</v>
      </c>
      <c r="CH7" s="15">
        <f>+SUM(CH8,CH16,CH25,CH37,CH46,CH66,CH73,CH78,CH80,CH86,CH90,CH97,CH99,CH101,CH104,)</f>
        <v>126905.636751414</v>
      </c>
      <c r="CI7" s="15">
        <f>+SUM(CI8,CI16,CI25,CI37,CI46,CI66,CI73,CI78,CI80,CI86,CI90,CI97,CI99,CI101,CI104,)</f>
        <v>99911.563796581177</v>
      </c>
      <c r="CJ7" s="20">
        <f>+IF(CA7&lt;=0,0,CG7/CA7)</f>
        <v>1.3949209411565209</v>
      </c>
      <c r="CK7" s="15">
        <f>+SUM(CK8,CK16,CK25,CK37,CK46,CK66,CK73,CK78,CK80,CK86,CK90,CK97,CK99,CK101,CK104,)</f>
        <v>67740.694234707189</v>
      </c>
      <c r="CL7" s="20">
        <f>+IF(CB7&lt;=0,0,CH7/CB7)</f>
        <v>1.9474526002824026</v>
      </c>
      <c r="CM7" s="20">
        <f>+IF(CF7&lt;=0,0,CH7/CF7)</f>
        <v>1.9474526002824026</v>
      </c>
      <c r="CN7" s="15">
        <f>+SUM(CN8,CN16,CN25,CN37,CN46,CN66,CN73,CN78,CN80,CN86,CN90,CN97,CN99,CN101,CN104,)</f>
        <v>400001.55454855616</v>
      </c>
      <c r="CO7" s="15">
        <f>+SUM(CO8,CO16,CO25,CO37,CO46,CO66,CO73,CO78,CO80,CO86,CO90,CO97,CO99,CO101,CO104,)</f>
        <v>72011.549877097597</v>
      </c>
      <c r="CP7" s="15">
        <f>+SUM(CP8,CP16,CP25,CP37,CP46,CP66,CP73,CP78,CP80,CP86,CP90,CP97,CP99,CP101,CP104,)</f>
        <v>45466.818908885587</v>
      </c>
      <c r="CQ7" s="15">
        <f t="shared" ref="CQ7:CT7" si="25">+SUM(CQ8,CQ16,CQ25,CQ37,CQ46,CQ66,CQ73,CQ78,CQ80,CQ86,CQ90,CQ97,CQ99,CQ101,CQ104,)</f>
        <v>11366.704727221397</v>
      </c>
      <c r="CR7" s="15">
        <f t="shared" si="25"/>
        <v>22733.409454442794</v>
      </c>
      <c r="CS7" s="15">
        <f t="shared" si="25"/>
        <v>34100.11418166419</v>
      </c>
      <c r="CT7" s="15">
        <f t="shared" si="25"/>
        <v>45466.818908885587</v>
      </c>
      <c r="CU7" s="15">
        <f>+SUM(CU8,CU16,CU25,CU37,CU46,CU66,CU73,CU78,CU80,CU86,CU90,CU97,CU99,CU101,CU104,)</f>
        <v>80782.473499999993</v>
      </c>
      <c r="CV7" s="15">
        <f>+SUM(CV8,CV16,CV25,CV37,CV46,CV66,CV73,CV78,CV80,CV86,CV90,CV97,CV99,CV101,CV104,)</f>
        <v>49245.712500000009</v>
      </c>
      <c r="CW7" s="30">
        <f t="shared" ref="CW7:CW8" si="26">+CU7-CO7</f>
        <v>8770.9236229023954</v>
      </c>
      <c r="CX7" s="20">
        <f>+IF(CO7&lt;=0,0,CU7/CO7)</f>
        <v>1.121798845294564</v>
      </c>
      <c r="CY7" s="30">
        <f t="shared" ref="CY7" si="27">+CV7-CP7</f>
        <v>3778.8935911144217</v>
      </c>
      <c r="CZ7" s="20">
        <f>+IF(CP7&lt;=0,0,CV7/CP7)</f>
        <v>1.0831132171064626</v>
      </c>
      <c r="DA7" s="20">
        <f>+IF(CT7&lt;=0,0,CV7/CT7)</f>
        <v>1.0831132171064626</v>
      </c>
    </row>
    <row r="8" spans="1:115" s="26" customFormat="1" ht="24.95" customHeight="1">
      <c r="A8" s="25"/>
      <c r="B8" s="7"/>
      <c r="C8" s="6"/>
      <c r="D8" s="7" t="s">
        <v>29</v>
      </c>
      <c r="E8" s="13">
        <f>SUM(E9:E15)</f>
        <v>27000.000000000004</v>
      </c>
      <c r="F8" s="13">
        <f>SUM(F9:F15)</f>
        <v>945</v>
      </c>
      <c r="G8" s="13">
        <f>SUM(G9:G15)</f>
        <v>540</v>
      </c>
      <c r="H8" s="13">
        <f t="shared" ref="H8:M8" si="28">SUM(H9:H15)</f>
        <v>59.88636363636364</v>
      </c>
      <c r="I8" s="13">
        <f t="shared" si="28"/>
        <v>119.77272727272728</v>
      </c>
      <c r="J8" s="13">
        <f t="shared" si="28"/>
        <v>179.65909090909093</v>
      </c>
      <c r="K8" s="13">
        <f t="shared" si="28"/>
        <v>239.54545454545456</v>
      </c>
      <c r="L8" s="13">
        <f t="shared" si="28"/>
        <v>3818.8599730000001</v>
      </c>
      <c r="M8" s="13">
        <f t="shared" si="28"/>
        <v>1778.8599730000001</v>
      </c>
      <c r="N8" s="19">
        <f t="shared" si="2"/>
        <v>2873.8599730000001</v>
      </c>
      <c r="O8" s="20">
        <f t="shared" ref="O8:O71" si="29">+IF(F8&lt;=0,0,L8/F8)</f>
        <v>4.041121664550265</v>
      </c>
      <c r="P8" s="19">
        <f>+M8-G8</f>
        <v>1238.8599730000001</v>
      </c>
      <c r="Q8" s="20">
        <f t="shared" ref="Q8:Q71" si="30">+IF(G8&lt;=0,0,M8/G8)</f>
        <v>3.2941851351851854</v>
      </c>
      <c r="R8" s="20">
        <f t="shared" ref="R8:R71" si="31">+IF(K8&lt;=0,0,M8/K8)</f>
        <v>7.4259809119544586</v>
      </c>
      <c r="S8" s="13">
        <f>SUM(S9:S15)</f>
        <v>27000.000000000004</v>
      </c>
      <c r="T8" s="13">
        <f>SUM(T9:T15)</f>
        <v>945</v>
      </c>
      <c r="U8" s="13">
        <f>SUM(U9:U15)</f>
        <v>540</v>
      </c>
      <c r="V8" s="13">
        <f t="shared" ref="V8:AA8" si="32">SUM(V9:V15)</f>
        <v>59.88636363636364</v>
      </c>
      <c r="W8" s="13">
        <f t="shared" si="32"/>
        <v>119.77272727272728</v>
      </c>
      <c r="X8" s="13">
        <f t="shared" si="32"/>
        <v>179.65909090909093</v>
      </c>
      <c r="Y8" s="13">
        <f t="shared" si="32"/>
        <v>239.54545454545456</v>
      </c>
      <c r="Z8" s="13">
        <f t="shared" si="32"/>
        <v>3818.8599730000001</v>
      </c>
      <c r="AA8" s="13">
        <f t="shared" si="32"/>
        <v>1778.8599730000001</v>
      </c>
      <c r="AB8" s="19">
        <f t="shared" si="5"/>
        <v>2873.8599730000001</v>
      </c>
      <c r="AC8" s="20">
        <f t="shared" ref="AC8:AC71" si="33">+IF(T8&lt;=0,0,Z8/T8)</f>
        <v>4.041121664550265</v>
      </c>
      <c r="AD8" s="19">
        <f>+AA8-U8</f>
        <v>1238.8599730000001</v>
      </c>
      <c r="AE8" s="20">
        <f t="shared" ref="AE8:AE71" si="34">+IF(U8&lt;=0,0,AA8/U8)</f>
        <v>3.2941851351851854</v>
      </c>
      <c r="AF8" s="20">
        <f t="shared" ref="AF8:AF71" si="35">+IF(Y8&lt;=0,0,AA8/Y8)</f>
        <v>7.4259809119544586</v>
      </c>
      <c r="AG8" s="13">
        <f>SUM(AG9:AG15)</f>
        <v>27000.000000000004</v>
      </c>
      <c r="AH8" s="13">
        <f>SUM(AH9:AH15)</f>
        <v>945</v>
      </c>
      <c r="AI8" s="13">
        <f>SUM(AI9:AI15)</f>
        <v>540</v>
      </c>
      <c r="AJ8" s="13">
        <f t="shared" ref="AJ8:AK8" si="36">SUM(AJ9:AJ15)</f>
        <v>3818.8599730000001</v>
      </c>
      <c r="AK8" s="13">
        <f t="shared" si="36"/>
        <v>1778.8599730000001</v>
      </c>
      <c r="AL8" s="19">
        <f>+AJ8-AH8</f>
        <v>2873.8599730000001</v>
      </c>
      <c r="AM8" s="20">
        <f>+IF(AH8&lt;=0,0,AJ8/AH8)</f>
        <v>4.041121664550265</v>
      </c>
      <c r="AN8" s="19">
        <f>+AK8-AI8</f>
        <v>1238.8599730000001</v>
      </c>
      <c r="AO8" s="20">
        <f>+IF(AI8&lt;=0,0,AK8/AI8)</f>
        <v>3.2941851351851854</v>
      </c>
      <c r="AP8" s="13">
        <f>SUM(AP9:AP15)</f>
        <v>5845</v>
      </c>
      <c r="AQ8" s="13">
        <f>SUM(AQ9:AQ15)</f>
        <v>2240</v>
      </c>
      <c r="AR8" s="13">
        <f t="shared" ref="AR8:AS8" si="37">SUM(AR9:AR15)</f>
        <v>13109.316133</v>
      </c>
      <c r="AS8" s="13">
        <f t="shared" si="37"/>
        <v>8216.8689730000006</v>
      </c>
      <c r="AT8" s="19">
        <f t="shared" ref="AT8" si="38">+AR8-AP8</f>
        <v>7264.3161330000003</v>
      </c>
      <c r="AU8" s="20">
        <f t="shared" si="13"/>
        <v>2.2428256857142856</v>
      </c>
      <c r="AV8" s="19">
        <f t="shared" si="14"/>
        <v>5976.8689730000006</v>
      </c>
      <c r="AW8" s="20">
        <f t="shared" si="15"/>
        <v>3.6682450772321431</v>
      </c>
      <c r="AX8" s="13">
        <f>SUM(AX9:AX15)</f>
        <v>27000.000000000004</v>
      </c>
      <c r="AY8" s="13">
        <f>SUM(AY9:AY15)</f>
        <v>945</v>
      </c>
      <c r="AZ8" s="13">
        <f>SUM(AZ9:AZ15)</f>
        <v>540</v>
      </c>
      <c r="BA8" s="13">
        <f t="shared" ref="BA8:BD8" si="39">SUM(BA9:BA15)</f>
        <v>59.88636363636364</v>
      </c>
      <c r="BB8" s="13">
        <f t="shared" si="39"/>
        <v>119.77272727272728</v>
      </c>
      <c r="BC8" s="13">
        <f t="shared" si="39"/>
        <v>179.65909090909093</v>
      </c>
      <c r="BD8" s="13">
        <f t="shared" si="39"/>
        <v>239.54545454545456</v>
      </c>
      <c r="BE8" s="13">
        <f t="shared" ref="BE8:BF8" si="40">SUM(BE9:BE15)</f>
        <v>3818.8599730000001</v>
      </c>
      <c r="BF8" s="13">
        <f t="shared" si="40"/>
        <v>1778.8599730000001</v>
      </c>
      <c r="BG8" s="19">
        <f t="shared" si="20"/>
        <v>2873.8599730000001</v>
      </c>
      <c r="BH8" s="20">
        <f t="shared" ref="BH8:BH71" si="41">+IF(AY8&lt;=0,0,BE8/AY8)</f>
        <v>4.041121664550265</v>
      </c>
      <c r="BI8" s="19">
        <f>+BF8-AZ8</f>
        <v>1238.8599730000001</v>
      </c>
      <c r="BJ8" s="20">
        <f t="shared" ref="BJ8:BJ71" si="42">+IF(AZ8&lt;=0,0,BF8/AZ8)</f>
        <v>3.2941851351851854</v>
      </c>
      <c r="BK8" s="20">
        <f t="shared" ref="BK8:BK71" si="43">+IF(BD8&lt;=0,0,BF8/BD8)</f>
        <v>7.4259809119544586</v>
      </c>
      <c r="BL8" s="13">
        <f>SUM(BL9:BL15)</f>
        <v>30000</v>
      </c>
      <c r="BM8" s="13">
        <f>SUM(BM9:BM15)</f>
        <v>1049.9999999999998</v>
      </c>
      <c r="BN8" s="13">
        <f>SUM(BN9:BN15)</f>
        <v>600</v>
      </c>
      <c r="BO8" s="13">
        <f t="shared" ref="BO8:BR8" si="44">SUM(BO9:BO15)</f>
        <v>150</v>
      </c>
      <c r="BP8" s="13">
        <f t="shared" si="44"/>
        <v>300</v>
      </c>
      <c r="BQ8" s="13">
        <f t="shared" si="44"/>
        <v>449.99999999999994</v>
      </c>
      <c r="BR8" s="13">
        <f t="shared" si="44"/>
        <v>600</v>
      </c>
      <c r="BS8" s="13">
        <f>SUM(BS9:BS15)</f>
        <v>1112.144</v>
      </c>
      <c r="BT8" s="13">
        <f>SUM(BT9:BT15)</f>
        <v>664</v>
      </c>
      <c r="BU8" s="19">
        <f t="shared" si="22"/>
        <v>62.144000000000233</v>
      </c>
      <c r="BV8" s="20">
        <f t="shared" ref="BV8:BV71" si="45">+IF(BM8&lt;=0,0,BS8/BM8)</f>
        <v>1.0591847619047621</v>
      </c>
      <c r="BW8" s="19">
        <f t="shared" si="23"/>
        <v>64</v>
      </c>
      <c r="BX8" s="20">
        <f t="shared" ref="BX8:BX71" si="46">+IF(BN8&lt;=0,0,BT8/BN8)</f>
        <v>1.1066666666666667</v>
      </c>
      <c r="BY8" s="20">
        <f t="shared" ref="BY8:BY71" si="47">+IF(BR8&lt;=0,0,BT8/BR8)</f>
        <v>1.1066666666666667</v>
      </c>
      <c r="BZ8" s="13">
        <f>SUM(BZ9:BZ15)</f>
        <v>110000</v>
      </c>
      <c r="CA8" s="13">
        <f>SUM(CA9:CA15)</f>
        <v>3850</v>
      </c>
      <c r="CB8" s="13">
        <f>SUM(CB9:CB15)</f>
        <v>1100</v>
      </c>
      <c r="CC8" s="13">
        <f t="shared" ref="CC8:CF8" si="48">SUM(CC9:CC15)</f>
        <v>275</v>
      </c>
      <c r="CD8" s="13">
        <f t="shared" si="48"/>
        <v>550</v>
      </c>
      <c r="CE8" s="13">
        <f t="shared" si="48"/>
        <v>825</v>
      </c>
      <c r="CF8" s="13">
        <f t="shared" si="48"/>
        <v>1100</v>
      </c>
      <c r="CG8" s="13">
        <f>SUM(CG9:CG15)</f>
        <v>8178.3121599999995</v>
      </c>
      <c r="CH8" s="13">
        <f>SUM(CH9:CH15)</f>
        <v>5774.009</v>
      </c>
      <c r="CI8" s="19">
        <f t="shared" ref="CI8:CI39" si="49">+CG8-CA8</f>
        <v>4328.3121599999995</v>
      </c>
      <c r="CJ8" s="20">
        <f t="shared" ref="CJ8:CJ71" si="50">+IF(CA8&lt;=0,0,CG8/CA8)</f>
        <v>2.1242369246753245</v>
      </c>
      <c r="CK8" s="21">
        <f t="shared" ref="CK8:CK39" si="51">+CH8-CB8</f>
        <v>4674.009</v>
      </c>
      <c r="CL8" s="20">
        <f t="shared" ref="CL8:CL71" si="52">+IF(CB8&lt;=0,0,CH8/CB8)</f>
        <v>5.2490990909090911</v>
      </c>
      <c r="CM8" s="20">
        <f t="shared" ref="CM8:CM71" si="53">+IF(CF8&lt;=0,0,CH8/CF8)</f>
        <v>5.2490990909090911</v>
      </c>
      <c r="CN8" s="13">
        <f>SUM(CN9:CN15)</f>
        <v>0</v>
      </c>
      <c r="CO8" s="13">
        <f>SUM(CO9:CO15)</f>
        <v>0</v>
      </c>
      <c r="CP8" s="13">
        <f>SUM(CP9:CP15)</f>
        <v>0</v>
      </c>
      <c r="CQ8" s="13">
        <f t="shared" ref="CQ8:CT8" si="54">SUM(CQ9:CQ15)</f>
        <v>0</v>
      </c>
      <c r="CR8" s="13">
        <f t="shared" si="54"/>
        <v>0</v>
      </c>
      <c r="CS8" s="13">
        <f t="shared" si="54"/>
        <v>0</v>
      </c>
      <c r="CT8" s="13">
        <f t="shared" si="54"/>
        <v>0</v>
      </c>
      <c r="CU8" s="13"/>
      <c r="CV8" s="13"/>
      <c r="CW8" s="30">
        <f t="shared" si="26"/>
        <v>0</v>
      </c>
      <c r="CX8" s="20">
        <f t="shared" ref="CX8:CX71" si="55">+IF(CO8&lt;=0,0,CU8/CO8)</f>
        <v>0</v>
      </c>
      <c r="CY8" s="30"/>
      <c r="CZ8" s="20">
        <f t="shared" ref="CZ8:CZ71" si="56">+IF(CP8&lt;=0,0,CV8/CP8)</f>
        <v>0</v>
      </c>
      <c r="DA8" s="20">
        <f t="shared" ref="DA8:DA71" si="57">+IF(CT8&lt;=0,0,CV8/CT8)</f>
        <v>0</v>
      </c>
    </row>
    <row r="9" spans="1:115" ht="24.95" customHeight="1">
      <c r="A9" s="4" t="s">
        <v>20</v>
      </c>
      <c r="B9" s="9">
        <v>11141</v>
      </c>
      <c r="C9" s="5">
        <f>+C8+1</f>
        <v>1</v>
      </c>
      <c r="D9" s="8" t="s">
        <v>55</v>
      </c>
      <c r="E9" s="45"/>
      <c r="F9" s="39"/>
      <c r="G9" s="39"/>
      <c r="H9" s="39">
        <f>+G9*0.25</f>
        <v>0</v>
      </c>
      <c r="I9" s="39">
        <f>+G9*0.5</f>
        <v>0</v>
      </c>
      <c r="J9" s="39">
        <f>+G9*0.75</f>
        <v>0</v>
      </c>
      <c r="K9" s="39">
        <f>+G9</f>
        <v>0</v>
      </c>
      <c r="L9" s="39"/>
      <c r="M9" s="39"/>
      <c r="N9" s="48">
        <f t="shared" si="2"/>
        <v>0</v>
      </c>
      <c r="O9" s="49">
        <f t="shared" si="29"/>
        <v>0</v>
      </c>
      <c r="P9" s="48"/>
      <c r="Q9" s="49">
        <f t="shared" si="30"/>
        <v>0</v>
      </c>
      <c r="R9" s="49">
        <f t="shared" si="31"/>
        <v>0</v>
      </c>
      <c r="S9" s="45"/>
      <c r="T9" s="39"/>
      <c r="U9" s="39"/>
      <c r="V9" s="39">
        <f>+U9*0.25</f>
        <v>0</v>
      </c>
      <c r="W9" s="39">
        <f>+U9*0.5</f>
        <v>0</v>
      </c>
      <c r="X9" s="39">
        <f>+U9*0.75</f>
        <v>0</v>
      </c>
      <c r="Y9" s="39">
        <f>+U9</f>
        <v>0</v>
      </c>
      <c r="Z9" s="39"/>
      <c r="AA9" s="39"/>
      <c r="AB9" s="48">
        <f t="shared" si="5"/>
        <v>0</v>
      </c>
      <c r="AC9" s="49">
        <f t="shared" si="33"/>
        <v>0</v>
      </c>
      <c r="AD9" s="48"/>
      <c r="AE9" s="49">
        <f t="shared" si="34"/>
        <v>0</v>
      </c>
      <c r="AF9" s="49">
        <f t="shared" si="35"/>
        <v>0</v>
      </c>
      <c r="AG9" s="45"/>
      <c r="AH9" s="39"/>
      <c r="AI9" s="39"/>
      <c r="AJ9" s="39"/>
      <c r="AK9" s="39"/>
      <c r="AL9" s="48">
        <f>+AJ9-AH9</f>
        <v>0</v>
      </c>
      <c r="AM9" s="49">
        <f>+IF(AH9&lt;=0,0,AJ9/AH9)</f>
        <v>0</v>
      </c>
      <c r="AN9" s="48"/>
      <c r="AO9" s="49">
        <f>+IF(AI9&lt;=0,0,AK9/AI9)</f>
        <v>0</v>
      </c>
      <c r="AP9" s="39">
        <f t="shared" ref="AP9:AQ15" si="58">+AY9+BM9+CA9+CO9</f>
        <v>63.253012048192758</v>
      </c>
      <c r="AQ9" s="39">
        <f t="shared" si="58"/>
        <v>36.144578313253007</v>
      </c>
      <c r="AR9" s="39">
        <f t="shared" ref="AR9:AS15" si="59">+BE9+BS9+CG9++CU9</f>
        <v>59</v>
      </c>
      <c r="AS9" s="39">
        <f t="shared" si="59"/>
        <v>40.000000000000007</v>
      </c>
      <c r="AT9" s="39">
        <f>+AR9-AP9</f>
        <v>-4.2530120481927582</v>
      </c>
      <c r="AU9" s="17">
        <f>+AR9/AP9</f>
        <v>0.9327619047619049</v>
      </c>
      <c r="AV9" s="39">
        <f>+AS9-AQ9</f>
        <v>3.8554216867470004</v>
      </c>
      <c r="AW9" s="17">
        <f>+AS9/AQ9</f>
        <v>1.1066666666666671</v>
      </c>
      <c r="AX9" s="45"/>
      <c r="AY9" s="39"/>
      <c r="AZ9" s="39"/>
      <c r="BA9" s="39">
        <f>+AZ9*0.25</f>
        <v>0</v>
      </c>
      <c r="BB9" s="39">
        <f>+AZ9*0.5</f>
        <v>0</v>
      </c>
      <c r="BC9" s="39">
        <f>+AZ9*0.75</f>
        <v>0</v>
      </c>
      <c r="BD9" s="39">
        <f>+AZ9</f>
        <v>0</v>
      </c>
      <c r="BE9" s="39"/>
      <c r="BF9" s="39"/>
      <c r="BG9" s="48">
        <f t="shared" si="20"/>
        <v>0</v>
      </c>
      <c r="BH9" s="49">
        <f t="shared" si="41"/>
        <v>0</v>
      </c>
      <c r="BI9" s="48"/>
      <c r="BJ9" s="49">
        <f t="shared" si="42"/>
        <v>0</v>
      </c>
      <c r="BK9" s="49">
        <f t="shared" si="43"/>
        <v>0</v>
      </c>
      <c r="BL9" s="45">
        <v>1807.2289156626505</v>
      </c>
      <c r="BM9" s="39">
        <v>63.253012048192758</v>
      </c>
      <c r="BN9" s="39">
        <v>36.144578313253007</v>
      </c>
      <c r="BO9" s="39">
        <f t="shared" ref="BO9:BO15" si="60">+BN9*0.25</f>
        <v>9.0361445783132517</v>
      </c>
      <c r="BP9" s="39">
        <f t="shared" ref="BP9:BP15" si="61">+BN9*0.5</f>
        <v>18.072289156626503</v>
      </c>
      <c r="BQ9" s="39">
        <f t="shared" ref="BQ9:BQ15" si="62">+BN9*0.75</f>
        <v>27.108433734939755</v>
      </c>
      <c r="BR9" s="39">
        <f t="shared" ref="BR9:BR15" si="63">+BN9</f>
        <v>36.144578313253007</v>
      </c>
      <c r="BS9" s="39">
        <v>59</v>
      </c>
      <c r="BT9" s="39">
        <v>40.000000000000007</v>
      </c>
      <c r="BU9" s="48">
        <f t="shared" si="22"/>
        <v>-4.2530120481927582</v>
      </c>
      <c r="BV9" s="49">
        <f t="shared" si="45"/>
        <v>0.9327619047619049</v>
      </c>
      <c r="BW9" s="48">
        <f t="shared" si="23"/>
        <v>3.8554216867470004</v>
      </c>
      <c r="BX9" s="49">
        <f t="shared" si="46"/>
        <v>1.1066666666666671</v>
      </c>
      <c r="BY9" s="49">
        <f t="shared" si="47"/>
        <v>1.1066666666666671</v>
      </c>
      <c r="BZ9" s="45"/>
      <c r="CA9" s="39"/>
      <c r="CB9" s="39"/>
      <c r="CC9" s="39">
        <f t="shared" ref="CC9:CC15" si="64">+CB9*0.25</f>
        <v>0</v>
      </c>
      <c r="CD9" s="39">
        <f t="shared" ref="CD9:CD15" si="65">+CB9*0.5</f>
        <v>0</v>
      </c>
      <c r="CE9" s="39">
        <f t="shared" ref="CE9:CE15" si="66">+CB9*0.75</f>
        <v>0</v>
      </c>
      <c r="CF9" s="39">
        <f t="shared" ref="CF9:CF15" si="67">+CB9</f>
        <v>0</v>
      </c>
      <c r="CG9" s="39"/>
      <c r="CH9" s="39"/>
      <c r="CI9" s="51">
        <f t="shared" si="49"/>
        <v>0</v>
      </c>
      <c r="CJ9" s="49">
        <f t="shared" si="50"/>
        <v>0</v>
      </c>
      <c r="CK9" s="48">
        <f t="shared" si="51"/>
        <v>0</v>
      </c>
      <c r="CL9" s="49">
        <f t="shared" si="52"/>
        <v>0</v>
      </c>
      <c r="CM9" s="49">
        <f t="shared" si="53"/>
        <v>0</v>
      </c>
      <c r="CN9" s="45"/>
      <c r="CO9" s="39"/>
      <c r="CP9" s="39"/>
      <c r="CQ9" s="39">
        <f t="shared" ref="CQ9" si="68">+CP9*0.25</f>
        <v>0</v>
      </c>
      <c r="CR9" s="39">
        <f t="shared" ref="CR9" si="69">+CP9*0.5</f>
        <v>0</v>
      </c>
      <c r="CS9" s="39">
        <f t="shared" ref="CS9" si="70">+CP9*0.75</f>
        <v>0</v>
      </c>
      <c r="CT9" s="39">
        <f t="shared" ref="CT9" si="71">+CP9</f>
        <v>0</v>
      </c>
      <c r="CU9" s="39"/>
      <c r="CV9" s="39"/>
      <c r="CW9" s="50">
        <f>+CU9-CO9</f>
        <v>0</v>
      </c>
      <c r="CX9" s="17">
        <f t="shared" si="55"/>
        <v>0</v>
      </c>
      <c r="CY9" s="50"/>
      <c r="CZ9" s="49">
        <f t="shared" si="56"/>
        <v>0</v>
      </c>
      <c r="DA9" s="49">
        <f t="shared" si="57"/>
        <v>0</v>
      </c>
    </row>
    <row r="10" spans="1:115" ht="24.95" customHeight="1">
      <c r="A10" s="4" t="s">
        <v>28</v>
      </c>
      <c r="B10" s="9">
        <v>11142</v>
      </c>
      <c r="C10" s="5">
        <f t="shared" ref="C10:C102" si="72">+C9+1</f>
        <v>2</v>
      </c>
      <c r="D10" s="8" t="s">
        <v>56</v>
      </c>
      <c r="E10" s="45"/>
      <c r="F10" s="39"/>
      <c r="G10" s="39"/>
      <c r="H10" s="39">
        <f>+G10*0.25</f>
        <v>0</v>
      </c>
      <c r="I10" s="39">
        <f>+G10*0.5</f>
        <v>0</v>
      </c>
      <c r="J10" s="39">
        <f>+G10*0.75</f>
        <v>0</v>
      </c>
      <c r="K10" s="39">
        <f>+G10</f>
        <v>0</v>
      </c>
      <c r="L10" s="39"/>
      <c r="M10" s="39"/>
      <c r="N10" s="48">
        <f t="shared" si="2"/>
        <v>0</v>
      </c>
      <c r="O10" s="49">
        <f t="shared" si="29"/>
        <v>0</v>
      </c>
      <c r="P10" s="48"/>
      <c r="Q10" s="49">
        <f t="shared" si="30"/>
        <v>0</v>
      </c>
      <c r="R10" s="49">
        <f t="shared" si="31"/>
        <v>0</v>
      </c>
      <c r="S10" s="45"/>
      <c r="T10" s="39"/>
      <c r="U10" s="39"/>
      <c r="V10" s="39">
        <f>+U10*0.25</f>
        <v>0</v>
      </c>
      <c r="W10" s="39">
        <f>+U10*0.5</f>
        <v>0</v>
      </c>
      <c r="X10" s="39">
        <f>+U10*0.75</f>
        <v>0</v>
      </c>
      <c r="Y10" s="39">
        <f>+U10</f>
        <v>0</v>
      </c>
      <c r="Z10" s="39"/>
      <c r="AA10" s="39"/>
      <c r="AB10" s="48">
        <f t="shared" si="5"/>
        <v>0</v>
      </c>
      <c r="AC10" s="49">
        <f t="shared" si="33"/>
        <v>0</v>
      </c>
      <c r="AD10" s="48"/>
      <c r="AE10" s="49">
        <f t="shared" si="34"/>
        <v>0</v>
      </c>
      <c r="AF10" s="49">
        <f t="shared" si="35"/>
        <v>0</v>
      </c>
      <c r="AG10" s="45"/>
      <c r="AH10" s="39"/>
      <c r="AI10" s="39"/>
      <c r="AJ10" s="39"/>
      <c r="AK10" s="39"/>
      <c r="AL10" s="48">
        <f>+AJ10-AH10</f>
        <v>0</v>
      </c>
      <c r="AM10" s="49">
        <f>+IF(AH10&lt;=0,0,AJ10/AH10)</f>
        <v>0</v>
      </c>
      <c r="AN10" s="48"/>
      <c r="AO10" s="49">
        <f>+IF(AI10&lt;=0,0,AK10/AI10)</f>
        <v>0</v>
      </c>
      <c r="AP10" s="39">
        <f t="shared" si="58"/>
        <v>63.253012048192758</v>
      </c>
      <c r="AQ10" s="39">
        <f t="shared" si="58"/>
        <v>36.144578313253007</v>
      </c>
      <c r="AR10" s="39">
        <f t="shared" si="59"/>
        <v>70.000000000000014</v>
      </c>
      <c r="AS10" s="39">
        <f t="shared" si="59"/>
        <v>40.000000000000007</v>
      </c>
      <c r="AT10" s="39">
        <f t="shared" ref="AT10:AT59" si="73">+AR10-AP10</f>
        <v>6.746987951807256</v>
      </c>
      <c r="AU10" s="17">
        <f t="shared" ref="AU10:AU59" si="74">+AR10/AP10</f>
        <v>1.1066666666666671</v>
      </c>
      <c r="AV10" s="39">
        <f t="shared" ref="AV10:AV59" si="75">+AS10-AQ10</f>
        <v>3.8554216867470004</v>
      </c>
      <c r="AW10" s="17">
        <f t="shared" ref="AW10:AW59" si="76">+AS10/AQ10</f>
        <v>1.1066666666666671</v>
      </c>
      <c r="AX10" s="45"/>
      <c r="AY10" s="39"/>
      <c r="AZ10" s="39"/>
      <c r="BA10" s="39">
        <f>+AZ10*0.25</f>
        <v>0</v>
      </c>
      <c r="BB10" s="39">
        <f>+AZ10*0.5</f>
        <v>0</v>
      </c>
      <c r="BC10" s="39">
        <f>+AZ10*0.75</f>
        <v>0</v>
      </c>
      <c r="BD10" s="39">
        <f>+AZ10</f>
        <v>0</v>
      </c>
      <c r="BE10" s="39"/>
      <c r="BF10" s="39"/>
      <c r="BG10" s="48">
        <f t="shared" si="20"/>
        <v>0</v>
      </c>
      <c r="BH10" s="49">
        <f t="shared" si="41"/>
        <v>0</v>
      </c>
      <c r="BI10" s="48"/>
      <c r="BJ10" s="49">
        <f t="shared" si="42"/>
        <v>0</v>
      </c>
      <c r="BK10" s="49">
        <f t="shared" si="43"/>
        <v>0</v>
      </c>
      <c r="BL10" s="45">
        <v>1807.2289156626505</v>
      </c>
      <c r="BM10" s="39">
        <v>63.253012048192758</v>
      </c>
      <c r="BN10" s="39">
        <v>36.144578313253007</v>
      </c>
      <c r="BO10" s="39">
        <f t="shared" si="60"/>
        <v>9.0361445783132517</v>
      </c>
      <c r="BP10" s="39">
        <f t="shared" si="61"/>
        <v>18.072289156626503</v>
      </c>
      <c r="BQ10" s="39">
        <f t="shared" si="62"/>
        <v>27.108433734939755</v>
      </c>
      <c r="BR10" s="39">
        <f t="shared" si="63"/>
        <v>36.144578313253007</v>
      </c>
      <c r="BS10" s="39">
        <v>70.000000000000014</v>
      </c>
      <c r="BT10" s="39">
        <v>40.000000000000007</v>
      </c>
      <c r="BU10" s="48">
        <f t="shared" si="22"/>
        <v>6.746987951807256</v>
      </c>
      <c r="BV10" s="49">
        <f t="shared" si="45"/>
        <v>1.1066666666666671</v>
      </c>
      <c r="BW10" s="48">
        <f t="shared" si="23"/>
        <v>3.8554216867470004</v>
      </c>
      <c r="BX10" s="49">
        <f t="shared" si="46"/>
        <v>1.1066666666666671</v>
      </c>
      <c r="BY10" s="49">
        <f t="shared" si="47"/>
        <v>1.1066666666666671</v>
      </c>
      <c r="BZ10" s="45"/>
      <c r="CA10" s="39"/>
      <c r="CB10" s="39"/>
      <c r="CC10" s="39">
        <f t="shared" si="64"/>
        <v>0</v>
      </c>
      <c r="CD10" s="39">
        <f t="shared" si="65"/>
        <v>0</v>
      </c>
      <c r="CE10" s="39">
        <f t="shared" si="66"/>
        <v>0</v>
      </c>
      <c r="CF10" s="39">
        <f t="shared" si="67"/>
        <v>0</v>
      </c>
      <c r="CG10" s="39"/>
      <c r="CH10" s="39"/>
      <c r="CI10" s="51">
        <f t="shared" si="49"/>
        <v>0</v>
      </c>
      <c r="CJ10" s="49">
        <f t="shared" si="50"/>
        <v>0</v>
      </c>
      <c r="CK10" s="48">
        <f t="shared" si="51"/>
        <v>0</v>
      </c>
      <c r="CL10" s="49">
        <f t="shared" si="52"/>
        <v>0</v>
      </c>
      <c r="CM10" s="49">
        <f t="shared" si="53"/>
        <v>0</v>
      </c>
      <c r="CN10" s="45"/>
      <c r="CO10" s="39"/>
      <c r="CP10" s="39"/>
      <c r="CQ10" s="39"/>
      <c r="CR10" s="39"/>
      <c r="CS10" s="39"/>
      <c r="CT10" s="39"/>
      <c r="CU10" s="39"/>
      <c r="CV10" s="39"/>
      <c r="CW10" s="50">
        <f t="shared" ref="CW10:CW59" si="77">+CU10-CO10</f>
        <v>0</v>
      </c>
      <c r="CX10" s="17">
        <f t="shared" si="55"/>
        <v>0</v>
      </c>
      <c r="CY10" s="50"/>
      <c r="CZ10" s="49">
        <f t="shared" si="56"/>
        <v>0</v>
      </c>
      <c r="DA10" s="49">
        <f t="shared" si="57"/>
        <v>0</v>
      </c>
    </row>
    <row r="11" spans="1:115" ht="24.95" customHeight="1">
      <c r="A11" s="4" t="s">
        <v>10</v>
      </c>
      <c r="B11" s="9">
        <v>11183</v>
      </c>
      <c r="C11" s="5">
        <f t="shared" si="72"/>
        <v>3</v>
      </c>
      <c r="D11" s="8" t="s">
        <v>57</v>
      </c>
      <c r="E11" s="45"/>
      <c r="F11" s="39"/>
      <c r="G11" s="39"/>
      <c r="H11" s="39"/>
      <c r="I11" s="39"/>
      <c r="J11" s="39"/>
      <c r="K11" s="39"/>
      <c r="L11" s="39"/>
      <c r="M11" s="39"/>
      <c r="N11" s="48">
        <f t="shared" si="2"/>
        <v>0</v>
      </c>
      <c r="O11" s="49">
        <f t="shared" si="29"/>
        <v>0</v>
      </c>
      <c r="P11" s="48"/>
      <c r="Q11" s="49">
        <f t="shared" si="30"/>
        <v>0</v>
      </c>
      <c r="R11" s="49">
        <f t="shared" si="31"/>
        <v>0</v>
      </c>
      <c r="S11" s="45"/>
      <c r="T11" s="39"/>
      <c r="U11" s="39"/>
      <c r="V11" s="39"/>
      <c r="W11" s="39"/>
      <c r="X11" s="39"/>
      <c r="Y11" s="39"/>
      <c r="Z11" s="39"/>
      <c r="AA11" s="39"/>
      <c r="AB11" s="48">
        <f t="shared" si="5"/>
        <v>0</v>
      </c>
      <c r="AC11" s="49">
        <f t="shared" si="33"/>
        <v>0</v>
      </c>
      <c r="AD11" s="48"/>
      <c r="AE11" s="49">
        <f t="shared" si="34"/>
        <v>0</v>
      </c>
      <c r="AF11" s="49">
        <f t="shared" si="35"/>
        <v>0</v>
      </c>
      <c r="AG11" s="45"/>
      <c r="AH11" s="39"/>
      <c r="AI11" s="39"/>
      <c r="AJ11" s="39"/>
      <c r="AK11" s="39"/>
      <c r="AL11" s="48">
        <f>+AJ11-AH11</f>
        <v>0</v>
      </c>
      <c r="AM11" s="49">
        <f>+IF(AH11&lt;=0,0,AJ11/AH11)</f>
        <v>0</v>
      </c>
      <c r="AN11" s="48"/>
      <c r="AO11" s="49">
        <f>+IF(AI11&lt;=0,0,AK11/AI11)</f>
        <v>0</v>
      </c>
      <c r="AP11" s="39">
        <f t="shared" si="58"/>
        <v>177.10843373493972</v>
      </c>
      <c r="AQ11" s="39">
        <f t="shared" si="58"/>
        <v>101.20481927710841</v>
      </c>
      <c r="AR11" s="39">
        <f t="shared" si="59"/>
        <v>240.00000000000003</v>
      </c>
      <c r="AS11" s="39">
        <f t="shared" si="59"/>
        <v>150.00000000000003</v>
      </c>
      <c r="AT11" s="39">
        <f t="shared" si="73"/>
        <v>62.891566265060305</v>
      </c>
      <c r="AU11" s="17">
        <f t="shared" si="74"/>
        <v>1.355102040816327</v>
      </c>
      <c r="AV11" s="39">
        <f t="shared" si="75"/>
        <v>48.795180722891615</v>
      </c>
      <c r="AW11" s="17">
        <f t="shared" si="76"/>
        <v>1.4821428571428577</v>
      </c>
      <c r="AX11" s="45"/>
      <c r="AY11" s="39"/>
      <c r="AZ11" s="39"/>
      <c r="BA11" s="39"/>
      <c r="BB11" s="39"/>
      <c r="BC11" s="39"/>
      <c r="BD11" s="39"/>
      <c r="BE11" s="39"/>
      <c r="BF11" s="39"/>
      <c r="BG11" s="48">
        <f t="shared" si="20"/>
        <v>0</v>
      </c>
      <c r="BH11" s="49">
        <f t="shared" si="41"/>
        <v>0</v>
      </c>
      <c r="BI11" s="48"/>
      <c r="BJ11" s="49">
        <f t="shared" si="42"/>
        <v>0</v>
      </c>
      <c r="BK11" s="49">
        <f t="shared" si="43"/>
        <v>0</v>
      </c>
      <c r="BL11" s="45">
        <v>5060.2409638554218</v>
      </c>
      <c r="BM11" s="39">
        <v>177.10843373493972</v>
      </c>
      <c r="BN11" s="39">
        <v>101.20481927710841</v>
      </c>
      <c r="BO11" s="39">
        <f t="shared" si="60"/>
        <v>25.301204819277103</v>
      </c>
      <c r="BP11" s="39">
        <f t="shared" si="61"/>
        <v>50.602409638554207</v>
      </c>
      <c r="BQ11" s="39">
        <f t="shared" si="62"/>
        <v>75.90361445783131</v>
      </c>
      <c r="BR11" s="39">
        <f t="shared" si="63"/>
        <v>101.20481927710841</v>
      </c>
      <c r="BS11" s="39">
        <v>240.00000000000003</v>
      </c>
      <c r="BT11" s="39">
        <v>150.00000000000003</v>
      </c>
      <c r="BU11" s="48">
        <f t="shared" si="22"/>
        <v>62.891566265060305</v>
      </c>
      <c r="BV11" s="49">
        <f t="shared" si="45"/>
        <v>1.355102040816327</v>
      </c>
      <c r="BW11" s="48">
        <f t="shared" si="23"/>
        <v>48.795180722891615</v>
      </c>
      <c r="BX11" s="49">
        <f t="shared" si="46"/>
        <v>1.4821428571428577</v>
      </c>
      <c r="BY11" s="49">
        <f t="shared" si="47"/>
        <v>1.4821428571428577</v>
      </c>
      <c r="BZ11" s="45"/>
      <c r="CA11" s="39"/>
      <c r="CB11" s="39"/>
      <c r="CC11" s="39">
        <f t="shared" si="64"/>
        <v>0</v>
      </c>
      <c r="CD11" s="39">
        <f t="shared" si="65"/>
        <v>0</v>
      </c>
      <c r="CE11" s="39">
        <f t="shared" si="66"/>
        <v>0</v>
      </c>
      <c r="CF11" s="39">
        <f t="shared" si="67"/>
        <v>0</v>
      </c>
      <c r="CG11" s="39"/>
      <c r="CH11" s="39"/>
      <c r="CI11" s="51">
        <f t="shared" si="49"/>
        <v>0</v>
      </c>
      <c r="CJ11" s="49">
        <f t="shared" si="50"/>
        <v>0</v>
      </c>
      <c r="CK11" s="48">
        <f t="shared" si="51"/>
        <v>0</v>
      </c>
      <c r="CL11" s="49">
        <f t="shared" si="52"/>
        <v>0</v>
      </c>
      <c r="CM11" s="49">
        <f t="shared" si="53"/>
        <v>0</v>
      </c>
      <c r="CN11" s="45"/>
      <c r="CO11" s="39"/>
      <c r="CP11" s="39"/>
      <c r="CQ11" s="39"/>
      <c r="CR11" s="39"/>
      <c r="CS11" s="39"/>
      <c r="CT11" s="39"/>
      <c r="CU11" s="39"/>
      <c r="CV11" s="39"/>
      <c r="CW11" s="50">
        <f t="shared" si="77"/>
        <v>0</v>
      </c>
      <c r="CX11" s="17">
        <f t="shared" si="55"/>
        <v>0</v>
      </c>
      <c r="CY11" s="50"/>
      <c r="CZ11" s="49">
        <f t="shared" si="56"/>
        <v>0</v>
      </c>
      <c r="DA11" s="49">
        <f t="shared" si="57"/>
        <v>0</v>
      </c>
    </row>
    <row r="12" spans="1:115" ht="24.95" customHeight="1">
      <c r="A12" s="4" t="s">
        <v>8</v>
      </c>
      <c r="B12" s="9">
        <v>11253</v>
      </c>
      <c r="C12" s="5">
        <f t="shared" si="72"/>
        <v>4</v>
      </c>
      <c r="D12" s="8" t="s">
        <v>143</v>
      </c>
      <c r="E12" s="45">
        <v>8014.5454545454559</v>
      </c>
      <c r="F12" s="39">
        <v>304.54545454545456</v>
      </c>
      <c r="G12" s="39">
        <v>169.54545454545456</v>
      </c>
      <c r="H12" s="39">
        <f>+G12/4</f>
        <v>42.38636363636364</v>
      </c>
      <c r="I12" s="39">
        <f>+J12-H12</f>
        <v>84.77272727272728</v>
      </c>
      <c r="J12" s="39">
        <f>+K12-H12</f>
        <v>127.15909090909092</v>
      </c>
      <c r="K12" s="39">
        <f>+G12</f>
        <v>169.54545454545456</v>
      </c>
      <c r="L12" s="39">
        <v>1399.739973</v>
      </c>
      <c r="M12" s="39">
        <v>349.73997300000002</v>
      </c>
      <c r="N12" s="48">
        <f t="shared" si="2"/>
        <v>1095.1945184545455</v>
      </c>
      <c r="O12" s="49">
        <f t="shared" si="29"/>
        <v>4.5961611053731337</v>
      </c>
      <c r="P12" s="48">
        <f>+M12-G12</f>
        <v>180.19451845454546</v>
      </c>
      <c r="Q12" s="49">
        <f t="shared" si="30"/>
        <v>2.0628094922252012</v>
      </c>
      <c r="R12" s="49">
        <f t="shared" si="31"/>
        <v>2.0628094922252012</v>
      </c>
      <c r="S12" s="45">
        <v>8014.5454545454559</v>
      </c>
      <c r="T12" s="39">
        <v>304.54545454545456</v>
      </c>
      <c r="U12" s="39">
        <v>169.54545454545456</v>
      </c>
      <c r="V12" s="39">
        <f>+U12/4</f>
        <v>42.38636363636364</v>
      </c>
      <c r="W12" s="39">
        <f>+X12-V12</f>
        <v>84.77272727272728</v>
      </c>
      <c r="X12" s="39">
        <f>+Y12-V12</f>
        <v>127.15909090909092</v>
      </c>
      <c r="Y12" s="39">
        <f>+U12</f>
        <v>169.54545454545456</v>
      </c>
      <c r="Z12" s="39">
        <v>1399.739973</v>
      </c>
      <c r="AA12" s="39">
        <v>349.73997300000002</v>
      </c>
      <c r="AB12" s="48">
        <f t="shared" si="5"/>
        <v>1095.1945184545455</v>
      </c>
      <c r="AC12" s="49">
        <f t="shared" si="33"/>
        <v>4.5961611053731337</v>
      </c>
      <c r="AD12" s="48">
        <f>+AA12-U12</f>
        <v>180.19451845454546</v>
      </c>
      <c r="AE12" s="49">
        <f t="shared" si="34"/>
        <v>2.0628094922252012</v>
      </c>
      <c r="AF12" s="49">
        <f t="shared" si="35"/>
        <v>2.0628094922252012</v>
      </c>
      <c r="AG12" s="45">
        <v>8014.5454545454559</v>
      </c>
      <c r="AH12" s="39">
        <v>304.54545454545456</v>
      </c>
      <c r="AI12" s="39">
        <v>169.54545454545456</v>
      </c>
      <c r="AJ12" s="39">
        <v>1399.739973</v>
      </c>
      <c r="AK12" s="39">
        <v>349.73997300000002</v>
      </c>
      <c r="AL12" s="48">
        <f>+AJ12-AH12</f>
        <v>1095.1945184545455</v>
      </c>
      <c r="AM12" s="49">
        <f>+IF(AH12&lt;=0,0,AJ12/AH12)</f>
        <v>4.5961611053731337</v>
      </c>
      <c r="AN12" s="48">
        <f>+AK12-AI12</f>
        <v>180.19451845454546</v>
      </c>
      <c r="AO12" s="49">
        <f>+IF(AI12&lt;=0,0,AK12/AI12)</f>
        <v>2.0628094922252012</v>
      </c>
      <c r="AP12" s="39">
        <f t="shared" si="58"/>
        <v>2081.6538882803943</v>
      </c>
      <c r="AQ12" s="39">
        <f t="shared" si="58"/>
        <v>870.75027382256303</v>
      </c>
      <c r="AR12" s="39">
        <f t="shared" si="59"/>
        <v>3227.5799729999999</v>
      </c>
      <c r="AS12" s="39">
        <f t="shared" si="59"/>
        <v>1269.739973</v>
      </c>
      <c r="AT12" s="39">
        <f t="shared" si="73"/>
        <v>1145.9260847196056</v>
      </c>
      <c r="AU12" s="17">
        <f t="shared" si="74"/>
        <v>1.5504882877845887</v>
      </c>
      <c r="AV12" s="39">
        <f t="shared" si="75"/>
        <v>398.98969917743693</v>
      </c>
      <c r="AW12" s="17">
        <f t="shared" si="76"/>
        <v>1.4582136936068779</v>
      </c>
      <c r="AX12" s="45">
        <v>8014.5454545454559</v>
      </c>
      <c r="AY12" s="39">
        <v>304.54545454545456</v>
      </c>
      <c r="AZ12" s="39">
        <v>169.54545454545456</v>
      </c>
      <c r="BA12" s="39">
        <f>+AZ12/4</f>
        <v>42.38636363636364</v>
      </c>
      <c r="BB12" s="39">
        <f>+BC12-BA12</f>
        <v>84.77272727272728</v>
      </c>
      <c r="BC12" s="39">
        <f>+BD12-BA12</f>
        <v>127.15909090909092</v>
      </c>
      <c r="BD12" s="39">
        <f>+AZ12</f>
        <v>169.54545454545456</v>
      </c>
      <c r="BE12" s="39">
        <v>1399.739973</v>
      </c>
      <c r="BF12" s="39">
        <v>349.73997300000002</v>
      </c>
      <c r="BG12" s="48">
        <f t="shared" si="20"/>
        <v>1095.1945184545455</v>
      </c>
      <c r="BH12" s="49">
        <f t="shared" si="41"/>
        <v>4.5961611053731337</v>
      </c>
      <c r="BI12" s="48">
        <f>+BF12-AZ12</f>
        <v>180.19451845454546</v>
      </c>
      <c r="BJ12" s="49">
        <f t="shared" si="42"/>
        <v>2.0628094922252012</v>
      </c>
      <c r="BK12" s="49">
        <f t="shared" si="43"/>
        <v>2.0628094922252012</v>
      </c>
      <c r="BL12" s="45">
        <v>5060.2409638554218</v>
      </c>
      <c r="BM12" s="39">
        <v>177.10843373493972</v>
      </c>
      <c r="BN12" s="39">
        <v>101.20481927710841</v>
      </c>
      <c r="BO12" s="39">
        <f t="shared" si="60"/>
        <v>25.301204819277103</v>
      </c>
      <c r="BP12" s="39">
        <f t="shared" si="61"/>
        <v>50.602409638554207</v>
      </c>
      <c r="BQ12" s="39">
        <f t="shared" si="62"/>
        <v>75.90361445783131</v>
      </c>
      <c r="BR12" s="39">
        <f t="shared" si="63"/>
        <v>101.20481927710841</v>
      </c>
      <c r="BS12" s="39">
        <v>176.00000000000003</v>
      </c>
      <c r="BT12" s="39">
        <v>100.00000000000001</v>
      </c>
      <c r="BU12" s="48">
        <f t="shared" si="22"/>
        <v>-1.1084337349396947</v>
      </c>
      <c r="BV12" s="49">
        <f t="shared" si="45"/>
        <v>0.99374149659863986</v>
      </c>
      <c r="BW12" s="48">
        <f t="shared" si="23"/>
        <v>-1.204819277108399</v>
      </c>
      <c r="BX12" s="49">
        <f t="shared" si="46"/>
        <v>0.98809523809523847</v>
      </c>
      <c r="BY12" s="49">
        <f t="shared" si="47"/>
        <v>0.98809523809523847</v>
      </c>
      <c r="BZ12" s="45">
        <v>30500</v>
      </c>
      <c r="CA12" s="39">
        <v>1600</v>
      </c>
      <c r="CB12" s="39">
        <v>600</v>
      </c>
      <c r="CC12" s="39">
        <f t="shared" si="64"/>
        <v>150</v>
      </c>
      <c r="CD12" s="39">
        <f t="shared" si="65"/>
        <v>300</v>
      </c>
      <c r="CE12" s="39">
        <f t="shared" si="66"/>
        <v>450</v>
      </c>
      <c r="CF12" s="39">
        <f t="shared" si="67"/>
        <v>600</v>
      </c>
      <c r="CG12" s="39">
        <v>1651.84</v>
      </c>
      <c r="CH12" s="39">
        <v>820</v>
      </c>
      <c r="CI12" s="51">
        <f t="shared" si="49"/>
        <v>51.839999999999918</v>
      </c>
      <c r="CJ12" s="49">
        <f t="shared" si="50"/>
        <v>1.0324</v>
      </c>
      <c r="CK12" s="48">
        <f t="shared" si="51"/>
        <v>220</v>
      </c>
      <c r="CL12" s="49">
        <f t="shared" si="52"/>
        <v>1.3666666666666667</v>
      </c>
      <c r="CM12" s="49">
        <f t="shared" si="53"/>
        <v>1.3666666666666667</v>
      </c>
      <c r="CN12" s="45"/>
      <c r="CO12" s="39"/>
      <c r="CP12" s="39"/>
      <c r="CQ12" s="39"/>
      <c r="CR12" s="39"/>
      <c r="CS12" s="39"/>
      <c r="CT12" s="39"/>
      <c r="CU12" s="39"/>
      <c r="CV12" s="39"/>
      <c r="CW12" s="50">
        <f t="shared" si="77"/>
        <v>0</v>
      </c>
      <c r="CX12" s="17">
        <f t="shared" si="55"/>
        <v>0</v>
      </c>
      <c r="CY12" s="50"/>
      <c r="CZ12" s="49">
        <f t="shared" si="56"/>
        <v>0</v>
      </c>
      <c r="DA12" s="49">
        <f t="shared" si="57"/>
        <v>0</v>
      </c>
    </row>
    <row r="13" spans="1:115" ht="24.95" customHeight="1">
      <c r="A13" s="4" t="s">
        <v>26</v>
      </c>
      <c r="B13" s="9">
        <v>11254</v>
      </c>
      <c r="C13" s="5">
        <f t="shared" si="72"/>
        <v>5</v>
      </c>
      <c r="D13" s="8" t="s">
        <v>58</v>
      </c>
      <c r="E13" s="45">
        <v>6377.2727272727298</v>
      </c>
      <c r="F13" s="39">
        <v>300.4545454545455</v>
      </c>
      <c r="G13" s="39">
        <v>300.4545454545455</v>
      </c>
      <c r="H13" s="39"/>
      <c r="I13" s="39"/>
      <c r="J13" s="39"/>
      <c r="K13" s="39"/>
      <c r="L13" s="39">
        <v>899.12</v>
      </c>
      <c r="M13" s="39">
        <v>699.12</v>
      </c>
      <c r="N13" s="48">
        <f t="shared" si="2"/>
        <v>598.66545454545451</v>
      </c>
      <c r="O13" s="49">
        <f t="shared" si="29"/>
        <v>2.9925325264750375</v>
      </c>
      <c r="P13" s="48"/>
      <c r="Q13" s="49">
        <f t="shared" si="30"/>
        <v>2.3268744326777608</v>
      </c>
      <c r="R13" s="49">
        <f t="shared" si="31"/>
        <v>0</v>
      </c>
      <c r="S13" s="45">
        <v>6377.2727272727298</v>
      </c>
      <c r="T13" s="39">
        <v>300.4545454545455</v>
      </c>
      <c r="U13" s="39">
        <v>300.4545454545455</v>
      </c>
      <c r="V13" s="39"/>
      <c r="W13" s="39"/>
      <c r="X13" s="39"/>
      <c r="Y13" s="39"/>
      <c r="Z13" s="39">
        <v>899.12</v>
      </c>
      <c r="AA13" s="39">
        <v>699.12</v>
      </c>
      <c r="AB13" s="48">
        <f t="shared" si="5"/>
        <v>598.66545454545451</v>
      </c>
      <c r="AC13" s="49">
        <f t="shared" si="33"/>
        <v>2.9925325264750375</v>
      </c>
      <c r="AD13" s="48"/>
      <c r="AE13" s="49">
        <f t="shared" si="34"/>
        <v>2.3268744326777608</v>
      </c>
      <c r="AF13" s="49">
        <f t="shared" si="35"/>
        <v>0</v>
      </c>
      <c r="AG13" s="45">
        <v>6377.2727272727298</v>
      </c>
      <c r="AH13" s="39">
        <v>300.4545454545455</v>
      </c>
      <c r="AI13" s="39">
        <v>300.4545454545455</v>
      </c>
      <c r="AJ13" s="39">
        <v>899.12</v>
      </c>
      <c r="AK13" s="39">
        <v>699.12</v>
      </c>
      <c r="AL13" s="48">
        <f>+AJ13-AH13</f>
        <v>598.66545454545451</v>
      </c>
      <c r="AM13" s="49">
        <f>+IF(AH13&lt;=0,0,AJ13/AH13)</f>
        <v>2.9925325264750375</v>
      </c>
      <c r="AN13" s="48"/>
      <c r="AO13" s="49">
        <f>+IF(AI13&lt;=0,0,AK13/AI13)</f>
        <v>2.3268744326777608</v>
      </c>
      <c r="AP13" s="39">
        <f t="shared" si="58"/>
        <v>926.96056955093104</v>
      </c>
      <c r="AQ13" s="39">
        <f t="shared" si="58"/>
        <v>372.74370208105154</v>
      </c>
      <c r="AR13" s="39">
        <f t="shared" si="59"/>
        <v>1815.1771600000002</v>
      </c>
      <c r="AS13" s="39">
        <f t="shared" si="59"/>
        <v>899.12</v>
      </c>
      <c r="AT13" s="39">
        <f t="shared" si="73"/>
        <v>888.21659044906914</v>
      </c>
      <c r="AU13" s="17">
        <f t="shared" si="74"/>
        <v>1.9582032069383151</v>
      </c>
      <c r="AV13" s="39">
        <f t="shared" si="75"/>
        <v>526.37629791894847</v>
      </c>
      <c r="AW13" s="17">
        <f t="shared" si="76"/>
        <v>2.4121668454226226</v>
      </c>
      <c r="AX13" s="45">
        <v>6377.2727272727298</v>
      </c>
      <c r="AY13" s="39">
        <v>300.4545454545455</v>
      </c>
      <c r="AZ13" s="39">
        <v>300.4545454545455</v>
      </c>
      <c r="BA13" s="39"/>
      <c r="BB13" s="39"/>
      <c r="BC13" s="39"/>
      <c r="BD13" s="39"/>
      <c r="BE13" s="39">
        <v>899.12</v>
      </c>
      <c r="BF13" s="39">
        <v>699.12</v>
      </c>
      <c r="BG13" s="48">
        <f t="shared" si="20"/>
        <v>598.66545454545451</v>
      </c>
      <c r="BH13" s="49">
        <f t="shared" si="41"/>
        <v>2.9925325264750375</v>
      </c>
      <c r="BI13" s="48"/>
      <c r="BJ13" s="49">
        <f t="shared" si="42"/>
        <v>2.3268744326777608</v>
      </c>
      <c r="BK13" s="49">
        <f t="shared" si="43"/>
        <v>0</v>
      </c>
      <c r="BL13" s="45">
        <v>3614.457831325301</v>
      </c>
      <c r="BM13" s="39">
        <v>126.50602409638552</v>
      </c>
      <c r="BN13" s="39">
        <v>72.289156626506013</v>
      </c>
      <c r="BO13" s="39">
        <f t="shared" si="60"/>
        <v>18.072289156626503</v>
      </c>
      <c r="BP13" s="39">
        <f t="shared" si="61"/>
        <v>36.144578313253007</v>
      </c>
      <c r="BQ13" s="39">
        <f t="shared" si="62"/>
        <v>54.21686746987951</v>
      </c>
      <c r="BR13" s="39">
        <f t="shared" si="63"/>
        <v>72.289156626506013</v>
      </c>
      <c r="BS13" s="39">
        <v>126.14400000000002</v>
      </c>
      <c r="BT13" s="39">
        <v>80.000000000000014</v>
      </c>
      <c r="BU13" s="48">
        <f t="shared" si="22"/>
        <v>-0.36202409638549682</v>
      </c>
      <c r="BV13" s="49">
        <f t="shared" si="45"/>
        <v>0.99713828571428609</v>
      </c>
      <c r="BW13" s="50">
        <f t="shared" si="23"/>
        <v>7.7108433734940007</v>
      </c>
      <c r="BX13" s="49">
        <f t="shared" si="46"/>
        <v>1.1066666666666671</v>
      </c>
      <c r="BY13" s="49">
        <f t="shared" si="47"/>
        <v>1.1066666666666671</v>
      </c>
      <c r="BZ13" s="45">
        <v>26500</v>
      </c>
      <c r="CA13" s="39">
        <v>500</v>
      </c>
      <c r="CB13" s="39">
        <v>0</v>
      </c>
      <c r="CC13" s="39">
        <f t="shared" si="64"/>
        <v>0</v>
      </c>
      <c r="CD13" s="39">
        <f t="shared" si="65"/>
        <v>0</v>
      </c>
      <c r="CE13" s="39">
        <f t="shared" si="66"/>
        <v>0</v>
      </c>
      <c r="CF13" s="39">
        <f t="shared" si="67"/>
        <v>0</v>
      </c>
      <c r="CG13" s="39">
        <v>789.91315999999995</v>
      </c>
      <c r="CH13" s="39">
        <v>120</v>
      </c>
      <c r="CI13" s="51">
        <f t="shared" si="49"/>
        <v>289.91315999999995</v>
      </c>
      <c r="CJ13" s="49">
        <f t="shared" si="50"/>
        <v>1.57982632</v>
      </c>
      <c r="CK13" s="48">
        <f t="shared" si="51"/>
        <v>120</v>
      </c>
      <c r="CL13" s="49">
        <f t="shared" si="52"/>
        <v>0</v>
      </c>
      <c r="CM13" s="49">
        <f t="shared" si="53"/>
        <v>0</v>
      </c>
      <c r="CN13" s="45"/>
      <c r="CO13" s="39"/>
      <c r="CP13" s="39"/>
      <c r="CQ13" s="39"/>
      <c r="CR13" s="39"/>
      <c r="CS13" s="39"/>
      <c r="CT13" s="39"/>
      <c r="CU13" s="39"/>
      <c r="CV13" s="39"/>
      <c r="CW13" s="50">
        <f t="shared" si="77"/>
        <v>0</v>
      </c>
      <c r="CX13" s="17">
        <f t="shared" si="55"/>
        <v>0</v>
      </c>
      <c r="CY13" s="50"/>
      <c r="CZ13" s="49">
        <f t="shared" si="56"/>
        <v>0</v>
      </c>
      <c r="DA13" s="49">
        <f t="shared" si="57"/>
        <v>0</v>
      </c>
    </row>
    <row r="14" spans="1:115" ht="24.95" customHeight="1">
      <c r="A14" s="4" t="s">
        <v>18</v>
      </c>
      <c r="B14" s="9">
        <v>11255</v>
      </c>
      <c r="C14" s="5">
        <f t="shared" si="72"/>
        <v>6</v>
      </c>
      <c r="D14" s="8" t="s">
        <v>59</v>
      </c>
      <c r="E14" s="45">
        <v>6314.545454545454</v>
      </c>
      <c r="F14" s="39">
        <v>70</v>
      </c>
      <c r="G14" s="39">
        <v>70</v>
      </c>
      <c r="H14" s="39">
        <f>+G14*0.25</f>
        <v>17.5</v>
      </c>
      <c r="I14" s="39">
        <f>+G14*0.5</f>
        <v>35</v>
      </c>
      <c r="J14" s="39">
        <f>+G14*0.75</f>
        <v>52.5</v>
      </c>
      <c r="K14" s="39">
        <f>+G14</f>
        <v>70</v>
      </c>
      <c r="L14" s="39">
        <v>780</v>
      </c>
      <c r="M14" s="39">
        <v>530</v>
      </c>
      <c r="N14" s="48">
        <f t="shared" si="2"/>
        <v>710</v>
      </c>
      <c r="O14" s="49">
        <f t="shared" si="29"/>
        <v>11.142857142857142</v>
      </c>
      <c r="P14" s="48"/>
      <c r="Q14" s="49">
        <f t="shared" si="30"/>
        <v>7.5714285714285712</v>
      </c>
      <c r="R14" s="49">
        <f t="shared" si="31"/>
        <v>7.5714285714285712</v>
      </c>
      <c r="S14" s="45">
        <v>6314.545454545454</v>
      </c>
      <c r="T14" s="39">
        <v>70</v>
      </c>
      <c r="U14" s="39">
        <v>70</v>
      </c>
      <c r="V14" s="39">
        <f>+U14*0.25</f>
        <v>17.5</v>
      </c>
      <c r="W14" s="39">
        <f>+U14*0.5</f>
        <v>35</v>
      </c>
      <c r="X14" s="39">
        <f>+U14*0.75</f>
        <v>52.5</v>
      </c>
      <c r="Y14" s="39">
        <f>+U14</f>
        <v>70</v>
      </c>
      <c r="Z14" s="39">
        <v>780</v>
      </c>
      <c r="AA14" s="39">
        <v>530</v>
      </c>
      <c r="AB14" s="48">
        <f t="shared" si="5"/>
        <v>710</v>
      </c>
      <c r="AC14" s="49">
        <f t="shared" si="33"/>
        <v>11.142857142857142</v>
      </c>
      <c r="AD14" s="48"/>
      <c r="AE14" s="49">
        <f t="shared" si="34"/>
        <v>7.5714285714285712</v>
      </c>
      <c r="AF14" s="49">
        <f t="shared" si="35"/>
        <v>7.5714285714285712</v>
      </c>
      <c r="AG14" s="45">
        <v>6314.545454545454</v>
      </c>
      <c r="AH14" s="39">
        <v>70</v>
      </c>
      <c r="AI14" s="39">
        <v>70</v>
      </c>
      <c r="AJ14" s="39">
        <v>780</v>
      </c>
      <c r="AK14" s="39">
        <v>530</v>
      </c>
      <c r="AL14" s="48">
        <f>+AJ14-AH14</f>
        <v>710</v>
      </c>
      <c r="AM14" s="49">
        <f>+IF(AH14&lt;=0,0,AJ14/AH14)</f>
        <v>11.142857142857142</v>
      </c>
      <c r="AN14" s="48"/>
      <c r="AO14" s="49">
        <f>+IF(AI14&lt;=0,0,AK14/AI14)</f>
        <v>7.5714285714285712</v>
      </c>
      <c r="AP14" s="39">
        <f t="shared" si="58"/>
        <v>1459.1566265060242</v>
      </c>
      <c r="AQ14" s="39">
        <f t="shared" si="58"/>
        <v>449.51807228915663</v>
      </c>
      <c r="AR14" s="39">
        <f t="shared" si="59"/>
        <v>4206.5590000000002</v>
      </c>
      <c r="AS14" s="39">
        <f t="shared" si="59"/>
        <v>3204.009</v>
      </c>
      <c r="AT14" s="39">
        <f t="shared" si="73"/>
        <v>2747.402373493976</v>
      </c>
      <c r="AU14" s="17">
        <f t="shared" si="74"/>
        <v>2.8828700933036084</v>
      </c>
      <c r="AV14" s="39">
        <f t="shared" si="75"/>
        <v>2754.4909277108436</v>
      </c>
      <c r="AW14" s="17">
        <f t="shared" si="76"/>
        <v>7.1276533637094612</v>
      </c>
      <c r="AX14" s="45">
        <v>6314.545454545454</v>
      </c>
      <c r="AY14" s="39">
        <v>70</v>
      </c>
      <c r="AZ14" s="39">
        <v>70</v>
      </c>
      <c r="BA14" s="39">
        <f>+AZ14*0.25</f>
        <v>17.5</v>
      </c>
      <c r="BB14" s="39">
        <f>+AZ14*0.5</f>
        <v>35</v>
      </c>
      <c r="BC14" s="39">
        <f>+AZ14*0.75</f>
        <v>52.5</v>
      </c>
      <c r="BD14" s="39">
        <f>+AZ14</f>
        <v>70</v>
      </c>
      <c r="BE14" s="39">
        <v>780</v>
      </c>
      <c r="BF14" s="39">
        <v>530</v>
      </c>
      <c r="BG14" s="48">
        <f t="shared" si="20"/>
        <v>710</v>
      </c>
      <c r="BH14" s="49">
        <f t="shared" si="41"/>
        <v>11.142857142857142</v>
      </c>
      <c r="BI14" s="48"/>
      <c r="BJ14" s="49">
        <f t="shared" si="42"/>
        <v>7.5714285714285712</v>
      </c>
      <c r="BK14" s="49">
        <f t="shared" si="43"/>
        <v>7.5714285714285712</v>
      </c>
      <c r="BL14" s="45">
        <v>3975.9036144578308</v>
      </c>
      <c r="BM14" s="39">
        <v>139.15662650602408</v>
      </c>
      <c r="BN14" s="39">
        <v>79.518072289156621</v>
      </c>
      <c r="BO14" s="39">
        <f t="shared" si="60"/>
        <v>19.879518072289155</v>
      </c>
      <c r="BP14" s="39">
        <f t="shared" si="61"/>
        <v>39.75903614457831</v>
      </c>
      <c r="BQ14" s="39">
        <f t="shared" si="62"/>
        <v>59.638554216867462</v>
      </c>
      <c r="BR14" s="39">
        <f t="shared" si="63"/>
        <v>79.518072289156621</v>
      </c>
      <c r="BS14" s="39">
        <v>130.00000000000003</v>
      </c>
      <c r="BT14" s="39">
        <v>80.000000000000014</v>
      </c>
      <c r="BU14" s="48">
        <f t="shared" si="22"/>
        <v>-9.1566265060240539</v>
      </c>
      <c r="BV14" s="49">
        <f t="shared" si="45"/>
        <v>0.93419913419913447</v>
      </c>
      <c r="BW14" s="48">
        <f t="shared" si="23"/>
        <v>0.4819277108433937</v>
      </c>
      <c r="BX14" s="49">
        <f t="shared" si="46"/>
        <v>1.0060606060606063</v>
      </c>
      <c r="BY14" s="49">
        <f t="shared" si="47"/>
        <v>1.0060606060606063</v>
      </c>
      <c r="BZ14" s="45">
        <v>26500</v>
      </c>
      <c r="CA14" s="39">
        <v>1250</v>
      </c>
      <c r="CB14" s="39">
        <v>300</v>
      </c>
      <c r="CC14" s="39">
        <f t="shared" si="64"/>
        <v>75</v>
      </c>
      <c r="CD14" s="39">
        <f t="shared" si="65"/>
        <v>150</v>
      </c>
      <c r="CE14" s="39">
        <f t="shared" si="66"/>
        <v>225</v>
      </c>
      <c r="CF14" s="39">
        <f t="shared" si="67"/>
        <v>300</v>
      </c>
      <c r="CG14" s="39">
        <v>3296.5590000000002</v>
      </c>
      <c r="CH14" s="39">
        <v>2594.009</v>
      </c>
      <c r="CI14" s="51">
        <f t="shared" si="49"/>
        <v>2046.5590000000002</v>
      </c>
      <c r="CJ14" s="49">
        <f t="shared" si="50"/>
        <v>2.6372472</v>
      </c>
      <c r="CK14" s="48">
        <f t="shared" si="51"/>
        <v>2294.009</v>
      </c>
      <c r="CL14" s="49">
        <f t="shared" si="52"/>
        <v>8.6466966666666671</v>
      </c>
      <c r="CM14" s="49">
        <f t="shared" si="53"/>
        <v>8.6466966666666671</v>
      </c>
      <c r="CN14" s="45"/>
      <c r="CO14" s="39"/>
      <c r="CP14" s="39"/>
      <c r="CQ14" s="39"/>
      <c r="CR14" s="39"/>
      <c r="CS14" s="39"/>
      <c r="CT14" s="39"/>
      <c r="CU14" s="39"/>
      <c r="CV14" s="39"/>
      <c r="CW14" s="50">
        <f t="shared" si="77"/>
        <v>0</v>
      </c>
      <c r="CX14" s="17">
        <f t="shared" si="55"/>
        <v>0</v>
      </c>
      <c r="CY14" s="50"/>
      <c r="CZ14" s="49">
        <f t="shared" si="56"/>
        <v>0</v>
      </c>
      <c r="DA14" s="49">
        <f t="shared" si="57"/>
        <v>0</v>
      </c>
    </row>
    <row r="15" spans="1:115" ht="24.95" customHeight="1">
      <c r="A15" s="4" t="s">
        <v>11</v>
      </c>
      <c r="B15" s="9">
        <v>11256</v>
      </c>
      <c r="C15" s="5">
        <f t="shared" si="72"/>
        <v>7</v>
      </c>
      <c r="D15" s="8" t="s">
        <v>60</v>
      </c>
      <c r="E15" s="45">
        <v>6293.636363636364</v>
      </c>
      <c r="F15" s="39">
        <v>270</v>
      </c>
      <c r="G15" s="39">
        <v>0</v>
      </c>
      <c r="H15" s="39">
        <f>+G15*0.25</f>
        <v>0</v>
      </c>
      <c r="I15" s="39">
        <f>+G15*0.5</f>
        <v>0</v>
      </c>
      <c r="J15" s="39">
        <f>+G15*0.75</f>
        <v>0</v>
      </c>
      <c r="K15" s="39">
        <f>+G15</f>
        <v>0</v>
      </c>
      <c r="L15" s="39">
        <v>740</v>
      </c>
      <c r="M15" s="39">
        <v>200</v>
      </c>
      <c r="N15" s="48">
        <f t="shared" si="2"/>
        <v>470</v>
      </c>
      <c r="O15" s="49">
        <f t="shared" si="29"/>
        <v>2.7407407407407409</v>
      </c>
      <c r="P15" s="48">
        <f>+M15-G15</f>
        <v>200</v>
      </c>
      <c r="Q15" s="49">
        <f t="shared" si="30"/>
        <v>0</v>
      </c>
      <c r="R15" s="49">
        <f t="shared" si="31"/>
        <v>0</v>
      </c>
      <c r="S15" s="45">
        <v>6293.636363636364</v>
      </c>
      <c r="T15" s="39">
        <v>270</v>
      </c>
      <c r="U15" s="39">
        <v>0</v>
      </c>
      <c r="V15" s="39">
        <f>+U15*0.25</f>
        <v>0</v>
      </c>
      <c r="W15" s="39">
        <f>+U15*0.5</f>
        <v>0</v>
      </c>
      <c r="X15" s="39">
        <f>+U15*0.75</f>
        <v>0</v>
      </c>
      <c r="Y15" s="39">
        <f>+U15</f>
        <v>0</v>
      </c>
      <c r="Z15" s="39">
        <v>740</v>
      </c>
      <c r="AA15" s="39">
        <v>200</v>
      </c>
      <c r="AB15" s="48">
        <f t="shared" si="5"/>
        <v>470</v>
      </c>
      <c r="AC15" s="49">
        <f t="shared" si="33"/>
        <v>2.7407407407407409</v>
      </c>
      <c r="AD15" s="48">
        <f>+AA15-U15</f>
        <v>200</v>
      </c>
      <c r="AE15" s="49">
        <f t="shared" si="34"/>
        <v>0</v>
      </c>
      <c r="AF15" s="49">
        <f t="shared" si="35"/>
        <v>0</v>
      </c>
      <c r="AG15" s="45">
        <v>6293.636363636364</v>
      </c>
      <c r="AH15" s="39">
        <v>270</v>
      </c>
      <c r="AI15" s="39">
        <v>0</v>
      </c>
      <c r="AJ15" s="39">
        <v>740</v>
      </c>
      <c r="AK15" s="39">
        <v>200</v>
      </c>
      <c r="AL15" s="48">
        <f>+AJ15-AH15</f>
        <v>470</v>
      </c>
      <c r="AM15" s="49">
        <f>+IF(AH15&lt;=0,0,AJ15/AH15)</f>
        <v>2.7407407407407409</v>
      </c>
      <c r="AN15" s="48">
        <f>+AK15-AI15</f>
        <v>200</v>
      </c>
      <c r="AO15" s="49">
        <f>+IF(AI15&lt;=0,0,AK15/AI15)</f>
        <v>0</v>
      </c>
      <c r="AP15" s="39">
        <f t="shared" si="58"/>
        <v>1073.6144578313254</v>
      </c>
      <c r="AQ15" s="39">
        <f t="shared" si="58"/>
        <v>373.49397590361446</v>
      </c>
      <c r="AR15" s="39">
        <f t="shared" si="59"/>
        <v>3491</v>
      </c>
      <c r="AS15" s="39">
        <f t="shared" si="59"/>
        <v>2614</v>
      </c>
      <c r="AT15" s="39">
        <f t="shared" si="73"/>
        <v>2417.3855421686749</v>
      </c>
      <c r="AU15" s="17">
        <f t="shared" si="74"/>
        <v>3.2516328133767254</v>
      </c>
      <c r="AV15" s="39">
        <f t="shared" si="75"/>
        <v>2240.5060240963858</v>
      </c>
      <c r="AW15" s="17">
        <f t="shared" si="76"/>
        <v>6.9987741935483871</v>
      </c>
      <c r="AX15" s="45">
        <v>6293.636363636364</v>
      </c>
      <c r="AY15" s="39">
        <v>270</v>
      </c>
      <c r="AZ15" s="39">
        <v>0</v>
      </c>
      <c r="BA15" s="39">
        <f>+AZ15*0.25</f>
        <v>0</v>
      </c>
      <c r="BB15" s="39">
        <f>+AZ15*0.5</f>
        <v>0</v>
      </c>
      <c r="BC15" s="39">
        <f>+AZ15*0.75</f>
        <v>0</v>
      </c>
      <c r="BD15" s="39">
        <f>+AZ15</f>
        <v>0</v>
      </c>
      <c r="BE15" s="39">
        <v>740</v>
      </c>
      <c r="BF15" s="39">
        <v>200</v>
      </c>
      <c r="BG15" s="48">
        <f t="shared" si="20"/>
        <v>470</v>
      </c>
      <c r="BH15" s="49">
        <f t="shared" si="41"/>
        <v>2.7407407407407409</v>
      </c>
      <c r="BI15" s="48">
        <f>+BF15-AZ15</f>
        <v>200</v>
      </c>
      <c r="BJ15" s="49">
        <f t="shared" si="42"/>
        <v>0</v>
      </c>
      <c r="BK15" s="49">
        <f t="shared" si="43"/>
        <v>0</v>
      </c>
      <c r="BL15" s="45">
        <v>8674.6987951807223</v>
      </c>
      <c r="BM15" s="39">
        <v>303.6144578313253</v>
      </c>
      <c r="BN15" s="39">
        <v>173.49397590361446</v>
      </c>
      <c r="BO15" s="39">
        <f t="shared" si="60"/>
        <v>43.373493975903614</v>
      </c>
      <c r="BP15" s="39">
        <f t="shared" si="61"/>
        <v>86.746987951807228</v>
      </c>
      <c r="BQ15" s="39">
        <f t="shared" si="62"/>
        <v>130.12048192771084</v>
      </c>
      <c r="BR15" s="39">
        <f t="shared" si="63"/>
        <v>173.49397590361446</v>
      </c>
      <c r="BS15" s="39">
        <v>311</v>
      </c>
      <c r="BT15" s="39">
        <v>174</v>
      </c>
      <c r="BU15" s="48">
        <f t="shared" si="22"/>
        <v>7.3855421686747036</v>
      </c>
      <c r="BV15" s="49">
        <f t="shared" si="45"/>
        <v>1.0243253968253969</v>
      </c>
      <c r="BW15" s="48">
        <f t="shared" si="23"/>
        <v>0.50602409638554491</v>
      </c>
      <c r="BX15" s="49">
        <f t="shared" si="46"/>
        <v>1.0029166666666667</v>
      </c>
      <c r="BY15" s="49">
        <f t="shared" si="47"/>
        <v>1.0029166666666667</v>
      </c>
      <c r="BZ15" s="45">
        <v>26500</v>
      </c>
      <c r="CA15" s="39">
        <v>500</v>
      </c>
      <c r="CB15" s="39">
        <v>200</v>
      </c>
      <c r="CC15" s="39">
        <f t="shared" si="64"/>
        <v>50</v>
      </c>
      <c r="CD15" s="39">
        <f t="shared" si="65"/>
        <v>100</v>
      </c>
      <c r="CE15" s="39">
        <f t="shared" si="66"/>
        <v>150</v>
      </c>
      <c r="CF15" s="39">
        <f t="shared" si="67"/>
        <v>200</v>
      </c>
      <c r="CG15" s="39">
        <v>2440</v>
      </c>
      <c r="CH15" s="39">
        <v>2240</v>
      </c>
      <c r="CI15" s="51">
        <f t="shared" si="49"/>
        <v>1940</v>
      </c>
      <c r="CJ15" s="49">
        <f t="shared" si="50"/>
        <v>4.88</v>
      </c>
      <c r="CK15" s="48">
        <f t="shared" si="51"/>
        <v>2040</v>
      </c>
      <c r="CL15" s="49">
        <f t="shared" si="52"/>
        <v>11.2</v>
      </c>
      <c r="CM15" s="49">
        <f t="shared" si="53"/>
        <v>11.2</v>
      </c>
      <c r="CN15" s="45"/>
      <c r="CO15" s="39"/>
      <c r="CP15" s="39"/>
      <c r="CQ15" s="39"/>
      <c r="CR15" s="39"/>
      <c r="CS15" s="39"/>
      <c r="CT15" s="39"/>
      <c r="CU15" s="39"/>
      <c r="CV15" s="39"/>
      <c r="CW15" s="50">
        <f t="shared" si="77"/>
        <v>0</v>
      </c>
      <c r="CX15" s="17">
        <f t="shared" si="55"/>
        <v>0</v>
      </c>
      <c r="CY15" s="50"/>
      <c r="CZ15" s="49">
        <f t="shared" si="56"/>
        <v>0</v>
      </c>
      <c r="DA15" s="49">
        <f t="shared" si="57"/>
        <v>0</v>
      </c>
    </row>
    <row r="16" spans="1:115" s="26" customFormat="1" ht="24.95" customHeight="1">
      <c r="A16" s="25"/>
      <c r="B16" s="7"/>
      <c r="C16" s="6"/>
      <c r="D16" s="7" t="s">
        <v>6</v>
      </c>
      <c r="E16" s="13">
        <f t="shared" ref="E16:M16" si="78">SUM(E17:E24)</f>
        <v>41500</v>
      </c>
      <c r="F16" s="13">
        <f t="shared" si="78"/>
        <v>5893</v>
      </c>
      <c r="G16" s="13">
        <f t="shared" si="78"/>
        <v>2822</v>
      </c>
      <c r="H16" s="13">
        <f t="shared" si="78"/>
        <v>705.5</v>
      </c>
      <c r="I16" s="13">
        <f t="shared" si="78"/>
        <v>1411</v>
      </c>
      <c r="J16" s="13">
        <f t="shared" si="78"/>
        <v>2116.5</v>
      </c>
      <c r="K16" s="13">
        <f t="shared" si="78"/>
        <v>2822</v>
      </c>
      <c r="L16" s="13">
        <f t="shared" si="78"/>
        <v>10290.419441399999</v>
      </c>
      <c r="M16" s="13">
        <f t="shared" si="78"/>
        <v>3921</v>
      </c>
      <c r="N16" s="19">
        <f t="shared" si="2"/>
        <v>4397.4194413999994</v>
      </c>
      <c r="O16" s="20">
        <f t="shared" si="29"/>
        <v>1.7462106637366366</v>
      </c>
      <c r="P16" s="19">
        <f>+M16-G16</f>
        <v>1099</v>
      </c>
      <c r="Q16" s="20">
        <f t="shared" si="30"/>
        <v>1.3894401133947556</v>
      </c>
      <c r="R16" s="20">
        <f t="shared" si="31"/>
        <v>1.3894401133947556</v>
      </c>
      <c r="S16" s="13">
        <f t="shared" ref="S16:AA16" si="79">SUM(S17:S24)</f>
        <v>41500</v>
      </c>
      <c r="T16" s="13">
        <f t="shared" si="79"/>
        <v>5893</v>
      </c>
      <c r="U16" s="13">
        <f t="shared" si="79"/>
        <v>2822</v>
      </c>
      <c r="V16" s="13">
        <f t="shared" si="79"/>
        <v>705.5</v>
      </c>
      <c r="W16" s="13">
        <f t="shared" si="79"/>
        <v>1411</v>
      </c>
      <c r="X16" s="13">
        <f t="shared" si="79"/>
        <v>2116.5</v>
      </c>
      <c r="Y16" s="13">
        <f t="shared" si="79"/>
        <v>2822</v>
      </c>
      <c r="Z16" s="13">
        <f t="shared" si="79"/>
        <v>10290.419441399999</v>
      </c>
      <c r="AA16" s="13">
        <f t="shared" si="79"/>
        <v>3921</v>
      </c>
      <c r="AB16" s="19">
        <f t="shared" si="5"/>
        <v>4397.4194413999994</v>
      </c>
      <c r="AC16" s="20">
        <f t="shared" si="33"/>
        <v>1.7462106637366366</v>
      </c>
      <c r="AD16" s="19">
        <f>+AA16-U16</f>
        <v>1099</v>
      </c>
      <c r="AE16" s="20">
        <f t="shared" si="34"/>
        <v>1.3894401133947556</v>
      </c>
      <c r="AF16" s="20">
        <f t="shared" si="35"/>
        <v>1.3894401133947556</v>
      </c>
      <c r="AG16" s="13">
        <f t="shared" ref="AG16:AK16" si="80">SUM(AG17:AG24)</f>
        <v>41500</v>
      </c>
      <c r="AH16" s="13">
        <f t="shared" si="80"/>
        <v>5893</v>
      </c>
      <c r="AI16" s="13">
        <f t="shared" si="80"/>
        <v>2822</v>
      </c>
      <c r="AJ16" s="13">
        <f t="shared" si="80"/>
        <v>10290.419441399999</v>
      </c>
      <c r="AK16" s="13">
        <f t="shared" si="80"/>
        <v>3921</v>
      </c>
      <c r="AL16" s="19">
        <f>+AJ16-AH16</f>
        <v>4397.4194413999994</v>
      </c>
      <c r="AM16" s="20">
        <f>+IF(AH16&lt;=0,0,AJ16/AH16)</f>
        <v>1.7462106637366366</v>
      </c>
      <c r="AN16" s="19">
        <f>+AK16-AI16</f>
        <v>1099</v>
      </c>
      <c r="AO16" s="20">
        <f>+IF(AI16&lt;=0,0,AK16/AI16)</f>
        <v>1.3894401133947556</v>
      </c>
      <c r="AP16" s="13">
        <f t="shared" ref="AP16:AS16" si="81">SUM(AP17:AP24)</f>
        <v>44839.6</v>
      </c>
      <c r="AQ16" s="13">
        <f t="shared" si="81"/>
        <v>15583.400000000001</v>
      </c>
      <c r="AR16" s="13">
        <f t="shared" si="81"/>
        <v>71461.798885419994</v>
      </c>
      <c r="AS16" s="13">
        <f t="shared" si="81"/>
        <v>27640.366570000002</v>
      </c>
      <c r="AT16" s="19">
        <f t="shared" si="73"/>
        <v>26622.198885419995</v>
      </c>
      <c r="AU16" s="20">
        <f t="shared" si="74"/>
        <v>1.5937207041414285</v>
      </c>
      <c r="AV16" s="19">
        <f t="shared" si="75"/>
        <v>12056.966570000001</v>
      </c>
      <c r="AW16" s="20">
        <f t="shared" si="76"/>
        <v>1.7737057747346534</v>
      </c>
      <c r="AX16" s="13">
        <f t="shared" ref="AX16:BF16" si="82">SUM(AX17:AX24)</f>
        <v>41500</v>
      </c>
      <c r="AY16" s="13">
        <f t="shared" si="82"/>
        <v>5893</v>
      </c>
      <c r="AZ16" s="13">
        <f t="shared" si="82"/>
        <v>2822</v>
      </c>
      <c r="BA16" s="13">
        <f t="shared" si="82"/>
        <v>705.5</v>
      </c>
      <c r="BB16" s="13">
        <f t="shared" si="82"/>
        <v>1411</v>
      </c>
      <c r="BC16" s="13">
        <f t="shared" si="82"/>
        <v>2116.5</v>
      </c>
      <c r="BD16" s="13">
        <f t="shared" si="82"/>
        <v>2822</v>
      </c>
      <c r="BE16" s="13">
        <f t="shared" si="82"/>
        <v>10290.419441399999</v>
      </c>
      <c r="BF16" s="13">
        <f t="shared" si="82"/>
        <v>3921</v>
      </c>
      <c r="BG16" s="19">
        <f t="shared" si="20"/>
        <v>4397.4194413999994</v>
      </c>
      <c r="BH16" s="20">
        <f t="shared" si="41"/>
        <v>1.7462106637366366</v>
      </c>
      <c r="BI16" s="19">
        <f>+BF16-AZ16</f>
        <v>1099</v>
      </c>
      <c r="BJ16" s="20">
        <f t="shared" si="42"/>
        <v>1.3894401133947556</v>
      </c>
      <c r="BK16" s="20">
        <f t="shared" si="43"/>
        <v>1.3894401133947556</v>
      </c>
      <c r="BL16" s="13">
        <f t="shared" ref="BL16:BT16" si="83">SUM(BL17:BL24)</f>
        <v>49799.999999999993</v>
      </c>
      <c r="BM16" s="13">
        <f t="shared" si="83"/>
        <v>7071.6</v>
      </c>
      <c r="BN16" s="13">
        <f t="shared" si="83"/>
        <v>3386.3999999999996</v>
      </c>
      <c r="BO16" s="13">
        <f t="shared" si="83"/>
        <v>846.59999999999991</v>
      </c>
      <c r="BP16" s="13">
        <f t="shared" si="83"/>
        <v>1693.1999999999998</v>
      </c>
      <c r="BQ16" s="13">
        <f t="shared" si="83"/>
        <v>2539.7999999999997</v>
      </c>
      <c r="BR16" s="13">
        <f t="shared" si="83"/>
        <v>3386.3999999999996</v>
      </c>
      <c r="BS16" s="13">
        <f t="shared" si="83"/>
        <v>19611.993999999999</v>
      </c>
      <c r="BT16" s="13">
        <f t="shared" si="83"/>
        <v>11588.253999999999</v>
      </c>
      <c r="BU16" s="19">
        <f t="shared" si="22"/>
        <v>12540.393999999998</v>
      </c>
      <c r="BV16" s="20">
        <f t="shared" si="45"/>
        <v>2.7733460602975279</v>
      </c>
      <c r="BW16" s="19">
        <f t="shared" si="23"/>
        <v>8201.8539999999994</v>
      </c>
      <c r="BX16" s="20">
        <f t="shared" si="46"/>
        <v>3.4219979919678716</v>
      </c>
      <c r="BY16" s="20">
        <f t="shared" si="47"/>
        <v>3.4219979919678716</v>
      </c>
      <c r="BZ16" s="13">
        <f t="shared" ref="BZ16:CH16" si="84">SUM(BZ17:BZ24)</f>
        <v>375000</v>
      </c>
      <c r="CA16" s="13">
        <f t="shared" si="84"/>
        <v>31875</v>
      </c>
      <c r="CB16" s="13">
        <f t="shared" si="84"/>
        <v>9375.0000000000018</v>
      </c>
      <c r="CC16" s="13">
        <f t="shared" si="84"/>
        <v>2343.7500000000005</v>
      </c>
      <c r="CD16" s="13">
        <f t="shared" si="84"/>
        <v>4687.5000000000009</v>
      </c>
      <c r="CE16" s="13">
        <f t="shared" si="84"/>
        <v>7031.2500000000009</v>
      </c>
      <c r="CF16" s="13">
        <f t="shared" si="84"/>
        <v>9375.0000000000018</v>
      </c>
      <c r="CG16" s="13">
        <f t="shared" si="84"/>
        <v>41559.385444020001</v>
      </c>
      <c r="CH16" s="13">
        <f t="shared" si="84"/>
        <v>12131.112570000001</v>
      </c>
      <c r="CI16" s="19">
        <f t="shared" si="49"/>
        <v>9684.3854440200012</v>
      </c>
      <c r="CJ16" s="20">
        <f t="shared" si="50"/>
        <v>1.3038238570672942</v>
      </c>
      <c r="CK16" s="19">
        <f t="shared" si="51"/>
        <v>2756.1125699999993</v>
      </c>
      <c r="CL16" s="20">
        <f t="shared" si="52"/>
        <v>1.2939853407999999</v>
      </c>
      <c r="CM16" s="20">
        <f t="shared" si="53"/>
        <v>1.2939853407999999</v>
      </c>
      <c r="CN16" s="13">
        <f t="shared" ref="CN16:CT16" si="85">SUM(CN17:CN24)</f>
        <v>0</v>
      </c>
      <c r="CO16" s="13">
        <f t="shared" si="85"/>
        <v>0</v>
      </c>
      <c r="CP16" s="13">
        <f t="shared" si="85"/>
        <v>0</v>
      </c>
      <c r="CQ16" s="13">
        <f t="shared" si="85"/>
        <v>0</v>
      </c>
      <c r="CR16" s="13">
        <f t="shared" si="85"/>
        <v>0</v>
      </c>
      <c r="CS16" s="13">
        <f t="shared" si="85"/>
        <v>0</v>
      </c>
      <c r="CT16" s="13">
        <f t="shared" si="85"/>
        <v>0</v>
      </c>
      <c r="CU16" s="13"/>
      <c r="CV16" s="13"/>
      <c r="CW16" s="30">
        <f t="shared" si="77"/>
        <v>0</v>
      </c>
      <c r="CX16" s="20">
        <f t="shared" si="55"/>
        <v>0</v>
      </c>
      <c r="CY16" s="30"/>
      <c r="CZ16" s="20">
        <f t="shared" si="56"/>
        <v>0</v>
      </c>
      <c r="DA16" s="20">
        <f t="shared" si="57"/>
        <v>0</v>
      </c>
    </row>
    <row r="17" spans="1:105" ht="24.95" customHeight="1">
      <c r="A17" s="4" t="s">
        <v>15</v>
      </c>
      <c r="B17" s="9">
        <v>10792</v>
      </c>
      <c r="C17" s="5">
        <f t="shared" si="72"/>
        <v>1</v>
      </c>
      <c r="D17" s="8" t="s">
        <v>61</v>
      </c>
      <c r="E17" s="45"/>
      <c r="F17" s="39"/>
      <c r="G17" s="39"/>
      <c r="H17" s="39">
        <f t="shared" ref="H17:H24" si="86">+G17*0.25</f>
        <v>0</v>
      </c>
      <c r="I17" s="39">
        <f t="shared" ref="I17:I24" si="87">+G17*0.5</f>
        <v>0</v>
      </c>
      <c r="J17" s="39">
        <f t="shared" ref="J17:J24" si="88">+G17*0.75</f>
        <v>0</v>
      </c>
      <c r="K17" s="39">
        <f>+G17</f>
        <v>0</v>
      </c>
      <c r="L17" s="39"/>
      <c r="M17" s="39"/>
      <c r="N17" s="48">
        <f t="shared" si="2"/>
        <v>0</v>
      </c>
      <c r="O17" s="49">
        <f t="shared" si="29"/>
        <v>0</v>
      </c>
      <c r="P17" s="48">
        <f>+M17-G17</f>
        <v>0</v>
      </c>
      <c r="Q17" s="49">
        <f t="shared" si="30"/>
        <v>0</v>
      </c>
      <c r="R17" s="49">
        <f t="shared" si="31"/>
        <v>0</v>
      </c>
      <c r="S17" s="45"/>
      <c r="T17" s="39"/>
      <c r="U17" s="39"/>
      <c r="V17" s="39">
        <f t="shared" ref="V17:V24" si="89">+U17*0.25</f>
        <v>0</v>
      </c>
      <c r="W17" s="39">
        <f t="shared" ref="W17:W24" si="90">+U17*0.5</f>
        <v>0</v>
      </c>
      <c r="X17" s="39">
        <f t="shared" ref="X17:X24" si="91">+U17*0.75</f>
        <v>0</v>
      </c>
      <c r="Y17" s="39">
        <f>+U17</f>
        <v>0</v>
      </c>
      <c r="Z17" s="39"/>
      <c r="AA17" s="39"/>
      <c r="AB17" s="48">
        <f t="shared" si="5"/>
        <v>0</v>
      </c>
      <c r="AC17" s="49">
        <f t="shared" si="33"/>
        <v>0</v>
      </c>
      <c r="AD17" s="48">
        <f>+AA17-U17</f>
        <v>0</v>
      </c>
      <c r="AE17" s="49">
        <f t="shared" si="34"/>
        <v>0</v>
      </c>
      <c r="AF17" s="49">
        <f t="shared" si="35"/>
        <v>0</v>
      </c>
      <c r="AG17" s="45"/>
      <c r="AH17" s="39"/>
      <c r="AI17" s="39"/>
      <c r="AJ17" s="39"/>
      <c r="AK17" s="39"/>
      <c r="AL17" s="48">
        <f>+AJ17-AH17</f>
        <v>0</v>
      </c>
      <c r="AM17" s="49">
        <f>+IF(AH17&lt;=0,0,AJ17/AH17)</f>
        <v>0</v>
      </c>
      <c r="AN17" s="48">
        <f>+AK17-AI17</f>
        <v>0</v>
      </c>
      <c r="AO17" s="49">
        <f>+IF(AI17&lt;=0,0,AK17/AI17)</f>
        <v>0</v>
      </c>
      <c r="AP17" s="39">
        <f t="shared" ref="AP17:AQ24" si="92">+AY17+BM17+CA17+CO17</f>
        <v>0</v>
      </c>
      <c r="AQ17" s="39">
        <f t="shared" si="92"/>
        <v>0</v>
      </c>
      <c r="AR17" s="39">
        <f t="shared" ref="AR17:AS24" si="93">+BE17+BS17+CG17++CU17</f>
        <v>0</v>
      </c>
      <c r="AS17" s="39">
        <f t="shared" si="93"/>
        <v>0</v>
      </c>
      <c r="AT17" s="39">
        <f t="shared" ref="AT17:AT24" si="94">+AR17-AP17</f>
        <v>0</v>
      </c>
      <c r="AU17" s="17" t="e">
        <f t="shared" si="74"/>
        <v>#DIV/0!</v>
      </c>
      <c r="AV17" s="39">
        <f t="shared" si="75"/>
        <v>0</v>
      </c>
      <c r="AW17" s="17" t="e">
        <f t="shared" si="76"/>
        <v>#DIV/0!</v>
      </c>
      <c r="AX17" s="45"/>
      <c r="AY17" s="39"/>
      <c r="AZ17" s="39"/>
      <c r="BA17" s="39">
        <f t="shared" ref="BA17:BA24" si="95">+AZ17*0.25</f>
        <v>0</v>
      </c>
      <c r="BB17" s="39">
        <f t="shared" ref="BB17:BB24" si="96">+AZ17*0.5</f>
        <v>0</v>
      </c>
      <c r="BC17" s="39">
        <f t="shared" ref="BC17:BC24" si="97">+AZ17*0.75</f>
        <v>0</v>
      </c>
      <c r="BD17" s="39">
        <f>+AZ17</f>
        <v>0</v>
      </c>
      <c r="BE17" s="39"/>
      <c r="BF17" s="39"/>
      <c r="BG17" s="48">
        <f t="shared" si="20"/>
        <v>0</v>
      </c>
      <c r="BH17" s="49">
        <f t="shared" si="41"/>
        <v>0</v>
      </c>
      <c r="BI17" s="48">
        <f>+BF17-AZ17</f>
        <v>0</v>
      </c>
      <c r="BJ17" s="49">
        <f t="shared" si="42"/>
        <v>0</v>
      </c>
      <c r="BK17" s="49">
        <f t="shared" si="43"/>
        <v>0</v>
      </c>
      <c r="BL17" s="45"/>
      <c r="BM17" s="39"/>
      <c r="BN17" s="39"/>
      <c r="BO17" s="39">
        <f t="shared" ref="BO17:BO24" si="98">+BN17*0.25</f>
        <v>0</v>
      </c>
      <c r="BP17" s="39">
        <f t="shared" ref="BP17:BP24" si="99">+BN17*0.5</f>
        <v>0</v>
      </c>
      <c r="BQ17" s="39">
        <f t="shared" ref="BQ17:BQ24" si="100">+BN17*0.75</f>
        <v>0</v>
      </c>
      <c r="BR17" s="39">
        <f t="shared" ref="BR17:BR24" si="101">+BN17</f>
        <v>0</v>
      </c>
      <c r="BS17" s="39"/>
      <c r="BT17" s="39"/>
      <c r="BU17" s="48">
        <f t="shared" si="22"/>
        <v>0</v>
      </c>
      <c r="BV17" s="49">
        <f t="shared" si="45"/>
        <v>0</v>
      </c>
      <c r="BW17" s="48"/>
      <c r="BX17" s="49">
        <f t="shared" si="46"/>
        <v>0</v>
      </c>
      <c r="BY17" s="49">
        <f t="shared" si="47"/>
        <v>0</v>
      </c>
      <c r="BZ17" s="45"/>
      <c r="CA17" s="39"/>
      <c r="CB17" s="39"/>
      <c r="CC17" s="39">
        <f t="shared" ref="CC17:CC24" si="102">+CB17*0.25</f>
        <v>0</v>
      </c>
      <c r="CD17" s="39">
        <f t="shared" ref="CD17:CD24" si="103">+CB17*0.5</f>
        <v>0</v>
      </c>
      <c r="CE17" s="39">
        <f t="shared" ref="CE17:CE24" si="104">+CB17*0.75</f>
        <v>0</v>
      </c>
      <c r="CF17" s="39">
        <f t="shared" ref="CF17:CF24" si="105">+CB17</f>
        <v>0</v>
      </c>
      <c r="CG17" s="39"/>
      <c r="CH17" s="39"/>
      <c r="CI17" s="51">
        <f t="shared" si="49"/>
        <v>0</v>
      </c>
      <c r="CJ17" s="49">
        <f t="shared" si="50"/>
        <v>0</v>
      </c>
      <c r="CK17" s="53">
        <f t="shared" si="51"/>
        <v>0</v>
      </c>
      <c r="CL17" s="49">
        <f t="shared" si="52"/>
        <v>0</v>
      </c>
      <c r="CM17" s="49">
        <f t="shared" si="53"/>
        <v>0</v>
      </c>
      <c r="CN17" s="45"/>
      <c r="CO17" s="39"/>
      <c r="CP17" s="39"/>
      <c r="CQ17" s="39"/>
      <c r="CR17" s="39"/>
      <c r="CS17" s="39"/>
      <c r="CT17" s="39"/>
      <c r="CU17" s="39"/>
      <c r="CV17" s="39"/>
      <c r="CW17" s="50">
        <f t="shared" si="77"/>
        <v>0</v>
      </c>
      <c r="CX17" s="17">
        <f t="shared" si="55"/>
        <v>0</v>
      </c>
      <c r="CY17" s="50"/>
      <c r="CZ17" s="49">
        <f t="shared" si="56"/>
        <v>0</v>
      </c>
      <c r="DA17" s="49">
        <f t="shared" si="57"/>
        <v>0</v>
      </c>
    </row>
    <row r="18" spans="1:105" ht="24.95" customHeight="1">
      <c r="A18" s="4" t="s">
        <v>9</v>
      </c>
      <c r="B18" s="9">
        <v>10793</v>
      </c>
      <c r="C18" s="5">
        <f t="shared" si="72"/>
        <v>2</v>
      </c>
      <c r="D18" s="8" t="s">
        <v>62</v>
      </c>
      <c r="E18" s="45"/>
      <c r="F18" s="39"/>
      <c r="G18" s="39"/>
      <c r="H18" s="39">
        <f t="shared" si="86"/>
        <v>0</v>
      </c>
      <c r="I18" s="39">
        <f t="shared" si="87"/>
        <v>0</v>
      </c>
      <c r="J18" s="39">
        <f t="shared" si="88"/>
        <v>0</v>
      </c>
      <c r="K18" s="39">
        <f>+G18</f>
        <v>0</v>
      </c>
      <c r="L18" s="39"/>
      <c r="M18" s="39"/>
      <c r="N18" s="48">
        <f t="shared" si="2"/>
        <v>0</v>
      </c>
      <c r="O18" s="49">
        <f t="shared" si="29"/>
        <v>0</v>
      </c>
      <c r="P18" s="48"/>
      <c r="Q18" s="49">
        <f t="shared" si="30"/>
        <v>0</v>
      </c>
      <c r="R18" s="49">
        <f t="shared" si="31"/>
        <v>0</v>
      </c>
      <c r="S18" s="45"/>
      <c r="T18" s="39"/>
      <c r="U18" s="39"/>
      <c r="V18" s="39">
        <f t="shared" si="89"/>
        <v>0</v>
      </c>
      <c r="W18" s="39">
        <f t="shared" si="90"/>
        <v>0</v>
      </c>
      <c r="X18" s="39">
        <f t="shared" si="91"/>
        <v>0</v>
      </c>
      <c r="Y18" s="39">
        <f>+U18</f>
        <v>0</v>
      </c>
      <c r="Z18" s="39"/>
      <c r="AA18" s="39"/>
      <c r="AB18" s="48">
        <f t="shared" si="5"/>
        <v>0</v>
      </c>
      <c r="AC18" s="49">
        <f t="shared" si="33"/>
        <v>0</v>
      </c>
      <c r="AD18" s="48"/>
      <c r="AE18" s="49">
        <f t="shared" si="34"/>
        <v>0</v>
      </c>
      <c r="AF18" s="49">
        <f t="shared" si="35"/>
        <v>0</v>
      </c>
      <c r="AG18" s="45"/>
      <c r="AH18" s="39"/>
      <c r="AI18" s="39"/>
      <c r="AJ18" s="39"/>
      <c r="AK18" s="39"/>
      <c r="AL18" s="48">
        <f>+AJ18-AH18</f>
        <v>0</v>
      </c>
      <c r="AM18" s="49">
        <f>+IF(AH18&lt;=0,0,AJ18/AH18)</f>
        <v>0</v>
      </c>
      <c r="AN18" s="48"/>
      <c r="AO18" s="49">
        <f>+IF(AI18&lt;=0,0,AK18/AI18)</f>
        <v>0</v>
      </c>
      <c r="AP18" s="39">
        <f t="shared" si="92"/>
        <v>0</v>
      </c>
      <c r="AQ18" s="39">
        <f t="shared" si="92"/>
        <v>0</v>
      </c>
      <c r="AR18" s="39">
        <f t="shared" si="93"/>
        <v>0</v>
      </c>
      <c r="AS18" s="39">
        <f t="shared" si="93"/>
        <v>0</v>
      </c>
      <c r="AT18" s="39">
        <f t="shared" si="94"/>
        <v>0</v>
      </c>
      <c r="AU18" s="17" t="e">
        <f t="shared" si="74"/>
        <v>#DIV/0!</v>
      </c>
      <c r="AV18" s="39">
        <f t="shared" si="75"/>
        <v>0</v>
      </c>
      <c r="AW18" s="17" t="e">
        <f t="shared" si="76"/>
        <v>#DIV/0!</v>
      </c>
      <c r="AX18" s="45"/>
      <c r="AY18" s="39"/>
      <c r="AZ18" s="39"/>
      <c r="BA18" s="39">
        <f t="shared" si="95"/>
        <v>0</v>
      </c>
      <c r="BB18" s="39">
        <f t="shared" si="96"/>
        <v>0</v>
      </c>
      <c r="BC18" s="39">
        <f t="shared" si="97"/>
        <v>0</v>
      </c>
      <c r="BD18" s="39">
        <f>+AZ18</f>
        <v>0</v>
      </c>
      <c r="BE18" s="39"/>
      <c r="BF18" s="39"/>
      <c r="BG18" s="48">
        <f t="shared" si="20"/>
        <v>0</v>
      </c>
      <c r="BH18" s="49">
        <f t="shared" si="41"/>
        <v>0</v>
      </c>
      <c r="BI18" s="48"/>
      <c r="BJ18" s="49">
        <f t="shared" si="42"/>
        <v>0</v>
      </c>
      <c r="BK18" s="49">
        <f t="shared" si="43"/>
        <v>0</v>
      </c>
      <c r="BL18" s="45"/>
      <c r="BM18" s="39"/>
      <c r="BN18" s="39"/>
      <c r="BO18" s="39">
        <f t="shared" si="98"/>
        <v>0</v>
      </c>
      <c r="BP18" s="39">
        <f t="shared" si="99"/>
        <v>0</v>
      </c>
      <c r="BQ18" s="39">
        <f t="shared" si="100"/>
        <v>0</v>
      </c>
      <c r="BR18" s="39">
        <f t="shared" si="101"/>
        <v>0</v>
      </c>
      <c r="BS18" s="39"/>
      <c r="BT18" s="39"/>
      <c r="BU18" s="48">
        <f t="shared" si="22"/>
        <v>0</v>
      </c>
      <c r="BV18" s="49">
        <f t="shared" si="45"/>
        <v>0</v>
      </c>
      <c r="BW18" s="48"/>
      <c r="BX18" s="49">
        <f t="shared" si="46"/>
        <v>0</v>
      </c>
      <c r="BY18" s="49">
        <f t="shared" si="47"/>
        <v>0</v>
      </c>
      <c r="BZ18" s="45"/>
      <c r="CA18" s="39"/>
      <c r="CB18" s="39"/>
      <c r="CC18" s="39">
        <f t="shared" si="102"/>
        <v>0</v>
      </c>
      <c r="CD18" s="39">
        <f t="shared" si="103"/>
        <v>0</v>
      </c>
      <c r="CE18" s="39">
        <f t="shared" si="104"/>
        <v>0</v>
      </c>
      <c r="CF18" s="39">
        <f t="shared" si="105"/>
        <v>0</v>
      </c>
      <c r="CG18" s="39"/>
      <c r="CH18" s="39"/>
      <c r="CI18" s="51">
        <f t="shared" si="49"/>
        <v>0</v>
      </c>
      <c r="CJ18" s="49">
        <f t="shared" si="50"/>
        <v>0</v>
      </c>
      <c r="CK18" s="53">
        <f t="shared" si="51"/>
        <v>0</v>
      </c>
      <c r="CL18" s="49">
        <f t="shared" si="52"/>
        <v>0</v>
      </c>
      <c r="CM18" s="49">
        <f t="shared" si="53"/>
        <v>0</v>
      </c>
      <c r="CN18" s="45"/>
      <c r="CO18" s="39"/>
      <c r="CP18" s="39"/>
      <c r="CQ18" s="39"/>
      <c r="CR18" s="39"/>
      <c r="CS18" s="39"/>
      <c r="CT18" s="39"/>
      <c r="CU18" s="39"/>
      <c r="CV18" s="39"/>
      <c r="CW18" s="50">
        <f t="shared" si="77"/>
        <v>0</v>
      </c>
      <c r="CX18" s="17">
        <f t="shared" si="55"/>
        <v>0</v>
      </c>
      <c r="CY18" s="50"/>
      <c r="CZ18" s="49">
        <f t="shared" si="56"/>
        <v>0</v>
      </c>
      <c r="DA18" s="49">
        <f t="shared" si="57"/>
        <v>0</v>
      </c>
    </row>
    <row r="19" spans="1:105" ht="24.95" customHeight="1">
      <c r="A19" s="4" t="s">
        <v>8</v>
      </c>
      <c r="B19" s="9">
        <v>11198</v>
      </c>
      <c r="C19" s="5">
        <f t="shared" si="72"/>
        <v>3</v>
      </c>
      <c r="D19" s="8" t="s">
        <v>144</v>
      </c>
      <c r="E19" s="45">
        <v>2099</v>
      </c>
      <c r="F19" s="39">
        <v>318</v>
      </c>
      <c r="G19" s="39">
        <v>120</v>
      </c>
      <c r="H19" s="39">
        <f t="shared" si="86"/>
        <v>30</v>
      </c>
      <c r="I19" s="39">
        <f t="shared" si="87"/>
        <v>60</v>
      </c>
      <c r="J19" s="39">
        <f t="shared" si="88"/>
        <v>90</v>
      </c>
      <c r="K19" s="39">
        <f t="shared" ref="K19:K24" si="106">+G19</f>
        <v>120</v>
      </c>
      <c r="L19" s="39">
        <v>620</v>
      </c>
      <c r="M19" s="39">
        <v>420</v>
      </c>
      <c r="N19" s="48">
        <f t="shared" si="2"/>
        <v>302</v>
      </c>
      <c r="O19" s="49">
        <f t="shared" si="29"/>
        <v>1.949685534591195</v>
      </c>
      <c r="P19" s="48">
        <f t="shared" ref="P19:P70" si="107">+M19-G19</f>
        <v>300</v>
      </c>
      <c r="Q19" s="49">
        <f t="shared" si="30"/>
        <v>3.5</v>
      </c>
      <c r="R19" s="49">
        <f t="shared" si="31"/>
        <v>3.5</v>
      </c>
      <c r="S19" s="45">
        <v>2099</v>
      </c>
      <c r="T19" s="39">
        <v>318</v>
      </c>
      <c r="U19" s="39">
        <v>120</v>
      </c>
      <c r="V19" s="39">
        <f t="shared" si="89"/>
        <v>30</v>
      </c>
      <c r="W19" s="39">
        <f t="shared" si="90"/>
        <v>60</v>
      </c>
      <c r="X19" s="39">
        <f t="shared" si="91"/>
        <v>90</v>
      </c>
      <c r="Y19" s="39">
        <f t="shared" ref="Y19:Y24" si="108">+U19</f>
        <v>120</v>
      </c>
      <c r="Z19" s="39">
        <v>620</v>
      </c>
      <c r="AA19" s="39">
        <v>420</v>
      </c>
      <c r="AB19" s="48">
        <f t="shared" si="5"/>
        <v>302</v>
      </c>
      <c r="AC19" s="49">
        <f t="shared" si="33"/>
        <v>1.949685534591195</v>
      </c>
      <c r="AD19" s="48">
        <f t="shared" ref="AD19:AD70" si="109">+AA19-U19</f>
        <v>300</v>
      </c>
      <c r="AE19" s="49">
        <f t="shared" si="34"/>
        <v>3.5</v>
      </c>
      <c r="AF19" s="49">
        <f t="shared" si="35"/>
        <v>3.5</v>
      </c>
      <c r="AG19" s="45">
        <v>2099</v>
      </c>
      <c r="AH19" s="39">
        <v>318</v>
      </c>
      <c r="AI19" s="39">
        <v>120</v>
      </c>
      <c r="AJ19" s="39">
        <v>620</v>
      </c>
      <c r="AK19" s="39">
        <v>420</v>
      </c>
      <c r="AL19" s="48">
        <f>+AJ19-AH19</f>
        <v>302</v>
      </c>
      <c r="AM19" s="49">
        <f>+IF(AH19&lt;=0,0,AJ19/AH19)</f>
        <v>1.949685534591195</v>
      </c>
      <c r="AN19" s="48">
        <f>+AK19-AI19</f>
        <v>300</v>
      </c>
      <c r="AO19" s="49">
        <f>+IF(AI19&lt;=0,0,AK19/AI19)</f>
        <v>3.5</v>
      </c>
      <c r="AP19" s="39">
        <f t="shared" si="92"/>
        <v>2669.9550260736846</v>
      </c>
      <c r="AQ19" s="39">
        <f t="shared" si="92"/>
        <v>887.57196760927627</v>
      </c>
      <c r="AR19" s="39">
        <f t="shared" si="93"/>
        <v>5902.1792640200001</v>
      </c>
      <c r="AS19" s="39">
        <f t="shared" si="93"/>
        <v>2976.2460000000001</v>
      </c>
      <c r="AT19" s="39">
        <f t="shared" si="94"/>
        <v>3232.2242379463155</v>
      </c>
      <c r="AU19" s="17">
        <f t="shared" si="74"/>
        <v>2.2105912670369876</v>
      </c>
      <c r="AV19" s="39">
        <f t="shared" si="75"/>
        <v>2088.6740323907238</v>
      </c>
      <c r="AW19" s="17">
        <f t="shared" si="76"/>
        <v>3.3532447042200779</v>
      </c>
      <c r="AX19" s="45">
        <v>2099</v>
      </c>
      <c r="AY19" s="39">
        <v>318</v>
      </c>
      <c r="AZ19" s="39">
        <v>120</v>
      </c>
      <c r="BA19" s="39">
        <f t="shared" si="95"/>
        <v>30</v>
      </c>
      <c r="BB19" s="39">
        <f t="shared" si="96"/>
        <v>60</v>
      </c>
      <c r="BC19" s="39">
        <f t="shared" si="97"/>
        <v>90</v>
      </c>
      <c r="BD19" s="39">
        <f t="shared" ref="BD19:BD24" si="110">+AZ19</f>
        <v>120</v>
      </c>
      <c r="BE19" s="39">
        <v>620</v>
      </c>
      <c r="BF19" s="39">
        <v>420</v>
      </c>
      <c r="BG19" s="48">
        <f t="shared" si="20"/>
        <v>302</v>
      </c>
      <c r="BH19" s="49">
        <f t="shared" si="41"/>
        <v>1.949685534591195</v>
      </c>
      <c r="BI19" s="48">
        <f t="shared" ref="BI19:BI50" si="111">+BF19-AZ19</f>
        <v>300</v>
      </c>
      <c r="BJ19" s="49">
        <f t="shared" si="42"/>
        <v>3.5</v>
      </c>
      <c r="BK19" s="49">
        <f t="shared" si="43"/>
        <v>3.5</v>
      </c>
      <c r="BL19" s="45">
        <v>3903.5999999999995</v>
      </c>
      <c r="BM19" s="39">
        <v>551.95502607368462</v>
      </c>
      <c r="BN19" s="39">
        <v>267.57196760927627</v>
      </c>
      <c r="BO19" s="39">
        <f t="shared" si="98"/>
        <v>66.892991902319068</v>
      </c>
      <c r="BP19" s="39">
        <f t="shared" si="99"/>
        <v>133.78598380463814</v>
      </c>
      <c r="BQ19" s="39">
        <f t="shared" si="100"/>
        <v>200.6789757069572</v>
      </c>
      <c r="BR19" s="39">
        <f t="shared" si="101"/>
        <v>267.57196760927627</v>
      </c>
      <c r="BS19" s="39">
        <v>1072.8</v>
      </c>
      <c r="BT19" s="39">
        <v>447.8</v>
      </c>
      <c r="BU19" s="48">
        <f t="shared" si="22"/>
        <v>520.84497392631533</v>
      </c>
      <c r="BV19" s="49">
        <f t="shared" si="45"/>
        <v>1.9436366176993265</v>
      </c>
      <c r="BW19" s="48">
        <f t="shared" ref="BW19:BW41" si="112">+BT19-BN19</f>
        <v>180.22803239072374</v>
      </c>
      <c r="BX19" s="49">
        <f t="shared" si="46"/>
        <v>1.6735684384318723</v>
      </c>
      <c r="BY19" s="49">
        <f t="shared" si="47"/>
        <v>1.6735684384318723</v>
      </c>
      <c r="BZ19" s="45">
        <v>31100</v>
      </c>
      <c r="CA19" s="39">
        <v>1800</v>
      </c>
      <c r="CB19" s="39">
        <v>500</v>
      </c>
      <c r="CC19" s="39">
        <f t="shared" si="102"/>
        <v>125</v>
      </c>
      <c r="CD19" s="39">
        <f t="shared" si="103"/>
        <v>250</v>
      </c>
      <c r="CE19" s="39">
        <f t="shared" si="104"/>
        <v>375</v>
      </c>
      <c r="CF19" s="39">
        <f t="shared" si="105"/>
        <v>500</v>
      </c>
      <c r="CG19" s="39">
        <v>4209.3792640199999</v>
      </c>
      <c r="CH19" s="39">
        <v>2108.4459999999999</v>
      </c>
      <c r="CI19" s="51">
        <f t="shared" si="49"/>
        <v>2409.3792640199999</v>
      </c>
      <c r="CJ19" s="49">
        <f t="shared" si="50"/>
        <v>2.3385440355666667</v>
      </c>
      <c r="CK19" s="48">
        <f t="shared" si="51"/>
        <v>1608.4459999999999</v>
      </c>
      <c r="CL19" s="49">
        <f t="shared" si="52"/>
        <v>4.2168919999999996</v>
      </c>
      <c r="CM19" s="49">
        <f t="shared" si="53"/>
        <v>4.2168919999999996</v>
      </c>
      <c r="CN19" s="45"/>
      <c r="CO19" s="39"/>
      <c r="CP19" s="39"/>
      <c r="CQ19" s="39"/>
      <c r="CR19" s="39"/>
      <c r="CS19" s="39"/>
      <c r="CT19" s="39"/>
      <c r="CU19" s="39"/>
      <c r="CV19" s="39"/>
      <c r="CW19" s="50">
        <f t="shared" si="77"/>
        <v>0</v>
      </c>
      <c r="CX19" s="17">
        <f t="shared" si="55"/>
        <v>0</v>
      </c>
      <c r="CY19" s="50"/>
      <c r="CZ19" s="49">
        <f t="shared" si="56"/>
        <v>0</v>
      </c>
      <c r="DA19" s="49">
        <f t="shared" si="57"/>
        <v>0</v>
      </c>
    </row>
    <row r="20" spans="1:105" ht="24.95" customHeight="1">
      <c r="A20" s="4" t="s">
        <v>26</v>
      </c>
      <c r="B20" s="9">
        <v>11199</v>
      </c>
      <c r="C20" s="5">
        <f t="shared" si="72"/>
        <v>4</v>
      </c>
      <c r="D20" s="8" t="s">
        <v>63</v>
      </c>
      <c r="E20" s="45">
        <v>7590</v>
      </c>
      <c r="F20" s="39">
        <v>1070</v>
      </c>
      <c r="G20" s="39">
        <v>520</v>
      </c>
      <c r="H20" s="39">
        <f t="shared" si="86"/>
        <v>130</v>
      </c>
      <c r="I20" s="39">
        <f t="shared" si="87"/>
        <v>260</v>
      </c>
      <c r="J20" s="39">
        <f t="shared" si="88"/>
        <v>390</v>
      </c>
      <c r="K20" s="39">
        <f t="shared" si="106"/>
        <v>520</v>
      </c>
      <c r="L20" s="39">
        <v>1636.18</v>
      </c>
      <c r="M20" s="39">
        <v>490</v>
      </c>
      <c r="N20" s="48">
        <f t="shared" si="2"/>
        <v>566.18000000000006</v>
      </c>
      <c r="O20" s="49">
        <f t="shared" si="29"/>
        <v>1.5291401869158878</v>
      </c>
      <c r="P20" s="48">
        <f t="shared" si="107"/>
        <v>-30</v>
      </c>
      <c r="Q20" s="49">
        <f t="shared" si="30"/>
        <v>0.94230769230769229</v>
      </c>
      <c r="R20" s="49">
        <f t="shared" si="31"/>
        <v>0.94230769230769229</v>
      </c>
      <c r="S20" s="45">
        <v>7590</v>
      </c>
      <c r="T20" s="39">
        <v>1070</v>
      </c>
      <c r="U20" s="39">
        <v>520</v>
      </c>
      <c r="V20" s="39">
        <f t="shared" si="89"/>
        <v>130</v>
      </c>
      <c r="W20" s="39">
        <f t="shared" si="90"/>
        <v>260</v>
      </c>
      <c r="X20" s="39">
        <f t="shared" si="91"/>
        <v>390</v>
      </c>
      <c r="Y20" s="39">
        <f t="shared" si="108"/>
        <v>520</v>
      </c>
      <c r="Z20" s="39">
        <v>1636.18</v>
      </c>
      <c r="AA20" s="39">
        <v>490</v>
      </c>
      <c r="AB20" s="48">
        <f t="shared" si="5"/>
        <v>566.18000000000006</v>
      </c>
      <c r="AC20" s="49">
        <f t="shared" si="33"/>
        <v>1.5291401869158878</v>
      </c>
      <c r="AD20" s="48">
        <f t="shared" si="109"/>
        <v>-30</v>
      </c>
      <c r="AE20" s="49">
        <f t="shared" si="34"/>
        <v>0.94230769230769229</v>
      </c>
      <c r="AF20" s="49">
        <f t="shared" si="35"/>
        <v>0.94230769230769229</v>
      </c>
      <c r="AG20" s="45">
        <v>7590</v>
      </c>
      <c r="AH20" s="39">
        <v>1070</v>
      </c>
      <c r="AI20" s="39">
        <v>520</v>
      </c>
      <c r="AJ20" s="39">
        <v>1636.18</v>
      </c>
      <c r="AK20" s="39">
        <v>490</v>
      </c>
      <c r="AL20" s="48">
        <f>+AJ20-AH20</f>
        <v>566.18000000000006</v>
      </c>
      <c r="AM20" s="49">
        <f>+IF(AH20&lt;=0,0,AJ20/AH20)</f>
        <v>1.5291401869158878</v>
      </c>
      <c r="AN20" s="48">
        <f>+AK20-AI20</f>
        <v>-30</v>
      </c>
      <c r="AO20" s="49">
        <f>+IF(AI20&lt;=0,0,AK20/AI20)</f>
        <v>0.94230769230769229</v>
      </c>
      <c r="AP20" s="39">
        <f t="shared" si="92"/>
        <v>8530</v>
      </c>
      <c r="AQ20" s="39">
        <f t="shared" si="92"/>
        <v>2920</v>
      </c>
      <c r="AR20" s="39">
        <f t="shared" si="93"/>
        <v>12029.624</v>
      </c>
      <c r="AS20" s="39">
        <f t="shared" si="93"/>
        <v>5038.3</v>
      </c>
      <c r="AT20" s="39">
        <f t="shared" si="94"/>
        <v>3499.6239999999998</v>
      </c>
      <c r="AU20" s="17">
        <f t="shared" si="74"/>
        <v>1.4102724501758499</v>
      </c>
      <c r="AV20" s="39">
        <f t="shared" si="75"/>
        <v>2118.3000000000002</v>
      </c>
      <c r="AW20" s="17">
        <f t="shared" si="76"/>
        <v>1.725445205479452</v>
      </c>
      <c r="AX20" s="45">
        <v>7590</v>
      </c>
      <c r="AY20" s="39">
        <v>1070</v>
      </c>
      <c r="AZ20" s="39">
        <v>520</v>
      </c>
      <c r="BA20" s="39">
        <f t="shared" si="95"/>
        <v>130</v>
      </c>
      <c r="BB20" s="39">
        <f t="shared" si="96"/>
        <v>260</v>
      </c>
      <c r="BC20" s="39">
        <f t="shared" si="97"/>
        <v>390</v>
      </c>
      <c r="BD20" s="39">
        <f t="shared" si="110"/>
        <v>520</v>
      </c>
      <c r="BE20" s="39">
        <v>1636.18</v>
      </c>
      <c r="BF20" s="39">
        <v>490</v>
      </c>
      <c r="BG20" s="48">
        <f t="shared" si="20"/>
        <v>566.18000000000006</v>
      </c>
      <c r="BH20" s="49">
        <f t="shared" si="41"/>
        <v>1.5291401869158878</v>
      </c>
      <c r="BI20" s="48">
        <f t="shared" si="111"/>
        <v>-30</v>
      </c>
      <c r="BJ20" s="49">
        <f t="shared" si="42"/>
        <v>0.94230769230769229</v>
      </c>
      <c r="BK20" s="49">
        <f t="shared" si="43"/>
        <v>0.94230769230769229</v>
      </c>
      <c r="BL20" s="45">
        <v>8955</v>
      </c>
      <c r="BM20" s="39">
        <v>1260</v>
      </c>
      <c r="BN20" s="39">
        <v>600</v>
      </c>
      <c r="BO20" s="39">
        <f t="shared" si="98"/>
        <v>150</v>
      </c>
      <c r="BP20" s="39">
        <f t="shared" si="99"/>
        <v>300</v>
      </c>
      <c r="BQ20" s="39">
        <f t="shared" si="100"/>
        <v>450</v>
      </c>
      <c r="BR20" s="39">
        <f t="shared" si="101"/>
        <v>600</v>
      </c>
      <c r="BS20" s="39">
        <v>3605.5</v>
      </c>
      <c r="BT20" s="39">
        <v>2397.3000000000002</v>
      </c>
      <c r="BU20" s="48">
        <f t="shared" si="22"/>
        <v>2345.5</v>
      </c>
      <c r="BV20" s="49">
        <f t="shared" si="45"/>
        <v>2.8615079365079366</v>
      </c>
      <c r="BW20" s="48">
        <f t="shared" si="112"/>
        <v>1797.3000000000002</v>
      </c>
      <c r="BX20" s="49">
        <f t="shared" si="46"/>
        <v>3.9955000000000003</v>
      </c>
      <c r="BY20" s="49">
        <f t="shared" si="47"/>
        <v>3.9955000000000003</v>
      </c>
      <c r="BZ20" s="45">
        <v>65400.000000000007</v>
      </c>
      <c r="CA20" s="39">
        <v>6200</v>
      </c>
      <c r="CB20" s="39">
        <v>1800</v>
      </c>
      <c r="CC20" s="39">
        <f t="shared" si="102"/>
        <v>450</v>
      </c>
      <c r="CD20" s="39">
        <f t="shared" si="103"/>
        <v>900</v>
      </c>
      <c r="CE20" s="39">
        <f t="shared" si="104"/>
        <v>1350</v>
      </c>
      <c r="CF20" s="39">
        <f t="shared" si="105"/>
        <v>1800</v>
      </c>
      <c r="CG20" s="39">
        <v>6787.9440000000004</v>
      </c>
      <c r="CH20" s="39">
        <v>2151</v>
      </c>
      <c r="CI20" s="51">
        <f t="shared" si="49"/>
        <v>587.94400000000041</v>
      </c>
      <c r="CJ20" s="49">
        <f t="shared" si="50"/>
        <v>1.0948296774193549</v>
      </c>
      <c r="CK20" s="50">
        <f t="shared" si="51"/>
        <v>351</v>
      </c>
      <c r="CL20" s="49">
        <f t="shared" si="52"/>
        <v>1.1950000000000001</v>
      </c>
      <c r="CM20" s="49">
        <f t="shared" si="53"/>
        <v>1.1950000000000001</v>
      </c>
      <c r="CN20" s="45"/>
      <c r="CO20" s="39"/>
      <c r="CP20" s="39"/>
      <c r="CQ20" s="39"/>
      <c r="CR20" s="39"/>
      <c r="CS20" s="39"/>
      <c r="CT20" s="39"/>
      <c r="CU20" s="39"/>
      <c r="CV20" s="39"/>
      <c r="CW20" s="50">
        <f t="shared" si="77"/>
        <v>0</v>
      </c>
      <c r="CX20" s="17">
        <f t="shared" si="55"/>
        <v>0</v>
      </c>
      <c r="CY20" s="50"/>
      <c r="CZ20" s="49">
        <f t="shared" si="56"/>
        <v>0</v>
      </c>
      <c r="DA20" s="49">
        <f t="shared" si="57"/>
        <v>0</v>
      </c>
    </row>
    <row r="21" spans="1:105" ht="24.95" customHeight="1">
      <c r="A21" s="4" t="s">
        <v>28</v>
      </c>
      <c r="B21" s="9">
        <v>11200</v>
      </c>
      <c r="C21" s="5">
        <f t="shared" si="72"/>
        <v>5</v>
      </c>
      <c r="D21" s="8" t="s">
        <v>64</v>
      </c>
      <c r="E21" s="45">
        <v>9611</v>
      </c>
      <c r="F21" s="39">
        <v>1395</v>
      </c>
      <c r="G21" s="39">
        <v>662</v>
      </c>
      <c r="H21" s="39">
        <f t="shared" si="86"/>
        <v>165.5</v>
      </c>
      <c r="I21" s="39">
        <f t="shared" si="87"/>
        <v>331</v>
      </c>
      <c r="J21" s="39">
        <f t="shared" si="88"/>
        <v>496.5</v>
      </c>
      <c r="K21" s="39">
        <f t="shared" si="106"/>
        <v>662</v>
      </c>
      <c r="L21" s="39">
        <v>3661</v>
      </c>
      <c r="M21" s="39">
        <v>1360</v>
      </c>
      <c r="N21" s="48">
        <f t="shared" si="2"/>
        <v>2266</v>
      </c>
      <c r="O21" s="49">
        <f t="shared" si="29"/>
        <v>2.6243727598566307</v>
      </c>
      <c r="P21" s="48">
        <f t="shared" si="107"/>
        <v>698</v>
      </c>
      <c r="Q21" s="49">
        <f t="shared" si="30"/>
        <v>2.0543806646525682</v>
      </c>
      <c r="R21" s="49">
        <f t="shared" si="31"/>
        <v>2.0543806646525682</v>
      </c>
      <c r="S21" s="45">
        <v>9611</v>
      </c>
      <c r="T21" s="39">
        <v>1395</v>
      </c>
      <c r="U21" s="39">
        <v>662</v>
      </c>
      <c r="V21" s="39">
        <f t="shared" si="89"/>
        <v>165.5</v>
      </c>
      <c r="W21" s="39">
        <f t="shared" si="90"/>
        <v>331</v>
      </c>
      <c r="X21" s="39">
        <f t="shared" si="91"/>
        <v>496.5</v>
      </c>
      <c r="Y21" s="39">
        <f t="shared" si="108"/>
        <v>662</v>
      </c>
      <c r="Z21" s="39">
        <v>3661</v>
      </c>
      <c r="AA21" s="39">
        <v>1360</v>
      </c>
      <c r="AB21" s="48">
        <f t="shared" si="5"/>
        <v>2266</v>
      </c>
      <c r="AC21" s="49">
        <f t="shared" si="33"/>
        <v>2.6243727598566307</v>
      </c>
      <c r="AD21" s="48">
        <f t="shared" si="109"/>
        <v>698</v>
      </c>
      <c r="AE21" s="49">
        <f t="shared" si="34"/>
        <v>2.0543806646525682</v>
      </c>
      <c r="AF21" s="49">
        <f t="shared" si="35"/>
        <v>2.0543806646525682</v>
      </c>
      <c r="AG21" s="45">
        <v>9611</v>
      </c>
      <c r="AH21" s="39">
        <v>1395</v>
      </c>
      <c r="AI21" s="39">
        <v>662</v>
      </c>
      <c r="AJ21" s="39">
        <v>3661</v>
      </c>
      <c r="AK21" s="39">
        <v>1360</v>
      </c>
      <c r="AL21" s="48">
        <f>+AJ21-AH21</f>
        <v>2266</v>
      </c>
      <c r="AM21" s="49">
        <f>+IF(AH21&lt;=0,0,AJ21/AH21)</f>
        <v>2.6243727598566307</v>
      </c>
      <c r="AN21" s="48">
        <f>+AK21-AI21</f>
        <v>698</v>
      </c>
      <c r="AO21" s="49">
        <f>+IF(AI21&lt;=0,0,AK21/AI21)</f>
        <v>2.0543806646525682</v>
      </c>
      <c r="AP21" s="39">
        <f t="shared" si="92"/>
        <v>10283.044973926315</v>
      </c>
      <c r="AQ21" s="39">
        <f t="shared" si="92"/>
        <v>3580.8280323907238</v>
      </c>
      <c r="AR21" s="39">
        <f t="shared" si="93"/>
        <v>15337.994999999999</v>
      </c>
      <c r="AS21" s="39">
        <f t="shared" si="93"/>
        <v>5483.6</v>
      </c>
      <c r="AT21" s="39">
        <f t="shared" si="94"/>
        <v>5054.9500260736841</v>
      </c>
      <c r="AU21" s="17">
        <f t="shared" si="74"/>
        <v>1.4915810481127929</v>
      </c>
      <c r="AV21" s="39">
        <f t="shared" si="75"/>
        <v>1902.7719676092765</v>
      </c>
      <c r="AW21" s="17">
        <f t="shared" si="76"/>
        <v>1.5313776451696564</v>
      </c>
      <c r="AX21" s="45">
        <v>9611</v>
      </c>
      <c r="AY21" s="39">
        <v>1395</v>
      </c>
      <c r="AZ21" s="39">
        <v>662</v>
      </c>
      <c r="BA21" s="39">
        <f t="shared" si="95"/>
        <v>165.5</v>
      </c>
      <c r="BB21" s="39">
        <f t="shared" si="96"/>
        <v>331</v>
      </c>
      <c r="BC21" s="39">
        <f t="shared" si="97"/>
        <v>496.5</v>
      </c>
      <c r="BD21" s="39">
        <f t="shared" si="110"/>
        <v>662</v>
      </c>
      <c r="BE21" s="39">
        <v>3661</v>
      </c>
      <c r="BF21" s="39">
        <v>1360</v>
      </c>
      <c r="BG21" s="48">
        <f t="shared" si="20"/>
        <v>2266</v>
      </c>
      <c r="BH21" s="49">
        <f t="shared" si="41"/>
        <v>2.6243727598566307</v>
      </c>
      <c r="BI21" s="48">
        <f t="shared" si="111"/>
        <v>698</v>
      </c>
      <c r="BJ21" s="49">
        <f t="shared" si="42"/>
        <v>2.0543806646525682</v>
      </c>
      <c r="BK21" s="49">
        <f t="shared" si="43"/>
        <v>2.0543806646525682</v>
      </c>
      <c r="BL21" s="45">
        <v>10217.799999999999</v>
      </c>
      <c r="BM21" s="39">
        <v>1488.0449739263154</v>
      </c>
      <c r="BN21" s="39">
        <v>718.82803239072359</v>
      </c>
      <c r="BO21" s="39">
        <f t="shared" si="98"/>
        <v>179.7070080976809</v>
      </c>
      <c r="BP21" s="39">
        <f t="shared" si="99"/>
        <v>359.4140161953618</v>
      </c>
      <c r="BQ21" s="39">
        <f t="shared" si="100"/>
        <v>539.12102429304264</v>
      </c>
      <c r="BR21" s="39">
        <f t="shared" si="101"/>
        <v>718.82803239072359</v>
      </c>
      <c r="BS21" s="39">
        <v>4159</v>
      </c>
      <c r="BT21" s="39">
        <v>3021</v>
      </c>
      <c r="BU21" s="48">
        <f t="shared" si="22"/>
        <v>2670.9550260736846</v>
      </c>
      <c r="BV21" s="49">
        <f t="shared" si="45"/>
        <v>2.7949424062272623</v>
      </c>
      <c r="BW21" s="48">
        <f t="shared" si="112"/>
        <v>2302.1719676092762</v>
      </c>
      <c r="BX21" s="49">
        <f t="shared" si="46"/>
        <v>4.2026741638783447</v>
      </c>
      <c r="BY21" s="49">
        <f t="shared" si="47"/>
        <v>4.2026741638783447</v>
      </c>
      <c r="BZ21" s="45">
        <v>89800</v>
      </c>
      <c r="CA21" s="39">
        <v>7400</v>
      </c>
      <c r="CB21" s="39">
        <v>2200</v>
      </c>
      <c r="CC21" s="39">
        <f t="shared" si="102"/>
        <v>550</v>
      </c>
      <c r="CD21" s="39">
        <f t="shared" si="103"/>
        <v>1100</v>
      </c>
      <c r="CE21" s="39">
        <f t="shared" si="104"/>
        <v>1650</v>
      </c>
      <c r="CF21" s="39">
        <f t="shared" si="105"/>
        <v>2200</v>
      </c>
      <c r="CG21" s="39">
        <v>7517.9949999999999</v>
      </c>
      <c r="CH21" s="39">
        <v>1102.5999999999999</v>
      </c>
      <c r="CI21" s="51">
        <f t="shared" si="49"/>
        <v>117.99499999999989</v>
      </c>
      <c r="CJ21" s="49">
        <f t="shared" si="50"/>
        <v>1.0159452702702703</v>
      </c>
      <c r="CK21" s="53">
        <f t="shared" si="51"/>
        <v>-1097.4000000000001</v>
      </c>
      <c r="CL21" s="49">
        <f t="shared" si="52"/>
        <v>0.50118181818181817</v>
      </c>
      <c r="CM21" s="49">
        <f t="shared" si="53"/>
        <v>0.50118181818181817</v>
      </c>
      <c r="CN21" s="45"/>
      <c r="CO21" s="39"/>
      <c r="CP21" s="39"/>
      <c r="CQ21" s="39"/>
      <c r="CR21" s="39"/>
      <c r="CS21" s="39"/>
      <c r="CT21" s="39"/>
      <c r="CU21" s="39"/>
      <c r="CV21" s="39"/>
      <c r="CW21" s="50">
        <f t="shared" si="77"/>
        <v>0</v>
      </c>
      <c r="CX21" s="17">
        <f t="shared" si="55"/>
        <v>0</v>
      </c>
      <c r="CY21" s="50"/>
      <c r="CZ21" s="49">
        <f t="shared" si="56"/>
        <v>0</v>
      </c>
      <c r="DA21" s="49">
        <f t="shared" si="57"/>
        <v>0</v>
      </c>
    </row>
    <row r="22" spans="1:105" ht="24.95" customHeight="1">
      <c r="A22" s="4" t="s">
        <v>20</v>
      </c>
      <c r="B22" s="9">
        <v>11201</v>
      </c>
      <c r="C22" s="5">
        <f t="shared" si="72"/>
        <v>6</v>
      </c>
      <c r="D22" s="8" t="s">
        <v>65</v>
      </c>
      <c r="E22" s="45">
        <v>7580</v>
      </c>
      <c r="F22" s="39">
        <v>1070</v>
      </c>
      <c r="G22" s="39">
        <v>520</v>
      </c>
      <c r="H22" s="39">
        <f t="shared" si="86"/>
        <v>130</v>
      </c>
      <c r="I22" s="39">
        <f t="shared" si="87"/>
        <v>260</v>
      </c>
      <c r="J22" s="39">
        <f t="shared" si="88"/>
        <v>390</v>
      </c>
      <c r="K22" s="39">
        <f t="shared" si="106"/>
        <v>520</v>
      </c>
      <c r="L22" s="39">
        <v>1960.00008</v>
      </c>
      <c r="M22" s="39">
        <v>362</v>
      </c>
      <c r="N22" s="48">
        <f t="shared" si="2"/>
        <v>890.00008000000003</v>
      </c>
      <c r="O22" s="49">
        <f t="shared" si="29"/>
        <v>1.8317757757009345</v>
      </c>
      <c r="P22" s="48">
        <f t="shared" si="107"/>
        <v>-158</v>
      </c>
      <c r="Q22" s="49">
        <f t="shared" si="30"/>
        <v>0.69615384615384612</v>
      </c>
      <c r="R22" s="49">
        <f t="shared" si="31"/>
        <v>0.69615384615384612</v>
      </c>
      <c r="S22" s="45">
        <v>7580</v>
      </c>
      <c r="T22" s="39">
        <v>1070</v>
      </c>
      <c r="U22" s="39">
        <v>520</v>
      </c>
      <c r="V22" s="39">
        <f t="shared" si="89"/>
        <v>130</v>
      </c>
      <c r="W22" s="39">
        <f t="shared" si="90"/>
        <v>260</v>
      </c>
      <c r="X22" s="39">
        <f t="shared" si="91"/>
        <v>390</v>
      </c>
      <c r="Y22" s="39">
        <f t="shared" si="108"/>
        <v>520</v>
      </c>
      <c r="Z22" s="39">
        <v>1960.00008</v>
      </c>
      <c r="AA22" s="39">
        <v>362</v>
      </c>
      <c r="AB22" s="48">
        <f t="shared" si="5"/>
        <v>890.00008000000003</v>
      </c>
      <c r="AC22" s="49">
        <f t="shared" si="33"/>
        <v>1.8317757757009345</v>
      </c>
      <c r="AD22" s="48">
        <f t="shared" si="109"/>
        <v>-158</v>
      </c>
      <c r="AE22" s="49">
        <f t="shared" si="34"/>
        <v>0.69615384615384612</v>
      </c>
      <c r="AF22" s="49">
        <f t="shared" si="35"/>
        <v>0.69615384615384612</v>
      </c>
      <c r="AG22" s="45">
        <v>7580</v>
      </c>
      <c r="AH22" s="39">
        <v>1070</v>
      </c>
      <c r="AI22" s="39">
        <v>520</v>
      </c>
      <c r="AJ22" s="39">
        <v>1960.00008</v>
      </c>
      <c r="AK22" s="39">
        <v>362</v>
      </c>
      <c r="AL22" s="48">
        <f>+AJ22-AH22</f>
        <v>890.00008000000003</v>
      </c>
      <c r="AM22" s="49">
        <f>+IF(AH22&lt;=0,0,AJ22/AH22)</f>
        <v>1.8317757757009345</v>
      </c>
      <c r="AN22" s="48">
        <f>+AK22-AI22</f>
        <v>-158</v>
      </c>
      <c r="AO22" s="49">
        <f>+IF(AI22&lt;=0,0,AK22/AI22)</f>
        <v>0.69615384615384612</v>
      </c>
      <c r="AP22" s="39">
        <f t="shared" si="92"/>
        <v>8530</v>
      </c>
      <c r="AQ22" s="39">
        <f t="shared" si="92"/>
        <v>2920</v>
      </c>
      <c r="AR22" s="39">
        <f t="shared" si="93"/>
        <v>18873.530650000001</v>
      </c>
      <c r="AS22" s="39">
        <f t="shared" si="93"/>
        <v>6379.44157</v>
      </c>
      <c r="AT22" s="39">
        <f t="shared" si="94"/>
        <v>10343.530650000001</v>
      </c>
      <c r="AU22" s="17">
        <f t="shared" si="74"/>
        <v>2.2126061723329427</v>
      </c>
      <c r="AV22" s="39">
        <f t="shared" si="75"/>
        <v>3459.44157</v>
      </c>
      <c r="AW22" s="17">
        <f t="shared" si="76"/>
        <v>2.1847402636986302</v>
      </c>
      <c r="AX22" s="45">
        <v>7580</v>
      </c>
      <c r="AY22" s="39">
        <v>1070</v>
      </c>
      <c r="AZ22" s="39">
        <v>520</v>
      </c>
      <c r="BA22" s="39">
        <f t="shared" si="95"/>
        <v>130</v>
      </c>
      <c r="BB22" s="39">
        <f t="shared" si="96"/>
        <v>260</v>
      </c>
      <c r="BC22" s="39">
        <f t="shared" si="97"/>
        <v>390</v>
      </c>
      <c r="BD22" s="39">
        <f t="shared" si="110"/>
        <v>520</v>
      </c>
      <c r="BE22" s="39">
        <v>1960.00008</v>
      </c>
      <c r="BF22" s="39">
        <v>362</v>
      </c>
      <c r="BG22" s="48">
        <f t="shared" si="20"/>
        <v>890.00008000000003</v>
      </c>
      <c r="BH22" s="49">
        <f t="shared" si="41"/>
        <v>1.8317757757009345</v>
      </c>
      <c r="BI22" s="48">
        <f t="shared" si="111"/>
        <v>-158</v>
      </c>
      <c r="BJ22" s="49">
        <f t="shared" si="42"/>
        <v>0.69615384615384612</v>
      </c>
      <c r="BK22" s="49">
        <f t="shared" si="43"/>
        <v>0.69615384615384612</v>
      </c>
      <c r="BL22" s="45">
        <v>8422</v>
      </c>
      <c r="BM22" s="39">
        <v>1260</v>
      </c>
      <c r="BN22" s="39">
        <v>600</v>
      </c>
      <c r="BO22" s="39">
        <f t="shared" si="98"/>
        <v>150</v>
      </c>
      <c r="BP22" s="39">
        <f t="shared" si="99"/>
        <v>300</v>
      </c>
      <c r="BQ22" s="39">
        <f t="shared" si="100"/>
        <v>450</v>
      </c>
      <c r="BR22" s="39">
        <f t="shared" si="101"/>
        <v>600</v>
      </c>
      <c r="BS22" s="39">
        <v>5402.14</v>
      </c>
      <c r="BT22" s="39">
        <v>2866</v>
      </c>
      <c r="BU22" s="48">
        <f t="shared" si="22"/>
        <v>4142.1400000000003</v>
      </c>
      <c r="BV22" s="49">
        <f t="shared" si="45"/>
        <v>4.287412698412699</v>
      </c>
      <c r="BW22" s="48">
        <f t="shared" si="112"/>
        <v>2266</v>
      </c>
      <c r="BX22" s="49">
        <f t="shared" si="46"/>
        <v>4.7766666666666664</v>
      </c>
      <c r="BY22" s="49">
        <f t="shared" si="47"/>
        <v>4.7766666666666664</v>
      </c>
      <c r="BZ22" s="45">
        <v>65500</v>
      </c>
      <c r="CA22" s="39">
        <v>6200</v>
      </c>
      <c r="CB22" s="39">
        <v>1800</v>
      </c>
      <c r="CC22" s="39">
        <f t="shared" si="102"/>
        <v>450</v>
      </c>
      <c r="CD22" s="39">
        <f t="shared" si="103"/>
        <v>900</v>
      </c>
      <c r="CE22" s="39">
        <f t="shared" si="104"/>
        <v>1350</v>
      </c>
      <c r="CF22" s="39">
        <f t="shared" si="105"/>
        <v>1800</v>
      </c>
      <c r="CG22" s="39">
        <v>11511.39057</v>
      </c>
      <c r="CH22" s="39">
        <v>3151.44157</v>
      </c>
      <c r="CI22" s="52">
        <f t="shared" si="49"/>
        <v>5311.3905699999996</v>
      </c>
      <c r="CJ22" s="49">
        <f t="shared" si="50"/>
        <v>1.8566758983870968</v>
      </c>
      <c r="CK22" s="50">
        <f t="shared" si="51"/>
        <v>1351.44157</v>
      </c>
      <c r="CL22" s="49">
        <f t="shared" si="52"/>
        <v>1.7508008722222221</v>
      </c>
      <c r="CM22" s="49">
        <f t="shared" si="53"/>
        <v>1.7508008722222221</v>
      </c>
      <c r="CN22" s="45"/>
      <c r="CO22" s="39"/>
      <c r="CP22" s="39"/>
      <c r="CQ22" s="39"/>
      <c r="CR22" s="39"/>
      <c r="CS22" s="39"/>
      <c r="CT22" s="39"/>
      <c r="CU22" s="39"/>
      <c r="CV22" s="39"/>
      <c r="CW22" s="50">
        <f t="shared" si="77"/>
        <v>0</v>
      </c>
      <c r="CX22" s="17">
        <f t="shared" si="55"/>
        <v>0</v>
      </c>
      <c r="CY22" s="50"/>
      <c r="CZ22" s="49">
        <f t="shared" si="56"/>
        <v>0</v>
      </c>
      <c r="DA22" s="49">
        <f t="shared" si="57"/>
        <v>0</v>
      </c>
    </row>
    <row r="23" spans="1:105" ht="24.95" customHeight="1">
      <c r="A23" s="4" t="s">
        <v>16</v>
      </c>
      <c r="B23" s="9">
        <v>11202</v>
      </c>
      <c r="C23" s="5">
        <f t="shared" si="72"/>
        <v>7</v>
      </c>
      <c r="D23" s="8" t="s">
        <v>66</v>
      </c>
      <c r="E23" s="45">
        <v>7590</v>
      </c>
      <c r="F23" s="39">
        <v>1070</v>
      </c>
      <c r="G23" s="39">
        <v>520</v>
      </c>
      <c r="H23" s="39">
        <f t="shared" si="86"/>
        <v>130</v>
      </c>
      <c r="I23" s="39">
        <f t="shared" si="87"/>
        <v>260</v>
      </c>
      <c r="J23" s="39">
        <f t="shared" si="88"/>
        <v>390</v>
      </c>
      <c r="K23" s="39">
        <f t="shared" si="106"/>
        <v>520</v>
      </c>
      <c r="L23" s="39">
        <v>1339</v>
      </c>
      <c r="M23" s="39">
        <v>699</v>
      </c>
      <c r="N23" s="48">
        <f t="shared" si="2"/>
        <v>269</v>
      </c>
      <c r="O23" s="49">
        <f t="shared" si="29"/>
        <v>1.2514018691588784</v>
      </c>
      <c r="P23" s="48">
        <f t="shared" si="107"/>
        <v>179</v>
      </c>
      <c r="Q23" s="49">
        <f t="shared" si="30"/>
        <v>1.3442307692307693</v>
      </c>
      <c r="R23" s="49">
        <f t="shared" si="31"/>
        <v>1.3442307692307693</v>
      </c>
      <c r="S23" s="45">
        <v>7590</v>
      </c>
      <c r="T23" s="39">
        <v>1070</v>
      </c>
      <c r="U23" s="39">
        <v>520</v>
      </c>
      <c r="V23" s="39">
        <f t="shared" si="89"/>
        <v>130</v>
      </c>
      <c r="W23" s="39">
        <f t="shared" si="90"/>
        <v>260</v>
      </c>
      <c r="X23" s="39">
        <f t="shared" si="91"/>
        <v>390</v>
      </c>
      <c r="Y23" s="39">
        <f t="shared" si="108"/>
        <v>520</v>
      </c>
      <c r="Z23" s="39">
        <v>1339</v>
      </c>
      <c r="AA23" s="39">
        <v>699</v>
      </c>
      <c r="AB23" s="48">
        <f t="shared" si="5"/>
        <v>269</v>
      </c>
      <c r="AC23" s="49">
        <f t="shared" si="33"/>
        <v>1.2514018691588784</v>
      </c>
      <c r="AD23" s="48">
        <f t="shared" si="109"/>
        <v>179</v>
      </c>
      <c r="AE23" s="49">
        <f t="shared" si="34"/>
        <v>1.3442307692307693</v>
      </c>
      <c r="AF23" s="49">
        <f t="shared" si="35"/>
        <v>1.3442307692307693</v>
      </c>
      <c r="AG23" s="45">
        <v>7590</v>
      </c>
      <c r="AH23" s="39">
        <v>1070</v>
      </c>
      <c r="AI23" s="39">
        <v>520</v>
      </c>
      <c r="AJ23" s="39">
        <v>1339</v>
      </c>
      <c r="AK23" s="39">
        <v>699</v>
      </c>
      <c r="AL23" s="48">
        <f>+AJ23-AH23</f>
        <v>269</v>
      </c>
      <c r="AM23" s="49">
        <f>+IF(AH23&lt;=0,0,AJ23/AH23)</f>
        <v>1.2514018691588784</v>
      </c>
      <c r="AN23" s="48">
        <f>+AK23-AI23</f>
        <v>179</v>
      </c>
      <c r="AO23" s="49">
        <f>+IF(AI23&lt;=0,0,AK23/AI23)</f>
        <v>1.3442307692307693</v>
      </c>
      <c r="AP23" s="39">
        <f t="shared" si="92"/>
        <v>8305.0000000000018</v>
      </c>
      <c r="AQ23" s="39">
        <f t="shared" si="92"/>
        <v>2895.0000000000014</v>
      </c>
      <c r="AR23" s="39">
        <f t="shared" si="93"/>
        <v>9092.1596699999991</v>
      </c>
      <c r="AS23" s="39">
        <f t="shared" si="93"/>
        <v>3745.415</v>
      </c>
      <c r="AT23" s="39">
        <f t="shared" si="94"/>
        <v>787.15966999999728</v>
      </c>
      <c r="AU23" s="17">
        <f t="shared" si="74"/>
        <v>1.0947814172185426</v>
      </c>
      <c r="AV23" s="39">
        <f t="shared" si="75"/>
        <v>850.4149999999986</v>
      </c>
      <c r="AW23" s="17">
        <f t="shared" si="76"/>
        <v>1.2937530224525038</v>
      </c>
      <c r="AX23" s="45">
        <v>7590</v>
      </c>
      <c r="AY23" s="39">
        <v>1070</v>
      </c>
      <c r="AZ23" s="39">
        <v>520</v>
      </c>
      <c r="BA23" s="39">
        <f t="shared" si="95"/>
        <v>130</v>
      </c>
      <c r="BB23" s="39">
        <f t="shared" si="96"/>
        <v>260</v>
      </c>
      <c r="BC23" s="39">
        <f t="shared" si="97"/>
        <v>390</v>
      </c>
      <c r="BD23" s="39">
        <f t="shared" si="110"/>
        <v>520</v>
      </c>
      <c r="BE23" s="39">
        <v>1339</v>
      </c>
      <c r="BF23" s="39">
        <v>699</v>
      </c>
      <c r="BG23" s="48">
        <f t="shared" si="20"/>
        <v>269</v>
      </c>
      <c r="BH23" s="49">
        <f t="shared" si="41"/>
        <v>1.2514018691588784</v>
      </c>
      <c r="BI23" s="48">
        <f t="shared" si="111"/>
        <v>179</v>
      </c>
      <c r="BJ23" s="49">
        <f t="shared" si="42"/>
        <v>1.3442307692307693</v>
      </c>
      <c r="BK23" s="49">
        <f t="shared" si="43"/>
        <v>1.3442307692307693</v>
      </c>
      <c r="BL23" s="45">
        <v>9855</v>
      </c>
      <c r="BM23" s="39">
        <v>1260</v>
      </c>
      <c r="BN23" s="39">
        <v>600</v>
      </c>
      <c r="BO23" s="39">
        <f t="shared" si="98"/>
        <v>150</v>
      </c>
      <c r="BP23" s="39">
        <f t="shared" si="99"/>
        <v>300</v>
      </c>
      <c r="BQ23" s="39">
        <f t="shared" si="100"/>
        <v>450</v>
      </c>
      <c r="BR23" s="39">
        <f t="shared" si="101"/>
        <v>600</v>
      </c>
      <c r="BS23" s="39">
        <v>2431.39</v>
      </c>
      <c r="BT23" s="39">
        <v>1453.79</v>
      </c>
      <c r="BU23" s="48">
        <f t="shared" si="22"/>
        <v>1171.3899999999999</v>
      </c>
      <c r="BV23" s="49">
        <f t="shared" si="45"/>
        <v>1.929674603174603</v>
      </c>
      <c r="BW23" s="48">
        <f t="shared" si="112"/>
        <v>853.79</v>
      </c>
      <c r="BX23" s="49">
        <f t="shared" si="46"/>
        <v>2.4229833333333333</v>
      </c>
      <c r="BY23" s="49">
        <f t="shared" si="47"/>
        <v>2.4229833333333333</v>
      </c>
      <c r="BZ23" s="45">
        <v>65000.000000000015</v>
      </c>
      <c r="CA23" s="39">
        <v>5975.0000000000018</v>
      </c>
      <c r="CB23" s="39">
        <v>1775.0000000000014</v>
      </c>
      <c r="CC23" s="39">
        <f t="shared" si="102"/>
        <v>443.75000000000034</v>
      </c>
      <c r="CD23" s="39">
        <f t="shared" si="103"/>
        <v>887.50000000000068</v>
      </c>
      <c r="CE23" s="39">
        <f t="shared" si="104"/>
        <v>1331.2500000000009</v>
      </c>
      <c r="CF23" s="39">
        <f t="shared" si="105"/>
        <v>1775.0000000000014</v>
      </c>
      <c r="CG23" s="39">
        <v>5321.7696699999997</v>
      </c>
      <c r="CH23" s="39">
        <v>1592.625</v>
      </c>
      <c r="CI23" s="51">
        <f t="shared" si="49"/>
        <v>-653.23033000000214</v>
      </c>
      <c r="CJ23" s="49">
        <f t="shared" si="50"/>
        <v>0.89067274811715447</v>
      </c>
      <c r="CK23" s="53">
        <f t="shared" si="51"/>
        <v>-182.37500000000136</v>
      </c>
      <c r="CL23" s="49">
        <f t="shared" si="52"/>
        <v>0.89725352112675982</v>
      </c>
      <c r="CM23" s="49">
        <f t="shared" si="53"/>
        <v>0.89725352112675982</v>
      </c>
      <c r="CN23" s="45"/>
      <c r="CO23" s="39"/>
      <c r="CP23" s="39"/>
      <c r="CQ23" s="39"/>
      <c r="CR23" s="39"/>
      <c r="CS23" s="39"/>
      <c r="CT23" s="39"/>
      <c r="CU23" s="39"/>
      <c r="CV23" s="39"/>
      <c r="CW23" s="50">
        <f t="shared" si="77"/>
        <v>0</v>
      </c>
      <c r="CX23" s="17">
        <f t="shared" si="55"/>
        <v>0</v>
      </c>
      <c r="CY23" s="50"/>
      <c r="CZ23" s="49">
        <f t="shared" si="56"/>
        <v>0</v>
      </c>
      <c r="DA23" s="49">
        <f t="shared" si="57"/>
        <v>0</v>
      </c>
    </row>
    <row r="24" spans="1:105" ht="24.95" customHeight="1">
      <c r="A24" s="4" t="s">
        <v>11</v>
      </c>
      <c r="B24" s="9">
        <v>11203</v>
      </c>
      <c r="C24" s="5">
        <f t="shared" si="72"/>
        <v>8</v>
      </c>
      <c r="D24" s="8" t="s">
        <v>67</v>
      </c>
      <c r="E24" s="45">
        <v>7030</v>
      </c>
      <c r="F24" s="39">
        <v>970</v>
      </c>
      <c r="G24" s="39">
        <v>480</v>
      </c>
      <c r="H24" s="39">
        <f t="shared" si="86"/>
        <v>120</v>
      </c>
      <c r="I24" s="39">
        <f t="shared" si="87"/>
        <v>240</v>
      </c>
      <c r="J24" s="39">
        <f t="shared" si="88"/>
        <v>360</v>
      </c>
      <c r="K24" s="39">
        <f t="shared" si="106"/>
        <v>480</v>
      </c>
      <c r="L24" s="39">
        <v>1074.2393614</v>
      </c>
      <c r="M24" s="39">
        <v>590</v>
      </c>
      <c r="N24" s="48">
        <f t="shared" si="2"/>
        <v>104.23936140000001</v>
      </c>
      <c r="O24" s="49">
        <f t="shared" si="29"/>
        <v>1.1074632591752578</v>
      </c>
      <c r="P24" s="48">
        <f t="shared" si="107"/>
        <v>110</v>
      </c>
      <c r="Q24" s="49">
        <f t="shared" si="30"/>
        <v>1.2291666666666667</v>
      </c>
      <c r="R24" s="49">
        <f t="shared" si="31"/>
        <v>1.2291666666666667</v>
      </c>
      <c r="S24" s="45">
        <v>7030</v>
      </c>
      <c r="T24" s="39">
        <v>970</v>
      </c>
      <c r="U24" s="39">
        <v>480</v>
      </c>
      <c r="V24" s="39">
        <f t="shared" si="89"/>
        <v>120</v>
      </c>
      <c r="W24" s="39">
        <f t="shared" si="90"/>
        <v>240</v>
      </c>
      <c r="X24" s="39">
        <f t="shared" si="91"/>
        <v>360</v>
      </c>
      <c r="Y24" s="39">
        <f t="shared" si="108"/>
        <v>480</v>
      </c>
      <c r="Z24" s="39">
        <v>1074.2393614</v>
      </c>
      <c r="AA24" s="39">
        <v>590</v>
      </c>
      <c r="AB24" s="48">
        <f t="shared" si="5"/>
        <v>104.23936140000001</v>
      </c>
      <c r="AC24" s="49">
        <f t="shared" si="33"/>
        <v>1.1074632591752578</v>
      </c>
      <c r="AD24" s="48">
        <f t="shared" si="109"/>
        <v>110</v>
      </c>
      <c r="AE24" s="49">
        <f t="shared" si="34"/>
        <v>1.2291666666666667</v>
      </c>
      <c r="AF24" s="49">
        <f t="shared" si="35"/>
        <v>1.2291666666666667</v>
      </c>
      <c r="AG24" s="45">
        <v>7030</v>
      </c>
      <c r="AH24" s="39">
        <v>970</v>
      </c>
      <c r="AI24" s="39">
        <v>480</v>
      </c>
      <c r="AJ24" s="39">
        <v>1074.2393614</v>
      </c>
      <c r="AK24" s="39">
        <v>590</v>
      </c>
      <c r="AL24" s="48">
        <f>+AJ24-AH24</f>
        <v>104.23936140000001</v>
      </c>
      <c r="AM24" s="49">
        <f>+IF(AH24&lt;=0,0,AJ24/AH24)</f>
        <v>1.1074632591752578</v>
      </c>
      <c r="AN24" s="48">
        <f>+AK24-AI24</f>
        <v>110</v>
      </c>
      <c r="AO24" s="49">
        <f>+IF(AI24&lt;=0,0,AK24/AI24)</f>
        <v>1.2291666666666667</v>
      </c>
      <c r="AP24" s="39">
        <f t="shared" si="92"/>
        <v>6521.6</v>
      </c>
      <c r="AQ24" s="39">
        <f t="shared" si="92"/>
        <v>2380</v>
      </c>
      <c r="AR24" s="39">
        <f t="shared" si="93"/>
        <v>10226.310301400001</v>
      </c>
      <c r="AS24" s="39">
        <f t="shared" si="93"/>
        <v>4017.364</v>
      </c>
      <c r="AT24" s="39">
        <f t="shared" si="94"/>
        <v>3704.7103014000004</v>
      </c>
      <c r="AU24" s="17">
        <f t="shared" si="74"/>
        <v>1.5680676983255644</v>
      </c>
      <c r="AV24" s="39">
        <f t="shared" si="75"/>
        <v>1637.364</v>
      </c>
      <c r="AW24" s="17">
        <f t="shared" si="76"/>
        <v>1.6879680672268909</v>
      </c>
      <c r="AX24" s="45">
        <v>7030</v>
      </c>
      <c r="AY24" s="39">
        <v>970</v>
      </c>
      <c r="AZ24" s="39">
        <v>480</v>
      </c>
      <c r="BA24" s="39">
        <f t="shared" si="95"/>
        <v>120</v>
      </c>
      <c r="BB24" s="39">
        <f t="shared" si="96"/>
        <v>240</v>
      </c>
      <c r="BC24" s="39">
        <f t="shared" si="97"/>
        <v>360</v>
      </c>
      <c r="BD24" s="39">
        <f t="shared" si="110"/>
        <v>480</v>
      </c>
      <c r="BE24" s="39">
        <v>1074.2393614</v>
      </c>
      <c r="BF24" s="39">
        <v>590</v>
      </c>
      <c r="BG24" s="48">
        <f t="shared" si="20"/>
        <v>104.23936140000001</v>
      </c>
      <c r="BH24" s="49">
        <f t="shared" si="41"/>
        <v>1.1074632591752578</v>
      </c>
      <c r="BI24" s="48">
        <f t="shared" si="111"/>
        <v>110</v>
      </c>
      <c r="BJ24" s="49">
        <f t="shared" si="42"/>
        <v>1.2291666666666667</v>
      </c>
      <c r="BK24" s="49">
        <f t="shared" si="43"/>
        <v>1.2291666666666667</v>
      </c>
      <c r="BL24" s="45">
        <v>8446.6</v>
      </c>
      <c r="BM24" s="39">
        <v>1251.6000000000001</v>
      </c>
      <c r="BN24" s="39">
        <v>600</v>
      </c>
      <c r="BO24" s="39">
        <f t="shared" si="98"/>
        <v>150</v>
      </c>
      <c r="BP24" s="39">
        <f t="shared" si="99"/>
        <v>300</v>
      </c>
      <c r="BQ24" s="39">
        <f t="shared" si="100"/>
        <v>450</v>
      </c>
      <c r="BR24" s="39">
        <f t="shared" si="101"/>
        <v>600</v>
      </c>
      <c r="BS24" s="39">
        <v>2941.1640000000002</v>
      </c>
      <c r="BT24" s="39">
        <v>1402.364</v>
      </c>
      <c r="BU24" s="48">
        <f t="shared" si="22"/>
        <v>1689.5640000000001</v>
      </c>
      <c r="BV24" s="49">
        <f t="shared" si="45"/>
        <v>2.3499232981783318</v>
      </c>
      <c r="BW24" s="48">
        <f t="shared" si="112"/>
        <v>802.36400000000003</v>
      </c>
      <c r="BX24" s="49">
        <f t="shared" si="46"/>
        <v>2.3372733333333335</v>
      </c>
      <c r="BY24" s="49">
        <f t="shared" si="47"/>
        <v>2.3372733333333335</v>
      </c>
      <c r="BZ24" s="45">
        <v>58200</v>
      </c>
      <c r="CA24" s="39">
        <v>4300</v>
      </c>
      <c r="CB24" s="39">
        <v>1300</v>
      </c>
      <c r="CC24" s="39">
        <f t="shared" si="102"/>
        <v>325</v>
      </c>
      <c r="CD24" s="39">
        <f t="shared" si="103"/>
        <v>650</v>
      </c>
      <c r="CE24" s="39">
        <f t="shared" si="104"/>
        <v>975</v>
      </c>
      <c r="CF24" s="39">
        <f t="shared" si="105"/>
        <v>1300</v>
      </c>
      <c r="CG24" s="39">
        <v>6210.9069399999998</v>
      </c>
      <c r="CH24" s="39">
        <v>2025</v>
      </c>
      <c r="CI24" s="51">
        <f t="shared" si="49"/>
        <v>1910.9069399999998</v>
      </c>
      <c r="CJ24" s="49">
        <f t="shared" si="50"/>
        <v>1.4443969627906976</v>
      </c>
      <c r="CK24" s="48">
        <f t="shared" si="51"/>
        <v>725</v>
      </c>
      <c r="CL24" s="49">
        <f t="shared" si="52"/>
        <v>1.5576923076923077</v>
      </c>
      <c r="CM24" s="49">
        <f t="shared" si="53"/>
        <v>1.5576923076923077</v>
      </c>
      <c r="CN24" s="45"/>
      <c r="CO24" s="39"/>
      <c r="CP24" s="39"/>
      <c r="CQ24" s="39"/>
      <c r="CR24" s="39"/>
      <c r="CS24" s="39"/>
      <c r="CT24" s="39"/>
      <c r="CU24" s="39"/>
      <c r="CV24" s="39"/>
      <c r="CW24" s="50">
        <f t="shared" si="77"/>
        <v>0</v>
      </c>
      <c r="CX24" s="17">
        <f t="shared" si="55"/>
        <v>0</v>
      </c>
      <c r="CY24" s="50"/>
      <c r="CZ24" s="49">
        <f t="shared" si="56"/>
        <v>0</v>
      </c>
      <c r="DA24" s="49">
        <f t="shared" si="57"/>
        <v>0</v>
      </c>
    </row>
    <row r="25" spans="1:105" s="26" customFormat="1" ht="24.95" customHeight="1">
      <c r="A25" s="25"/>
      <c r="B25" s="7"/>
      <c r="C25" s="6"/>
      <c r="D25" s="7" t="s">
        <v>7</v>
      </c>
      <c r="E25" s="13">
        <f>SUM(E26:E36)</f>
        <v>54999.999999999993</v>
      </c>
      <c r="F25" s="13">
        <f>SUM(F26:F36)</f>
        <v>7459.1702008422535</v>
      </c>
      <c r="G25" s="13">
        <f>SUM(G26:G36)</f>
        <v>4597.9241883931454</v>
      </c>
      <c r="H25" s="13">
        <f t="shared" ref="H25:M25" si="113">SUM(H26:H36)</f>
        <v>1149.4810470982864</v>
      </c>
      <c r="I25" s="13">
        <f t="shared" si="113"/>
        <v>2298.9620941965727</v>
      </c>
      <c r="J25" s="13">
        <f t="shared" si="113"/>
        <v>3448.4431412948597</v>
      </c>
      <c r="K25" s="13">
        <f t="shared" si="113"/>
        <v>4597.9241883931454</v>
      </c>
      <c r="L25" s="13">
        <f t="shared" si="113"/>
        <v>19645.590421999997</v>
      </c>
      <c r="M25" s="13">
        <f t="shared" si="113"/>
        <v>8528.7907720000003</v>
      </c>
      <c r="N25" s="19">
        <f t="shared" si="2"/>
        <v>12186.420221157743</v>
      </c>
      <c r="O25" s="20">
        <f t="shared" si="29"/>
        <v>2.6337501213984518</v>
      </c>
      <c r="P25" s="19">
        <f t="shared" si="107"/>
        <v>3930.8665836068549</v>
      </c>
      <c r="Q25" s="20">
        <f t="shared" si="30"/>
        <v>1.8549220088338583</v>
      </c>
      <c r="R25" s="20">
        <f t="shared" si="31"/>
        <v>1.8549220088338583</v>
      </c>
      <c r="S25" s="13">
        <f>SUM(S26:S36)</f>
        <v>54999.999999999993</v>
      </c>
      <c r="T25" s="13">
        <f>SUM(T26:T36)</f>
        <v>7459.1702008422535</v>
      </c>
      <c r="U25" s="13">
        <f>SUM(U26:U36)</f>
        <v>4597.9241883931454</v>
      </c>
      <c r="V25" s="13">
        <f t="shared" ref="V25:AA25" si="114">SUM(V26:V36)</f>
        <v>1149.4810470982864</v>
      </c>
      <c r="W25" s="13">
        <f t="shared" si="114"/>
        <v>2298.9620941965727</v>
      </c>
      <c r="X25" s="13">
        <f t="shared" si="114"/>
        <v>3448.4431412948597</v>
      </c>
      <c r="Y25" s="13">
        <f t="shared" si="114"/>
        <v>4597.9241883931454</v>
      </c>
      <c r="Z25" s="13">
        <f t="shared" si="114"/>
        <v>19645.590421999997</v>
      </c>
      <c r="AA25" s="13">
        <f t="shared" si="114"/>
        <v>8528.7907720000003</v>
      </c>
      <c r="AB25" s="19">
        <f t="shared" si="5"/>
        <v>12186.420221157743</v>
      </c>
      <c r="AC25" s="20">
        <f t="shared" si="33"/>
        <v>2.6337501213984518</v>
      </c>
      <c r="AD25" s="19">
        <f t="shared" si="109"/>
        <v>3930.8665836068549</v>
      </c>
      <c r="AE25" s="20">
        <f t="shared" si="34"/>
        <v>1.8549220088338583</v>
      </c>
      <c r="AF25" s="20">
        <f t="shared" si="35"/>
        <v>1.8549220088338583</v>
      </c>
      <c r="AG25" s="13">
        <f>SUM(AG26:AG36)</f>
        <v>54999.999999999993</v>
      </c>
      <c r="AH25" s="13">
        <f>SUM(AH26:AH36)</f>
        <v>7459.1702008422535</v>
      </c>
      <c r="AI25" s="13">
        <f>SUM(AI26:AI36)</f>
        <v>4597.9241883931454</v>
      </c>
      <c r="AJ25" s="13">
        <f t="shared" ref="AJ25:AK25" si="115">SUM(AJ26:AJ36)</f>
        <v>19645.590421999997</v>
      </c>
      <c r="AK25" s="13">
        <f t="shared" si="115"/>
        <v>8528.7907720000003</v>
      </c>
      <c r="AL25" s="19">
        <f>+AJ25-AH25</f>
        <v>12186.420221157743</v>
      </c>
      <c r="AM25" s="20">
        <f>+IF(AH25&lt;=0,0,AJ25/AH25)</f>
        <v>2.6337501213984518</v>
      </c>
      <c r="AN25" s="19">
        <f>+AK25-AI25</f>
        <v>3930.8665836068549</v>
      </c>
      <c r="AO25" s="20">
        <f>+IF(AI25&lt;=0,0,AK25/AI25)</f>
        <v>1.8549220088338583</v>
      </c>
      <c r="AP25" s="13">
        <f>SUM(AP26:AP36)</f>
        <v>33906.009119968599</v>
      </c>
      <c r="AQ25" s="13">
        <f>SUM(AQ26:AQ36)</f>
        <v>15916.553403165484</v>
      </c>
      <c r="AR25" s="13">
        <f t="shared" ref="AR25:AS25" si="116">SUM(AR26:AR36)</f>
        <v>59705.490430000005</v>
      </c>
      <c r="AS25" s="13">
        <f t="shared" si="116"/>
        <v>30846.890779999994</v>
      </c>
      <c r="AT25" s="19">
        <f t="shared" si="73"/>
        <v>25799.481310031406</v>
      </c>
      <c r="AU25" s="20">
        <f t="shared" si="74"/>
        <v>1.7609117669598298</v>
      </c>
      <c r="AV25" s="19">
        <f t="shared" si="75"/>
        <v>14930.33737683451</v>
      </c>
      <c r="AW25" s="20">
        <f t="shared" si="76"/>
        <v>1.9380383427649082</v>
      </c>
      <c r="AX25" s="13">
        <f>SUM(AX26:AX36)</f>
        <v>54999.999999999993</v>
      </c>
      <c r="AY25" s="13">
        <f>SUM(AY26:AY36)</f>
        <v>7459.1702008422535</v>
      </c>
      <c r="AZ25" s="13">
        <f>SUM(AZ26:AZ36)</f>
        <v>4597.9241883931454</v>
      </c>
      <c r="BA25" s="13">
        <f t="shared" ref="BA25:BF25" si="117">SUM(BA26:BA36)</f>
        <v>1149.4810470982864</v>
      </c>
      <c r="BB25" s="13">
        <f t="shared" si="117"/>
        <v>2298.9620941965727</v>
      </c>
      <c r="BC25" s="13">
        <f t="shared" si="117"/>
        <v>3448.4431412948597</v>
      </c>
      <c r="BD25" s="13">
        <f t="shared" si="117"/>
        <v>4597.9241883931454</v>
      </c>
      <c r="BE25" s="13">
        <f t="shared" si="117"/>
        <v>19645.590421999997</v>
      </c>
      <c r="BF25" s="13">
        <f t="shared" si="117"/>
        <v>8528.7907720000003</v>
      </c>
      <c r="BG25" s="19">
        <f t="shared" si="20"/>
        <v>12186.420221157743</v>
      </c>
      <c r="BH25" s="20">
        <f t="shared" si="41"/>
        <v>2.6337501213984518</v>
      </c>
      <c r="BI25" s="19">
        <f t="shared" si="111"/>
        <v>3930.8665836068549</v>
      </c>
      <c r="BJ25" s="20">
        <f t="shared" si="42"/>
        <v>1.8549220088338583</v>
      </c>
      <c r="BK25" s="20">
        <f t="shared" si="43"/>
        <v>1.8549220088338583</v>
      </c>
      <c r="BL25" s="13">
        <f>SUM(BL26:BL36)</f>
        <v>42000.000000000007</v>
      </c>
      <c r="BM25" s="13">
        <f>SUM(BM26:BM36)</f>
        <v>7148.8913227146459</v>
      </c>
      <c r="BN25" s="13">
        <f>SUM(BN26:BN36)</f>
        <v>3713.6960532816734</v>
      </c>
      <c r="BO25" s="13">
        <f t="shared" ref="BO25:BT25" si="118">SUM(BO26:BO36)</f>
        <v>928.42401332041834</v>
      </c>
      <c r="BP25" s="13">
        <f t="shared" si="118"/>
        <v>1856.8480266408367</v>
      </c>
      <c r="BQ25" s="13">
        <f t="shared" si="118"/>
        <v>2785.2720399612544</v>
      </c>
      <c r="BR25" s="13">
        <f t="shared" si="118"/>
        <v>3713.6960532816734</v>
      </c>
      <c r="BS25" s="13">
        <f t="shared" si="118"/>
        <v>10120.300000000001</v>
      </c>
      <c r="BT25" s="13">
        <f t="shared" si="118"/>
        <v>5542.0999999999995</v>
      </c>
      <c r="BU25" s="19">
        <f t="shared" si="22"/>
        <v>2971.4086772853552</v>
      </c>
      <c r="BV25" s="20">
        <f t="shared" si="45"/>
        <v>1.4156460831687427</v>
      </c>
      <c r="BW25" s="19">
        <f t="shared" si="112"/>
        <v>1828.4039467183261</v>
      </c>
      <c r="BX25" s="20">
        <f t="shared" si="46"/>
        <v>1.4923407625410336</v>
      </c>
      <c r="BY25" s="20">
        <f t="shared" si="47"/>
        <v>1.4923407625410336</v>
      </c>
      <c r="BZ25" s="13">
        <f>SUM(BZ26:BZ36)</f>
        <v>126000.00000000012</v>
      </c>
      <c r="CA25" s="13">
        <f>SUM(CA26:CA36)</f>
        <v>19297.947596411705</v>
      </c>
      <c r="CB25" s="13">
        <f>SUM(CB26:CB36)</f>
        <v>7604.9331614906623</v>
      </c>
      <c r="CC25" s="13">
        <f t="shared" ref="CC25:CF25" si="119">SUM(CC26:CC36)</f>
        <v>1901.2332903726656</v>
      </c>
      <c r="CD25" s="13">
        <f t="shared" si="119"/>
        <v>3802.4665807453312</v>
      </c>
      <c r="CE25" s="13">
        <f t="shared" si="119"/>
        <v>5703.6998711179976</v>
      </c>
      <c r="CF25" s="13">
        <f t="shared" si="119"/>
        <v>7604.9331614906623</v>
      </c>
      <c r="CG25" s="13">
        <f t="shared" ref="CG25:CH25" si="120">SUM(CG26:CG36)</f>
        <v>29939.600008000001</v>
      </c>
      <c r="CH25" s="13">
        <f t="shared" si="120"/>
        <v>16776.000007999999</v>
      </c>
      <c r="CI25" s="19">
        <f t="shared" si="49"/>
        <v>10641.652411588297</v>
      </c>
      <c r="CJ25" s="20">
        <f t="shared" si="50"/>
        <v>1.5514395952431244</v>
      </c>
      <c r="CK25" s="21">
        <f t="shared" si="51"/>
        <v>9171.0668465093368</v>
      </c>
      <c r="CL25" s="20">
        <f t="shared" si="52"/>
        <v>2.2059365482591162</v>
      </c>
      <c r="CM25" s="20">
        <f t="shared" si="53"/>
        <v>2.2059365482591162</v>
      </c>
      <c r="CN25" s="13">
        <f>SUM(CN26:CN36)</f>
        <v>0</v>
      </c>
      <c r="CO25" s="13">
        <f>SUM(CO26:CO36)</f>
        <v>0</v>
      </c>
      <c r="CP25" s="13">
        <f>SUM(CP26:CP36)</f>
        <v>0</v>
      </c>
      <c r="CQ25" s="13">
        <f t="shared" ref="CQ25:CT25" si="121">SUM(CQ26:CQ36)</f>
        <v>0</v>
      </c>
      <c r="CR25" s="13">
        <f t="shared" si="121"/>
        <v>0</v>
      </c>
      <c r="CS25" s="13">
        <f t="shared" si="121"/>
        <v>0</v>
      </c>
      <c r="CT25" s="13">
        <f t="shared" si="121"/>
        <v>0</v>
      </c>
      <c r="CU25" s="13"/>
      <c r="CV25" s="13"/>
      <c r="CW25" s="30">
        <f t="shared" si="77"/>
        <v>0</v>
      </c>
      <c r="CX25" s="20">
        <f t="shared" si="55"/>
        <v>0</v>
      </c>
      <c r="CY25" s="30"/>
      <c r="CZ25" s="20">
        <f t="shared" si="56"/>
        <v>0</v>
      </c>
      <c r="DA25" s="20">
        <f t="shared" si="57"/>
        <v>0</v>
      </c>
    </row>
    <row r="26" spans="1:105" ht="24.95" customHeight="1">
      <c r="A26" s="4" t="s">
        <v>17</v>
      </c>
      <c r="B26" s="9" t="s">
        <v>36</v>
      </c>
      <c r="C26" s="5">
        <f t="shared" si="72"/>
        <v>1</v>
      </c>
      <c r="D26" s="8" t="s">
        <v>68</v>
      </c>
      <c r="E26" s="45">
        <v>4399.9956199181652</v>
      </c>
      <c r="F26" s="39">
        <v>596.72923598554507</v>
      </c>
      <c r="G26" s="39">
        <v>367.83393507145161</v>
      </c>
      <c r="H26" s="39">
        <f t="shared" ref="H26:H36" si="122">+G26*0.25</f>
        <v>91.958483767862901</v>
      </c>
      <c r="I26" s="39">
        <f t="shared" ref="I26:I36" si="123">+G26*0.5</f>
        <v>183.9169675357258</v>
      </c>
      <c r="J26" s="39">
        <f t="shared" ref="J26:J36" si="124">+G26*0.75</f>
        <v>275.8754513035887</v>
      </c>
      <c r="K26" s="39">
        <f t="shared" ref="K26:K36" si="125">+G26</f>
        <v>367.83393507145161</v>
      </c>
      <c r="L26" s="39">
        <v>1200</v>
      </c>
      <c r="M26" s="39">
        <v>500</v>
      </c>
      <c r="N26" s="48">
        <f t="shared" si="2"/>
        <v>603.27076401445493</v>
      </c>
      <c r="O26" s="49">
        <f t="shared" si="29"/>
        <v>2.0109623052373258</v>
      </c>
      <c r="P26" s="48">
        <f t="shared" si="107"/>
        <v>132.16606492854839</v>
      </c>
      <c r="Q26" s="49">
        <f t="shared" si="30"/>
        <v>1.3593090585915495</v>
      </c>
      <c r="R26" s="49">
        <f t="shared" si="31"/>
        <v>1.3593090585915495</v>
      </c>
      <c r="S26" s="45">
        <v>4399.9956199181652</v>
      </c>
      <c r="T26" s="39">
        <v>596.72923598554507</v>
      </c>
      <c r="U26" s="39">
        <v>367.83393507145161</v>
      </c>
      <c r="V26" s="39">
        <f t="shared" ref="V26:V36" si="126">+U26*0.25</f>
        <v>91.958483767862901</v>
      </c>
      <c r="W26" s="39">
        <f t="shared" ref="W26:W36" si="127">+U26*0.5</f>
        <v>183.9169675357258</v>
      </c>
      <c r="X26" s="39">
        <f t="shared" ref="X26:X36" si="128">+U26*0.75</f>
        <v>275.8754513035887</v>
      </c>
      <c r="Y26" s="39">
        <f t="shared" ref="Y26:Y36" si="129">+U26</f>
        <v>367.83393507145161</v>
      </c>
      <c r="Z26" s="39">
        <v>1200</v>
      </c>
      <c r="AA26" s="39">
        <v>500</v>
      </c>
      <c r="AB26" s="48">
        <f t="shared" si="5"/>
        <v>603.27076401445493</v>
      </c>
      <c r="AC26" s="49">
        <f t="shared" si="33"/>
        <v>2.0109623052373258</v>
      </c>
      <c r="AD26" s="48">
        <f t="shared" si="109"/>
        <v>132.16606492854839</v>
      </c>
      <c r="AE26" s="49">
        <f t="shared" si="34"/>
        <v>1.3593090585915495</v>
      </c>
      <c r="AF26" s="49">
        <f t="shared" si="35"/>
        <v>1.3593090585915495</v>
      </c>
      <c r="AG26" s="45">
        <v>4399.9956199181652</v>
      </c>
      <c r="AH26" s="39">
        <v>596.72923598554507</v>
      </c>
      <c r="AI26" s="39">
        <v>367.83393507145161</v>
      </c>
      <c r="AJ26" s="39">
        <v>1200</v>
      </c>
      <c r="AK26" s="39">
        <v>500</v>
      </c>
      <c r="AL26" s="48">
        <f>+AJ26-AH26</f>
        <v>603.27076401445493</v>
      </c>
      <c r="AM26" s="49">
        <f>+IF(AH26&lt;=0,0,AJ26/AH26)</f>
        <v>2.0109623052373258</v>
      </c>
      <c r="AN26" s="48">
        <f>+AK26-AI26</f>
        <v>132.16606492854839</v>
      </c>
      <c r="AO26" s="49">
        <f>+IF(AI26&lt;=0,0,AK26/AI26)</f>
        <v>1.3593090585915495</v>
      </c>
      <c r="AP26" s="39">
        <f t="shared" ref="AP26:AP36" si="130">+AY26+BM26+CA26+CO26</f>
        <v>2686.9364258200303</v>
      </c>
      <c r="AQ26" s="39">
        <f t="shared" ref="AQ26:AQ36" si="131">+AZ26+BN26+CB26+CP26</f>
        <v>1250.4571648035028</v>
      </c>
      <c r="AR26" s="39">
        <f t="shared" ref="AR26:AR36" si="132">+BE26+BS26+CG26++CU26</f>
        <v>6142</v>
      </c>
      <c r="AS26" s="39">
        <f t="shared" ref="AS26:AS36" si="133">+BF26+BT26+CH26++CV26</f>
        <v>3105.3</v>
      </c>
      <c r="AT26" s="39">
        <f t="shared" si="73"/>
        <v>3455.0635741799697</v>
      </c>
      <c r="AU26" s="17">
        <f t="shared" si="74"/>
        <v>2.2858747013805933</v>
      </c>
      <c r="AV26" s="39">
        <f t="shared" si="75"/>
        <v>1854.8428351964974</v>
      </c>
      <c r="AW26" s="17">
        <f t="shared" si="76"/>
        <v>2.4833317664967498</v>
      </c>
      <c r="AX26" s="45">
        <v>4399.9956199181652</v>
      </c>
      <c r="AY26" s="39">
        <v>596.72923598554507</v>
      </c>
      <c r="AZ26" s="39">
        <v>367.83393507145161</v>
      </c>
      <c r="BA26" s="39">
        <f t="shared" ref="BA26:BA36" si="134">+AZ26*0.25</f>
        <v>91.958483767862901</v>
      </c>
      <c r="BB26" s="39">
        <f t="shared" ref="BB26:BB36" si="135">+AZ26*0.5</f>
        <v>183.9169675357258</v>
      </c>
      <c r="BC26" s="39">
        <f t="shared" ref="BC26:BC36" si="136">+AZ26*0.75</f>
        <v>275.8754513035887</v>
      </c>
      <c r="BD26" s="39">
        <f t="shared" ref="BD26:BD36" si="137">+AZ26</f>
        <v>367.83393507145161</v>
      </c>
      <c r="BE26" s="39">
        <v>1200</v>
      </c>
      <c r="BF26" s="39">
        <v>500</v>
      </c>
      <c r="BG26" s="48">
        <f t="shared" si="20"/>
        <v>603.27076401445493</v>
      </c>
      <c r="BH26" s="49">
        <f t="shared" si="41"/>
        <v>2.0109623052373258</v>
      </c>
      <c r="BI26" s="48">
        <f t="shared" si="111"/>
        <v>132.16606492854839</v>
      </c>
      <c r="BJ26" s="49">
        <f t="shared" si="42"/>
        <v>1.3593090585915495</v>
      </c>
      <c r="BK26" s="49">
        <f t="shared" si="43"/>
        <v>1.3593090585915495</v>
      </c>
      <c r="BL26" s="45">
        <v>4327.2911141608611</v>
      </c>
      <c r="BM26" s="39">
        <v>736.57082619812184</v>
      </c>
      <c r="BN26" s="39">
        <v>382.62322973205119</v>
      </c>
      <c r="BO26" s="39">
        <f t="shared" ref="BO26:BO36" si="138">+BN26*0.25</f>
        <v>95.655807433012797</v>
      </c>
      <c r="BP26" s="39">
        <f t="shared" ref="BP26:BP36" si="139">+BN26*0.5</f>
        <v>191.31161486602559</v>
      </c>
      <c r="BQ26" s="39">
        <f t="shared" ref="BQ26:BQ36" si="140">+BN26*0.75</f>
        <v>286.96742229903839</v>
      </c>
      <c r="BR26" s="39">
        <f t="shared" ref="BR26:BR36" si="141">+BN26</f>
        <v>382.62322973205119</v>
      </c>
      <c r="BS26" s="39">
        <v>1444.5</v>
      </c>
      <c r="BT26" s="39">
        <v>970</v>
      </c>
      <c r="BU26" s="48">
        <f t="shared" si="22"/>
        <v>707.92917380187816</v>
      </c>
      <c r="BV26" s="49">
        <f t="shared" si="45"/>
        <v>1.9611148699113157</v>
      </c>
      <c r="BW26" s="48">
        <f t="shared" si="112"/>
        <v>587.37677026794881</v>
      </c>
      <c r="BX26" s="49">
        <f t="shared" si="46"/>
        <v>2.5351309712149086</v>
      </c>
      <c r="BY26" s="49">
        <f t="shared" si="47"/>
        <v>2.5351309712149086</v>
      </c>
      <c r="BZ26" s="45">
        <v>10017.272727272701</v>
      </c>
      <c r="CA26" s="39">
        <v>1353.6363636363635</v>
      </c>
      <c r="CB26" s="39">
        <v>500</v>
      </c>
      <c r="CC26" s="39">
        <f t="shared" ref="CC26:CC36" si="142">+CB26*0.25</f>
        <v>125</v>
      </c>
      <c r="CD26" s="39">
        <f t="shared" ref="CD26:CD36" si="143">+CB26*0.5</f>
        <v>250</v>
      </c>
      <c r="CE26" s="39">
        <f t="shared" ref="CE26:CE36" si="144">+CB26*0.75</f>
        <v>375</v>
      </c>
      <c r="CF26" s="39">
        <f t="shared" ref="CF26:CF36" si="145">+CB26</f>
        <v>500</v>
      </c>
      <c r="CG26" s="39">
        <v>3497.5</v>
      </c>
      <c r="CH26" s="39">
        <v>1635.3</v>
      </c>
      <c r="CI26" s="51">
        <f t="shared" si="49"/>
        <v>2143.8636363636365</v>
      </c>
      <c r="CJ26" s="49">
        <f t="shared" si="50"/>
        <v>2.5837810611148426</v>
      </c>
      <c r="CK26" s="53">
        <f t="shared" si="51"/>
        <v>1135.3</v>
      </c>
      <c r="CL26" s="49">
        <f t="shared" si="52"/>
        <v>3.2706</v>
      </c>
      <c r="CM26" s="49">
        <f t="shared" si="53"/>
        <v>3.2706</v>
      </c>
      <c r="CN26" s="45"/>
      <c r="CO26" s="39"/>
      <c r="CP26" s="39"/>
      <c r="CQ26" s="39"/>
      <c r="CR26" s="39"/>
      <c r="CS26" s="39"/>
      <c r="CT26" s="39"/>
      <c r="CU26" s="39"/>
      <c r="CV26" s="39"/>
      <c r="CW26" s="50">
        <f t="shared" si="77"/>
        <v>0</v>
      </c>
      <c r="CX26" s="17">
        <f t="shared" si="55"/>
        <v>0</v>
      </c>
      <c r="CY26" s="50"/>
      <c r="CZ26" s="49">
        <f t="shared" si="56"/>
        <v>0</v>
      </c>
      <c r="DA26" s="49">
        <f t="shared" si="57"/>
        <v>0</v>
      </c>
    </row>
    <row r="27" spans="1:105" ht="24.95" customHeight="1">
      <c r="A27" s="4" t="s">
        <v>22</v>
      </c>
      <c r="B27" s="9" t="s">
        <v>37</v>
      </c>
      <c r="C27" s="5">
        <f t="shared" si="72"/>
        <v>2</v>
      </c>
      <c r="D27" s="8" t="s">
        <v>69</v>
      </c>
      <c r="E27" s="45">
        <v>5299.9947239923331</v>
      </c>
      <c r="F27" s="39">
        <v>718.78748880077023</v>
      </c>
      <c r="G27" s="39">
        <v>443.07269451788494</v>
      </c>
      <c r="H27" s="39">
        <f t="shared" si="122"/>
        <v>110.76817362947124</v>
      </c>
      <c r="I27" s="39">
        <f t="shared" si="123"/>
        <v>221.53634725894247</v>
      </c>
      <c r="J27" s="39">
        <f t="shared" si="124"/>
        <v>332.30452088841372</v>
      </c>
      <c r="K27" s="39">
        <f t="shared" si="125"/>
        <v>443.07269451788494</v>
      </c>
      <c r="L27" s="39">
        <v>1807.915</v>
      </c>
      <c r="M27" s="39">
        <v>943</v>
      </c>
      <c r="N27" s="48">
        <f t="shared" si="2"/>
        <v>1089.1275111992297</v>
      </c>
      <c r="O27" s="49">
        <f t="shared" si="29"/>
        <v>2.5152288098619207</v>
      </c>
      <c r="P27" s="48">
        <f t="shared" si="107"/>
        <v>499.92730548211506</v>
      </c>
      <c r="Q27" s="49">
        <f t="shared" si="30"/>
        <v>2.1283189229841724</v>
      </c>
      <c r="R27" s="49">
        <f t="shared" si="31"/>
        <v>2.1283189229841724</v>
      </c>
      <c r="S27" s="45">
        <v>5299.9947239923331</v>
      </c>
      <c r="T27" s="39">
        <v>718.78748880077023</v>
      </c>
      <c r="U27" s="39">
        <v>443.07269451788494</v>
      </c>
      <c r="V27" s="39">
        <f t="shared" si="126"/>
        <v>110.76817362947124</v>
      </c>
      <c r="W27" s="39">
        <f t="shared" si="127"/>
        <v>221.53634725894247</v>
      </c>
      <c r="X27" s="39">
        <f t="shared" si="128"/>
        <v>332.30452088841372</v>
      </c>
      <c r="Y27" s="39">
        <f t="shared" si="129"/>
        <v>443.07269451788494</v>
      </c>
      <c r="Z27" s="39">
        <v>1807.915</v>
      </c>
      <c r="AA27" s="39">
        <v>943</v>
      </c>
      <c r="AB27" s="48">
        <f t="shared" si="5"/>
        <v>1089.1275111992297</v>
      </c>
      <c r="AC27" s="49">
        <f t="shared" si="33"/>
        <v>2.5152288098619207</v>
      </c>
      <c r="AD27" s="48">
        <f t="shared" si="109"/>
        <v>499.92730548211506</v>
      </c>
      <c r="AE27" s="49">
        <f t="shared" si="34"/>
        <v>2.1283189229841724</v>
      </c>
      <c r="AF27" s="49">
        <f t="shared" si="35"/>
        <v>2.1283189229841724</v>
      </c>
      <c r="AG27" s="45">
        <v>5299.9947239923331</v>
      </c>
      <c r="AH27" s="39">
        <v>718.78748880077023</v>
      </c>
      <c r="AI27" s="39">
        <v>443.07269451788494</v>
      </c>
      <c r="AJ27" s="39">
        <v>1807.915</v>
      </c>
      <c r="AK27" s="39">
        <v>943</v>
      </c>
      <c r="AL27" s="48">
        <f>+AJ27-AH27</f>
        <v>1089.1275111992297</v>
      </c>
      <c r="AM27" s="49">
        <f>+IF(AH27&lt;=0,0,AJ27/AH27)</f>
        <v>2.5152288098619207</v>
      </c>
      <c r="AN27" s="48">
        <f>+AK27-AI27</f>
        <v>499.92730548211506</v>
      </c>
      <c r="AO27" s="49">
        <f>+IF(AI27&lt;=0,0,AK27/AI27)</f>
        <v>2.1283189229841724</v>
      </c>
      <c r="AP27" s="39">
        <f t="shared" si="130"/>
        <v>2575.1209709386076</v>
      </c>
      <c r="AQ27" s="39">
        <f t="shared" si="131"/>
        <v>1294.3822040629025</v>
      </c>
      <c r="AR27" s="39">
        <f t="shared" si="132"/>
        <v>3968.3150000000001</v>
      </c>
      <c r="AS27" s="39">
        <f t="shared" si="133"/>
        <v>1892</v>
      </c>
      <c r="AT27" s="39">
        <f t="shared" si="73"/>
        <v>1393.1940290613925</v>
      </c>
      <c r="AU27" s="17">
        <f t="shared" si="74"/>
        <v>1.5410208082588004</v>
      </c>
      <c r="AV27" s="39">
        <f t="shared" si="75"/>
        <v>597.61779593709753</v>
      </c>
      <c r="AW27" s="17">
        <f t="shared" si="76"/>
        <v>1.4617011838244149</v>
      </c>
      <c r="AX27" s="45">
        <v>5299.9947239923331</v>
      </c>
      <c r="AY27" s="39">
        <v>718.78748880077023</v>
      </c>
      <c r="AZ27" s="39">
        <v>443.07269451788494</v>
      </c>
      <c r="BA27" s="39">
        <f t="shared" si="134"/>
        <v>110.76817362947124</v>
      </c>
      <c r="BB27" s="39">
        <f t="shared" si="135"/>
        <v>221.53634725894247</v>
      </c>
      <c r="BC27" s="39">
        <f t="shared" si="136"/>
        <v>332.30452088841372</v>
      </c>
      <c r="BD27" s="39">
        <f t="shared" si="137"/>
        <v>443.07269451788494</v>
      </c>
      <c r="BE27" s="39">
        <v>1807.915</v>
      </c>
      <c r="BF27" s="39">
        <v>943</v>
      </c>
      <c r="BG27" s="48">
        <f t="shared" si="20"/>
        <v>1089.1275111992297</v>
      </c>
      <c r="BH27" s="49">
        <f t="shared" si="41"/>
        <v>2.5152288098619207</v>
      </c>
      <c r="BI27" s="48">
        <f t="shared" si="111"/>
        <v>499.92730548211506</v>
      </c>
      <c r="BJ27" s="49">
        <f t="shared" si="42"/>
        <v>2.1283189229841724</v>
      </c>
      <c r="BK27" s="49">
        <f t="shared" si="43"/>
        <v>2.1283189229841724</v>
      </c>
      <c r="BL27" s="45">
        <v>2842.0154338405046</v>
      </c>
      <c r="BM27" s="39">
        <v>483.60620941056487</v>
      </c>
      <c r="BN27" s="39">
        <v>251.30950954501768</v>
      </c>
      <c r="BO27" s="39">
        <f t="shared" si="138"/>
        <v>62.827377386254419</v>
      </c>
      <c r="BP27" s="39">
        <f t="shared" si="139"/>
        <v>125.65475477250884</v>
      </c>
      <c r="BQ27" s="39">
        <f t="shared" si="140"/>
        <v>188.48213215876325</v>
      </c>
      <c r="BR27" s="39">
        <f t="shared" si="141"/>
        <v>251.30950954501768</v>
      </c>
      <c r="BS27" s="39">
        <v>472.9</v>
      </c>
      <c r="BT27" s="39">
        <v>221</v>
      </c>
      <c r="BU27" s="48">
        <f t="shared" si="22"/>
        <v>-10.706209410564895</v>
      </c>
      <c r="BV27" s="49">
        <f t="shared" si="45"/>
        <v>0.97786172054404763</v>
      </c>
      <c r="BW27" s="48">
        <f t="shared" si="112"/>
        <v>-30.309509545017676</v>
      </c>
      <c r="BX27" s="49">
        <f t="shared" si="46"/>
        <v>0.87939370221249724</v>
      </c>
      <c r="BY27" s="49">
        <f t="shared" si="47"/>
        <v>0.87939370221249724</v>
      </c>
      <c r="BZ27" s="45">
        <v>7828.181818181818</v>
      </c>
      <c r="CA27" s="39">
        <v>1372.7272727272727</v>
      </c>
      <c r="CB27" s="39">
        <v>600</v>
      </c>
      <c r="CC27" s="39">
        <f t="shared" si="142"/>
        <v>150</v>
      </c>
      <c r="CD27" s="39">
        <f t="shared" si="143"/>
        <v>300</v>
      </c>
      <c r="CE27" s="39">
        <f t="shared" si="144"/>
        <v>450</v>
      </c>
      <c r="CF27" s="39">
        <f t="shared" si="145"/>
        <v>600</v>
      </c>
      <c r="CG27" s="39">
        <v>1687.5</v>
      </c>
      <c r="CH27" s="39">
        <v>728</v>
      </c>
      <c r="CI27" s="51">
        <f t="shared" si="49"/>
        <v>314.77272727272725</v>
      </c>
      <c r="CJ27" s="49">
        <f t="shared" si="50"/>
        <v>1.2293046357615893</v>
      </c>
      <c r="CK27" s="50">
        <f t="shared" si="51"/>
        <v>128</v>
      </c>
      <c r="CL27" s="49">
        <f t="shared" si="52"/>
        <v>1.2133333333333334</v>
      </c>
      <c r="CM27" s="49">
        <f t="shared" si="53"/>
        <v>1.2133333333333334</v>
      </c>
      <c r="CN27" s="45"/>
      <c r="CO27" s="39"/>
      <c r="CP27" s="39"/>
      <c r="CQ27" s="39"/>
      <c r="CR27" s="39"/>
      <c r="CS27" s="39"/>
      <c r="CT27" s="39"/>
      <c r="CU27" s="39"/>
      <c r="CV27" s="39"/>
      <c r="CW27" s="50">
        <f t="shared" si="77"/>
        <v>0</v>
      </c>
      <c r="CX27" s="17">
        <f t="shared" si="55"/>
        <v>0</v>
      </c>
      <c r="CY27" s="50"/>
      <c r="CZ27" s="49">
        <f t="shared" si="56"/>
        <v>0</v>
      </c>
      <c r="DA27" s="49">
        <f t="shared" si="57"/>
        <v>0</v>
      </c>
    </row>
    <row r="28" spans="1:105" ht="24.95" customHeight="1">
      <c r="A28" s="4" t="s">
        <v>15</v>
      </c>
      <c r="B28" s="9" t="s">
        <v>38</v>
      </c>
      <c r="C28" s="5">
        <f t="shared" si="72"/>
        <v>3</v>
      </c>
      <c r="D28" s="8" t="s">
        <v>70</v>
      </c>
      <c r="E28" s="45">
        <v>5349.9946742186758</v>
      </c>
      <c r="F28" s="39">
        <v>725.56850284606026</v>
      </c>
      <c r="G28" s="39">
        <v>447.25262559824222</v>
      </c>
      <c r="H28" s="39">
        <f t="shared" si="122"/>
        <v>111.81315639956055</v>
      </c>
      <c r="I28" s="39">
        <f t="shared" si="123"/>
        <v>223.62631279912111</v>
      </c>
      <c r="J28" s="39">
        <f t="shared" si="124"/>
        <v>335.43946919868165</v>
      </c>
      <c r="K28" s="39">
        <f t="shared" si="125"/>
        <v>447.25262559824222</v>
      </c>
      <c r="L28" s="39">
        <v>1420</v>
      </c>
      <c r="M28" s="39">
        <v>500</v>
      </c>
      <c r="N28" s="48">
        <f t="shared" si="2"/>
        <v>694.43149715393974</v>
      </c>
      <c r="O28" s="49">
        <f t="shared" si="29"/>
        <v>1.9570860565611863</v>
      </c>
      <c r="P28" s="48">
        <f t="shared" si="107"/>
        <v>52.747374401757781</v>
      </c>
      <c r="Q28" s="49">
        <f t="shared" si="30"/>
        <v>1.1179364220192185</v>
      </c>
      <c r="R28" s="49">
        <f t="shared" si="31"/>
        <v>1.1179364220192185</v>
      </c>
      <c r="S28" s="45">
        <v>5349.9946742186758</v>
      </c>
      <c r="T28" s="39">
        <v>725.56850284606026</v>
      </c>
      <c r="U28" s="39">
        <v>447.25262559824222</v>
      </c>
      <c r="V28" s="39">
        <f t="shared" si="126"/>
        <v>111.81315639956055</v>
      </c>
      <c r="W28" s="39">
        <f t="shared" si="127"/>
        <v>223.62631279912111</v>
      </c>
      <c r="X28" s="39">
        <f t="shared" si="128"/>
        <v>335.43946919868165</v>
      </c>
      <c r="Y28" s="39">
        <f t="shared" si="129"/>
        <v>447.25262559824222</v>
      </c>
      <c r="Z28" s="39">
        <v>1420</v>
      </c>
      <c r="AA28" s="39">
        <v>500</v>
      </c>
      <c r="AB28" s="48">
        <f t="shared" si="5"/>
        <v>694.43149715393974</v>
      </c>
      <c r="AC28" s="49">
        <f t="shared" si="33"/>
        <v>1.9570860565611863</v>
      </c>
      <c r="AD28" s="48">
        <f t="shared" si="109"/>
        <v>52.747374401757781</v>
      </c>
      <c r="AE28" s="49">
        <f t="shared" si="34"/>
        <v>1.1179364220192185</v>
      </c>
      <c r="AF28" s="49">
        <f t="shared" si="35"/>
        <v>1.1179364220192185</v>
      </c>
      <c r="AG28" s="45">
        <v>5349.9946742186758</v>
      </c>
      <c r="AH28" s="39">
        <v>725.56850284606026</v>
      </c>
      <c r="AI28" s="39">
        <v>447.25262559824222</v>
      </c>
      <c r="AJ28" s="39">
        <v>1420</v>
      </c>
      <c r="AK28" s="39">
        <v>500</v>
      </c>
      <c r="AL28" s="48">
        <f>+AJ28-AH28</f>
        <v>694.43149715393974</v>
      </c>
      <c r="AM28" s="49">
        <f>+IF(AH28&lt;=0,0,AJ28/AH28)</f>
        <v>1.9570860565611863</v>
      </c>
      <c r="AN28" s="48">
        <f>+AK28-AI28</f>
        <v>52.747374401757781</v>
      </c>
      <c r="AO28" s="49">
        <f>+IF(AI28&lt;=0,0,AK28/AI28)</f>
        <v>1.1179364220192185</v>
      </c>
      <c r="AP28" s="39">
        <f t="shared" si="130"/>
        <v>2649.1372143869803</v>
      </c>
      <c r="AQ28" s="39">
        <f t="shared" si="131"/>
        <v>1270.0668840187277</v>
      </c>
      <c r="AR28" s="39">
        <f t="shared" si="132"/>
        <v>3648</v>
      </c>
      <c r="AS28" s="39">
        <f t="shared" si="133"/>
        <v>1713.7</v>
      </c>
      <c r="AT28" s="39">
        <f t="shared" si="73"/>
        <v>998.8627856130197</v>
      </c>
      <c r="AU28" s="17">
        <f t="shared" si="74"/>
        <v>1.3770521134912825</v>
      </c>
      <c r="AV28" s="39">
        <f t="shared" si="75"/>
        <v>443.63311598127234</v>
      </c>
      <c r="AW28" s="17">
        <f t="shared" si="76"/>
        <v>1.3492990184717948</v>
      </c>
      <c r="AX28" s="45">
        <v>5349.9946742186758</v>
      </c>
      <c r="AY28" s="39">
        <v>725.56850284606026</v>
      </c>
      <c r="AZ28" s="39">
        <v>447.25262559824222</v>
      </c>
      <c r="BA28" s="39">
        <f t="shared" si="134"/>
        <v>111.81315639956055</v>
      </c>
      <c r="BB28" s="39">
        <f t="shared" si="135"/>
        <v>223.62631279912111</v>
      </c>
      <c r="BC28" s="39">
        <f t="shared" si="136"/>
        <v>335.43946919868165</v>
      </c>
      <c r="BD28" s="39">
        <f t="shared" si="137"/>
        <v>447.25262559824222</v>
      </c>
      <c r="BE28" s="39">
        <v>1420</v>
      </c>
      <c r="BF28" s="39">
        <v>500</v>
      </c>
      <c r="BG28" s="48">
        <f t="shared" si="20"/>
        <v>694.43149715393974</v>
      </c>
      <c r="BH28" s="49">
        <f t="shared" si="41"/>
        <v>1.9570860565611863</v>
      </c>
      <c r="BI28" s="48">
        <f t="shared" si="111"/>
        <v>52.747374401757781</v>
      </c>
      <c r="BJ28" s="49">
        <f t="shared" si="42"/>
        <v>1.1179364220192185</v>
      </c>
      <c r="BK28" s="49">
        <f t="shared" si="43"/>
        <v>1.1179364220192185</v>
      </c>
      <c r="BL28" s="45">
        <v>3054.5584335253134</v>
      </c>
      <c r="BM28" s="39">
        <v>519.93234790455665</v>
      </c>
      <c r="BN28" s="39">
        <v>270.08698569321268</v>
      </c>
      <c r="BO28" s="39">
        <f t="shared" si="138"/>
        <v>67.521746423303171</v>
      </c>
      <c r="BP28" s="39">
        <f t="shared" si="139"/>
        <v>135.04349284660634</v>
      </c>
      <c r="BQ28" s="39">
        <f t="shared" si="140"/>
        <v>202.56523926990951</v>
      </c>
      <c r="BR28" s="39">
        <f t="shared" si="141"/>
        <v>270.08698569321268</v>
      </c>
      <c r="BS28" s="39">
        <v>550</v>
      </c>
      <c r="BT28" s="39">
        <v>279</v>
      </c>
      <c r="BU28" s="48">
        <f t="shared" si="22"/>
        <v>30.06765209544335</v>
      </c>
      <c r="BV28" s="49">
        <f t="shared" si="45"/>
        <v>1.057829931560563</v>
      </c>
      <c r="BW28" s="48">
        <f t="shared" si="112"/>
        <v>8.9130143067873178</v>
      </c>
      <c r="BX28" s="49">
        <f t="shared" si="46"/>
        <v>1.0330005323429818</v>
      </c>
      <c r="BY28" s="49">
        <f t="shared" si="47"/>
        <v>1.0330005323429818</v>
      </c>
      <c r="BZ28" s="45">
        <v>9299.2727272727279</v>
      </c>
      <c r="CA28" s="39">
        <v>1403.6363636363635</v>
      </c>
      <c r="CB28" s="39">
        <v>552.72727272727275</v>
      </c>
      <c r="CC28" s="39">
        <f t="shared" si="142"/>
        <v>138.18181818181819</v>
      </c>
      <c r="CD28" s="39">
        <f t="shared" si="143"/>
        <v>276.36363636363637</v>
      </c>
      <c r="CE28" s="39">
        <f t="shared" si="144"/>
        <v>414.54545454545456</v>
      </c>
      <c r="CF28" s="39">
        <f t="shared" si="145"/>
        <v>552.72727272727275</v>
      </c>
      <c r="CG28" s="39">
        <v>1678</v>
      </c>
      <c r="CH28" s="39">
        <v>934.7</v>
      </c>
      <c r="CI28" s="51">
        <f t="shared" si="49"/>
        <v>274.36363636363649</v>
      </c>
      <c r="CJ28" s="49">
        <f t="shared" si="50"/>
        <v>1.1954663212435235</v>
      </c>
      <c r="CK28" s="53">
        <f t="shared" si="51"/>
        <v>381.9727272727273</v>
      </c>
      <c r="CL28" s="49">
        <f t="shared" si="52"/>
        <v>1.6910690789473684</v>
      </c>
      <c r="CM28" s="49">
        <f t="shared" si="53"/>
        <v>1.6910690789473684</v>
      </c>
      <c r="CN28" s="45"/>
      <c r="CO28" s="39"/>
      <c r="CP28" s="39"/>
      <c r="CQ28" s="39"/>
      <c r="CR28" s="39"/>
      <c r="CS28" s="39"/>
      <c r="CT28" s="39"/>
      <c r="CU28" s="39"/>
      <c r="CV28" s="39"/>
      <c r="CW28" s="50">
        <f t="shared" si="77"/>
        <v>0</v>
      </c>
      <c r="CX28" s="17">
        <f t="shared" si="55"/>
        <v>0</v>
      </c>
      <c r="CY28" s="50"/>
      <c r="CZ28" s="49">
        <f t="shared" si="56"/>
        <v>0</v>
      </c>
      <c r="DA28" s="49">
        <f t="shared" si="57"/>
        <v>0</v>
      </c>
    </row>
    <row r="29" spans="1:105" ht="24.95" customHeight="1">
      <c r="A29" s="4" t="s">
        <v>27</v>
      </c>
      <c r="B29" s="9" t="s">
        <v>39</v>
      </c>
      <c r="C29" s="5">
        <f t="shared" si="72"/>
        <v>4</v>
      </c>
      <c r="D29" s="8" t="s">
        <v>71</v>
      </c>
      <c r="E29" s="45">
        <v>5599.99442535039</v>
      </c>
      <c r="F29" s="39">
        <v>759.47357307251184</v>
      </c>
      <c r="G29" s="39">
        <v>468.15228100002935</v>
      </c>
      <c r="H29" s="39">
        <f t="shared" si="122"/>
        <v>117.03807025000734</v>
      </c>
      <c r="I29" s="39">
        <f t="shared" si="123"/>
        <v>234.07614050001467</v>
      </c>
      <c r="J29" s="39">
        <f t="shared" si="124"/>
        <v>351.11421075002204</v>
      </c>
      <c r="K29" s="39">
        <f t="shared" si="125"/>
        <v>468.15228100002935</v>
      </c>
      <c r="L29" s="39">
        <v>1905.5</v>
      </c>
      <c r="M29" s="39">
        <v>702.5</v>
      </c>
      <c r="N29" s="48">
        <f t="shared" si="2"/>
        <v>1146.026426927488</v>
      </c>
      <c r="O29" s="49">
        <f t="shared" si="29"/>
        <v>2.5089747261266058</v>
      </c>
      <c r="P29" s="48">
        <f t="shared" si="107"/>
        <v>234.34771899997065</v>
      </c>
      <c r="Q29" s="49">
        <f t="shared" si="30"/>
        <v>1.5005801071808853</v>
      </c>
      <c r="R29" s="49">
        <f t="shared" si="31"/>
        <v>1.5005801071808853</v>
      </c>
      <c r="S29" s="45">
        <v>5599.99442535039</v>
      </c>
      <c r="T29" s="39">
        <v>759.47357307251184</v>
      </c>
      <c r="U29" s="39">
        <v>468.15228100002935</v>
      </c>
      <c r="V29" s="39">
        <f t="shared" si="126"/>
        <v>117.03807025000734</v>
      </c>
      <c r="W29" s="39">
        <f t="shared" si="127"/>
        <v>234.07614050001467</v>
      </c>
      <c r="X29" s="39">
        <f t="shared" si="128"/>
        <v>351.11421075002204</v>
      </c>
      <c r="Y29" s="39">
        <f t="shared" si="129"/>
        <v>468.15228100002935</v>
      </c>
      <c r="Z29" s="39">
        <v>1905.5</v>
      </c>
      <c r="AA29" s="39">
        <v>702.5</v>
      </c>
      <c r="AB29" s="48">
        <f t="shared" si="5"/>
        <v>1146.026426927488</v>
      </c>
      <c r="AC29" s="49">
        <f t="shared" si="33"/>
        <v>2.5089747261266058</v>
      </c>
      <c r="AD29" s="48">
        <f t="shared" si="109"/>
        <v>234.34771899997065</v>
      </c>
      <c r="AE29" s="49">
        <f t="shared" si="34"/>
        <v>1.5005801071808853</v>
      </c>
      <c r="AF29" s="49">
        <f t="shared" si="35"/>
        <v>1.5005801071808853</v>
      </c>
      <c r="AG29" s="45">
        <v>5599.99442535039</v>
      </c>
      <c r="AH29" s="39">
        <v>759.47357307251184</v>
      </c>
      <c r="AI29" s="39">
        <v>468.15228100002935</v>
      </c>
      <c r="AJ29" s="39">
        <v>1905.5</v>
      </c>
      <c r="AK29" s="39">
        <v>702.5</v>
      </c>
      <c r="AL29" s="48">
        <f>+AJ29-AH29</f>
        <v>1146.026426927488</v>
      </c>
      <c r="AM29" s="49">
        <f>+IF(AH29&lt;=0,0,AJ29/AH29)</f>
        <v>2.5089747261266058</v>
      </c>
      <c r="AN29" s="48">
        <f>+AK29-AI29</f>
        <v>234.34771899997065</v>
      </c>
      <c r="AO29" s="49">
        <f>+IF(AI29&lt;=0,0,AK29/AI29)</f>
        <v>1.5005801071808853</v>
      </c>
      <c r="AP29" s="39">
        <f t="shared" si="130"/>
        <v>4286.0162108975319</v>
      </c>
      <c r="AQ29" s="39">
        <f t="shared" si="131"/>
        <v>1976.6450881042524</v>
      </c>
      <c r="AR29" s="39">
        <f t="shared" si="132"/>
        <v>9450.2000000000007</v>
      </c>
      <c r="AS29" s="39">
        <f t="shared" si="133"/>
        <v>4997</v>
      </c>
      <c r="AT29" s="39">
        <f t="shared" si="73"/>
        <v>5164.1837891024688</v>
      </c>
      <c r="AU29" s="17">
        <f t="shared" si="74"/>
        <v>2.2048913338153335</v>
      </c>
      <c r="AV29" s="39">
        <f t="shared" si="75"/>
        <v>3020.3549118957476</v>
      </c>
      <c r="AW29" s="17">
        <f t="shared" si="76"/>
        <v>2.5280208521361258</v>
      </c>
      <c r="AX29" s="45">
        <v>5599.99442535039</v>
      </c>
      <c r="AY29" s="39">
        <v>759.47357307251184</v>
      </c>
      <c r="AZ29" s="39">
        <v>468.15228100002935</v>
      </c>
      <c r="BA29" s="39">
        <f t="shared" si="134"/>
        <v>117.03807025000734</v>
      </c>
      <c r="BB29" s="39">
        <f t="shared" si="135"/>
        <v>234.07614050001467</v>
      </c>
      <c r="BC29" s="39">
        <f t="shared" si="136"/>
        <v>351.11421075002204</v>
      </c>
      <c r="BD29" s="39">
        <f t="shared" si="137"/>
        <v>468.15228100002935</v>
      </c>
      <c r="BE29" s="39">
        <v>1905.5</v>
      </c>
      <c r="BF29" s="39">
        <v>702.5</v>
      </c>
      <c r="BG29" s="48">
        <f t="shared" si="20"/>
        <v>1146.026426927488</v>
      </c>
      <c r="BH29" s="49">
        <f t="shared" si="41"/>
        <v>2.5089747261266058</v>
      </c>
      <c r="BI29" s="48">
        <f t="shared" si="111"/>
        <v>234.34771899997065</v>
      </c>
      <c r="BJ29" s="49">
        <f t="shared" si="42"/>
        <v>1.5005801071808853</v>
      </c>
      <c r="BK29" s="49">
        <f t="shared" si="43"/>
        <v>1.5005801071808853</v>
      </c>
      <c r="BL29" s="45">
        <v>5600.0237947964069</v>
      </c>
      <c r="BM29" s="39">
        <v>953.20930449168702</v>
      </c>
      <c r="BN29" s="39">
        <v>495.15947377088975</v>
      </c>
      <c r="BO29" s="39">
        <f t="shared" si="138"/>
        <v>123.78986844272244</v>
      </c>
      <c r="BP29" s="39">
        <f t="shared" si="139"/>
        <v>247.57973688544487</v>
      </c>
      <c r="BQ29" s="39">
        <f t="shared" si="140"/>
        <v>371.36960532816732</v>
      </c>
      <c r="BR29" s="39">
        <f t="shared" si="141"/>
        <v>495.15947377088975</v>
      </c>
      <c r="BS29" s="39">
        <v>1623.9</v>
      </c>
      <c r="BT29" s="39">
        <v>910</v>
      </c>
      <c r="BU29" s="48">
        <f t="shared" si="22"/>
        <v>670.69069550831307</v>
      </c>
      <c r="BV29" s="49">
        <f t="shared" si="45"/>
        <v>1.7036132487879656</v>
      </c>
      <c r="BW29" s="48">
        <f t="shared" si="112"/>
        <v>414.84052622911025</v>
      </c>
      <c r="BX29" s="49">
        <f t="shared" si="46"/>
        <v>1.8377917584205548</v>
      </c>
      <c r="BY29" s="49">
        <f t="shared" si="47"/>
        <v>1.8377917584205548</v>
      </c>
      <c r="BZ29" s="45">
        <v>16895.333333333336</v>
      </c>
      <c r="CA29" s="39">
        <v>2573.333333333333</v>
      </c>
      <c r="CB29" s="39">
        <v>1013.3333333333331</v>
      </c>
      <c r="CC29" s="39">
        <f t="shared" si="142"/>
        <v>253.33333333333329</v>
      </c>
      <c r="CD29" s="39">
        <f t="shared" si="143"/>
        <v>506.66666666666657</v>
      </c>
      <c r="CE29" s="39">
        <f t="shared" si="144"/>
        <v>759.99999999999989</v>
      </c>
      <c r="CF29" s="39">
        <f t="shared" si="145"/>
        <v>1013.3333333333331</v>
      </c>
      <c r="CG29" s="39">
        <v>5920.8</v>
      </c>
      <c r="CH29" s="39">
        <v>3384.5</v>
      </c>
      <c r="CI29" s="51">
        <f t="shared" si="49"/>
        <v>3347.4666666666672</v>
      </c>
      <c r="CJ29" s="49">
        <f t="shared" si="50"/>
        <v>2.3008290155440418</v>
      </c>
      <c r="CK29" s="50">
        <f t="shared" si="51"/>
        <v>2371.166666666667</v>
      </c>
      <c r="CL29" s="49">
        <f t="shared" si="52"/>
        <v>3.3399671052631583</v>
      </c>
      <c r="CM29" s="49">
        <f t="shared" si="53"/>
        <v>3.3399671052631583</v>
      </c>
      <c r="CN29" s="45"/>
      <c r="CO29" s="39"/>
      <c r="CP29" s="39"/>
      <c r="CQ29" s="39"/>
      <c r="CR29" s="39"/>
      <c r="CS29" s="39"/>
      <c r="CT29" s="39"/>
      <c r="CU29" s="39"/>
      <c r="CV29" s="39"/>
      <c r="CW29" s="50">
        <f t="shared" si="77"/>
        <v>0</v>
      </c>
      <c r="CX29" s="17">
        <f t="shared" si="55"/>
        <v>0</v>
      </c>
      <c r="CY29" s="50"/>
      <c r="CZ29" s="49">
        <f t="shared" si="56"/>
        <v>0</v>
      </c>
      <c r="DA29" s="49">
        <f t="shared" si="57"/>
        <v>0</v>
      </c>
    </row>
    <row r="30" spans="1:105" ht="24.95" customHeight="1">
      <c r="A30" s="4" t="s">
        <v>9</v>
      </c>
      <c r="B30" s="9" t="s">
        <v>40</v>
      </c>
      <c r="C30" s="5">
        <f t="shared" si="72"/>
        <v>5</v>
      </c>
      <c r="D30" s="8" t="s">
        <v>72</v>
      </c>
      <c r="E30" s="45">
        <v>4496.5911553404039</v>
      </c>
      <c r="F30" s="39">
        <v>609.87688834121593</v>
      </c>
      <c r="G30" s="39">
        <v>375.90461961025585</v>
      </c>
      <c r="H30" s="39">
        <f t="shared" si="122"/>
        <v>93.976154902563962</v>
      </c>
      <c r="I30" s="39">
        <f t="shared" si="123"/>
        <v>187.95230980512792</v>
      </c>
      <c r="J30" s="39">
        <f t="shared" si="124"/>
        <v>281.92846470769189</v>
      </c>
      <c r="K30" s="39">
        <f t="shared" si="125"/>
        <v>375.90461961025585</v>
      </c>
      <c r="L30" s="39">
        <v>1211</v>
      </c>
      <c r="M30" s="39">
        <v>411</v>
      </c>
      <c r="N30" s="48">
        <f t="shared" si="2"/>
        <v>601.12311165878407</v>
      </c>
      <c r="O30" s="49">
        <f t="shared" si="29"/>
        <v>1.9856466495947387</v>
      </c>
      <c r="P30" s="48">
        <f t="shared" si="107"/>
        <v>35.09538038974415</v>
      </c>
      <c r="Q30" s="49">
        <f t="shared" si="30"/>
        <v>1.0933624610044208</v>
      </c>
      <c r="R30" s="49">
        <f t="shared" si="31"/>
        <v>1.0933624610044208</v>
      </c>
      <c r="S30" s="45">
        <v>4496.5911553404039</v>
      </c>
      <c r="T30" s="39">
        <v>609.87688834121593</v>
      </c>
      <c r="U30" s="39">
        <v>375.90461961025585</v>
      </c>
      <c r="V30" s="39">
        <f t="shared" si="126"/>
        <v>93.976154902563962</v>
      </c>
      <c r="W30" s="39">
        <f t="shared" si="127"/>
        <v>187.95230980512792</v>
      </c>
      <c r="X30" s="39">
        <f t="shared" si="128"/>
        <v>281.92846470769189</v>
      </c>
      <c r="Y30" s="39">
        <f t="shared" si="129"/>
        <v>375.90461961025585</v>
      </c>
      <c r="Z30" s="39">
        <v>1211</v>
      </c>
      <c r="AA30" s="39">
        <v>411</v>
      </c>
      <c r="AB30" s="48">
        <f t="shared" si="5"/>
        <v>601.12311165878407</v>
      </c>
      <c r="AC30" s="49">
        <f t="shared" si="33"/>
        <v>1.9856466495947387</v>
      </c>
      <c r="AD30" s="48">
        <f t="shared" si="109"/>
        <v>35.09538038974415</v>
      </c>
      <c r="AE30" s="49">
        <f t="shared" si="34"/>
        <v>1.0933624610044208</v>
      </c>
      <c r="AF30" s="49">
        <f t="shared" si="35"/>
        <v>1.0933624610044208</v>
      </c>
      <c r="AG30" s="45">
        <v>4496.5911553404039</v>
      </c>
      <c r="AH30" s="39">
        <v>609.87688834121593</v>
      </c>
      <c r="AI30" s="39">
        <v>375.90461961025585</v>
      </c>
      <c r="AJ30" s="39">
        <v>1211</v>
      </c>
      <c r="AK30" s="39">
        <v>411</v>
      </c>
      <c r="AL30" s="48">
        <f>+AJ30-AH30</f>
        <v>601.12311165878407</v>
      </c>
      <c r="AM30" s="49">
        <f>+IF(AH30&lt;=0,0,AJ30/AH30)</f>
        <v>1.9856466495947387</v>
      </c>
      <c r="AN30" s="48">
        <f>+AK30-AI30</f>
        <v>35.09538038974415</v>
      </c>
      <c r="AO30" s="49">
        <f>+IF(AI30&lt;=0,0,AK30/AI30)</f>
        <v>1.0933624610044208</v>
      </c>
      <c r="AP30" s="39">
        <f t="shared" si="130"/>
        <v>2045.9668392123926</v>
      </c>
      <c r="AQ30" s="39">
        <f t="shared" si="131"/>
        <v>1056.8733712401413</v>
      </c>
      <c r="AR30" s="39">
        <f t="shared" si="132"/>
        <v>4225</v>
      </c>
      <c r="AS30" s="39">
        <f t="shared" si="133"/>
        <v>2351.5</v>
      </c>
      <c r="AT30" s="39">
        <f t="shared" si="73"/>
        <v>2179.0331607876074</v>
      </c>
      <c r="AU30" s="17">
        <f t="shared" si="74"/>
        <v>2.0650383569395676</v>
      </c>
      <c r="AV30" s="39">
        <f t="shared" si="75"/>
        <v>1294.6266287598587</v>
      </c>
      <c r="AW30" s="17">
        <f t="shared" si="76"/>
        <v>2.2249590764508866</v>
      </c>
      <c r="AX30" s="45">
        <v>4496.5911553404039</v>
      </c>
      <c r="AY30" s="39">
        <v>609.87688834121593</v>
      </c>
      <c r="AZ30" s="39">
        <v>375.90461961025585</v>
      </c>
      <c r="BA30" s="39">
        <f t="shared" si="134"/>
        <v>93.976154902563962</v>
      </c>
      <c r="BB30" s="39">
        <f t="shared" si="135"/>
        <v>187.95230980512792</v>
      </c>
      <c r="BC30" s="39">
        <f t="shared" si="136"/>
        <v>281.92846470769189</v>
      </c>
      <c r="BD30" s="39">
        <f t="shared" si="137"/>
        <v>375.90461961025585</v>
      </c>
      <c r="BE30" s="39">
        <v>1211</v>
      </c>
      <c r="BF30" s="39">
        <v>411</v>
      </c>
      <c r="BG30" s="48">
        <f t="shared" si="20"/>
        <v>601.12311165878407</v>
      </c>
      <c r="BH30" s="49">
        <f t="shared" si="41"/>
        <v>1.9856466495947387</v>
      </c>
      <c r="BI30" s="48">
        <f t="shared" si="111"/>
        <v>35.09538038974415</v>
      </c>
      <c r="BJ30" s="49">
        <f t="shared" si="42"/>
        <v>1.0933624610044208</v>
      </c>
      <c r="BK30" s="49">
        <f t="shared" si="43"/>
        <v>1.0933624610044208</v>
      </c>
      <c r="BL30" s="45">
        <v>1781.8257528897664</v>
      </c>
      <c r="BM30" s="39">
        <v>303.29386961099135</v>
      </c>
      <c r="BN30" s="39">
        <v>157.55074165437404</v>
      </c>
      <c r="BO30" s="39">
        <f t="shared" si="138"/>
        <v>39.387685413593509</v>
      </c>
      <c r="BP30" s="39">
        <f t="shared" si="139"/>
        <v>78.775370827187018</v>
      </c>
      <c r="BQ30" s="39">
        <f t="shared" si="140"/>
        <v>118.16305624078052</v>
      </c>
      <c r="BR30" s="39">
        <f t="shared" si="141"/>
        <v>157.55074165437404</v>
      </c>
      <c r="BS30" s="39">
        <v>525.5</v>
      </c>
      <c r="BT30" s="39">
        <v>297.5</v>
      </c>
      <c r="BU30" s="48">
        <f t="shared" si="22"/>
        <v>222.20613038900865</v>
      </c>
      <c r="BV30" s="49">
        <f t="shared" si="45"/>
        <v>1.7326429995898469</v>
      </c>
      <c r="BW30" s="48">
        <f t="shared" si="112"/>
        <v>139.94925834562596</v>
      </c>
      <c r="BX30" s="49">
        <f t="shared" si="46"/>
        <v>1.8882805429925476</v>
      </c>
      <c r="BY30" s="49">
        <f t="shared" si="47"/>
        <v>1.8882805429925476</v>
      </c>
      <c r="BZ30" s="45">
        <v>6037.5757575758944</v>
      </c>
      <c r="CA30" s="39">
        <v>1132.7960812601855</v>
      </c>
      <c r="CB30" s="39">
        <v>523.4180099755115</v>
      </c>
      <c r="CC30" s="39">
        <f t="shared" si="142"/>
        <v>130.85450249387787</v>
      </c>
      <c r="CD30" s="39">
        <f t="shared" si="143"/>
        <v>261.70900498775575</v>
      </c>
      <c r="CE30" s="39">
        <f t="shared" si="144"/>
        <v>392.56350748163362</v>
      </c>
      <c r="CF30" s="39">
        <f t="shared" si="145"/>
        <v>523.4180099755115</v>
      </c>
      <c r="CG30" s="39">
        <v>2488.5</v>
      </c>
      <c r="CH30" s="39">
        <v>1643</v>
      </c>
      <c r="CI30" s="51">
        <f t="shared" si="49"/>
        <v>1355.7039187398145</v>
      </c>
      <c r="CJ30" s="49">
        <f t="shared" si="50"/>
        <v>2.1967766671929638</v>
      </c>
      <c r="CK30" s="53">
        <f t="shared" si="51"/>
        <v>1119.5819900244885</v>
      </c>
      <c r="CL30" s="49">
        <f t="shared" si="52"/>
        <v>3.1389825506326559</v>
      </c>
      <c r="CM30" s="49">
        <f t="shared" si="53"/>
        <v>3.1389825506326559</v>
      </c>
      <c r="CN30" s="45"/>
      <c r="CO30" s="39"/>
      <c r="CP30" s="39"/>
      <c r="CQ30" s="39"/>
      <c r="CR30" s="39"/>
      <c r="CS30" s="39"/>
      <c r="CT30" s="39"/>
      <c r="CU30" s="39"/>
      <c r="CV30" s="39"/>
      <c r="CW30" s="50">
        <f t="shared" si="77"/>
        <v>0</v>
      </c>
      <c r="CX30" s="17">
        <f t="shared" si="55"/>
        <v>0</v>
      </c>
      <c r="CY30" s="50"/>
      <c r="CZ30" s="49">
        <f t="shared" si="56"/>
        <v>0</v>
      </c>
      <c r="DA30" s="49">
        <f t="shared" si="57"/>
        <v>0</v>
      </c>
    </row>
    <row r="31" spans="1:105" ht="24.95" customHeight="1">
      <c r="A31" s="4" t="s">
        <v>23</v>
      </c>
      <c r="B31" s="9" t="s">
        <v>41</v>
      </c>
      <c r="C31" s="5">
        <f t="shared" si="72"/>
        <v>6</v>
      </c>
      <c r="D31" s="8" t="s">
        <v>73</v>
      </c>
      <c r="E31" s="45">
        <v>4499.9955203708487</v>
      </c>
      <c r="F31" s="39">
        <v>610.29126407612557</v>
      </c>
      <c r="G31" s="39">
        <v>376.19379723216639</v>
      </c>
      <c r="H31" s="39">
        <f t="shared" si="122"/>
        <v>94.048449308041597</v>
      </c>
      <c r="I31" s="39">
        <f t="shared" si="123"/>
        <v>188.09689861608319</v>
      </c>
      <c r="J31" s="39">
        <f t="shared" si="124"/>
        <v>282.14534792412479</v>
      </c>
      <c r="K31" s="39">
        <f t="shared" si="125"/>
        <v>376.19379723216639</v>
      </c>
      <c r="L31" s="39">
        <v>1233.7</v>
      </c>
      <c r="M31" s="39">
        <v>701.4</v>
      </c>
      <c r="N31" s="48">
        <f t="shared" si="2"/>
        <v>623.40873592387447</v>
      </c>
      <c r="O31" s="49">
        <f t="shared" si="29"/>
        <v>2.0214937893099396</v>
      </c>
      <c r="P31" s="48">
        <f t="shared" si="107"/>
        <v>325.20620276783359</v>
      </c>
      <c r="Q31" s="49">
        <f t="shared" si="30"/>
        <v>1.8644645530057318</v>
      </c>
      <c r="R31" s="49">
        <f t="shared" si="31"/>
        <v>1.8644645530057318</v>
      </c>
      <c r="S31" s="45">
        <v>4499.9955203708487</v>
      </c>
      <c r="T31" s="39">
        <v>610.29126407612557</v>
      </c>
      <c r="U31" s="39">
        <v>376.19379723216639</v>
      </c>
      <c r="V31" s="39">
        <f t="shared" si="126"/>
        <v>94.048449308041597</v>
      </c>
      <c r="W31" s="39">
        <f t="shared" si="127"/>
        <v>188.09689861608319</v>
      </c>
      <c r="X31" s="39">
        <f t="shared" si="128"/>
        <v>282.14534792412479</v>
      </c>
      <c r="Y31" s="39">
        <f t="shared" si="129"/>
        <v>376.19379723216639</v>
      </c>
      <c r="Z31" s="39">
        <v>1233.7</v>
      </c>
      <c r="AA31" s="39">
        <v>701.4</v>
      </c>
      <c r="AB31" s="48">
        <f t="shared" si="5"/>
        <v>623.40873592387447</v>
      </c>
      <c r="AC31" s="49">
        <f t="shared" si="33"/>
        <v>2.0214937893099396</v>
      </c>
      <c r="AD31" s="48">
        <f t="shared" si="109"/>
        <v>325.20620276783359</v>
      </c>
      <c r="AE31" s="49">
        <f t="shared" si="34"/>
        <v>1.8644645530057318</v>
      </c>
      <c r="AF31" s="49">
        <f t="shared" si="35"/>
        <v>1.8644645530057318</v>
      </c>
      <c r="AG31" s="45">
        <v>4499.9955203708487</v>
      </c>
      <c r="AH31" s="39">
        <v>610.29126407612557</v>
      </c>
      <c r="AI31" s="39">
        <v>376.19379723216639</v>
      </c>
      <c r="AJ31" s="39">
        <v>1233.7</v>
      </c>
      <c r="AK31" s="39">
        <v>701.4</v>
      </c>
      <c r="AL31" s="48">
        <f>+AJ31-AH31</f>
        <v>623.40873592387447</v>
      </c>
      <c r="AM31" s="49">
        <f>+IF(AH31&lt;=0,0,AJ31/AH31)</f>
        <v>2.0214937893099396</v>
      </c>
      <c r="AN31" s="48">
        <f>+AK31-AI31</f>
        <v>325.20620276783359</v>
      </c>
      <c r="AO31" s="49">
        <f>+IF(AI31&lt;=0,0,AK31/AI31)</f>
        <v>1.8644645530057318</v>
      </c>
      <c r="AP31" s="39">
        <f t="shared" si="130"/>
        <v>3432.7823562378317</v>
      </c>
      <c r="AQ31" s="39">
        <f t="shared" si="131"/>
        <v>1500.6162033215005</v>
      </c>
      <c r="AR31" s="39">
        <f t="shared" si="132"/>
        <v>4293.600007</v>
      </c>
      <c r="AS31" s="39">
        <f t="shared" si="133"/>
        <v>2307.0000069999996</v>
      </c>
      <c r="AT31" s="39">
        <f t="shared" si="73"/>
        <v>860.81765076216834</v>
      </c>
      <c r="AU31" s="17">
        <f t="shared" si="74"/>
        <v>1.2507638298705264</v>
      </c>
      <c r="AV31" s="39">
        <f t="shared" si="75"/>
        <v>806.38380367849913</v>
      </c>
      <c r="AW31" s="17">
        <f t="shared" si="76"/>
        <v>1.5373684503030352</v>
      </c>
      <c r="AX31" s="45">
        <v>4499.9955203708487</v>
      </c>
      <c r="AY31" s="39">
        <v>610.29126407612557</v>
      </c>
      <c r="AZ31" s="39">
        <v>376.19379723216639</v>
      </c>
      <c r="BA31" s="39">
        <f t="shared" si="134"/>
        <v>94.048449308041597</v>
      </c>
      <c r="BB31" s="39">
        <f t="shared" si="135"/>
        <v>188.09689861608319</v>
      </c>
      <c r="BC31" s="39">
        <f t="shared" si="136"/>
        <v>282.14534792412479</v>
      </c>
      <c r="BD31" s="39">
        <f t="shared" si="137"/>
        <v>376.19379723216639</v>
      </c>
      <c r="BE31" s="39">
        <v>1233.7</v>
      </c>
      <c r="BF31" s="39">
        <v>701.4</v>
      </c>
      <c r="BG31" s="48">
        <f t="shared" si="20"/>
        <v>623.40873592387447</v>
      </c>
      <c r="BH31" s="49">
        <f t="shared" si="41"/>
        <v>2.0214937893099396</v>
      </c>
      <c r="BI31" s="48">
        <f t="shared" si="111"/>
        <v>325.20620276783359</v>
      </c>
      <c r="BJ31" s="49">
        <f t="shared" si="42"/>
        <v>1.8644645530057318</v>
      </c>
      <c r="BK31" s="49">
        <f t="shared" si="43"/>
        <v>1.8644645530057318</v>
      </c>
      <c r="BL31" s="45">
        <v>4800.0203955397783</v>
      </c>
      <c r="BM31" s="39">
        <v>817.03654670716037</v>
      </c>
      <c r="BN31" s="39">
        <v>424.42240608933412</v>
      </c>
      <c r="BO31" s="39">
        <f t="shared" si="138"/>
        <v>106.10560152233353</v>
      </c>
      <c r="BP31" s="39">
        <f t="shared" si="139"/>
        <v>212.21120304466706</v>
      </c>
      <c r="BQ31" s="39">
        <f t="shared" si="140"/>
        <v>318.31680456700059</v>
      </c>
      <c r="BR31" s="39">
        <f t="shared" si="141"/>
        <v>424.42240608933412</v>
      </c>
      <c r="BS31" s="39">
        <v>923.6</v>
      </c>
      <c r="BT31" s="39">
        <v>481.2</v>
      </c>
      <c r="BU31" s="48">
        <f t="shared" si="22"/>
        <v>106.56345329283965</v>
      </c>
      <c r="BV31" s="49">
        <f t="shared" si="45"/>
        <v>1.1304267890124551</v>
      </c>
      <c r="BW31" s="48">
        <f t="shared" si="112"/>
        <v>56.777593910665871</v>
      </c>
      <c r="BX31" s="49">
        <f t="shared" si="46"/>
        <v>1.1337761463486804</v>
      </c>
      <c r="BY31" s="49">
        <f t="shared" si="47"/>
        <v>1.1337761463486804</v>
      </c>
      <c r="BZ31" s="45">
        <v>14175.454545454546</v>
      </c>
      <c r="CA31" s="39">
        <v>2005.4545454545455</v>
      </c>
      <c r="CB31" s="39">
        <v>700</v>
      </c>
      <c r="CC31" s="39">
        <f t="shared" si="142"/>
        <v>175</v>
      </c>
      <c r="CD31" s="39">
        <f t="shared" si="143"/>
        <v>350</v>
      </c>
      <c r="CE31" s="39">
        <f t="shared" si="144"/>
        <v>525</v>
      </c>
      <c r="CF31" s="39">
        <f t="shared" si="145"/>
        <v>700</v>
      </c>
      <c r="CG31" s="39">
        <v>2136.3000069999998</v>
      </c>
      <c r="CH31" s="39">
        <v>1124.400007</v>
      </c>
      <c r="CI31" s="51">
        <f t="shared" si="49"/>
        <v>130.84546154545433</v>
      </c>
      <c r="CJ31" s="49">
        <f t="shared" si="50"/>
        <v>1.0652447904351767</v>
      </c>
      <c r="CK31" s="53">
        <f t="shared" si="51"/>
        <v>424.40000699999996</v>
      </c>
      <c r="CL31" s="49">
        <f t="shared" si="52"/>
        <v>1.6062857242857143</v>
      </c>
      <c r="CM31" s="49">
        <f t="shared" si="53"/>
        <v>1.6062857242857143</v>
      </c>
      <c r="CN31" s="45"/>
      <c r="CO31" s="39"/>
      <c r="CP31" s="39"/>
      <c r="CQ31" s="39"/>
      <c r="CR31" s="39"/>
      <c r="CS31" s="39"/>
      <c r="CT31" s="39"/>
      <c r="CU31" s="39"/>
      <c r="CV31" s="39"/>
      <c r="CW31" s="50">
        <f t="shared" si="77"/>
        <v>0</v>
      </c>
      <c r="CX31" s="17">
        <f t="shared" si="55"/>
        <v>0</v>
      </c>
      <c r="CY31" s="50"/>
      <c r="CZ31" s="49">
        <f t="shared" si="56"/>
        <v>0</v>
      </c>
      <c r="DA31" s="49">
        <f t="shared" si="57"/>
        <v>0</v>
      </c>
    </row>
    <row r="32" spans="1:105" ht="24.95" customHeight="1">
      <c r="A32" s="4" t="s">
        <v>8</v>
      </c>
      <c r="B32" s="9" t="s">
        <v>42</v>
      </c>
      <c r="C32" s="5">
        <f t="shared" si="72"/>
        <v>7</v>
      </c>
      <c r="D32" s="8" t="s">
        <v>140</v>
      </c>
      <c r="E32" s="45">
        <v>6053.4530934408685</v>
      </c>
      <c r="F32" s="39">
        <v>820.97182623797448</v>
      </c>
      <c r="G32" s="39">
        <v>506.06083834515738</v>
      </c>
      <c r="H32" s="39">
        <f t="shared" si="122"/>
        <v>126.51520958628934</v>
      </c>
      <c r="I32" s="39">
        <f t="shared" si="123"/>
        <v>253.03041917257869</v>
      </c>
      <c r="J32" s="39">
        <f t="shared" si="124"/>
        <v>379.54562875886802</v>
      </c>
      <c r="K32" s="39">
        <f t="shared" si="125"/>
        <v>506.06083834515738</v>
      </c>
      <c r="L32" s="39">
        <v>2228.213929</v>
      </c>
      <c r="M32" s="39">
        <v>1199.509135</v>
      </c>
      <c r="N32" s="48">
        <f t="shared" si="2"/>
        <v>1407.2421027620255</v>
      </c>
      <c r="O32" s="49">
        <f t="shared" si="29"/>
        <v>2.7141174127869636</v>
      </c>
      <c r="P32" s="48">
        <f t="shared" si="107"/>
        <v>693.44829665484258</v>
      </c>
      <c r="Q32" s="49">
        <f t="shared" si="30"/>
        <v>2.3702864243011788</v>
      </c>
      <c r="R32" s="49">
        <f t="shared" si="31"/>
        <v>2.3702864243011788</v>
      </c>
      <c r="S32" s="45">
        <v>6053.4530934408685</v>
      </c>
      <c r="T32" s="39">
        <v>820.97182623797448</v>
      </c>
      <c r="U32" s="39">
        <v>506.06083834515738</v>
      </c>
      <c r="V32" s="39">
        <f t="shared" si="126"/>
        <v>126.51520958628934</v>
      </c>
      <c r="W32" s="39">
        <f t="shared" si="127"/>
        <v>253.03041917257869</v>
      </c>
      <c r="X32" s="39">
        <f t="shared" si="128"/>
        <v>379.54562875886802</v>
      </c>
      <c r="Y32" s="39">
        <f t="shared" si="129"/>
        <v>506.06083834515738</v>
      </c>
      <c r="Z32" s="39">
        <v>2228.213929</v>
      </c>
      <c r="AA32" s="39">
        <v>1199.509135</v>
      </c>
      <c r="AB32" s="48">
        <f t="shared" si="5"/>
        <v>1407.2421027620255</v>
      </c>
      <c r="AC32" s="49">
        <f t="shared" si="33"/>
        <v>2.7141174127869636</v>
      </c>
      <c r="AD32" s="48">
        <f t="shared" si="109"/>
        <v>693.44829665484258</v>
      </c>
      <c r="AE32" s="49">
        <f t="shared" si="34"/>
        <v>2.3702864243011788</v>
      </c>
      <c r="AF32" s="49">
        <f t="shared" si="35"/>
        <v>2.3702864243011788</v>
      </c>
      <c r="AG32" s="45">
        <v>6053.4530934408685</v>
      </c>
      <c r="AH32" s="39">
        <v>820.97182623797448</v>
      </c>
      <c r="AI32" s="39">
        <v>506.06083834515738</v>
      </c>
      <c r="AJ32" s="39">
        <v>2228.213929</v>
      </c>
      <c r="AK32" s="39">
        <v>1199.509135</v>
      </c>
      <c r="AL32" s="48">
        <f>+AJ32-AH32</f>
        <v>1407.2421027620255</v>
      </c>
      <c r="AM32" s="49">
        <f>+IF(AH32&lt;=0,0,AJ32/AH32)</f>
        <v>2.7141174127869636</v>
      </c>
      <c r="AN32" s="48">
        <f>+AK32-AI32</f>
        <v>693.44829665484258</v>
      </c>
      <c r="AO32" s="49">
        <f>+IF(AI32&lt;=0,0,AK32/AI32)</f>
        <v>2.3702864243011788</v>
      </c>
      <c r="AP32" s="39">
        <f t="shared" si="130"/>
        <v>4828.4066419482251</v>
      </c>
      <c r="AQ32" s="39">
        <f t="shared" si="131"/>
        <v>2220.2572100545017</v>
      </c>
      <c r="AR32" s="39">
        <f t="shared" si="132"/>
        <v>7392.0139300000001</v>
      </c>
      <c r="AS32" s="39">
        <f t="shared" si="133"/>
        <v>3971.8091359999999</v>
      </c>
      <c r="AT32" s="39">
        <f t="shared" si="73"/>
        <v>2563.607288051775</v>
      </c>
      <c r="AU32" s="17">
        <f t="shared" si="74"/>
        <v>1.530942705980824</v>
      </c>
      <c r="AV32" s="39">
        <f t="shared" si="75"/>
        <v>1751.5519259454982</v>
      </c>
      <c r="AW32" s="17">
        <f t="shared" si="76"/>
        <v>1.7888959522408225</v>
      </c>
      <c r="AX32" s="45">
        <v>6053.4530934408685</v>
      </c>
      <c r="AY32" s="39">
        <v>820.97182623797448</v>
      </c>
      <c r="AZ32" s="39">
        <v>506.06083834515738</v>
      </c>
      <c r="BA32" s="39">
        <f t="shared" si="134"/>
        <v>126.51520958628934</v>
      </c>
      <c r="BB32" s="39">
        <f t="shared" si="135"/>
        <v>253.03041917257869</v>
      </c>
      <c r="BC32" s="39">
        <f t="shared" si="136"/>
        <v>379.54562875886802</v>
      </c>
      <c r="BD32" s="39">
        <f t="shared" si="137"/>
        <v>506.06083834515738</v>
      </c>
      <c r="BE32" s="39">
        <v>2228.213929</v>
      </c>
      <c r="BF32" s="39">
        <v>1199.509135</v>
      </c>
      <c r="BG32" s="48">
        <f t="shared" si="20"/>
        <v>1407.2421027620255</v>
      </c>
      <c r="BH32" s="49">
        <f t="shared" si="41"/>
        <v>2.7141174127869636</v>
      </c>
      <c r="BI32" s="48">
        <f t="shared" si="111"/>
        <v>693.44829665484258</v>
      </c>
      <c r="BJ32" s="49">
        <f t="shared" si="42"/>
        <v>2.3702864243011788</v>
      </c>
      <c r="BK32" s="49">
        <f t="shared" si="43"/>
        <v>2.3702864243011788</v>
      </c>
      <c r="BL32" s="45">
        <v>6363.6634031777376</v>
      </c>
      <c r="BM32" s="39">
        <v>1083.1923914678264</v>
      </c>
      <c r="BN32" s="39">
        <v>562.68122019419297</v>
      </c>
      <c r="BO32" s="39">
        <f t="shared" si="138"/>
        <v>140.67030504854824</v>
      </c>
      <c r="BP32" s="39">
        <f t="shared" si="139"/>
        <v>281.34061009709649</v>
      </c>
      <c r="BQ32" s="39">
        <f t="shared" si="140"/>
        <v>422.01091514564473</v>
      </c>
      <c r="BR32" s="39">
        <f t="shared" si="141"/>
        <v>562.68122019419297</v>
      </c>
      <c r="BS32" s="39">
        <v>1247</v>
      </c>
      <c r="BT32" s="39">
        <v>627</v>
      </c>
      <c r="BU32" s="48">
        <f t="shared" si="22"/>
        <v>163.80760853217362</v>
      </c>
      <c r="BV32" s="49">
        <f t="shared" si="45"/>
        <v>1.1512266978816192</v>
      </c>
      <c r="BW32" s="48">
        <f t="shared" si="112"/>
        <v>64.318779805807026</v>
      </c>
      <c r="BX32" s="49">
        <f t="shared" si="46"/>
        <v>1.11430767101772</v>
      </c>
      <c r="BY32" s="49">
        <f t="shared" si="47"/>
        <v>1.11430767101772</v>
      </c>
      <c r="BZ32" s="45">
        <v>19061.21212121212</v>
      </c>
      <c r="CA32" s="39">
        <v>2924.242424242424</v>
      </c>
      <c r="CB32" s="39">
        <v>1151.5151515151513</v>
      </c>
      <c r="CC32" s="39">
        <f t="shared" si="142"/>
        <v>287.87878787878782</v>
      </c>
      <c r="CD32" s="39">
        <f t="shared" si="143"/>
        <v>575.75757575757564</v>
      </c>
      <c r="CE32" s="39">
        <f t="shared" si="144"/>
        <v>863.63636363636351</v>
      </c>
      <c r="CF32" s="39">
        <f t="shared" si="145"/>
        <v>1151.5151515151513</v>
      </c>
      <c r="CG32" s="39">
        <v>3916.8000010000001</v>
      </c>
      <c r="CH32" s="39">
        <v>2145.3000010000001</v>
      </c>
      <c r="CI32" s="51">
        <f t="shared" si="49"/>
        <v>992.55757675757604</v>
      </c>
      <c r="CJ32" s="49">
        <f t="shared" si="50"/>
        <v>1.3394238345388603</v>
      </c>
      <c r="CK32" s="53">
        <f t="shared" si="51"/>
        <v>993.78484948484879</v>
      </c>
      <c r="CL32" s="49">
        <f t="shared" si="52"/>
        <v>1.8630236850789479</v>
      </c>
      <c r="CM32" s="49">
        <f t="shared" si="53"/>
        <v>1.8630236850789479</v>
      </c>
      <c r="CN32" s="45"/>
      <c r="CO32" s="39"/>
      <c r="CP32" s="39"/>
      <c r="CQ32" s="39"/>
      <c r="CR32" s="39"/>
      <c r="CS32" s="39"/>
      <c r="CT32" s="39"/>
      <c r="CU32" s="39"/>
      <c r="CV32" s="39"/>
      <c r="CW32" s="50">
        <f t="shared" si="77"/>
        <v>0</v>
      </c>
      <c r="CX32" s="17">
        <f t="shared" si="55"/>
        <v>0</v>
      </c>
      <c r="CY32" s="50"/>
      <c r="CZ32" s="49">
        <f t="shared" si="56"/>
        <v>0</v>
      </c>
      <c r="DA32" s="49">
        <f t="shared" si="57"/>
        <v>0</v>
      </c>
    </row>
    <row r="33" spans="1:105" ht="24.95" customHeight="1">
      <c r="A33" s="4" t="s">
        <v>19</v>
      </c>
      <c r="B33" s="9" t="s">
        <v>43</v>
      </c>
      <c r="C33" s="5">
        <f t="shared" si="72"/>
        <v>8</v>
      </c>
      <c r="D33" s="8" t="s">
        <v>74</v>
      </c>
      <c r="E33" s="45">
        <v>4599.995420823534</v>
      </c>
      <c r="F33" s="39">
        <v>623.85329216670618</v>
      </c>
      <c r="G33" s="39">
        <v>384.55365939288123</v>
      </c>
      <c r="H33" s="39">
        <f t="shared" si="122"/>
        <v>96.138414848220307</v>
      </c>
      <c r="I33" s="39">
        <f t="shared" si="123"/>
        <v>192.27682969644061</v>
      </c>
      <c r="J33" s="39">
        <f t="shared" si="124"/>
        <v>288.41524454466094</v>
      </c>
      <c r="K33" s="39">
        <f t="shared" si="125"/>
        <v>384.55365939288123</v>
      </c>
      <c r="L33" s="39">
        <v>1690</v>
      </c>
      <c r="M33" s="39">
        <v>930</v>
      </c>
      <c r="N33" s="48">
        <f t="shared" si="2"/>
        <v>1066.1467078332939</v>
      </c>
      <c r="O33" s="49">
        <f t="shared" si="29"/>
        <v>2.7089702358233256</v>
      </c>
      <c r="P33" s="48">
        <f t="shared" si="107"/>
        <v>545.44634060711883</v>
      </c>
      <c r="Q33" s="49">
        <f t="shared" si="30"/>
        <v>2.418388116415922</v>
      </c>
      <c r="R33" s="49">
        <f t="shared" si="31"/>
        <v>2.418388116415922</v>
      </c>
      <c r="S33" s="45">
        <v>4599.995420823534</v>
      </c>
      <c r="T33" s="39">
        <v>623.85329216670618</v>
      </c>
      <c r="U33" s="39">
        <v>384.55365939288123</v>
      </c>
      <c r="V33" s="39">
        <f t="shared" si="126"/>
        <v>96.138414848220307</v>
      </c>
      <c r="W33" s="39">
        <f t="shared" si="127"/>
        <v>192.27682969644061</v>
      </c>
      <c r="X33" s="39">
        <f t="shared" si="128"/>
        <v>288.41524454466094</v>
      </c>
      <c r="Y33" s="39">
        <f t="shared" si="129"/>
        <v>384.55365939288123</v>
      </c>
      <c r="Z33" s="39">
        <v>1690</v>
      </c>
      <c r="AA33" s="39">
        <v>930</v>
      </c>
      <c r="AB33" s="48">
        <f t="shared" si="5"/>
        <v>1066.1467078332939</v>
      </c>
      <c r="AC33" s="49">
        <f t="shared" si="33"/>
        <v>2.7089702358233256</v>
      </c>
      <c r="AD33" s="48">
        <f t="shared" si="109"/>
        <v>545.44634060711883</v>
      </c>
      <c r="AE33" s="49">
        <f t="shared" si="34"/>
        <v>2.418388116415922</v>
      </c>
      <c r="AF33" s="49">
        <f t="shared" si="35"/>
        <v>2.418388116415922</v>
      </c>
      <c r="AG33" s="45">
        <v>4599.995420823534</v>
      </c>
      <c r="AH33" s="39">
        <v>623.85329216670618</v>
      </c>
      <c r="AI33" s="39">
        <v>384.55365939288123</v>
      </c>
      <c r="AJ33" s="39">
        <v>1690</v>
      </c>
      <c r="AK33" s="39">
        <v>930</v>
      </c>
      <c r="AL33" s="48">
        <f>+AJ33-AH33</f>
        <v>1066.1467078332939</v>
      </c>
      <c r="AM33" s="49">
        <f>+IF(AH33&lt;=0,0,AJ33/AH33)</f>
        <v>2.7089702358233256</v>
      </c>
      <c r="AN33" s="48">
        <f>+AK33-AI33</f>
        <v>545.44634060711883</v>
      </c>
      <c r="AO33" s="49">
        <f>+IF(AI33&lt;=0,0,AK33/AI33)</f>
        <v>2.418388116415922</v>
      </c>
      <c r="AP33" s="39">
        <f t="shared" si="130"/>
        <v>3780.2837782678057</v>
      </c>
      <c r="AQ33" s="39">
        <f t="shared" si="131"/>
        <v>1730.1881866943363</v>
      </c>
      <c r="AR33" s="39">
        <f t="shared" si="132"/>
        <v>5233.5</v>
      </c>
      <c r="AS33" s="39">
        <f t="shared" si="133"/>
        <v>2772</v>
      </c>
      <c r="AT33" s="39">
        <f t="shared" si="73"/>
        <v>1453.2162217321943</v>
      </c>
      <c r="AU33" s="17">
        <f t="shared" si="74"/>
        <v>1.3844198761178941</v>
      </c>
      <c r="AV33" s="39">
        <f t="shared" si="75"/>
        <v>1041.8118133056637</v>
      </c>
      <c r="AW33" s="17">
        <f t="shared" si="76"/>
        <v>1.6021378606775307</v>
      </c>
      <c r="AX33" s="45">
        <v>4599.995420823534</v>
      </c>
      <c r="AY33" s="39">
        <v>623.85329216670618</v>
      </c>
      <c r="AZ33" s="39">
        <v>384.55365939288123</v>
      </c>
      <c r="BA33" s="39">
        <f t="shared" si="134"/>
        <v>96.138414848220307</v>
      </c>
      <c r="BB33" s="39">
        <f t="shared" si="135"/>
        <v>192.27682969644061</v>
      </c>
      <c r="BC33" s="39">
        <f t="shared" si="136"/>
        <v>288.41524454466094</v>
      </c>
      <c r="BD33" s="39">
        <f t="shared" si="137"/>
        <v>384.55365939288123</v>
      </c>
      <c r="BE33" s="39">
        <v>1690</v>
      </c>
      <c r="BF33" s="39">
        <v>930</v>
      </c>
      <c r="BG33" s="48">
        <f t="shared" si="20"/>
        <v>1066.1467078332939</v>
      </c>
      <c r="BH33" s="49">
        <f t="shared" si="41"/>
        <v>2.7089702358233256</v>
      </c>
      <c r="BI33" s="48">
        <f t="shared" si="111"/>
        <v>545.44634060711883</v>
      </c>
      <c r="BJ33" s="49">
        <f t="shared" si="42"/>
        <v>2.418388116415922</v>
      </c>
      <c r="BK33" s="49">
        <f t="shared" si="43"/>
        <v>2.418388116415922</v>
      </c>
      <c r="BL33" s="45">
        <v>4800.0203955397783</v>
      </c>
      <c r="BM33" s="39">
        <v>817.03654670716037</v>
      </c>
      <c r="BN33" s="39">
        <v>424.42240608933412</v>
      </c>
      <c r="BO33" s="39">
        <f t="shared" si="138"/>
        <v>106.10560152233353</v>
      </c>
      <c r="BP33" s="39">
        <f t="shared" si="139"/>
        <v>212.21120304466706</v>
      </c>
      <c r="BQ33" s="39">
        <f t="shared" si="140"/>
        <v>318.31680456700059</v>
      </c>
      <c r="BR33" s="39">
        <f t="shared" si="141"/>
        <v>424.42240608933412</v>
      </c>
      <c r="BS33" s="39">
        <v>1089</v>
      </c>
      <c r="BT33" s="39">
        <v>485</v>
      </c>
      <c r="BU33" s="48">
        <f t="shared" si="22"/>
        <v>271.96345329283963</v>
      </c>
      <c r="BV33" s="49">
        <f t="shared" si="45"/>
        <v>1.3328657137663096</v>
      </c>
      <c r="BW33" s="48">
        <f t="shared" si="112"/>
        <v>60.577593910665883</v>
      </c>
      <c r="BX33" s="49">
        <f t="shared" si="46"/>
        <v>1.1427294908127807</v>
      </c>
      <c r="BY33" s="49">
        <f t="shared" si="47"/>
        <v>1.1427294908127807</v>
      </c>
      <c r="BZ33" s="45">
        <v>15285.151515151514</v>
      </c>
      <c r="CA33" s="39">
        <v>2339.393939393939</v>
      </c>
      <c r="CB33" s="39">
        <v>921.21212121212113</v>
      </c>
      <c r="CC33" s="39">
        <f t="shared" si="142"/>
        <v>230.30303030303028</v>
      </c>
      <c r="CD33" s="39">
        <f t="shared" si="143"/>
        <v>460.60606060606057</v>
      </c>
      <c r="CE33" s="39">
        <f t="shared" si="144"/>
        <v>690.90909090909088</v>
      </c>
      <c r="CF33" s="39">
        <f t="shared" si="145"/>
        <v>921.21212121212113</v>
      </c>
      <c r="CG33" s="39">
        <v>2454.5</v>
      </c>
      <c r="CH33" s="39">
        <v>1357</v>
      </c>
      <c r="CI33" s="51">
        <f t="shared" si="49"/>
        <v>115.10606060606096</v>
      </c>
      <c r="CJ33" s="49">
        <f t="shared" si="50"/>
        <v>1.0492033678756478</v>
      </c>
      <c r="CK33" s="53">
        <f t="shared" si="51"/>
        <v>435.78787878787887</v>
      </c>
      <c r="CL33" s="49">
        <f t="shared" si="52"/>
        <v>1.4730592105263158</v>
      </c>
      <c r="CM33" s="49">
        <f t="shared" si="53"/>
        <v>1.4730592105263158</v>
      </c>
      <c r="CN33" s="45"/>
      <c r="CO33" s="39"/>
      <c r="CP33" s="39"/>
      <c r="CQ33" s="39"/>
      <c r="CR33" s="39"/>
      <c r="CS33" s="39"/>
      <c r="CT33" s="39"/>
      <c r="CU33" s="39"/>
      <c r="CV33" s="39"/>
      <c r="CW33" s="50">
        <f t="shared" si="77"/>
        <v>0</v>
      </c>
      <c r="CX33" s="17">
        <f t="shared" si="55"/>
        <v>0</v>
      </c>
      <c r="CY33" s="50"/>
      <c r="CZ33" s="49">
        <f t="shared" si="56"/>
        <v>0</v>
      </c>
      <c r="DA33" s="49">
        <f t="shared" si="57"/>
        <v>0</v>
      </c>
    </row>
    <row r="34" spans="1:105" ht="24.95" customHeight="1">
      <c r="A34" s="4" t="s">
        <v>14</v>
      </c>
      <c r="B34" s="9" t="s">
        <v>44</v>
      </c>
      <c r="C34" s="5">
        <f t="shared" si="72"/>
        <v>9</v>
      </c>
      <c r="D34" s="8" t="s">
        <v>75</v>
      </c>
      <c r="E34" s="45">
        <v>4699.9953212762202</v>
      </c>
      <c r="F34" s="39">
        <v>637.41532025728679</v>
      </c>
      <c r="G34" s="39">
        <v>392.91352155359601</v>
      </c>
      <c r="H34" s="39">
        <f t="shared" si="122"/>
        <v>98.228380388399003</v>
      </c>
      <c r="I34" s="39">
        <f t="shared" si="123"/>
        <v>196.45676077679801</v>
      </c>
      <c r="J34" s="39">
        <f t="shared" si="124"/>
        <v>294.68514116519702</v>
      </c>
      <c r="K34" s="39">
        <f t="shared" si="125"/>
        <v>392.91352155359601</v>
      </c>
      <c r="L34" s="39">
        <v>1769.3</v>
      </c>
      <c r="M34" s="39">
        <v>500</v>
      </c>
      <c r="N34" s="48">
        <f t="shared" si="2"/>
        <v>1131.8846797427132</v>
      </c>
      <c r="O34" s="49">
        <f t="shared" si="29"/>
        <v>2.7757412534198869</v>
      </c>
      <c r="P34" s="48">
        <f t="shared" si="107"/>
        <v>107.08647844640399</v>
      </c>
      <c r="Q34" s="49">
        <f t="shared" si="30"/>
        <v>1.2725446505963443</v>
      </c>
      <c r="R34" s="49">
        <f t="shared" si="31"/>
        <v>1.2725446505963443</v>
      </c>
      <c r="S34" s="45">
        <v>4699.9953212762202</v>
      </c>
      <c r="T34" s="39">
        <v>637.41532025728679</v>
      </c>
      <c r="U34" s="39">
        <v>392.91352155359601</v>
      </c>
      <c r="V34" s="39">
        <f t="shared" si="126"/>
        <v>98.228380388399003</v>
      </c>
      <c r="W34" s="39">
        <f t="shared" si="127"/>
        <v>196.45676077679801</v>
      </c>
      <c r="X34" s="39">
        <f t="shared" si="128"/>
        <v>294.68514116519702</v>
      </c>
      <c r="Y34" s="39">
        <f t="shared" si="129"/>
        <v>392.91352155359601</v>
      </c>
      <c r="Z34" s="39">
        <v>1769.3</v>
      </c>
      <c r="AA34" s="39">
        <v>500</v>
      </c>
      <c r="AB34" s="48">
        <f t="shared" si="5"/>
        <v>1131.8846797427132</v>
      </c>
      <c r="AC34" s="49">
        <f t="shared" si="33"/>
        <v>2.7757412534198869</v>
      </c>
      <c r="AD34" s="48">
        <f t="shared" si="109"/>
        <v>107.08647844640399</v>
      </c>
      <c r="AE34" s="49">
        <f t="shared" si="34"/>
        <v>1.2725446505963443</v>
      </c>
      <c r="AF34" s="49">
        <f t="shared" si="35"/>
        <v>1.2725446505963443</v>
      </c>
      <c r="AG34" s="45">
        <v>4699.9953212762202</v>
      </c>
      <c r="AH34" s="39">
        <v>637.41532025728679</v>
      </c>
      <c r="AI34" s="39">
        <v>392.91352155359601</v>
      </c>
      <c r="AJ34" s="39">
        <v>1769.3</v>
      </c>
      <c r="AK34" s="39">
        <v>500</v>
      </c>
      <c r="AL34" s="48">
        <f>+AJ34-AH34</f>
        <v>1131.8846797427132</v>
      </c>
      <c r="AM34" s="49">
        <f>+IF(AH34&lt;=0,0,AJ34/AH34)</f>
        <v>2.7757412534198869</v>
      </c>
      <c r="AN34" s="48">
        <f>+AK34-AI34</f>
        <v>107.08647844640399</v>
      </c>
      <c r="AO34" s="49">
        <f>+IF(AI34&lt;=0,0,AK34/AI34)</f>
        <v>1.2725446505963443</v>
      </c>
      <c r="AP34" s="39">
        <f t="shared" si="130"/>
        <v>2559.529459158236</v>
      </c>
      <c r="AQ34" s="39">
        <f t="shared" si="131"/>
        <v>1214.972179478392</v>
      </c>
      <c r="AR34" s="39">
        <f t="shared" si="132"/>
        <v>4539.5</v>
      </c>
      <c r="AS34" s="39">
        <f t="shared" si="133"/>
        <v>2201.6</v>
      </c>
      <c r="AT34" s="39">
        <f t="shared" si="73"/>
        <v>1979.970540841764</v>
      </c>
      <c r="AU34" s="17">
        <f t="shared" si="74"/>
        <v>1.7735681782279333</v>
      </c>
      <c r="AV34" s="39">
        <f t="shared" si="75"/>
        <v>986.62782052160787</v>
      </c>
      <c r="AW34" s="17">
        <f t="shared" si="76"/>
        <v>1.8120579525904732</v>
      </c>
      <c r="AX34" s="45">
        <v>4699.9953212762202</v>
      </c>
      <c r="AY34" s="39">
        <v>637.41532025728679</v>
      </c>
      <c r="AZ34" s="39">
        <v>392.91352155359601</v>
      </c>
      <c r="BA34" s="39">
        <f t="shared" si="134"/>
        <v>98.228380388399003</v>
      </c>
      <c r="BB34" s="39">
        <f t="shared" si="135"/>
        <v>196.45676077679801</v>
      </c>
      <c r="BC34" s="39">
        <f t="shared" si="136"/>
        <v>294.68514116519702</v>
      </c>
      <c r="BD34" s="39">
        <f t="shared" si="137"/>
        <v>392.91352155359601</v>
      </c>
      <c r="BE34" s="39">
        <v>1769.3</v>
      </c>
      <c r="BF34" s="39">
        <v>500</v>
      </c>
      <c r="BG34" s="48">
        <f t="shared" si="20"/>
        <v>1131.8846797427132</v>
      </c>
      <c r="BH34" s="49">
        <f t="shared" si="41"/>
        <v>2.7757412534198869</v>
      </c>
      <c r="BI34" s="48">
        <f t="shared" si="111"/>
        <v>107.08647844640399</v>
      </c>
      <c r="BJ34" s="49">
        <f t="shared" si="42"/>
        <v>1.2725446505963443</v>
      </c>
      <c r="BK34" s="49">
        <f t="shared" si="43"/>
        <v>1.2725446505963443</v>
      </c>
      <c r="BL34" s="45">
        <v>3046.0129426696176</v>
      </c>
      <c r="BM34" s="39">
        <v>518.47777526458549</v>
      </c>
      <c r="BN34" s="39">
        <v>269.33138519752322</v>
      </c>
      <c r="BO34" s="39">
        <f t="shared" si="138"/>
        <v>67.332846299380805</v>
      </c>
      <c r="BP34" s="39">
        <f t="shared" si="139"/>
        <v>134.66569259876161</v>
      </c>
      <c r="BQ34" s="39">
        <f t="shared" si="140"/>
        <v>201.99853889814241</v>
      </c>
      <c r="BR34" s="39">
        <f t="shared" si="141"/>
        <v>269.33138519752322</v>
      </c>
      <c r="BS34" s="39">
        <v>745.5</v>
      </c>
      <c r="BT34" s="39">
        <v>417</v>
      </c>
      <c r="BU34" s="48">
        <f t="shared" si="22"/>
        <v>227.02222473541451</v>
      </c>
      <c r="BV34" s="49">
        <f t="shared" si="45"/>
        <v>1.4378629819177153</v>
      </c>
      <c r="BW34" s="48">
        <f t="shared" si="112"/>
        <v>147.66861480247678</v>
      </c>
      <c r="BX34" s="49">
        <f t="shared" si="46"/>
        <v>1.5482785257060889</v>
      </c>
      <c r="BY34" s="49">
        <f t="shared" si="47"/>
        <v>1.5482785257060889</v>
      </c>
      <c r="BZ34" s="45">
        <v>9304.181818181818</v>
      </c>
      <c r="CA34" s="39">
        <v>1403.6363636363635</v>
      </c>
      <c r="CB34" s="39">
        <v>552.72727272727275</v>
      </c>
      <c r="CC34" s="39">
        <f t="shared" si="142"/>
        <v>138.18181818181819</v>
      </c>
      <c r="CD34" s="39">
        <f t="shared" si="143"/>
        <v>276.36363636363637</v>
      </c>
      <c r="CE34" s="39">
        <f t="shared" si="144"/>
        <v>414.54545454545456</v>
      </c>
      <c r="CF34" s="39">
        <f t="shared" si="145"/>
        <v>552.72727272727275</v>
      </c>
      <c r="CG34" s="39">
        <v>2024.7</v>
      </c>
      <c r="CH34" s="39">
        <v>1284.5999999999999</v>
      </c>
      <c r="CI34" s="51">
        <f t="shared" si="49"/>
        <v>621.06363636363653</v>
      </c>
      <c r="CJ34" s="49">
        <f t="shared" si="50"/>
        <v>1.442467616580311</v>
      </c>
      <c r="CK34" s="53">
        <f t="shared" si="51"/>
        <v>731.87272727272716</v>
      </c>
      <c r="CL34" s="49">
        <f t="shared" si="52"/>
        <v>2.3241118421052631</v>
      </c>
      <c r="CM34" s="49">
        <f t="shared" si="53"/>
        <v>2.3241118421052631</v>
      </c>
      <c r="CN34" s="45"/>
      <c r="CO34" s="39"/>
      <c r="CP34" s="39"/>
      <c r="CQ34" s="39"/>
      <c r="CR34" s="39"/>
      <c r="CS34" s="39"/>
      <c r="CT34" s="39"/>
      <c r="CU34" s="39"/>
      <c r="CV34" s="39"/>
      <c r="CW34" s="50">
        <f t="shared" si="77"/>
        <v>0</v>
      </c>
      <c r="CX34" s="17">
        <f t="shared" si="55"/>
        <v>0</v>
      </c>
      <c r="CY34" s="50"/>
      <c r="CZ34" s="49">
        <f t="shared" si="56"/>
        <v>0</v>
      </c>
      <c r="DA34" s="49">
        <f t="shared" si="57"/>
        <v>0</v>
      </c>
    </row>
    <row r="35" spans="1:105" ht="24.95" customHeight="1">
      <c r="A35" s="4" t="s">
        <v>21</v>
      </c>
      <c r="B35" s="9" t="s">
        <v>45</v>
      </c>
      <c r="C35" s="5">
        <f t="shared" si="72"/>
        <v>10</v>
      </c>
      <c r="D35" s="8" t="s">
        <v>76</v>
      </c>
      <c r="E35" s="45">
        <v>4999.9950226342771</v>
      </c>
      <c r="F35" s="39">
        <v>678.10140452902851</v>
      </c>
      <c r="G35" s="39">
        <v>417.99310803574048</v>
      </c>
      <c r="H35" s="39">
        <f t="shared" si="122"/>
        <v>104.49827700893512</v>
      </c>
      <c r="I35" s="39">
        <f t="shared" si="123"/>
        <v>208.99655401787024</v>
      </c>
      <c r="J35" s="39">
        <f t="shared" si="124"/>
        <v>313.49483102680534</v>
      </c>
      <c r="K35" s="39">
        <f t="shared" si="125"/>
        <v>417.99310803574048</v>
      </c>
      <c r="L35" s="39">
        <v>3279.9614929999998</v>
      </c>
      <c r="M35" s="39">
        <v>1541.381637</v>
      </c>
      <c r="N35" s="48">
        <f t="shared" si="2"/>
        <v>2601.8600884709713</v>
      </c>
      <c r="O35" s="49">
        <f t="shared" si="29"/>
        <v>4.8369778783721564</v>
      </c>
      <c r="P35" s="48">
        <f t="shared" si="107"/>
        <v>1123.3885289642594</v>
      </c>
      <c r="Q35" s="49">
        <f t="shared" si="30"/>
        <v>3.6875766785805575</v>
      </c>
      <c r="R35" s="49">
        <f t="shared" si="31"/>
        <v>3.6875766785805575</v>
      </c>
      <c r="S35" s="45">
        <v>4999.9950226342771</v>
      </c>
      <c r="T35" s="39">
        <v>678.10140452902851</v>
      </c>
      <c r="U35" s="39">
        <v>417.99310803574048</v>
      </c>
      <c r="V35" s="39">
        <f t="shared" si="126"/>
        <v>104.49827700893512</v>
      </c>
      <c r="W35" s="39">
        <f t="shared" si="127"/>
        <v>208.99655401787024</v>
      </c>
      <c r="X35" s="39">
        <f t="shared" si="128"/>
        <v>313.49483102680534</v>
      </c>
      <c r="Y35" s="39">
        <f t="shared" si="129"/>
        <v>417.99310803574048</v>
      </c>
      <c r="Z35" s="39">
        <v>3279.9614929999998</v>
      </c>
      <c r="AA35" s="39">
        <v>1541.381637</v>
      </c>
      <c r="AB35" s="48">
        <f t="shared" si="5"/>
        <v>2601.8600884709713</v>
      </c>
      <c r="AC35" s="49">
        <f t="shared" si="33"/>
        <v>4.8369778783721564</v>
      </c>
      <c r="AD35" s="48">
        <f t="shared" si="109"/>
        <v>1123.3885289642594</v>
      </c>
      <c r="AE35" s="49">
        <f t="shared" si="34"/>
        <v>3.6875766785805575</v>
      </c>
      <c r="AF35" s="49">
        <f t="shared" si="35"/>
        <v>3.6875766785805575</v>
      </c>
      <c r="AG35" s="45">
        <v>4999.9950226342771</v>
      </c>
      <c r="AH35" s="39">
        <v>678.10140452902851</v>
      </c>
      <c r="AI35" s="39">
        <v>417.99310803574048</v>
      </c>
      <c r="AJ35" s="39">
        <v>3279.9614929999998</v>
      </c>
      <c r="AK35" s="39">
        <v>1541.381637</v>
      </c>
      <c r="AL35" s="48">
        <f>+AJ35-AH35</f>
        <v>2601.8600884709713</v>
      </c>
      <c r="AM35" s="49">
        <f>+IF(AH35&lt;=0,0,AJ35/AH35)</f>
        <v>4.8369778783721564</v>
      </c>
      <c r="AN35" s="48">
        <f>+AK35-AI35</f>
        <v>1123.3885289642594</v>
      </c>
      <c r="AO35" s="49">
        <f>+IF(AI35&lt;=0,0,AK35/AI35)</f>
        <v>3.6875766785805575</v>
      </c>
      <c r="AP35" s="39">
        <f t="shared" si="130"/>
        <v>2422.8863797582808</v>
      </c>
      <c r="AQ35" s="39">
        <f t="shared" si="131"/>
        <v>1124.0148176582716</v>
      </c>
      <c r="AR35" s="39">
        <f t="shared" si="132"/>
        <v>5809.9614929999998</v>
      </c>
      <c r="AS35" s="39">
        <f t="shared" si="133"/>
        <v>3041.381637</v>
      </c>
      <c r="AT35" s="39">
        <f t="shared" si="73"/>
        <v>3387.075113241719</v>
      </c>
      <c r="AU35" s="17">
        <f t="shared" si="74"/>
        <v>2.3979504534503309</v>
      </c>
      <c r="AV35" s="39">
        <f t="shared" si="75"/>
        <v>1917.3668193417284</v>
      </c>
      <c r="AW35" s="17">
        <f t="shared" si="76"/>
        <v>2.705819878190125</v>
      </c>
      <c r="AX35" s="45">
        <v>4999.9950226342771</v>
      </c>
      <c r="AY35" s="39">
        <v>678.10140452902851</v>
      </c>
      <c r="AZ35" s="39">
        <v>417.99310803574048</v>
      </c>
      <c r="BA35" s="39">
        <f t="shared" si="134"/>
        <v>104.49827700893512</v>
      </c>
      <c r="BB35" s="39">
        <f t="shared" si="135"/>
        <v>208.99655401787024</v>
      </c>
      <c r="BC35" s="39">
        <f t="shared" si="136"/>
        <v>313.49483102680534</v>
      </c>
      <c r="BD35" s="39">
        <f t="shared" si="137"/>
        <v>417.99310803574048</v>
      </c>
      <c r="BE35" s="39">
        <v>3279.9614929999998</v>
      </c>
      <c r="BF35" s="39">
        <v>1541.381637</v>
      </c>
      <c r="BG35" s="48">
        <f t="shared" si="20"/>
        <v>2601.8600884709713</v>
      </c>
      <c r="BH35" s="49">
        <f t="shared" si="41"/>
        <v>4.8369778783721564</v>
      </c>
      <c r="BI35" s="48">
        <f t="shared" si="111"/>
        <v>1123.3885289642594</v>
      </c>
      <c r="BJ35" s="49">
        <f t="shared" si="42"/>
        <v>3.6875766785805575</v>
      </c>
      <c r="BK35" s="49">
        <f t="shared" si="43"/>
        <v>3.6875766785805575</v>
      </c>
      <c r="BL35" s="45">
        <v>2330.0099003349342</v>
      </c>
      <c r="BM35" s="39">
        <v>396.60315704743414</v>
      </c>
      <c r="BN35" s="39">
        <v>206.02170962253095</v>
      </c>
      <c r="BO35" s="39">
        <f t="shared" si="138"/>
        <v>51.505427405632737</v>
      </c>
      <c r="BP35" s="39">
        <f t="shared" si="139"/>
        <v>103.01085481126547</v>
      </c>
      <c r="BQ35" s="39">
        <f t="shared" si="140"/>
        <v>154.51628221689822</v>
      </c>
      <c r="BR35" s="39">
        <f t="shared" si="141"/>
        <v>206.02170962253095</v>
      </c>
      <c r="BS35" s="39">
        <v>869.5</v>
      </c>
      <c r="BT35" s="39">
        <v>521.5</v>
      </c>
      <c r="BU35" s="48">
        <f t="shared" si="22"/>
        <v>472.89684295256586</v>
      </c>
      <c r="BV35" s="49">
        <f t="shared" si="45"/>
        <v>2.1923678229722383</v>
      </c>
      <c r="BW35" s="48">
        <f t="shared" si="112"/>
        <v>315.47829037746908</v>
      </c>
      <c r="BX35" s="49">
        <f t="shared" si="46"/>
        <v>2.5312866345759502</v>
      </c>
      <c r="BY35" s="49">
        <f t="shared" si="47"/>
        <v>2.5312866345759502</v>
      </c>
      <c r="BZ35" s="45">
        <v>8858.1818181818162</v>
      </c>
      <c r="CA35" s="39">
        <v>1348.181818181818</v>
      </c>
      <c r="CB35" s="39">
        <v>500</v>
      </c>
      <c r="CC35" s="39">
        <f t="shared" si="142"/>
        <v>125</v>
      </c>
      <c r="CD35" s="39">
        <f t="shared" si="143"/>
        <v>250</v>
      </c>
      <c r="CE35" s="39">
        <f t="shared" si="144"/>
        <v>375</v>
      </c>
      <c r="CF35" s="39">
        <f t="shared" si="145"/>
        <v>500</v>
      </c>
      <c r="CG35" s="39">
        <v>1660.5</v>
      </c>
      <c r="CH35" s="39">
        <v>978.5</v>
      </c>
      <c r="CI35" s="51">
        <f t="shared" si="49"/>
        <v>312.31818181818198</v>
      </c>
      <c r="CJ35" s="49">
        <f t="shared" si="50"/>
        <v>1.2316587997302766</v>
      </c>
      <c r="CK35" s="53">
        <f t="shared" si="51"/>
        <v>478.5</v>
      </c>
      <c r="CL35" s="49">
        <f t="shared" si="52"/>
        <v>1.9570000000000001</v>
      </c>
      <c r="CM35" s="49">
        <f t="shared" si="53"/>
        <v>1.9570000000000001</v>
      </c>
      <c r="CN35" s="45"/>
      <c r="CO35" s="39"/>
      <c r="CP35" s="39"/>
      <c r="CQ35" s="39"/>
      <c r="CR35" s="39"/>
      <c r="CS35" s="39"/>
      <c r="CT35" s="39"/>
      <c r="CU35" s="39"/>
      <c r="CV35" s="39"/>
      <c r="CW35" s="50">
        <f t="shared" si="77"/>
        <v>0</v>
      </c>
      <c r="CX35" s="17">
        <f t="shared" si="55"/>
        <v>0</v>
      </c>
      <c r="CY35" s="50"/>
      <c r="CZ35" s="49">
        <f t="shared" si="56"/>
        <v>0</v>
      </c>
      <c r="DA35" s="49">
        <f t="shared" si="57"/>
        <v>0</v>
      </c>
    </row>
    <row r="36" spans="1:105" ht="24.95" customHeight="1">
      <c r="A36" s="4" t="s">
        <v>53</v>
      </c>
      <c r="B36" s="9" t="s">
        <v>46</v>
      </c>
      <c r="C36" s="5">
        <f t="shared" si="72"/>
        <v>11</v>
      </c>
      <c r="D36" s="8" t="s">
        <v>77</v>
      </c>
      <c r="E36" s="45">
        <v>4999.9950226342771</v>
      </c>
      <c r="F36" s="39">
        <v>678.10140452902851</v>
      </c>
      <c r="G36" s="39">
        <v>417.99310803574048</v>
      </c>
      <c r="H36" s="39">
        <f t="shared" si="122"/>
        <v>104.49827700893512</v>
      </c>
      <c r="I36" s="39">
        <f t="shared" si="123"/>
        <v>208.99655401787024</v>
      </c>
      <c r="J36" s="39">
        <f t="shared" si="124"/>
        <v>313.49483102680534</v>
      </c>
      <c r="K36" s="39">
        <f t="shared" si="125"/>
        <v>417.99310803574048</v>
      </c>
      <c r="L36" s="39">
        <v>1900</v>
      </c>
      <c r="M36" s="39">
        <v>600</v>
      </c>
      <c r="N36" s="48">
        <f t="shared" si="2"/>
        <v>1221.8985954709715</v>
      </c>
      <c r="O36" s="49">
        <f t="shared" si="29"/>
        <v>2.8019408119640072</v>
      </c>
      <c r="P36" s="48">
        <f t="shared" si="107"/>
        <v>182.00689196425952</v>
      </c>
      <c r="Q36" s="49">
        <f t="shared" si="30"/>
        <v>1.4354303658726761</v>
      </c>
      <c r="R36" s="49">
        <f t="shared" si="31"/>
        <v>1.4354303658726761</v>
      </c>
      <c r="S36" s="45">
        <v>4999.9950226342771</v>
      </c>
      <c r="T36" s="39">
        <v>678.10140452902851</v>
      </c>
      <c r="U36" s="39">
        <v>417.99310803574048</v>
      </c>
      <c r="V36" s="39">
        <f t="shared" si="126"/>
        <v>104.49827700893512</v>
      </c>
      <c r="W36" s="39">
        <f t="shared" si="127"/>
        <v>208.99655401787024</v>
      </c>
      <c r="X36" s="39">
        <f t="shared" si="128"/>
        <v>313.49483102680534</v>
      </c>
      <c r="Y36" s="39">
        <f t="shared" si="129"/>
        <v>417.99310803574048</v>
      </c>
      <c r="Z36" s="39">
        <v>1900</v>
      </c>
      <c r="AA36" s="39">
        <v>600</v>
      </c>
      <c r="AB36" s="48">
        <f t="shared" si="5"/>
        <v>1221.8985954709715</v>
      </c>
      <c r="AC36" s="49">
        <f t="shared" si="33"/>
        <v>2.8019408119640072</v>
      </c>
      <c r="AD36" s="48">
        <f t="shared" si="109"/>
        <v>182.00689196425952</v>
      </c>
      <c r="AE36" s="49">
        <f t="shared" si="34"/>
        <v>1.4354303658726761</v>
      </c>
      <c r="AF36" s="49">
        <f t="shared" si="35"/>
        <v>1.4354303658726761</v>
      </c>
      <c r="AG36" s="45">
        <v>4999.9950226342771</v>
      </c>
      <c r="AH36" s="39">
        <v>678.10140452902851</v>
      </c>
      <c r="AI36" s="39">
        <v>417.99310803574048</v>
      </c>
      <c r="AJ36" s="39">
        <v>1900</v>
      </c>
      <c r="AK36" s="39">
        <v>600</v>
      </c>
      <c r="AL36" s="48">
        <f>+AJ36-AH36</f>
        <v>1221.8985954709715</v>
      </c>
      <c r="AM36" s="49">
        <f>+IF(AH36&lt;=0,0,AJ36/AH36)</f>
        <v>2.8019408119640072</v>
      </c>
      <c r="AN36" s="48">
        <f>+AK36-AI36</f>
        <v>182.00689196425952</v>
      </c>
      <c r="AO36" s="49">
        <f>+IF(AI36&lt;=0,0,AK36/AI36)</f>
        <v>1.4354303658726761</v>
      </c>
      <c r="AP36" s="39">
        <f t="shared" si="130"/>
        <v>2638.9428433426756</v>
      </c>
      <c r="AQ36" s="39">
        <f t="shared" si="131"/>
        <v>1278.0800937289532</v>
      </c>
      <c r="AR36" s="39">
        <f t="shared" si="132"/>
        <v>5003.3999999999996</v>
      </c>
      <c r="AS36" s="39">
        <f t="shared" si="133"/>
        <v>2493.6</v>
      </c>
      <c r="AT36" s="39">
        <f t="shared" si="73"/>
        <v>2364.457156657324</v>
      </c>
      <c r="AU36" s="17">
        <f t="shared" si="74"/>
        <v>1.8959864980108216</v>
      </c>
      <c r="AV36" s="39">
        <f t="shared" si="75"/>
        <v>1215.5199062710467</v>
      </c>
      <c r="AW36" s="17">
        <f t="shared" si="76"/>
        <v>1.951051434284232</v>
      </c>
      <c r="AX36" s="45">
        <v>4999.9950226342771</v>
      </c>
      <c r="AY36" s="39">
        <v>678.10140452902851</v>
      </c>
      <c r="AZ36" s="39">
        <v>417.99310803574048</v>
      </c>
      <c r="BA36" s="39">
        <f t="shared" si="134"/>
        <v>104.49827700893512</v>
      </c>
      <c r="BB36" s="39">
        <f t="shared" si="135"/>
        <v>208.99655401787024</v>
      </c>
      <c r="BC36" s="39">
        <f t="shared" si="136"/>
        <v>313.49483102680534</v>
      </c>
      <c r="BD36" s="39">
        <f t="shared" si="137"/>
        <v>417.99310803574048</v>
      </c>
      <c r="BE36" s="39">
        <v>1900</v>
      </c>
      <c r="BF36" s="39">
        <v>600</v>
      </c>
      <c r="BG36" s="48">
        <f t="shared" si="20"/>
        <v>1221.8985954709715</v>
      </c>
      <c r="BH36" s="49">
        <f t="shared" si="41"/>
        <v>2.8019408119640072</v>
      </c>
      <c r="BI36" s="48">
        <f t="shared" si="111"/>
        <v>182.00689196425952</v>
      </c>
      <c r="BJ36" s="49">
        <f t="shared" si="42"/>
        <v>1.4354303658726761</v>
      </c>
      <c r="BK36" s="49">
        <f t="shared" si="43"/>
        <v>1.4354303658726761</v>
      </c>
      <c r="BL36" s="45">
        <v>3054.5584335253134</v>
      </c>
      <c r="BM36" s="39">
        <v>519.93234790455665</v>
      </c>
      <c r="BN36" s="39">
        <v>270.08698569321268</v>
      </c>
      <c r="BO36" s="39">
        <f t="shared" si="138"/>
        <v>67.521746423303171</v>
      </c>
      <c r="BP36" s="39">
        <f t="shared" si="139"/>
        <v>135.04349284660634</v>
      </c>
      <c r="BQ36" s="39">
        <f t="shared" si="140"/>
        <v>202.56523926990951</v>
      </c>
      <c r="BR36" s="39">
        <f t="shared" si="141"/>
        <v>270.08698569321268</v>
      </c>
      <c r="BS36" s="39">
        <v>628.9</v>
      </c>
      <c r="BT36" s="39">
        <v>332.9</v>
      </c>
      <c r="BU36" s="48">
        <f t="shared" si="22"/>
        <v>108.96765209544333</v>
      </c>
      <c r="BV36" s="49">
        <f t="shared" si="45"/>
        <v>1.2095804435607964</v>
      </c>
      <c r="BW36" s="48">
        <f t="shared" si="112"/>
        <v>62.813014306787295</v>
      </c>
      <c r="BX36" s="49">
        <f t="shared" si="46"/>
        <v>1.2325658681612137</v>
      </c>
      <c r="BY36" s="49">
        <f t="shared" si="47"/>
        <v>1.2325658681612137</v>
      </c>
      <c r="BZ36" s="45">
        <v>9238.181818181818</v>
      </c>
      <c r="CA36" s="39">
        <v>1440.9090909090908</v>
      </c>
      <c r="CB36" s="39">
        <v>590</v>
      </c>
      <c r="CC36" s="39">
        <f t="shared" si="142"/>
        <v>147.5</v>
      </c>
      <c r="CD36" s="39">
        <f t="shared" si="143"/>
        <v>295</v>
      </c>
      <c r="CE36" s="39">
        <f t="shared" si="144"/>
        <v>442.5</v>
      </c>
      <c r="CF36" s="39">
        <f t="shared" si="145"/>
        <v>590</v>
      </c>
      <c r="CG36" s="39">
        <v>2474.5</v>
      </c>
      <c r="CH36" s="39">
        <v>1560.7</v>
      </c>
      <c r="CI36" s="52">
        <f t="shared" si="49"/>
        <v>1033.5909090909092</v>
      </c>
      <c r="CJ36" s="49">
        <f t="shared" si="50"/>
        <v>1.7173186119873818</v>
      </c>
      <c r="CK36" s="53">
        <f t="shared" si="51"/>
        <v>970.7</v>
      </c>
      <c r="CL36" s="49">
        <f t="shared" si="52"/>
        <v>2.6452542372881358</v>
      </c>
      <c r="CM36" s="49">
        <f t="shared" si="53"/>
        <v>2.6452542372881358</v>
      </c>
      <c r="CN36" s="45"/>
      <c r="CO36" s="39"/>
      <c r="CP36" s="39"/>
      <c r="CQ36" s="39"/>
      <c r="CR36" s="39"/>
      <c r="CS36" s="39"/>
      <c r="CT36" s="39"/>
      <c r="CU36" s="39"/>
      <c r="CV36" s="39"/>
      <c r="CW36" s="50">
        <f t="shared" si="77"/>
        <v>0</v>
      </c>
      <c r="CX36" s="17">
        <f t="shared" si="55"/>
        <v>0</v>
      </c>
      <c r="CY36" s="50"/>
      <c r="CZ36" s="49">
        <f t="shared" si="56"/>
        <v>0</v>
      </c>
      <c r="DA36" s="49">
        <f t="shared" si="57"/>
        <v>0</v>
      </c>
    </row>
    <row r="37" spans="1:105" s="26" customFormat="1" ht="24.95" customHeight="1">
      <c r="A37" s="25"/>
      <c r="B37" s="7"/>
      <c r="C37" s="6"/>
      <c r="D37" s="7" t="s">
        <v>2</v>
      </c>
      <c r="E37" s="13">
        <f>SUM(E38:E45)</f>
        <v>40000</v>
      </c>
      <c r="F37" s="13">
        <f>SUM(F38:F45)</f>
        <v>7000</v>
      </c>
      <c r="G37" s="13">
        <f>SUM(G38:G45)</f>
        <v>3000</v>
      </c>
      <c r="H37" s="13">
        <f t="shared" ref="H37:K37" si="146">SUM(H38:H45)</f>
        <v>750</v>
      </c>
      <c r="I37" s="13">
        <f t="shared" si="146"/>
        <v>1500</v>
      </c>
      <c r="J37" s="13">
        <f t="shared" si="146"/>
        <v>2250</v>
      </c>
      <c r="K37" s="13">
        <f t="shared" si="146"/>
        <v>3000</v>
      </c>
      <c r="L37" s="13">
        <f>SUM(L38:L45)</f>
        <v>9539.1720000000005</v>
      </c>
      <c r="M37" s="13">
        <f>SUM(M38:M45)</f>
        <v>3889.991</v>
      </c>
      <c r="N37" s="19">
        <f t="shared" si="2"/>
        <v>2539.1720000000005</v>
      </c>
      <c r="O37" s="20">
        <f t="shared" si="29"/>
        <v>1.3627388571428571</v>
      </c>
      <c r="P37" s="19">
        <f t="shared" si="107"/>
        <v>889.99099999999999</v>
      </c>
      <c r="Q37" s="20">
        <f t="shared" si="30"/>
        <v>1.2966636666666667</v>
      </c>
      <c r="R37" s="20">
        <f t="shared" si="31"/>
        <v>1.2966636666666667</v>
      </c>
      <c r="S37" s="13">
        <f>SUM(S38:S45)</f>
        <v>40000</v>
      </c>
      <c r="T37" s="13">
        <f>SUM(T38:T45)</f>
        <v>7000</v>
      </c>
      <c r="U37" s="13">
        <f>SUM(U38:U45)</f>
        <v>3000</v>
      </c>
      <c r="V37" s="13">
        <f t="shared" ref="V37:Y37" si="147">SUM(V38:V45)</f>
        <v>750</v>
      </c>
      <c r="W37" s="13">
        <f t="shared" si="147"/>
        <v>1500</v>
      </c>
      <c r="X37" s="13">
        <f t="shared" si="147"/>
        <v>2250</v>
      </c>
      <c r="Y37" s="13">
        <f t="shared" si="147"/>
        <v>3000</v>
      </c>
      <c r="Z37" s="13">
        <f>SUM(Z38:Z45)</f>
        <v>9539.1720000000005</v>
      </c>
      <c r="AA37" s="13">
        <f>SUM(AA38:AA45)</f>
        <v>3889.991</v>
      </c>
      <c r="AB37" s="19">
        <f t="shared" si="5"/>
        <v>2539.1720000000005</v>
      </c>
      <c r="AC37" s="20">
        <f t="shared" si="33"/>
        <v>1.3627388571428571</v>
      </c>
      <c r="AD37" s="19">
        <f t="shared" si="109"/>
        <v>889.99099999999999</v>
      </c>
      <c r="AE37" s="20">
        <f t="shared" si="34"/>
        <v>1.2966636666666667</v>
      </c>
      <c r="AF37" s="20">
        <f t="shared" si="35"/>
        <v>1.2966636666666667</v>
      </c>
      <c r="AG37" s="13">
        <f>SUM(AG38:AG45)</f>
        <v>40000</v>
      </c>
      <c r="AH37" s="13">
        <f>SUM(AH38:AH45)</f>
        <v>7000</v>
      </c>
      <c r="AI37" s="13">
        <f>SUM(AI38:AI45)</f>
        <v>3000</v>
      </c>
      <c r="AJ37" s="13">
        <f>SUM(AJ38:AJ45)</f>
        <v>9539.1720000000005</v>
      </c>
      <c r="AK37" s="13">
        <f>SUM(AK38:AK45)</f>
        <v>3889.991</v>
      </c>
      <c r="AL37" s="19">
        <f>+AJ37-AH37</f>
        <v>2539.1720000000005</v>
      </c>
      <c r="AM37" s="20">
        <f>+IF(AH37&lt;=0,0,AJ37/AH37)</f>
        <v>1.3627388571428571</v>
      </c>
      <c r="AN37" s="19">
        <f>+AK37-AI37</f>
        <v>889.99099999999999</v>
      </c>
      <c r="AO37" s="20">
        <f>+IF(AI37&lt;=0,0,AK37/AI37)</f>
        <v>1.2966636666666667</v>
      </c>
      <c r="AP37" s="13">
        <f>SUM(AP38:AP45)</f>
        <v>43782.713294563975</v>
      </c>
      <c r="AQ37" s="13">
        <f>SUM(AQ38:AQ45)</f>
        <v>22912.011327462948</v>
      </c>
      <c r="AR37" s="13">
        <f t="shared" ref="AR37:AS37" si="148">SUM(AR38:AR45)</f>
        <v>55501.195999999996</v>
      </c>
      <c r="AS37" s="13">
        <f t="shared" si="148"/>
        <v>30212.780000000002</v>
      </c>
      <c r="AT37" s="19">
        <f t="shared" si="73"/>
        <v>11718.482705436021</v>
      </c>
      <c r="AU37" s="20">
        <f t="shared" si="74"/>
        <v>1.2676509020031652</v>
      </c>
      <c r="AV37" s="19">
        <f t="shared" si="75"/>
        <v>7300.768672537055</v>
      </c>
      <c r="AW37" s="20">
        <f t="shared" si="76"/>
        <v>1.3186437265673905</v>
      </c>
      <c r="AX37" s="13">
        <f>SUM(AX38:AX45)</f>
        <v>40000</v>
      </c>
      <c r="AY37" s="13">
        <f>SUM(AY38:AY45)</f>
        <v>7000</v>
      </c>
      <c r="AZ37" s="13">
        <f>SUM(AZ38:AZ45)</f>
        <v>3000</v>
      </c>
      <c r="BA37" s="13">
        <f t="shared" ref="BA37:BD37" si="149">SUM(BA38:BA45)</f>
        <v>750</v>
      </c>
      <c r="BB37" s="13">
        <f t="shared" si="149"/>
        <v>1500</v>
      </c>
      <c r="BC37" s="13">
        <f t="shared" si="149"/>
        <v>2250</v>
      </c>
      <c r="BD37" s="13">
        <f t="shared" si="149"/>
        <v>3000</v>
      </c>
      <c r="BE37" s="13">
        <f>SUM(BE38:BE45)</f>
        <v>9539.1720000000005</v>
      </c>
      <c r="BF37" s="13">
        <f>SUM(BF38:BF45)</f>
        <v>3889.991</v>
      </c>
      <c r="BG37" s="19">
        <f t="shared" si="20"/>
        <v>2539.1720000000005</v>
      </c>
      <c r="BH37" s="20">
        <f t="shared" si="41"/>
        <v>1.3627388571428571</v>
      </c>
      <c r="BI37" s="19">
        <f t="shared" si="111"/>
        <v>889.99099999999999</v>
      </c>
      <c r="BJ37" s="20">
        <f t="shared" si="42"/>
        <v>1.2966636666666667</v>
      </c>
      <c r="BK37" s="20">
        <f t="shared" si="43"/>
        <v>1.2966636666666667</v>
      </c>
      <c r="BL37" s="13">
        <f>SUM(BL38:BL45)</f>
        <v>30500</v>
      </c>
      <c r="BM37" s="13">
        <f>SUM(BM38:BM45)</f>
        <v>5409.9560000000001</v>
      </c>
      <c r="BN37" s="13">
        <f>SUM(BN38:BN45)</f>
        <v>3748.7560000000003</v>
      </c>
      <c r="BO37" s="13">
        <f t="shared" ref="BO37:BR37" si="150">SUM(BO38:BO45)</f>
        <v>937.18900000000008</v>
      </c>
      <c r="BP37" s="13">
        <f t="shared" si="150"/>
        <v>1874.3780000000002</v>
      </c>
      <c r="BQ37" s="13">
        <f t="shared" si="150"/>
        <v>2811.567</v>
      </c>
      <c r="BR37" s="13">
        <f t="shared" si="150"/>
        <v>3748.7560000000003</v>
      </c>
      <c r="BS37" s="13">
        <f>SUM(BS38:BS45)</f>
        <v>9138.16</v>
      </c>
      <c r="BT37" s="13">
        <f>SUM(BT38:BT45)</f>
        <v>4658.32</v>
      </c>
      <c r="BU37" s="19">
        <f t="shared" si="22"/>
        <v>3728.2039999999997</v>
      </c>
      <c r="BV37" s="20">
        <f t="shared" si="45"/>
        <v>1.6891375826346831</v>
      </c>
      <c r="BW37" s="19">
        <f t="shared" si="112"/>
        <v>909.5639999999994</v>
      </c>
      <c r="BX37" s="20">
        <f t="shared" si="46"/>
        <v>1.2426308887534956</v>
      </c>
      <c r="BY37" s="20">
        <f t="shared" si="47"/>
        <v>1.2426308887534956</v>
      </c>
      <c r="BZ37" s="13">
        <f>SUM(BZ38:BZ45)</f>
        <v>91371.84888060001</v>
      </c>
      <c r="CA37" s="13">
        <f>SUM(CA38:CA45)</f>
        <v>8321.8333333333321</v>
      </c>
      <c r="CB37" s="13">
        <f>SUM(CB38:CB45)</f>
        <v>1967.4999999999998</v>
      </c>
      <c r="CC37" s="13">
        <f t="shared" ref="CC37:CF37" si="151">SUM(CC38:CC45)</f>
        <v>491.87499999999994</v>
      </c>
      <c r="CD37" s="13">
        <f t="shared" si="151"/>
        <v>983.74999999999989</v>
      </c>
      <c r="CE37" s="13">
        <f t="shared" si="151"/>
        <v>1475.6249999999998</v>
      </c>
      <c r="CF37" s="13">
        <f t="shared" si="151"/>
        <v>1967.4999999999998</v>
      </c>
      <c r="CG37" s="13">
        <f>SUM(CG38:CG45)</f>
        <v>11609.4</v>
      </c>
      <c r="CH37" s="13">
        <f>SUM(CH38:CH45)</f>
        <v>6824.4</v>
      </c>
      <c r="CI37" s="19">
        <f t="shared" si="49"/>
        <v>3287.5666666666675</v>
      </c>
      <c r="CJ37" s="20">
        <f t="shared" si="50"/>
        <v>1.3950531733792635</v>
      </c>
      <c r="CK37" s="21">
        <f t="shared" si="51"/>
        <v>4856.8999999999996</v>
      </c>
      <c r="CL37" s="20">
        <f t="shared" si="52"/>
        <v>3.4685641677255403</v>
      </c>
      <c r="CM37" s="20">
        <f t="shared" si="53"/>
        <v>3.4685641677255403</v>
      </c>
      <c r="CN37" s="13">
        <f>SUM(CN38:CN45)</f>
        <v>126007.42083289234</v>
      </c>
      <c r="CO37" s="13">
        <f>SUM(CO38:CO45)</f>
        <v>23050.923961230634</v>
      </c>
      <c r="CP37" s="13">
        <f>SUM(CP38:CP45)</f>
        <v>14195.755327462948</v>
      </c>
      <c r="CQ37" s="13">
        <f t="shared" ref="CQ37:CT37" si="152">SUM(CQ38:CQ45)</f>
        <v>3548.938831865737</v>
      </c>
      <c r="CR37" s="13">
        <f t="shared" si="152"/>
        <v>7097.8776637314741</v>
      </c>
      <c r="CS37" s="13">
        <f t="shared" si="152"/>
        <v>10646.816495597212</v>
      </c>
      <c r="CT37" s="13">
        <f t="shared" si="152"/>
        <v>14195.755327462948</v>
      </c>
      <c r="CU37" s="13">
        <f>SUM(CU38:CU45)</f>
        <v>25214.464</v>
      </c>
      <c r="CV37" s="13">
        <f>SUM(CV38:CV45)</f>
        <v>14840.069000000001</v>
      </c>
      <c r="CW37" s="30">
        <f t="shared" si="77"/>
        <v>2163.5400387693662</v>
      </c>
      <c r="CX37" s="20">
        <f t="shared" si="55"/>
        <v>1.0938591460545455</v>
      </c>
      <c r="CY37" s="30">
        <f t="shared" ref="CY37:CY59" si="153">+CV37-CP37</f>
        <v>644.31367253705321</v>
      </c>
      <c r="CZ37" s="20">
        <f t="shared" si="56"/>
        <v>1.045387769630727</v>
      </c>
      <c r="DA37" s="20">
        <f t="shared" si="57"/>
        <v>1.045387769630727</v>
      </c>
    </row>
    <row r="38" spans="1:105" ht="24.95" customHeight="1">
      <c r="A38" s="4" t="s">
        <v>14</v>
      </c>
      <c r="B38" s="9">
        <v>10447</v>
      </c>
      <c r="C38" s="5">
        <f t="shared" si="72"/>
        <v>1</v>
      </c>
      <c r="D38" s="8" t="s">
        <v>78</v>
      </c>
      <c r="E38" s="45">
        <v>2300</v>
      </c>
      <c r="F38" s="39">
        <v>500</v>
      </c>
      <c r="G38" s="39">
        <v>200</v>
      </c>
      <c r="H38" s="39">
        <f t="shared" ref="H38:H45" si="154">+G38*0.25</f>
        <v>50</v>
      </c>
      <c r="I38" s="39">
        <f t="shared" ref="I38:I45" si="155">+G38*0.5</f>
        <v>100</v>
      </c>
      <c r="J38" s="39">
        <f t="shared" ref="J38:J45" si="156">+G38*0.75</f>
        <v>150</v>
      </c>
      <c r="K38" s="39">
        <f t="shared" ref="K38:K45" si="157">+G38</f>
        <v>200</v>
      </c>
      <c r="L38" s="39">
        <v>636</v>
      </c>
      <c r="M38" s="39">
        <v>500</v>
      </c>
      <c r="N38" s="48">
        <f t="shared" si="2"/>
        <v>136</v>
      </c>
      <c r="O38" s="49">
        <f t="shared" si="29"/>
        <v>1.272</v>
      </c>
      <c r="P38" s="48">
        <f t="shared" si="107"/>
        <v>300</v>
      </c>
      <c r="Q38" s="49">
        <f t="shared" si="30"/>
        <v>2.5</v>
      </c>
      <c r="R38" s="49">
        <f t="shared" si="31"/>
        <v>2.5</v>
      </c>
      <c r="S38" s="45">
        <v>2300</v>
      </c>
      <c r="T38" s="39">
        <v>500</v>
      </c>
      <c r="U38" s="39">
        <v>200</v>
      </c>
      <c r="V38" s="39">
        <f t="shared" ref="V38:V45" si="158">+U38*0.25</f>
        <v>50</v>
      </c>
      <c r="W38" s="39">
        <f t="shared" ref="W38:W45" si="159">+U38*0.5</f>
        <v>100</v>
      </c>
      <c r="X38" s="39">
        <f t="shared" ref="X38:X45" si="160">+U38*0.75</f>
        <v>150</v>
      </c>
      <c r="Y38" s="39">
        <f t="shared" ref="Y38:Y45" si="161">+U38</f>
        <v>200</v>
      </c>
      <c r="Z38" s="39">
        <v>636</v>
      </c>
      <c r="AA38" s="39">
        <v>500</v>
      </c>
      <c r="AB38" s="48">
        <f t="shared" si="5"/>
        <v>136</v>
      </c>
      <c r="AC38" s="49">
        <f t="shared" si="33"/>
        <v>1.272</v>
      </c>
      <c r="AD38" s="48">
        <f t="shared" si="109"/>
        <v>300</v>
      </c>
      <c r="AE38" s="49">
        <f t="shared" si="34"/>
        <v>2.5</v>
      </c>
      <c r="AF38" s="49">
        <f t="shared" si="35"/>
        <v>2.5</v>
      </c>
      <c r="AG38" s="45">
        <v>2300</v>
      </c>
      <c r="AH38" s="39">
        <v>500</v>
      </c>
      <c r="AI38" s="39">
        <v>200</v>
      </c>
      <c r="AJ38" s="39">
        <v>636</v>
      </c>
      <c r="AK38" s="39">
        <v>500</v>
      </c>
      <c r="AL38" s="48">
        <f>+AJ38-AH38</f>
        <v>136</v>
      </c>
      <c r="AM38" s="49">
        <f>+IF(AH38&lt;=0,0,AJ38/AH38)</f>
        <v>1.272</v>
      </c>
      <c r="AN38" s="48">
        <f>+AK38-AI38</f>
        <v>300</v>
      </c>
      <c r="AO38" s="49">
        <f>+IF(AI38&lt;=0,0,AK38/AI38)</f>
        <v>2.5</v>
      </c>
      <c r="AP38" s="39">
        <f t="shared" ref="AP38:AQ45" si="162">+AY38+BM38+CA38+CO38</f>
        <v>4957.3097520979136</v>
      </c>
      <c r="AQ38" s="39">
        <f t="shared" si="162"/>
        <v>2444.5624303850882</v>
      </c>
      <c r="AR38" s="39">
        <f t="shared" ref="AR38:AS45" si="163">+BE38+BS38+CG38++CU38</f>
        <v>5845.5660000000007</v>
      </c>
      <c r="AS38" s="39">
        <f t="shared" si="163"/>
        <v>3182.7660000000005</v>
      </c>
      <c r="AT38" s="39">
        <f t="shared" ref="AT38:AT45" si="164">+AR38-AP38</f>
        <v>888.25624790208713</v>
      </c>
      <c r="AU38" s="17">
        <f t="shared" si="74"/>
        <v>1.179181106753755</v>
      </c>
      <c r="AV38" s="39">
        <f t="shared" si="75"/>
        <v>738.20356961491234</v>
      </c>
      <c r="AW38" s="17">
        <f t="shared" si="76"/>
        <v>1.3019777938330763</v>
      </c>
      <c r="AX38" s="45">
        <v>2300</v>
      </c>
      <c r="AY38" s="39">
        <v>500</v>
      </c>
      <c r="AZ38" s="39">
        <v>200</v>
      </c>
      <c r="BA38" s="39">
        <f t="shared" ref="BA38:BA45" si="165">+AZ38*0.25</f>
        <v>50</v>
      </c>
      <c r="BB38" s="39">
        <f t="shared" ref="BB38:BB45" si="166">+AZ38*0.5</f>
        <v>100</v>
      </c>
      <c r="BC38" s="39">
        <f t="shared" ref="BC38:BC45" si="167">+AZ38*0.75</f>
        <v>150</v>
      </c>
      <c r="BD38" s="39">
        <f t="shared" ref="BD38:BD45" si="168">+AZ38</f>
        <v>200</v>
      </c>
      <c r="BE38" s="39">
        <v>636</v>
      </c>
      <c r="BF38" s="39">
        <v>500</v>
      </c>
      <c r="BG38" s="48">
        <f t="shared" si="20"/>
        <v>136</v>
      </c>
      <c r="BH38" s="49">
        <f t="shared" si="41"/>
        <v>1.272</v>
      </c>
      <c r="BI38" s="48">
        <f t="shared" si="111"/>
        <v>300</v>
      </c>
      <c r="BJ38" s="49">
        <f t="shared" si="42"/>
        <v>2.5</v>
      </c>
      <c r="BK38" s="49">
        <f t="shared" si="43"/>
        <v>2.5</v>
      </c>
      <c r="BL38" s="45">
        <v>3006.3574257425744</v>
      </c>
      <c r="BM38" s="39">
        <v>576.35742574257426</v>
      </c>
      <c r="BN38" s="39">
        <v>400</v>
      </c>
      <c r="BO38" s="39">
        <f t="shared" ref="BO38:BO45" si="169">+BN38*0.25</f>
        <v>100</v>
      </c>
      <c r="BP38" s="39">
        <f t="shared" ref="BP38:BP45" si="170">+BN38*0.5</f>
        <v>200</v>
      </c>
      <c r="BQ38" s="39">
        <f t="shared" ref="BQ38:BQ45" si="171">+BN38*0.75</f>
        <v>300</v>
      </c>
      <c r="BR38" s="39">
        <f t="shared" ref="BR38:BR45" si="172">+BN38</f>
        <v>400</v>
      </c>
      <c r="BS38" s="39">
        <v>979</v>
      </c>
      <c r="BT38" s="39">
        <v>557.5</v>
      </c>
      <c r="BU38" s="48">
        <f t="shared" si="22"/>
        <v>402.64257425742574</v>
      </c>
      <c r="BV38" s="49">
        <f t="shared" si="45"/>
        <v>1.6985987449344724</v>
      </c>
      <c r="BW38" s="48">
        <f t="shared" si="112"/>
        <v>157.5</v>
      </c>
      <c r="BX38" s="49">
        <f t="shared" si="46"/>
        <v>1.39375</v>
      </c>
      <c r="BY38" s="49">
        <f t="shared" si="47"/>
        <v>1.39375</v>
      </c>
      <c r="BZ38" s="45">
        <v>10799.999999999998</v>
      </c>
      <c r="CA38" s="39">
        <v>1000</v>
      </c>
      <c r="CB38" s="39">
        <v>200</v>
      </c>
      <c r="CC38" s="39">
        <f t="shared" ref="CC38:CC45" si="173">+CB38*0.25</f>
        <v>50</v>
      </c>
      <c r="CD38" s="39">
        <f t="shared" ref="CD38:CD45" si="174">+CB38*0.5</f>
        <v>100</v>
      </c>
      <c r="CE38" s="39">
        <f t="shared" ref="CE38:CE45" si="175">+CB38*0.75</f>
        <v>150</v>
      </c>
      <c r="CF38" s="39">
        <f t="shared" ref="CF38:CF45" si="176">+CB38</f>
        <v>200</v>
      </c>
      <c r="CG38" s="39">
        <v>1103</v>
      </c>
      <c r="CH38" s="39">
        <v>481</v>
      </c>
      <c r="CI38" s="52">
        <f t="shared" si="49"/>
        <v>103</v>
      </c>
      <c r="CJ38" s="49">
        <f t="shared" si="50"/>
        <v>1.103</v>
      </c>
      <c r="CK38" s="53">
        <f t="shared" si="51"/>
        <v>281</v>
      </c>
      <c r="CL38" s="49">
        <f t="shared" si="52"/>
        <v>2.4049999999999998</v>
      </c>
      <c r="CM38" s="49">
        <f t="shared" si="53"/>
        <v>2.4049999999999998</v>
      </c>
      <c r="CN38" s="45">
        <v>15915.061304920493</v>
      </c>
      <c r="CO38" s="39">
        <v>2880.9523263553388</v>
      </c>
      <c r="CP38" s="39">
        <v>1644.5624303850882</v>
      </c>
      <c r="CQ38" s="39">
        <f t="shared" ref="CQ38:CQ65" si="177">+CP38*0.25</f>
        <v>411.14060759627205</v>
      </c>
      <c r="CR38" s="39">
        <f t="shared" ref="CR38" si="178">+CP38*0.5</f>
        <v>822.2812151925441</v>
      </c>
      <c r="CS38" s="39">
        <f t="shared" ref="CS38" si="179">+CP38*0.75</f>
        <v>1233.4218227888161</v>
      </c>
      <c r="CT38" s="39">
        <f t="shared" ref="CT38" si="180">+CP38</f>
        <v>1644.5624303850882</v>
      </c>
      <c r="CU38" s="39">
        <v>3127.5660000000003</v>
      </c>
      <c r="CV38" s="39">
        <v>1644.2660000000003</v>
      </c>
      <c r="CW38" s="50">
        <f t="shared" si="77"/>
        <v>246.6136736446615</v>
      </c>
      <c r="CX38" s="17">
        <f t="shared" si="55"/>
        <v>1.0856014420608791</v>
      </c>
      <c r="CY38" s="50">
        <f t="shared" si="153"/>
        <v>-0.29643038508788777</v>
      </c>
      <c r="CZ38" s="49">
        <f t="shared" si="56"/>
        <v>0.99981975121186584</v>
      </c>
      <c r="DA38" s="49">
        <f t="shared" si="57"/>
        <v>0.99981975121186584</v>
      </c>
    </row>
    <row r="39" spans="1:105" ht="24.95" customHeight="1">
      <c r="A39" s="4" t="s">
        <v>22</v>
      </c>
      <c r="B39" s="9">
        <v>11412</v>
      </c>
      <c r="C39" s="5">
        <f t="shared" si="72"/>
        <v>2</v>
      </c>
      <c r="D39" s="8" t="s">
        <v>79</v>
      </c>
      <c r="E39" s="45">
        <v>6450</v>
      </c>
      <c r="F39" s="39">
        <v>1300</v>
      </c>
      <c r="G39" s="39">
        <v>600</v>
      </c>
      <c r="H39" s="39">
        <f t="shared" si="154"/>
        <v>150</v>
      </c>
      <c r="I39" s="39">
        <f t="shared" si="155"/>
        <v>300</v>
      </c>
      <c r="J39" s="39">
        <f t="shared" si="156"/>
        <v>450</v>
      </c>
      <c r="K39" s="39">
        <f t="shared" si="157"/>
        <v>600</v>
      </c>
      <c r="L39" s="39">
        <v>1587</v>
      </c>
      <c r="M39" s="39">
        <v>893</v>
      </c>
      <c r="N39" s="48">
        <f t="shared" si="2"/>
        <v>287</v>
      </c>
      <c r="O39" s="49">
        <f t="shared" si="29"/>
        <v>1.2207692307692308</v>
      </c>
      <c r="P39" s="48">
        <f t="shared" si="107"/>
        <v>293</v>
      </c>
      <c r="Q39" s="49">
        <f t="shared" si="30"/>
        <v>1.4883333333333333</v>
      </c>
      <c r="R39" s="49">
        <f t="shared" si="31"/>
        <v>1.4883333333333333</v>
      </c>
      <c r="S39" s="45">
        <v>6450</v>
      </c>
      <c r="T39" s="39">
        <v>1300</v>
      </c>
      <c r="U39" s="39">
        <v>600</v>
      </c>
      <c r="V39" s="39">
        <f t="shared" si="158"/>
        <v>150</v>
      </c>
      <c r="W39" s="39">
        <f t="shared" si="159"/>
        <v>300</v>
      </c>
      <c r="X39" s="39">
        <f t="shared" si="160"/>
        <v>450</v>
      </c>
      <c r="Y39" s="39">
        <f t="shared" si="161"/>
        <v>600</v>
      </c>
      <c r="Z39" s="39">
        <v>1587</v>
      </c>
      <c r="AA39" s="39">
        <v>893</v>
      </c>
      <c r="AB39" s="48">
        <f t="shared" si="5"/>
        <v>287</v>
      </c>
      <c r="AC39" s="49">
        <f t="shared" si="33"/>
        <v>1.2207692307692308</v>
      </c>
      <c r="AD39" s="48">
        <f t="shared" si="109"/>
        <v>293</v>
      </c>
      <c r="AE39" s="49">
        <f t="shared" si="34"/>
        <v>1.4883333333333333</v>
      </c>
      <c r="AF39" s="49">
        <f t="shared" si="35"/>
        <v>1.4883333333333333</v>
      </c>
      <c r="AG39" s="45">
        <v>6450</v>
      </c>
      <c r="AH39" s="39">
        <v>1300</v>
      </c>
      <c r="AI39" s="39">
        <v>600</v>
      </c>
      <c r="AJ39" s="39">
        <v>1587</v>
      </c>
      <c r="AK39" s="39">
        <v>893</v>
      </c>
      <c r="AL39" s="48">
        <f>+AJ39-AH39</f>
        <v>287</v>
      </c>
      <c r="AM39" s="49">
        <f>+IF(AH39&lt;=0,0,AJ39/AH39)</f>
        <v>1.2207692307692308</v>
      </c>
      <c r="AN39" s="48">
        <f>+AK39-AI39</f>
        <v>293</v>
      </c>
      <c r="AO39" s="49">
        <f>+IF(AI39&lt;=0,0,AK39/AI39)</f>
        <v>1.4883333333333333</v>
      </c>
      <c r="AP39" s="39">
        <f t="shared" si="162"/>
        <v>7882.5730925475145</v>
      </c>
      <c r="AQ39" s="39">
        <f t="shared" si="162"/>
        <v>4523.4407420143025</v>
      </c>
      <c r="AR39" s="39">
        <f t="shared" si="163"/>
        <v>9854.8349999999991</v>
      </c>
      <c r="AS39" s="39">
        <f t="shared" si="163"/>
        <v>5818.6350000000002</v>
      </c>
      <c r="AT39" s="39">
        <f t="shared" si="164"/>
        <v>1972.2619074524846</v>
      </c>
      <c r="AU39" s="17">
        <f t="shared" si="74"/>
        <v>1.2502053433944222</v>
      </c>
      <c r="AV39" s="39">
        <f t="shared" si="75"/>
        <v>1295.1942579856977</v>
      </c>
      <c r="AW39" s="17">
        <f t="shared" si="76"/>
        <v>1.2863294407630381</v>
      </c>
      <c r="AX39" s="45">
        <v>6450</v>
      </c>
      <c r="AY39" s="39">
        <v>1300</v>
      </c>
      <c r="AZ39" s="39">
        <v>600</v>
      </c>
      <c r="BA39" s="39">
        <f t="shared" si="165"/>
        <v>150</v>
      </c>
      <c r="BB39" s="39">
        <f t="shared" si="166"/>
        <v>300</v>
      </c>
      <c r="BC39" s="39">
        <f t="shared" si="167"/>
        <v>450</v>
      </c>
      <c r="BD39" s="39">
        <f t="shared" si="168"/>
        <v>600</v>
      </c>
      <c r="BE39" s="39">
        <v>1587</v>
      </c>
      <c r="BF39" s="39">
        <v>893</v>
      </c>
      <c r="BG39" s="48">
        <f t="shared" ref="BG39:BG70" si="181">+BE39-AY39</f>
        <v>287</v>
      </c>
      <c r="BH39" s="49">
        <f t="shared" si="41"/>
        <v>1.2207692307692308</v>
      </c>
      <c r="BI39" s="48">
        <f t="shared" si="111"/>
        <v>293</v>
      </c>
      <c r="BJ39" s="49">
        <f t="shared" si="42"/>
        <v>1.4883333333333333</v>
      </c>
      <c r="BK39" s="49">
        <f t="shared" si="43"/>
        <v>1.4883333333333333</v>
      </c>
      <c r="BL39" s="45">
        <v>4227.7227722772277</v>
      </c>
      <c r="BM39" s="39">
        <v>749.89489108910891</v>
      </c>
      <c r="BN39" s="39">
        <v>519.62954455445538</v>
      </c>
      <c r="BO39" s="39">
        <f t="shared" si="169"/>
        <v>129.90738613861384</v>
      </c>
      <c r="BP39" s="39">
        <f t="shared" si="170"/>
        <v>259.81477227722769</v>
      </c>
      <c r="BQ39" s="39">
        <f t="shared" si="171"/>
        <v>389.72215841584153</v>
      </c>
      <c r="BR39" s="39">
        <f t="shared" si="172"/>
        <v>519.62954455445538</v>
      </c>
      <c r="BS39" s="39">
        <v>1410.9</v>
      </c>
      <c r="BT39" s="39">
        <v>640.20000000000005</v>
      </c>
      <c r="BU39" s="48">
        <f t="shared" ref="BU39:BU70" si="182">+BS39-BM39</f>
        <v>661.00510891089118</v>
      </c>
      <c r="BV39" s="49">
        <f t="shared" si="45"/>
        <v>1.8814636781307861</v>
      </c>
      <c r="BW39" s="48">
        <f t="shared" si="112"/>
        <v>120.57045544554467</v>
      </c>
      <c r="BX39" s="49">
        <f t="shared" si="46"/>
        <v>1.2320315630800498</v>
      </c>
      <c r="BY39" s="49">
        <f t="shared" si="47"/>
        <v>1.2320315630800498</v>
      </c>
      <c r="BZ39" s="45">
        <v>12899.999999999998</v>
      </c>
      <c r="CA39" s="39">
        <v>1200</v>
      </c>
      <c r="CB39" s="39">
        <v>300</v>
      </c>
      <c r="CC39" s="39">
        <f t="shared" si="173"/>
        <v>75</v>
      </c>
      <c r="CD39" s="39">
        <f t="shared" si="174"/>
        <v>150</v>
      </c>
      <c r="CE39" s="39">
        <f t="shared" si="175"/>
        <v>225</v>
      </c>
      <c r="CF39" s="39">
        <f t="shared" si="176"/>
        <v>300</v>
      </c>
      <c r="CG39" s="39">
        <v>1801.4</v>
      </c>
      <c r="CH39" s="39">
        <v>1149.4000000000001</v>
      </c>
      <c r="CI39" s="52">
        <f t="shared" si="49"/>
        <v>601.40000000000009</v>
      </c>
      <c r="CJ39" s="49">
        <f t="shared" si="50"/>
        <v>1.5011666666666668</v>
      </c>
      <c r="CK39" s="53">
        <f t="shared" si="51"/>
        <v>849.40000000000009</v>
      </c>
      <c r="CL39" s="49">
        <f t="shared" si="52"/>
        <v>3.8313333333333337</v>
      </c>
      <c r="CM39" s="49">
        <f t="shared" si="53"/>
        <v>3.8313333333333337</v>
      </c>
      <c r="CN39" s="45">
        <v>19531.328810176619</v>
      </c>
      <c r="CO39" s="39">
        <v>4632.678201458406</v>
      </c>
      <c r="CP39" s="39">
        <v>3103.8111974598469</v>
      </c>
      <c r="CQ39" s="39">
        <f t="shared" si="177"/>
        <v>775.95279936496172</v>
      </c>
      <c r="CR39" s="39">
        <f t="shared" ref="CR39:CR45" si="183">+CP39*0.5</f>
        <v>1551.9055987299234</v>
      </c>
      <c r="CS39" s="39">
        <f t="shared" ref="CS39:CS45" si="184">+CP39*0.75</f>
        <v>2327.8583980948852</v>
      </c>
      <c r="CT39" s="39">
        <f t="shared" ref="CT39:CT45" si="185">+CP39</f>
        <v>3103.8111974598469</v>
      </c>
      <c r="CU39" s="39">
        <v>5055.5349999999999</v>
      </c>
      <c r="CV39" s="39">
        <v>3136.0349999999999</v>
      </c>
      <c r="CW39" s="50">
        <f t="shared" si="77"/>
        <v>422.85679854159389</v>
      </c>
      <c r="CX39" s="17">
        <f t="shared" si="55"/>
        <v>1.0912769633790829</v>
      </c>
      <c r="CY39" s="50">
        <f t="shared" si="153"/>
        <v>32.223802540152974</v>
      </c>
      <c r="CZ39" s="49">
        <f t="shared" si="56"/>
        <v>1.0103820111759778</v>
      </c>
      <c r="DA39" s="49">
        <f t="shared" si="57"/>
        <v>1.0103820111759778</v>
      </c>
    </row>
    <row r="40" spans="1:105" ht="24.95" customHeight="1">
      <c r="A40" s="4" t="s">
        <v>10</v>
      </c>
      <c r="B40" s="9">
        <v>11413</v>
      </c>
      <c r="C40" s="5">
        <f t="shared" si="72"/>
        <v>3</v>
      </c>
      <c r="D40" s="8" t="s">
        <v>80</v>
      </c>
      <c r="E40" s="45">
        <v>6250</v>
      </c>
      <c r="F40" s="39">
        <v>800</v>
      </c>
      <c r="G40" s="39">
        <v>300</v>
      </c>
      <c r="H40" s="39">
        <f t="shared" si="154"/>
        <v>75</v>
      </c>
      <c r="I40" s="39">
        <f t="shared" si="155"/>
        <v>150</v>
      </c>
      <c r="J40" s="39">
        <f t="shared" si="156"/>
        <v>225</v>
      </c>
      <c r="K40" s="39">
        <f t="shared" si="157"/>
        <v>300</v>
      </c>
      <c r="L40" s="39">
        <v>1545.8</v>
      </c>
      <c r="M40" s="39">
        <v>331.4</v>
      </c>
      <c r="N40" s="48">
        <f t="shared" si="2"/>
        <v>745.8</v>
      </c>
      <c r="O40" s="49">
        <f t="shared" si="29"/>
        <v>1.93225</v>
      </c>
      <c r="P40" s="48">
        <f t="shared" si="107"/>
        <v>31.399999999999977</v>
      </c>
      <c r="Q40" s="49">
        <f t="shared" si="30"/>
        <v>1.1046666666666667</v>
      </c>
      <c r="R40" s="49">
        <f t="shared" si="31"/>
        <v>1.1046666666666667</v>
      </c>
      <c r="S40" s="45">
        <v>6250</v>
      </c>
      <c r="T40" s="39">
        <v>800</v>
      </c>
      <c r="U40" s="39">
        <v>300</v>
      </c>
      <c r="V40" s="39">
        <f t="shared" si="158"/>
        <v>75</v>
      </c>
      <c r="W40" s="39">
        <f t="shared" si="159"/>
        <v>150</v>
      </c>
      <c r="X40" s="39">
        <f t="shared" si="160"/>
        <v>225</v>
      </c>
      <c r="Y40" s="39">
        <f t="shared" si="161"/>
        <v>300</v>
      </c>
      <c r="Z40" s="39">
        <v>1545.8</v>
      </c>
      <c r="AA40" s="39">
        <v>331.4</v>
      </c>
      <c r="AB40" s="48">
        <f t="shared" si="5"/>
        <v>745.8</v>
      </c>
      <c r="AC40" s="49">
        <f t="shared" si="33"/>
        <v>1.93225</v>
      </c>
      <c r="AD40" s="48">
        <f t="shared" si="109"/>
        <v>31.399999999999977</v>
      </c>
      <c r="AE40" s="49">
        <f t="shared" si="34"/>
        <v>1.1046666666666667</v>
      </c>
      <c r="AF40" s="49">
        <f t="shared" si="35"/>
        <v>1.1046666666666667</v>
      </c>
      <c r="AG40" s="45">
        <v>6250</v>
      </c>
      <c r="AH40" s="39">
        <v>800</v>
      </c>
      <c r="AI40" s="39">
        <v>300</v>
      </c>
      <c r="AJ40" s="39">
        <v>1545.8</v>
      </c>
      <c r="AK40" s="39">
        <v>331.4</v>
      </c>
      <c r="AL40" s="48">
        <f>+AJ40-AH40</f>
        <v>745.8</v>
      </c>
      <c r="AM40" s="49">
        <f>+IF(AH40&lt;=0,0,AJ40/AH40)</f>
        <v>1.93225</v>
      </c>
      <c r="AN40" s="48">
        <f>+AK40-AI40</f>
        <v>31.399999999999977</v>
      </c>
      <c r="AO40" s="49">
        <f>+IF(AI40&lt;=0,0,AK40/AI40)</f>
        <v>1.1046666666666667</v>
      </c>
      <c r="AP40" s="39">
        <f t="shared" si="162"/>
        <v>5534.0607245061728</v>
      </c>
      <c r="AQ40" s="39">
        <f t="shared" si="162"/>
        <v>2714.9848442078319</v>
      </c>
      <c r="AR40" s="39">
        <f t="shared" si="163"/>
        <v>8355.9749999999985</v>
      </c>
      <c r="AS40" s="39">
        <f t="shared" si="163"/>
        <v>3682.0050000000001</v>
      </c>
      <c r="AT40" s="39">
        <f t="shared" si="164"/>
        <v>2821.9142754938257</v>
      </c>
      <c r="AU40" s="17">
        <f t="shared" si="74"/>
        <v>1.5099174757873002</v>
      </c>
      <c r="AV40" s="39">
        <f t="shared" si="75"/>
        <v>967.02015579216823</v>
      </c>
      <c r="AW40" s="17">
        <f t="shared" si="76"/>
        <v>1.3561788412392857</v>
      </c>
      <c r="AX40" s="45">
        <v>6250</v>
      </c>
      <c r="AY40" s="39">
        <v>800</v>
      </c>
      <c r="AZ40" s="39">
        <v>300</v>
      </c>
      <c r="BA40" s="39">
        <f t="shared" si="165"/>
        <v>75</v>
      </c>
      <c r="BB40" s="39">
        <f t="shared" si="166"/>
        <v>150</v>
      </c>
      <c r="BC40" s="39">
        <f t="shared" si="167"/>
        <v>225</v>
      </c>
      <c r="BD40" s="39">
        <f t="shared" si="168"/>
        <v>300</v>
      </c>
      <c r="BE40" s="39">
        <v>1545.8</v>
      </c>
      <c r="BF40" s="39">
        <v>331.4</v>
      </c>
      <c r="BG40" s="48">
        <f t="shared" si="181"/>
        <v>745.8</v>
      </c>
      <c r="BH40" s="49">
        <f t="shared" si="41"/>
        <v>1.93225</v>
      </c>
      <c r="BI40" s="48">
        <f t="shared" si="111"/>
        <v>31.399999999999977</v>
      </c>
      <c r="BJ40" s="49">
        <f t="shared" si="42"/>
        <v>1.1046666666666667</v>
      </c>
      <c r="BK40" s="49">
        <f t="shared" si="43"/>
        <v>1.1046666666666667</v>
      </c>
      <c r="BL40" s="45">
        <v>4227.7227722772277</v>
      </c>
      <c r="BM40" s="39">
        <v>749.89489108910891</v>
      </c>
      <c r="BN40" s="39">
        <v>519.62954455445538</v>
      </c>
      <c r="BO40" s="39">
        <f t="shared" si="169"/>
        <v>129.90738613861384</v>
      </c>
      <c r="BP40" s="39">
        <f t="shared" si="170"/>
        <v>259.81477227722769</v>
      </c>
      <c r="BQ40" s="39">
        <f t="shared" si="171"/>
        <v>389.72215841584153</v>
      </c>
      <c r="BR40" s="39">
        <f t="shared" si="172"/>
        <v>519.62954455445538</v>
      </c>
      <c r="BS40" s="39">
        <v>2052.1</v>
      </c>
      <c r="BT40" s="39">
        <v>900.5</v>
      </c>
      <c r="BU40" s="48">
        <f t="shared" si="182"/>
        <v>1302.2051089108909</v>
      </c>
      <c r="BV40" s="49">
        <f t="shared" si="45"/>
        <v>2.7365168430733471</v>
      </c>
      <c r="BW40" s="48">
        <f t="shared" si="112"/>
        <v>380.87045544554462</v>
      </c>
      <c r="BX40" s="49">
        <f t="shared" si="46"/>
        <v>1.7329653585654246</v>
      </c>
      <c r="BY40" s="49">
        <f t="shared" si="47"/>
        <v>1.7329653585654246</v>
      </c>
      <c r="BZ40" s="45">
        <v>11300</v>
      </c>
      <c r="CA40" s="39">
        <v>900</v>
      </c>
      <c r="CB40" s="39">
        <v>200</v>
      </c>
      <c r="CC40" s="39">
        <f t="shared" si="173"/>
        <v>50</v>
      </c>
      <c r="CD40" s="39">
        <f t="shared" si="174"/>
        <v>100</v>
      </c>
      <c r="CE40" s="39">
        <f t="shared" si="175"/>
        <v>150</v>
      </c>
      <c r="CF40" s="39">
        <f t="shared" si="176"/>
        <v>200</v>
      </c>
      <c r="CG40" s="39">
        <v>1531</v>
      </c>
      <c r="CH40" s="39">
        <v>704</v>
      </c>
      <c r="CI40" s="52">
        <f t="shared" ref="CI40:CI71" si="186">+CG40-CA40</f>
        <v>631</v>
      </c>
      <c r="CJ40" s="49">
        <f t="shared" si="50"/>
        <v>1.701111111111111</v>
      </c>
      <c r="CK40" s="48">
        <f t="shared" ref="CK40:CK71" si="187">+CH40-CB40</f>
        <v>504</v>
      </c>
      <c r="CL40" s="49">
        <f t="shared" si="52"/>
        <v>3.52</v>
      </c>
      <c r="CM40" s="49">
        <f t="shared" si="53"/>
        <v>3.52</v>
      </c>
      <c r="CN40" s="45">
        <v>16393.320269046071</v>
      </c>
      <c r="CO40" s="39">
        <v>3084.1658334170634</v>
      </c>
      <c r="CP40" s="39">
        <v>1695.3552996533763</v>
      </c>
      <c r="CQ40" s="39">
        <f t="shared" si="177"/>
        <v>423.83882491334407</v>
      </c>
      <c r="CR40" s="39">
        <f t="shared" si="183"/>
        <v>847.67764982668814</v>
      </c>
      <c r="CS40" s="39">
        <f t="shared" si="184"/>
        <v>1271.5164747400322</v>
      </c>
      <c r="CT40" s="39">
        <f t="shared" si="185"/>
        <v>1695.3552996533763</v>
      </c>
      <c r="CU40" s="39">
        <v>3227.0749999999998</v>
      </c>
      <c r="CV40" s="39">
        <v>1746.1049999999998</v>
      </c>
      <c r="CW40" s="50">
        <f t="shared" si="77"/>
        <v>142.90916658293645</v>
      </c>
      <c r="CX40" s="17">
        <f t="shared" si="55"/>
        <v>1.0463364080603286</v>
      </c>
      <c r="CY40" s="50">
        <f t="shared" si="153"/>
        <v>50.749700346623513</v>
      </c>
      <c r="CZ40" s="49">
        <f t="shared" si="56"/>
        <v>1.0299345513928553</v>
      </c>
      <c r="DA40" s="49">
        <f t="shared" si="57"/>
        <v>1.0299345513928553</v>
      </c>
    </row>
    <row r="41" spans="1:105" ht="24.95" customHeight="1">
      <c r="A41" s="4" t="s">
        <v>21</v>
      </c>
      <c r="B41" s="9">
        <v>11785</v>
      </c>
      <c r="C41" s="5">
        <f t="shared" si="72"/>
        <v>4</v>
      </c>
      <c r="D41" s="8" t="s">
        <v>81</v>
      </c>
      <c r="E41" s="45">
        <v>7600</v>
      </c>
      <c r="F41" s="39">
        <v>1150</v>
      </c>
      <c r="G41" s="39">
        <v>600</v>
      </c>
      <c r="H41" s="39">
        <f t="shared" si="154"/>
        <v>150</v>
      </c>
      <c r="I41" s="39">
        <f t="shared" si="155"/>
        <v>300</v>
      </c>
      <c r="J41" s="39">
        <f t="shared" si="156"/>
        <v>450</v>
      </c>
      <c r="K41" s="39">
        <f t="shared" si="157"/>
        <v>600</v>
      </c>
      <c r="L41" s="39">
        <v>2615.9340000000002</v>
      </c>
      <c r="M41" s="39">
        <v>1231.0630000000001</v>
      </c>
      <c r="N41" s="48">
        <f t="shared" si="2"/>
        <v>1465.9340000000002</v>
      </c>
      <c r="O41" s="49">
        <f t="shared" si="29"/>
        <v>2.2747252173913046</v>
      </c>
      <c r="P41" s="48">
        <f t="shared" si="107"/>
        <v>631.0630000000001</v>
      </c>
      <c r="Q41" s="49">
        <f t="shared" si="30"/>
        <v>2.0517716666666668</v>
      </c>
      <c r="R41" s="49">
        <f t="shared" si="31"/>
        <v>2.0517716666666668</v>
      </c>
      <c r="S41" s="45">
        <v>7600</v>
      </c>
      <c r="T41" s="39">
        <v>1150</v>
      </c>
      <c r="U41" s="39">
        <v>600</v>
      </c>
      <c r="V41" s="39">
        <f t="shared" si="158"/>
        <v>150</v>
      </c>
      <c r="W41" s="39">
        <f t="shared" si="159"/>
        <v>300</v>
      </c>
      <c r="X41" s="39">
        <f t="shared" si="160"/>
        <v>450</v>
      </c>
      <c r="Y41" s="39">
        <f t="shared" si="161"/>
        <v>600</v>
      </c>
      <c r="Z41" s="39">
        <v>2615.9340000000002</v>
      </c>
      <c r="AA41" s="39">
        <v>1231.0630000000001</v>
      </c>
      <c r="AB41" s="48">
        <f t="shared" si="5"/>
        <v>1465.9340000000002</v>
      </c>
      <c r="AC41" s="49">
        <f t="shared" si="33"/>
        <v>2.2747252173913046</v>
      </c>
      <c r="AD41" s="48">
        <f t="shared" si="109"/>
        <v>631.0630000000001</v>
      </c>
      <c r="AE41" s="49">
        <f t="shared" si="34"/>
        <v>2.0517716666666668</v>
      </c>
      <c r="AF41" s="49">
        <f t="shared" si="35"/>
        <v>2.0517716666666668</v>
      </c>
      <c r="AG41" s="45">
        <v>7600</v>
      </c>
      <c r="AH41" s="39">
        <v>1150</v>
      </c>
      <c r="AI41" s="39">
        <v>600</v>
      </c>
      <c r="AJ41" s="39">
        <v>2615.9340000000002</v>
      </c>
      <c r="AK41" s="39">
        <v>1231.0630000000001</v>
      </c>
      <c r="AL41" s="48">
        <f>+AJ41-AH41</f>
        <v>1465.9340000000002</v>
      </c>
      <c r="AM41" s="49">
        <f>+IF(AH41&lt;=0,0,AJ41/AH41)</f>
        <v>2.2747252173913046</v>
      </c>
      <c r="AN41" s="48">
        <f>+AK41-AI41</f>
        <v>631.0630000000001</v>
      </c>
      <c r="AO41" s="49">
        <f>+IF(AI41&lt;=0,0,AK41/AI41)</f>
        <v>2.0517716666666668</v>
      </c>
      <c r="AP41" s="39">
        <f t="shared" si="162"/>
        <v>6394.609096981857</v>
      </c>
      <c r="AQ41" s="39">
        <f t="shared" si="162"/>
        <v>3705.3244862772153</v>
      </c>
      <c r="AR41" s="39">
        <f t="shared" si="163"/>
        <v>9282.3029999999999</v>
      </c>
      <c r="AS41" s="39">
        <f t="shared" si="163"/>
        <v>5131.5200000000004</v>
      </c>
      <c r="AT41" s="39">
        <f t="shared" si="164"/>
        <v>2887.6939030181429</v>
      </c>
      <c r="AU41" s="17">
        <f t="shared" si="74"/>
        <v>1.4515825532449018</v>
      </c>
      <c r="AV41" s="39">
        <f t="shared" si="75"/>
        <v>1426.1955137227851</v>
      </c>
      <c r="AW41" s="17">
        <f t="shared" si="76"/>
        <v>1.3849043502140621</v>
      </c>
      <c r="AX41" s="45">
        <v>7600</v>
      </c>
      <c r="AY41" s="39">
        <v>1150</v>
      </c>
      <c r="AZ41" s="39">
        <v>600</v>
      </c>
      <c r="BA41" s="39">
        <f t="shared" si="165"/>
        <v>150</v>
      </c>
      <c r="BB41" s="39">
        <f t="shared" si="166"/>
        <v>300</v>
      </c>
      <c r="BC41" s="39">
        <f t="shared" si="167"/>
        <v>450</v>
      </c>
      <c r="BD41" s="39">
        <f t="shared" si="168"/>
        <v>600</v>
      </c>
      <c r="BE41" s="39">
        <v>2615.9340000000002</v>
      </c>
      <c r="BF41" s="39">
        <v>1231.0630000000001</v>
      </c>
      <c r="BG41" s="48">
        <f t="shared" si="181"/>
        <v>1465.9340000000002</v>
      </c>
      <c r="BH41" s="49">
        <f t="shared" si="41"/>
        <v>2.2747252173913046</v>
      </c>
      <c r="BI41" s="48">
        <f t="shared" si="111"/>
        <v>631.0630000000001</v>
      </c>
      <c r="BJ41" s="49">
        <f t="shared" si="42"/>
        <v>2.0517716666666668</v>
      </c>
      <c r="BK41" s="49">
        <f t="shared" si="43"/>
        <v>2.0517716666666668</v>
      </c>
      <c r="BL41" s="45">
        <v>4529.7029702970303</v>
      </c>
      <c r="BM41" s="39">
        <v>803.45881188118824</v>
      </c>
      <c r="BN41" s="39">
        <v>556.74594059405945</v>
      </c>
      <c r="BO41" s="39">
        <f t="shared" si="169"/>
        <v>139.18648514851486</v>
      </c>
      <c r="BP41" s="39">
        <f t="shared" si="170"/>
        <v>278.37297029702972</v>
      </c>
      <c r="BQ41" s="39">
        <f t="shared" si="171"/>
        <v>417.55945544554459</v>
      </c>
      <c r="BR41" s="39">
        <f t="shared" si="172"/>
        <v>556.74594059405945</v>
      </c>
      <c r="BS41" s="39">
        <v>1375.56</v>
      </c>
      <c r="BT41" s="39">
        <v>720.52</v>
      </c>
      <c r="BU41" s="48">
        <f t="shared" si="182"/>
        <v>572.10118811881171</v>
      </c>
      <c r="BV41" s="49">
        <f t="shared" si="45"/>
        <v>1.7120479353251667</v>
      </c>
      <c r="BW41" s="48">
        <f t="shared" si="112"/>
        <v>163.77405940594053</v>
      </c>
      <c r="BX41" s="49">
        <f t="shared" si="46"/>
        <v>1.2941630058967115</v>
      </c>
      <c r="BY41" s="49">
        <f t="shared" si="47"/>
        <v>1.2941630058967115</v>
      </c>
      <c r="BZ41" s="45">
        <v>13671.8488806</v>
      </c>
      <c r="CA41" s="39">
        <v>1121.8333333333333</v>
      </c>
      <c r="CB41" s="39">
        <v>267.49999999999977</v>
      </c>
      <c r="CC41" s="39">
        <f t="shared" si="173"/>
        <v>66.874999999999943</v>
      </c>
      <c r="CD41" s="39">
        <f t="shared" si="174"/>
        <v>133.74999999999989</v>
      </c>
      <c r="CE41" s="39">
        <f t="shared" si="175"/>
        <v>200.62499999999983</v>
      </c>
      <c r="CF41" s="39">
        <f t="shared" si="176"/>
        <v>267.49999999999977</v>
      </c>
      <c r="CG41" s="39">
        <v>1702</v>
      </c>
      <c r="CH41" s="39">
        <v>917</v>
      </c>
      <c r="CI41" s="52">
        <f t="shared" si="186"/>
        <v>580.16666666666674</v>
      </c>
      <c r="CJ41" s="49">
        <f t="shared" si="50"/>
        <v>1.5171594116773139</v>
      </c>
      <c r="CK41" s="48">
        <f t="shared" si="187"/>
        <v>649.50000000000023</v>
      </c>
      <c r="CL41" s="49">
        <f t="shared" si="52"/>
        <v>3.428037383177573</v>
      </c>
      <c r="CM41" s="49">
        <f t="shared" si="53"/>
        <v>3.428037383177573</v>
      </c>
      <c r="CN41" s="45">
        <v>19620.518462140182</v>
      </c>
      <c r="CO41" s="39">
        <v>3319.3169517673355</v>
      </c>
      <c r="CP41" s="39">
        <v>2281.0785456831563</v>
      </c>
      <c r="CQ41" s="39">
        <f t="shared" si="177"/>
        <v>570.26963642078908</v>
      </c>
      <c r="CR41" s="39">
        <f t="shared" si="183"/>
        <v>1140.5392728415782</v>
      </c>
      <c r="CS41" s="39">
        <f t="shared" si="184"/>
        <v>1710.8089092623673</v>
      </c>
      <c r="CT41" s="39">
        <f t="shared" si="185"/>
        <v>2281.0785456831563</v>
      </c>
      <c r="CU41" s="39">
        <v>3588.8090000000002</v>
      </c>
      <c r="CV41" s="39">
        <v>2262.9369999999999</v>
      </c>
      <c r="CW41" s="50">
        <f t="shared" si="77"/>
        <v>269.49204823266473</v>
      </c>
      <c r="CX41" s="17">
        <f t="shared" si="55"/>
        <v>1.0811890073013897</v>
      </c>
      <c r="CY41" s="50">
        <f t="shared" si="153"/>
        <v>-18.141545683156437</v>
      </c>
      <c r="CZ41" s="49">
        <f t="shared" si="56"/>
        <v>0.9920469438820998</v>
      </c>
      <c r="DA41" s="49">
        <f t="shared" si="57"/>
        <v>0.9920469438820998</v>
      </c>
    </row>
    <row r="42" spans="1:105" ht="24.95" customHeight="1">
      <c r="A42" s="4" t="s">
        <v>8</v>
      </c>
      <c r="B42" s="9">
        <v>11786</v>
      </c>
      <c r="C42" s="5">
        <f t="shared" si="72"/>
        <v>5</v>
      </c>
      <c r="D42" s="8" t="s">
        <v>82</v>
      </c>
      <c r="E42" s="45">
        <v>4100</v>
      </c>
      <c r="F42" s="39">
        <v>750</v>
      </c>
      <c r="G42" s="39">
        <v>300</v>
      </c>
      <c r="H42" s="39">
        <f t="shared" si="154"/>
        <v>75</v>
      </c>
      <c r="I42" s="39">
        <f t="shared" si="155"/>
        <v>150</v>
      </c>
      <c r="J42" s="39">
        <f t="shared" si="156"/>
        <v>225</v>
      </c>
      <c r="K42" s="39">
        <f t="shared" si="157"/>
        <v>300</v>
      </c>
      <c r="L42" s="39">
        <v>498.75</v>
      </c>
      <c r="M42" s="39">
        <v>200</v>
      </c>
      <c r="N42" s="48">
        <f t="shared" si="2"/>
        <v>-251.25</v>
      </c>
      <c r="O42" s="49">
        <f t="shared" si="29"/>
        <v>0.66500000000000004</v>
      </c>
      <c r="P42" s="48">
        <f t="shared" si="107"/>
        <v>-100</v>
      </c>
      <c r="Q42" s="49">
        <f t="shared" si="30"/>
        <v>0.66666666666666663</v>
      </c>
      <c r="R42" s="49">
        <f t="shared" si="31"/>
        <v>0.66666666666666663</v>
      </c>
      <c r="S42" s="45">
        <v>4100</v>
      </c>
      <c r="T42" s="39">
        <v>750</v>
      </c>
      <c r="U42" s="39">
        <v>300</v>
      </c>
      <c r="V42" s="39">
        <f t="shared" si="158"/>
        <v>75</v>
      </c>
      <c r="W42" s="39">
        <f t="shared" si="159"/>
        <v>150</v>
      </c>
      <c r="X42" s="39">
        <f t="shared" si="160"/>
        <v>225</v>
      </c>
      <c r="Y42" s="39">
        <f t="shared" si="161"/>
        <v>300</v>
      </c>
      <c r="Z42" s="39">
        <v>498.75</v>
      </c>
      <c r="AA42" s="39">
        <v>200</v>
      </c>
      <c r="AB42" s="48">
        <f t="shared" si="5"/>
        <v>-251.25</v>
      </c>
      <c r="AC42" s="49">
        <f t="shared" si="33"/>
        <v>0.66500000000000004</v>
      </c>
      <c r="AD42" s="48">
        <f t="shared" si="109"/>
        <v>-100</v>
      </c>
      <c r="AE42" s="49">
        <f t="shared" si="34"/>
        <v>0.66666666666666663</v>
      </c>
      <c r="AF42" s="49">
        <f t="shared" si="35"/>
        <v>0.66666666666666663</v>
      </c>
      <c r="AG42" s="45">
        <v>4100</v>
      </c>
      <c r="AH42" s="39">
        <v>750</v>
      </c>
      <c r="AI42" s="39">
        <v>300</v>
      </c>
      <c r="AJ42" s="39">
        <v>498.75</v>
      </c>
      <c r="AK42" s="39">
        <v>200</v>
      </c>
      <c r="AL42" s="48">
        <f>+AJ42-AH42</f>
        <v>-251.25</v>
      </c>
      <c r="AM42" s="49">
        <f>+IF(AH42&lt;=0,0,AJ42/AH42)</f>
        <v>0.66500000000000004</v>
      </c>
      <c r="AN42" s="48">
        <f>+AK42-AI42</f>
        <v>-100</v>
      </c>
      <c r="AO42" s="49">
        <f>+IF(AI42&lt;=0,0,AK42/AI42)</f>
        <v>0.66666666666666663</v>
      </c>
      <c r="AP42" s="39">
        <f t="shared" si="162"/>
        <v>2329.9736836519587</v>
      </c>
      <c r="AQ42" s="39">
        <f t="shared" si="162"/>
        <v>1435.7206439611459</v>
      </c>
      <c r="AR42" s="39">
        <f t="shared" si="163"/>
        <v>2235.6760000000004</v>
      </c>
      <c r="AS42" s="39">
        <f t="shared" si="163"/>
        <v>1416.9259999999999</v>
      </c>
      <c r="AT42" s="39">
        <f t="shared" si="164"/>
        <v>-94.297683651958323</v>
      </c>
      <c r="AU42" s="17">
        <f t="shared" si="74"/>
        <v>0.95952843402756471</v>
      </c>
      <c r="AV42" s="39">
        <f t="shared" si="75"/>
        <v>-18.794643961145994</v>
      </c>
      <c r="AW42" s="17">
        <f t="shared" si="76"/>
        <v>0.98690926118517619</v>
      </c>
      <c r="AX42" s="45">
        <v>4100</v>
      </c>
      <c r="AY42" s="39">
        <v>750</v>
      </c>
      <c r="AZ42" s="39">
        <v>300</v>
      </c>
      <c r="BA42" s="39">
        <f t="shared" si="165"/>
        <v>75</v>
      </c>
      <c r="BB42" s="39">
        <f t="shared" si="166"/>
        <v>150</v>
      </c>
      <c r="BC42" s="39">
        <f t="shared" si="167"/>
        <v>225</v>
      </c>
      <c r="BD42" s="39">
        <f t="shared" si="168"/>
        <v>300</v>
      </c>
      <c r="BE42" s="39">
        <v>498.75</v>
      </c>
      <c r="BF42" s="39">
        <v>200</v>
      </c>
      <c r="BG42" s="48">
        <f t="shared" si="181"/>
        <v>-251.25</v>
      </c>
      <c r="BH42" s="49">
        <f t="shared" si="41"/>
        <v>0.66500000000000004</v>
      </c>
      <c r="BI42" s="48">
        <f t="shared" si="111"/>
        <v>-100</v>
      </c>
      <c r="BJ42" s="49">
        <f t="shared" si="42"/>
        <v>0.66666666666666663</v>
      </c>
      <c r="BK42" s="49">
        <f t="shared" si="43"/>
        <v>0.66666666666666663</v>
      </c>
      <c r="BL42" s="45"/>
      <c r="BM42" s="39"/>
      <c r="BN42" s="39"/>
      <c r="BO42" s="39">
        <f t="shared" si="169"/>
        <v>0</v>
      </c>
      <c r="BP42" s="39">
        <f t="shared" si="170"/>
        <v>0</v>
      </c>
      <c r="BQ42" s="39">
        <f t="shared" si="171"/>
        <v>0</v>
      </c>
      <c r="BR42" s="39">
        <f t="shared" si="172"/>
        <v>0</v>
      </c>
      <c r="BS42" s="39"/>
      <c r="BT42" s="39"/>
      <c r="BU42" s="48">
        <f t="shared" si="182"/>
        <v>0</v>
      </c>
      <c r="BV42" s="49">
        <f t="shared" si="45"/>
        <v>0</v>
      </c>
      <c r="BW42" s="48"/>
      <c r="BX42" s="49">
        <f t="shared" si="46"/>
        <v>0</v>
      </c>
      <c r="BY42" s="49">
        <f t="shared" si="47"/>
        <v>0</v>
      </c>
      <c r="BZ42" s="45"/>
      <c r="CA42" s="39"/>
      <c r="CB42" s="39"/>
      <c r="CC42" s="39">
        <f t="shared" si="173"/>
        <v>0</v>
      </c>
      <c r="CD42" s="39">
        <f t="shared" si="174"/>
        <v>0</v>
      </c>
      <c r="CE42" s="39">
        <f t="shared" si="175"/>
        <v>0</v>
      </c>
      <c r="CF42" s="39">
        <f t="shared" si="176"/>
        <v>0</v>
      </c>
      <c r="CG42" s="39"/>
      <c r="CH42" s="39"/>
      <c r="CI42" s="52">
        <f t="shared" si="186"/>
        <v>0</v>
      </c>
      <c r="CJ42" s="49">
        <f t="shared" si="50"/>
        <v>0</v>
      </c>
      <c r="CK42" s="48">
        <f t="shared" si="187"/>
        <v>0</v>
      </c>
      <c r="CL42" s="49">
        <f t="shared" si="52"/>
        <v>0</v>
      </c>
      <c r="CM42" s="49">
        <f t="shared" si="53"/>
        <v>0</v>
      </c>
      <c r="CN42" s="45">
        <v>9575.6814173700823</v>
      </c>
      <c r="CO42" s="39">
        <v>1579.9736836519587</v>
      </c>
      <c r="CP42" s="39">
        <v>1135.7206439611459</v>
      </c>
      <c r="CQ42" s="39">
        <f t="shared" si="177"/>
        <v>283.93016099028648</v>
      </c>
      <c r="CR42" s="39">
        <f t="shared" si="183"/>
        <v>567.86032198057296</v>
      </c>
      <c r="CS42" s="39">
        <f t="shared" si="184"/>
        <v>851.79048297085944</v>
      </c>
      <c r="CT42" s="39">
        <f t="shared" si="185"/>
        <v>1135.7206439611459</v>
      </c>
      <c r="CU42" s="39">
        <v>1736.9260000000002</v>
      </c>
      <c r="CV42" s="39">
        <v>1216.9259999999999</v>
      </c>
      <c r="CW42" s="50">
        <f t="shared" si="77"/>
        <v>156.95231634804145</v>
      </c>
      <c r="CX42" s="17">
        <f t="shared" si="55"/>
        <v>1.0993385636558586</v>
      </c>
      <c r="CY42" s="50">
        <f t="shared" si="153"/>
        <v>81.205356038854006</v>
      </c>
      <c r="CZ42" s="49">
        <f t="shared" si="56"/>
        <v>1.0715011710587803</v>
      </c>
      <c r="DA42" s="49">
        <f t="shared" si="57"/>
        <v>1.0715011710587803</v>
      </c>
    </row>
    <row r="43" spans="1:105" ht="24.95" customHeight="1">
      <c r="A43" s="4" t="s">
        <v>9</v>
      </c>
      <c r="B43" s="9">
        <v>11787</v>
      </c>
      <c r="C43" s="5">
        <f t="shared" si="72"/>
        <v>6</v>
      </c>
      <c r="D43" s="8" t="s">
        <v>83</v>
      </c>
      <c r="E43" s="45">
        <v>5050</v>
      </c>
      <c r="F43" s="39">
        <v>900</v>
      </c>
      <c r="G43" s="39">
        <v>400</v>
      </c>
      <c r="H43" s="39">
        <f t="shared" si="154"/>
        <v>100</v>
      </c>
      <c r="I43" s="39">
        <f t="shared" si="155"/>
        <v>200</v>
      </c>
      <c r="J43" s="39">
        <f t="shared" si="156"/>
        <v>300</v>
      </c>
      <c r="K43" s="39">
        <f t="shared" si="157"/>
        <v>400</v>
      </c>
      <c r="L43" s="39">
        <v>1251.328</v>
      </c>
      <c r="M43" s="39">
        <v>604.52800000000002</v>
      </c>
      <c r="N43" s="48">
        <f t="shared" si="2"/>
        <v>351.32799999999997</v>
      </c>
      <c r="O43" s="49">
        <f t="shared" si="29"/>
        <v>1.3903644444444445</v>
      </c>
      <c r="P43" s="48">
        <f t="shared" si="107"/>
        <v>204.52800000000002</v>
      </c>
      <c r="Q43" s="49">
        <f t="shared" si="30"/>
        <v>1.51132</v>
      </c>
      <c r="R43" s="49">
        <f t="shared" si="31"/>
        <v>1.51132</v>
      </c>
      <c r="S43" s="45">
        <v>5050</v>
      </c>
      <c r="T43" s="39">
        <v>900</v>
      </c>
      <c r="U43" s="39">
        <v>400</v>
      </c>
      <c r="V43" s="39">
        <f t="shared" si="158"/>
        <v>100</v>
      </c>
      <c r="W43" s="39">
        <f t="shared" si="159"/>
        <v>200</v>
      </c>
      <c r="X43" s="39">
        <f t="shared" si="160"/>
        <v>300</v>
      </c>
      <c r="Y43" s="39">
        <f t="shared" si="161"/>
        <v>400</v>
      </c>
      <c r="Z43" s="39">
        <v>1251.328</v>
      </c>
      <c r="AA43" s="39">
        <v>604.52800000000002</v>
      </c>
      <c r="AB43" s="48">
        <f t="shared" si="5"/>
        <v>351.32799999999997</v>
      </c>
      <c r="AC43" s="49">
        <f t="shared" si="33"/>
        <v>1.3903644444444445</v>
      </c>
      <c r="AD43" s="48">
        <f t="shared" si="109"/>
        <v>204.52800000000002</v>
      </c>
      <c r="AE43" s="49">
        <f t="shared" si="34"/>
        <v>1.51132</v>
      </c>
      <c r="AF43" s="49">
        <f t="shared" si="35"/>
        <v>1.51132</v>
      </c>
      <c r="AG43" s="45">
        <v>5050</v>
      </c>
      <c r="AH43" s="39">
        <v>900</v>
      </c>
      <c r="AI43" s="39">
        <v>400</v>
      </c>
      <c r="AJ43" s="39">
        <v>1251.328</v>
      </c>
      <c r="AK43" s="39">
        <v>604.52800000000002</v>
      </c>
      <c r="AL43" s="48">
        <f>+AJ43-AH43</f>
        <v>351.32799999999997</v>
      </c>
      <c r="AM43" s="49">
        <f>+IF(AH43&lt;=0,0,AJ43/AH43)</f>
        <v>1.3903644444444445</v>
      </c>
      <c r="AN43" s="48">
        <f>+AK43-AI43</f>
        <v>204.52800000000002</v>
      </c>
      <c r="AO43" s="49">
        <f>+IF(AI43&lt;=0,0,AK43/AI43)</f>
        <v>1.51132</v>
      </c>
      <c r="AP43" s="39">
        <f t="shared" si="162"/>
        <v>5458.1231588458877</v>
      </c>
      <c r="AQ43" s="39">
        <f t="shared" si="162"/>
        <v>2640.8744947395207</v>
      </c>
      <c r="AR43" s="39">
        <f t="shared" si="163"/>
        <v>8415.5249999999996</v>
      </c>
      <c r="AS43" s="39">
        <f t="shared" si="163"/>
        <v>4263.7280000000001</v>
      </c>
      <c r="AT43" s="39">
        <f t="shared" si="164"/>
        <v>2957.4018411541119</v>
      </c>
      <c r="AU43" s="17">
        <f t="shared" si="74"/>
        <v>1.5418349412583519</v>
      </c>
      <c r="AV43" s="39">
        <f t="shared" si="75"/>
        <v>1622.8535052604793</v>
      </c>
      <c r="AW43" s="17">
        <f t="shared" si="76"/>
        <v>1.6145136804089386</v>
      </c>
      <c r="AX43" s="45">
        <v>5050</v>
      </c>
      <c r="AY43" s="39">
        <v>900</v>
      </c>
      <c r="AZ43" s="39">
        <v>400</v>
      </c>
      <c r="BA43" s="39">
        <f t="shared" si="165"/>
        <v>100</v>
      </c>
      <c r="BB43" s="39">
        <f t="shared" si="166"/>
        <v>200</v>
      </c>
      <c r="BC43" s="39">
        <f t="shared" si="167"/>
        <v>300</v>
      </c>
      <c r="BD43" s="39">
        <f t="shared" si="168"/>
        <v>400</v>
      </c>
      <c r="BE43" s="39">
        <v>1251.328</v>
      </c>
      <c r="BF43" s="39">
        <v>604.52800000000002</v>
      </c>
      <c r="BG43" s="48">
        <f t="shared" si="181"/>
        <v>351.32799999999997</v>
      </c>
      <c r="BH43" s="49">
        <f t="shared" si="41"/>
        <v>1.3903644444444445</v>
      </c>
      <c r="BI43" s="48">
        <f t="shared" si="111"/>
        <v>204.52800000000002</v>
      </c>
      <c r="BJ43" s="49">
        <f t="shared" si="42"/>
        <v>1.51132</v>
      </c>
      <c r="BK43" s="49">
        <f t="shared" si="43"/>
        <v>1.51132</v>
      </c>
      <c r="BL43" s="45">
        <v>3000.771287128714</v>
      </c>
      <c r="BM43" s="39">
        <v>580.45508910891169</v>
      </c>
      <c r="BN43" s="39">
        <v>403.12142574257467</v>
      </c>
      <c r="BO43" s="39">
        <f t="shared" si="169"/>
        <v>100.78035643564367</v>
      </c>
      <c r="BP43" s="39">
        <f t="shared" si="170"/>
        <v>201.56071287128734</v>
      </c>
      <c r="BQ43" s="39">
        <f t="shared" si="171"/>
        <v>302.34106930693099</v>
      </c>
      <c r="BR43" s="39">
        <f t="shared" si="172"/>
        <v>403.12142574257467</v>
      </c>
      <c r="BS43" s="39">
        <v>1515.6</v>
      </c>
      <c r="BT43" s="39">
        <v>655.6</v>
      </c>
      <c r="BU43" s="48">
        <f t="shared" si="182"/>
        <v>935.14491089108822</v>
      </c>
      <c r="BV43" s="49">
        <f t="shared" si="45"/>
        <v>2.6110547197142853</v>
      </c>
      <c r="BW43" s="48">
        <f t="shared" ref="BW43:BW70" si="188">+BT43-BN43</f>
        <v>252.47857425742535</v>
      </c>
      <c r="BX43" s="49">
        <f t="shared" si="46"/>
        <v>1.6263089931088237</v>
      </c>
      <c r="BY43" s="49">
        <f t="shared" si="47"/>
        <v>1.6263089931088237</v>
      </c>
      <c r="BZ43" s="45">
        <v>10200</v>
      </c>
      <c r="CA43" s="39">
        <v>800</v>
      </c>
      <c r="CB43" s="39">
        <v>200</v>
      </c>
      <c r="CC43" s="39">
        <f t="shared" si="173"/>
        <v>50</v>
      </c>
      <c r="CD43" s="39">
        <f t="shared" si="174"/>
        <v>100</v>
      </c>
      <c r="CE43" s="39">
        <f t="shared" si="175"/>
        <v>150</v>
      </c>
      <c r="CF43" s="39">
        <f t="shared" si="176"/>
        <v>200</v>
      </c>
      <c r="CG43" s="39">
        <v>1700</v>
      </c>
      <c r="CH43" s="39">
        <v>928</v>
      </c>
      <c r="CI43" s="52">
        <f t="shared" si="186"/>
        <v>900</v>
      </c>
      <c r="CJ43" s="49">
        <f t="shared" si="50"/>
        <v>2.125</v>
      </c>
      <c r="CK43" s="50">
        <f t="shared" si="187"/>
        <v>728</v>
      </c>
      <c r="CL43" s="49">
        <f t="shared" si="52"/>
        <v>4.6399999999999997</v>
      </c>
      <c r="CM43" s="49">
        <f t="shared" si="53"/>
        <v>4.6399999999999997</v>
      </c>
      <c r="CN43" s="45">
        <v>18371.354165321598</v>
      </c>
      <c r="CO43" s="39">
        <v>3177.6680697369761</v>
      </c>
      <c r="CP43" s="39">
        <v>1637.7530689969458</v>
      </c>
      <c r="CQ43" s="39">
        <f t="shared" si="177"/>
        <v>409.43826724923645</v>
      </c>
      <c r="CR43" s="39">
        <f t="shared" si="183"/>
        <v>818.87653449847289</v>
      </c>
      <c r="CS43" s="39">
        <f t="shared" si="184"/>
        <v>1228.3148017477092</v>
      </c>
      <c r="CT43" s="39">
        <f t="shared" si="185"/>
        <v>1637.7530689969458</v>
      </c>
      <c r="CU43" s="39">
        <v>3948.5970000000002</v>
      </c>
      <c r="CV43" s="39">
        <v>2075.6</v>
      </c>
      <c r="CW43" s="50">
        <f t="shared" si="77"/>
        <v>770.92893026302409</v>
      </c>
      <c r="CX43" s="17">
        <f t="shared" si="55"/>
        <v>1.2426083887128072</v>
      </c>
      <c r="CY43" s="50">
        <f t="shared" si="153"/>
        <v>437.84693100305412</v>
      </c>
      <c r="CZ43" s="49">
        <f t="shared" si="56"/>
        <v>1.2673461215195383</v>
      </c>
      <c r="DA43" s="49">
        <f t="shared" si="57"/>
        <v>1.2673461215195383</v>
      </c>
    </row>
    <row r="44" spans="1:105" ht="24.95" customHeight="1">
      <c r="A44" s="4" t="s">
        <v>13</v>
      </c>
      <c r="B44" s="9">
        <v>11943</v>
      </c>
      <c r="C44" s="5">
        <f t="shared" si="72"/>
        <v>7</v>
      </c>
      <c r="D44" s="8" t="s">
        <v>84</v>
      </c>
      <c r="E44" s="45">
        <v>3850</v>
      </c>
      <c r="F44" s="39">
        <v>800</v>
      </c>
      <c r="G44" s="39">
        <v>300</v>
      </c>
      <c r="H44" s="39">
        <f t="shared" si="154"/>
        <v>75</v>
      </c>
      <c r="I44" s="39">
        <f t="shared" si="155"/>
        <v>150</v>
      </c>
      <c r="J44" s="39">
        <f t="shared" si="156"/>
        <v>225</v>
      </c>
      <c r="K44" s="39">
        <f t="shared" si="157"/>
        <v>300</v>
      </c>
      <c r="L44" s="39">
        <v>704.36</v>
      </c>
      <c r="M44" s="39">
        <v>130</v>
      </c>
      <c r="N44" s="48">
        <f t="shared" si="2"/>
        <v>-95.639999999999986</v>
      </c>
      <c r="O44" s="49">
        <f t="shared" si="29"/>
        <v>0.88045000000000007</v>
      </c>
      <c r="P44" s="48">
        <f t="shared" si="107"/>
        <v>-170</v>
      </c>
      <c r="Q44" s="49">
        <f t="shared" si="30"/>
        <v>0.43333333333333335</v>
      </c>
      <c r="R44" s="49">
        <f t="shared" si="31"/>
        <v>0.43333333333333335</v>
      </c>
      <c r="S44" s="45">
        <v>3850</v>
      </c>
      <c r="T44" s="39">
        <v>800</v>
      </c>
      <c r="U44" s="39">
        <v>300</v>
      </c>
      <c r="V44" s="39">
        <f t="shared" si="158"/>
        <v>75</v>
      </c>
      <c r="W44" s="39">
        <f t="shared" si="159"/>
        <v>150</v>
      </c>
      <c r="X44" s="39">
        <f t="shared" si="160"/>
        <v>225</v>
      </c>
      <c r="Y44" s="39">
        <f t="shared" si="161"/>
        <v>300</v>
      </c>
      <c r="Z44" s="39">
        <v>704.36</v>
      </c>
      <c r="AA44" s="39">
        <v>130</v>
      </c>
      <c r="AB44" s="48">
        <f t="shared" si="5"/>
        <v>-95.639999999999986</v>
      </c>
      <c r="AC44" s="49">
        <f t="shared" si="33"/>
        <v>0.88045000000000007</v>
      </c>
      <c r="AD44" s="48">
        <f t="shared" si="109"/>
        <v>-170</v>
      </c>
      <c r="AE44" s="49">
        <f t="shared" si="34"/>
        <v>0.43333333333333335</v>
      </c>
      <c r="AF44" s="49">
        <f t="shared" si="35"/>
        <v>0.43333333333333335</v>
      </c>
      <c r="AG44" s="45">
        <v>3850</v>
      </c>
      <c r="AH44" s="39">
        <v>800</v>
      </c>
      <c r="AI44" s="39">
        <v>300</v>
      </c>
      <c r="AJ44" s="39">
        <v>704.36</v>
      </c>
      <c r="AK44" s="39">
        <v>130</v>
      </c>
      <c r="AL44" s="48">
        <f>+AJ44-AH44</f>
        <v>-95.639999999999986</v>
      </c>
      <c r="AM44" s="49">
        <f>+IF(AH44&lt;=0,0,AJ44/AH44)</f>
        <v>0.88045000000000007</v>
      </c>
      <c r="AN44" s="48">
        <f>+AK44-AI44</f>
        <v>-170</v>
      </c>
      <c r="AO44" s="49">
        <f>+IF(AI44&lt;=0,0,AK44/AI44)</f>
        <v>0.43333333333333335</v>
      </c>
      <c r="AP44" s="39">
        <f t="shared" si="162"/>
        <v>6568.3687496777566</v>
      </c>
      <c r="AQ44" s="39">
        <f t="shared" si="162"/>
        <v>3014.1595031775541</v>
      </c>
      <c r="AR44" s="39">
        <f t="shared" si="163"/>
        <v>6630.3160000000007</v>
      </c>
      <c r="AS44" s="39">
        <f t="shared" si="163"/>
        <v>3762.2</v>
      </c>
      <c r="AT44" s="39">
        <f t="shared" si="164"/>
        <v>61.947250322244145</v>
      </c>
      <c r="AU44" s="17">
        <f t="shared" si="74"/>
        <v>1.0094311468620398</v>
      </c>
      <c r="AV44" s="39">
        <f t="shared" si="75"/>
        <v>748.04049682244568</v>
      </c>
      <c r="AW44" s="17">
        <f t="shared" si="76"/>
        <v>1.2481754850842679</v>
      </c>
      <c r="AX44" s="45">
        <v>3850</v>
      </c>
      <c r="AY44" s="39">
        <v>800</v>
      </c>
      <c r="AZ44" s="39">
        <v>300</v>
      </c>
      <c r="BA44" s="39">
        <f t="shared" si="165"/>
        <v>75</v>
      </c>
      <c r="BB44" s="39">
        <f t="shared" si="166"/>
        <v>150</v>
      </c>
      <c r="BC44" s="39">
        <f t="shared" si="167"/>
        <v>225</v>
      </c>
      <c r="BD44" s="39">
        <f t="shared" si="168"/>
        <v>300</v>
      </c>
      <c r="BE44" s="39">
        <v>704.36</v>
      </c>
      <c r="BF44" s="39">
        <v>130</v>
      </c>
      <c r="BG44" s="48">
        <f t="shared" si="181"/>
        <v>-95.639999999999986</v>
      </c>
      <c r="BH44" s="49">
        <f t="shared" si="41"/>
        <v>0.88045000000000007</v>
      </c>
      <c r="BI44" s="48">
        <f t="shared" si="111"/>
        <v>-170</v>
      </c>
      <c r="BJ44" s="49">
        <f t="shared" si="42"/>
        <v>0.43333333333333335</v>
      </c>
      <c r="BK44" s="49">
        <f t="shared" si="43"/>
        <v>0.43333333333333335</v>
      </c>
      <c r="BL44" s="45">
        <v>7280</v>
      </c>
      <c r="BM44" s="39">
        <v>1200</v>
      </c>
      <c r="BN44" s="39">
        <v>830</v>
      </c>
      <c r="BO44" s="39">
        <f t="shared" si="169"/>
        <v>207.5</v>
      </c>
      <c r="BP44" s="39">
        <f t="shared" si="170"/>
        <v>415</v>
      </c>
      <c r="BQ44" s="39">
        <f t="shared" si="171"/>
        <v>622.5</v>
      </c>
      <c r="BR44" s="39">
        <f t="shared" si="172"/>
        <v>830</v>
      </c>
      <c r="BS44" s="39">
        <v>1043</v>
      </c>
      <c r="BT44" s="39">
        <v>572</v>
      </c>
      <c r="BU44" s="48">
        <f t="shared" si="182"/>
        <v>-157</v>
      </c>
      <c r="BV44" s="49">
        <f t="shared" si="45"/>
        <v>0.86916666666666664</v>
      </c>
      <c r="BW44" s="48">
        <f t="shared" si="188"/>
        <v>-258</v>
      </c>
      <c r="BX44" s="49">
        <f t="shared" si="46"/>
        <v>0.68915662650602405</v>
      </c>
      <c r="BY44" s="49">
        <f t="shared" si="47"/>
        <v>0.68915662650602405</v>
      </c>
      <c r="BZ44" s="45">
        <v>19500</v>
      </c>
      <c r="CA44" s="39">
        <v>2100</v>
      </c>
      <c r="CB44" s="39">
        <v>500</v>
      </c>
      <c r="CC44" s="39">
        <f t="shared" si="173"/>
        <v>125</v>
      </c>
      <c r="CD44" s="39">
        <f t="shared" si="174"/>
        <v>250</v>
      </c>
      <c r="CE44" s="39">
        <f t="shared" si="175"/>
        <v>375</v>
      </c>
      <c r="CF44" s="39">
        <f t="shared" si="176"/>
        <v>500</v>
      </c>
      <c r="CG44" s="39">
        <v>2444</v>
      </c>
      <c r="CH44" s="39">
        <v>1660</v>
      </c>
      <c r="CI44" s="52">
        <f t="shared" si="186"/>
        <v>344</v>
      </c>
      <c r="CJ44" s="49">
        <f t="shared" si="50"/>
        <v>1.1638095238095238</v>
      </c>
      <c r="CK44" s="53">
        <f t="shared" si="187"/>
        <v>1160</v>
      </c>
      <c r="CL44" s="49">
        <f t="shared" si="52"/>
        <v>3.32</v>
      </c>
      <c r="CM44" s="49">
        <f t="shared" si="53"/>
        <v>3.32</v>
      </c>
      <c r="CN44" s="45">
        <v>13294.328216236951</v>
      </c>
      <c r="CO44" s="39">
        <v>2468.3687496777561</v>
      </c>
      <c r="CP44" s="39">
        <v>1384.1595031775539</v>
      </c>
      <c r="CQ44" s="39">
        <f t="shared" si="177"/>
        <v>346.03987579438848</v>
      </c>
      <c r="CR44" s="39">
        <f t="shared" si="183"/>
        <v>692.07975158877696</v>
      </c>
      <c r="CS44" s="39">
        <f t="shared" si="184"/>
        <v>1038.1196273831654</v>
      </c>
      <c r="CT44" s="39">
        <f t="shared" si="185"/>
        <v>1384.1595031775539</v>
      </c>
      <c r="CU44" s="39">
        <v>2438.9560000000001</v>
      </c>
      <c r="CV44" s="39">
        <v>1400.2</v>
      </c>
      <c r="CW44" s="50">
        <f t="shared" si="77"/>
        <v>-29.412749677755983</v>
      </c>
      <c r="CX44" s="17">
        <f t="shared" si="55"/>
        <v>0.98808413464090572</v>
      </c>
      <c r="CY44" s="50">
        <f t="shared" si="153"/>
        <v>16.04049682244613</v>
      </c>
      <c r="CZ44" s="49">
        <f t="shared" si="56"/>
        <v>1.0115886187867964</v>
      </c>
      <c r="DA44" s="49">
        <f t="shared" si="57"/>
        <v>1.0115886187867964</v>
      </c>
    </row>
    <row r="45" spans="1:105" ht="24.95" customHeight="1">
      <c r="A45" s="4" t="s">
        <v>17</v>
      </c>
      <c r="B45" s="9">
        <v>11978</v>
      </c>
      <c r="C45" s="5">
        <f t="shared" si="72"/>
        <v>8</v>
      </c>
      <c r="D45" s="8" t="s">
        <v>85</v>
      </c>
      <c r="E45" s="45">
        <v>4400</v>
      </c>
      <c r="F45" s="39">
        <v>800</v>
      </c>
      <c r="G45" s="39">
        <v>300</v>
      </c>
      <c r="H45" s="39">
        <f t="shared" si="154"/>
        <v>75</v>
      </c>
      <c r="I45" s="39">
        <f t="shared" si="155"/>
        <v>150</v>
      </c>
      <c r="J45" s="39">
        <f t="shared" si="156"/>
        <v>225</v>
      </c>
      <c r="K45" s="39">
        <f t="shared" si="157"/>
        <v>300</v>
      </c>
      <c r="L45" s="39">
        <v>700</v>
      </c>
      <c r="M45" s="39">
        <v>0</v>
      </c>
      <c r="N45" s="48">
        <f t="shared" si="2"/>
        <v>-100</v>
      </c>
      <c r="O45" s="49">
        <f t="shared" si="29"/>
        <v>0.875</v>
      </c>
      <c r="P45" s="48">
        <f t="shared" si="107"/>
        <v>-300</v>
      </c>
      <c r="Q45" s="49">
        <f t="shared" si="30"/>
        <v>0</v>
      </c>
      <c r="R45" s="49">
        <f t="shared" si="31"/>
        <v>0</v>
      </c>
      <c r="S45" s="45">
        <v>4400</v>
      </c>
      <c r="T45" s="39">
        <v>800</v>
      </c>
      <c r="U45" s="39">
        <v>300</v>
      </c>
      <c r="V45" s="39">
        <f t="shared" si="158"/>
        <v>75</v>
      </c>
      <c r="W45" s="39">
        <f t="shared" si="159"/>
        <v>150</v>
      </c>
      <c r="X45" s="39">
        <f t="shared" si="160"/>
        <v>225</v>
      </c>
      <c r="Y45" s="39">
        <f t="shared" si="161"/>
        <v>300</v>
      </c>
      <c r="Z45" s="39">
        <v>700</v>
      </c>
      <c r="AA45" s="39">
        <v>0</v>
      </c>
      <c r="AB45" s="48">
        <f t="shared" si="5"/>
        <v>-100</v>
      </c>
      <c r="AC45" s="49">
        <f t="shared" si="33"/>
        <v>0.875</v>
      </c>
      <c r="AD45" s="48">
        <f t="shared" si="109"/>
        <v>-300</v>
      </c>
      <c r="AE45" s="49">
        <f t="shared" si="34"/>
        <v>0</v>
      </c>
      <c r="AF45" s="49">
        <f t="shared" si="35"/>
        <v>0</v>
      </c>
      <c r="AG45" s="45">
        <v>4400</v>
      </c>
      <c r="AH45" s="39">
        <v>800</v>
      </c>
      <c r="AI45" s="39">
        <v>300</v>
      </c>
      <c r="AJ45" s="39">
        <v>700</v>
      </c>
      <c r="AK45" s="39">
        <v>0</v>
      </c>
      <c r="AL45" s="48">
        <f>+AJ45-AH45</f>
        <v>-100</v>
      </c>
      <c r="AM45" s="49">
        <f>+IF(AH45&lt;=0,0,AJ45/AH45)</f>
        <v>0.875</v>
      </c>
      <c r="AN45" s="48">
        <f>+AK45-AI45</f>
        <v>-300</v>
      </c>
      <c r="AO45" s="49">
        <f>+IF(AI45&lt;=0,0,AK45/AI45)</f>
        <v>0</v>
      </c>
      <c r="AP45" s="39">
        <f t="shared" si="162"/>
        <v>4657.6950362549087</v>
      </c>
      <c r="AQ45" s="39">
        <f t="shared" si="162"/>
        <v>2432.9441827002902</v>
      </c>
      <c r="AR45" s="39">
        <f t="shared" si="163"/>
        <v>4881</v>
      </c>
      <c r="AS45" s="39">
        <f t="shared" si="163"/>
        <v>2955</v>
      </c>
      <c r="AT45" s="39">
        <f t="shared" si="164"/>
        <v>223.3049637450913</v>
      </c>
      <c r="AU45" s="17">
        <f t="shared" si="74"/>
        <v>1.0479432341548585</v>
      </c>
      <c r="AV45" s="39">
        <f t="shared" si="75"/>
        <v>522.05581729970982</v>
      </c>
      <c r="AW45" s="17">
        <f t="shared" si="76"/>
        <v>1.2145778028989911</v>
      </c>
      <c r="AX45" s="45">
        <v>4400</v>
      </c>
      <c r="AY45" s="39">
        <v>800</v>
      </c>
      <c r="AZ45" s="39">
        <v>300</v>
      </c>
      <c r="BA45" s="39">
        <f t="shared" si="165"/>
        <v>75</v>
      </c>
      <c r="BB45" s="39">
        <f t="shared" si="166"/>
        <v>150</v>
      </c>
      <c r="BC45" s="39">
        <f t="shared" si="167"/>
        <v>225</v>
      </c>
      <c r="BD45" s="39">
        <f t="shared" si="168"/>
        <v>300</v>
      </c>
      <c r="BE45" s="39">
        <v>700</v>
      </c>
      <c r="BF45" s="39">
        <v>0</v>
      </c>
      <c r="BG45" s="48">
        <f t="shared" si="181"/>
        <v>-100</v>
      </c>
      <c r="BH45" s="49">
        <f t="shared" si="41"/>
        <v>0.875</v>
      </c>
      <c r="BI45" s="48">
        <f t="shared" si="111"/>
        <v>-300</v>
      </c>
      <c r="BJ45" s="49">
        <f t="shared" si="42"/>
        <v>0</v>
      </c>
      <c r="BK45" s="49">
        <f t="shared" si="43"/>
        <v>0</v>
      </c>
      <c r="BL45" s="45">
        <v>4227.7227722772277</v>
      </c>
      <c r="BM45" s="39">
        <v>749.89489108910891</v>
      </c>
      <c r="BN45" s="39">
        <v>519.62954455445538</v>
      </c>
      <c r="BO45" s="39">
        <f t="shared" si="169"/>
        <v>129.90738613861384</v>
      </c>
      <c r="BP45" s="39">
        <f t="shared" si="170"/>
        <v>259.81477227722769</v>
      </c>
      <c r="BQ45" s="39">
        <f t="shared" si="171"/>
        <v>389.72215841584153</v>
      </c>
      <c r="BR45" s="39">
        <f t="shared" si="172"/>
        <v>519.62954455445538</v>
      </c>
      <c r="BS45" s="39">
        <v>762</v>
      </c>
      <c r="BT45" s="39">
        <v>612</v>
      </c>
      <c r="BU45" s="48">
        <f t="shared" si="182"/>
        <v>12.10510891089109</v>
      </c>
      <c r="BV45" s="49">
        <f t="shared" si="45"/>
        <v>1.0161424074956829</v>
      </c>
      <c r="BW45" s="48">
        <f t="shared" si="188"/>
        <v>92.370455445544621</v>
      </c>
      <c r="BX45" s="49">
        <f t="shared" si="46"/>
        <v>1.1777621315291946</v>
      </c>
      <c r="BY45" s="49">
        <f t="shared" si="47"/>
        <v>1.1777621315291946</v>
      </c>
      <c r="BZ45" s="45">
        <v>13000</v>
      </c>
      <c r="CA45" s="39">
        <v>1200</v>
      </c>
      <c r="CB45" s="39">
        <v>300</v>
      </c>
      <c r="CC45" s="39">
        <f t="shared" si="173"/>
        <v>75</v>
      </c>
      <c r="CD45" s="39">
        <f t="shared" si="174"/>
        <v>150</v>
      </c>
      <c r="CE45" s="39">
        <f t="shared" si="175"/>
        <v>225</v>
      </c>
      <c r="CF45" s="39">
        <f t="shared" si="176"/>
        <v>300</v>
      </c>
      <c r="CG45" s="39">
        <v>1328</v>
      </c>
      <c r="CH45" s="39">
        <v>985</v>
      </c>
      <c r="CI45" s="52">
        <f t="shared" si="186"/>
        <v>128</v>
      </c>
      <c r="CJ45" s="49">
        <f t="shared" si="50"/>
        <v>1.1066666666666667</v>
      </c>
      <c r="CK45" s="53">
        <f t="shared" si="187"/>
        <v>685</v>
      </c>
      <c r="CL45" s="49">
        <f t="shared" si="52"/>
        <v>3.2833333333333332</v>
      </c>
      <c r="CM45" s="49">
        <f t="shared" si="53"/>
        <v>3.2833333333333332</v>
      </c>
      <c r="CN45" s="45">
        <v>13305.828187680354</v>
      </c>
      <c r="CO45" s="39">
        <v>1907.8001451658001</v>
      </c>
      <c r="CP45" s="39">
        <v>1313.314638145835</v>
      </c>
      <c r="CQ45" s="39">
        <f t="shared" si="177"/>
        <v>328.32865953645876</v>
      </c>
      <c r="CR45" s="39">
        <f t="shared" si="183"/>
        <v>656.65731907291752</v>
      </c>
      <c r="CS45" s="39">
        <f t="shared" si="184"/>
        <v>984.98597860937628</v>
      </c>
      <c r="CT45" s="39">
        <f t="shared" si="185"/>
        <v>1313.314638145835</v>
      </c>
      <c r="CU45" s="39">
        <v>2091</v>
      </c>
      <c r="CV45" s="39">
        <v>1358</v>
      </c>
      <c r="CW45" s="50">
        <f t="shared" si="77"/>
        <v>183.19985483419987</v>
      </c>
      <c r="CX45" s="17">
        <f t="shared" si="55"/>
        <v>1.096026753797253</v>
      </c>
      <c r="CY45" s="50">
        <f t="shared" si="153"/>
        <v>44.685361854164967</v>
      </c>
      <c r="CZ45" s="49">
        <f t="shared" si="56"/>
        <v>1.0340248715397344</v>
      </c>
      <c r="DA45" s="49">
        <f t="shared" si="57"/>
        <v>1.0340248715397344</v>
      </c>
    </row>
    <row r="46" spans="1:105" s="26" customFormat="1" ht="24.95" customHeight="1">
      <c r="A46" s="25"/>
      <c r="B46" s="7"/>
      <c r="C46" s="6"/>
      <c r="D46" s="7" t="s">
        <v>4</v>
      </c>
      <c r="E46" s="13">
        <f>SUM(E47:E65)</f>
        <v>72999.999999999985</v>
      </c>
      <c r="F46" s="13">
        <f>SUM(F47:F65)</f>
        <v>11721.581047717493</v>
      </c>
      <c r="G46" s="13">
        <f>SUM(G47:G65)</f>
        <v>5380.8912085915754</v>
      </c>
      <c r="H46" s="13">
        <f t="shared" ref="H46:M46" si="189">SUM(H47:H65)</f>
        <v>1345.2228021478938</v>
      </c>
      <c r="I46" s="13">
        <f t="shared" si="189"/>
        <v>2690.4456042957877</v>
      </c>
      <c r="J46" s="13">
        <f t="shared" si="189"/>
        <v>4035.6684064436813</v>
      </c>
      <c r="K46" s="13">
        <f t="shared" si="189"/>
        <v>5380.8912085915754</v>
      </c>
      <c r="L46" s="13">
        <f t="shared" si="189"/>
        <v>23447.149093519998</v>
      </c>
      <c r="M46" s="13">
        <f t="shared" si="189"/>
        <v>10755.338039999999</v>
      </c>
      <c r="N46" s="19">
        <f t="shared" si="2"/>
        <v>11725.568045802505</v>
      </c>
      <c r="O46" s="20">
        <f t="shared" si="29"/>
        <v>2.0003401416642328</v>
      </c>
      <c r="P46" s="19">
        <f t="shared" si="107"/>
        <v>5374.4468314084233</v>
      </c>
      <c r="Q46" s="20">
        <f t="shared" si="30"/>
        <v>1.9988023587667294</v>
      </c>
      <c r="R46" s="20">
        <f t="shared" si="31"/>
        <v>1.9988023587667294</v>
      </c>
      <c r="S46" s="13">
        <f>SUM(S47:S65)</f>
        <v>72999.999999999985</v>
      </c>
      <c r="T46" s="13">
        <f>SUM(T47:T65)</f>
        <v>11721.581047717493</v>
      </c>
      <c r="U46" s="13">
        <f>SUM(U47:U65)</f>
        <v>5380.8912085915754</v>
      </c>
      <c r="V46" s="13">
        <f t="shared" ref="V46:AA46" si="190">SUM(V47:V65)</f>
        <v>1345.2228021478938</v>
      </c>
      <c r="W46" s="13">
        <f t="shared" si="190"/>
        <v>2690.4456042957877</v>
      </c>
      <c r="X46" s="13">
        <f t="shared" si="190"/>
        <v>4035.6684064436813</v>
      </c>
      <c r="Y46" s="13">
        <f t="shared" si="190"/>
        <v>5380.8912085915754</v>
      </c>
      <c r="Z46" s="13">
        <f t="shared" si="190"/>
        <v>23447.149093519998</v>
      </c>
      <c r="AA46" s="13">
        <f t="shared" si="190"/>
        <v>10755.338039999999</v>
      </c>
      <c r="AB46" s="19">
        <f t="shared" si="5"/>
        <v>11725.568045802505</v>
      </c>
      <c r="AC46" s="20">
        <f t="shared" si="33"/>
        <v>2.0003401416642328</v>
      </c>
      <c r="AD46" s="19">
        <f t="shared" si="109"/>
        <v>5374.4468314084233</v>
      </c>
      <c r="AE46" s="20">
        <f t="shared" si="34"/>
        <v>1.9988023587667294</v>
      </c>
      <c r="AF46" s="20">
        <f t="shared" si="35"/>
        <v>1.9988023587667294</v>
      </c>
      <c r="AG46" s="13">
        <f>SUM(AG47:AG65)</f>
        <v>72999.999999999985</v>
      </c>
      <c r="AH46" s="13">
        <f>SUM(AH47:AH65)</f>
        <v>11721.581047717493</v>
      </c>
      <c r="AI46" s="13">
        <f>SUM(AI47:AI65)</f>
        <v>5380.8912085915754</v>
      </c>
      <c r="AJ46" s="13">
        <f t="shared" ref="AJ46:AK46" si="191">SUM(AJ47:AJ65)</f>
        <v>23447.149093519998</v>
      </c>
      <c r="AK46" s="13">
        <f t="shared" si="191"/>
        <v>10755.338039999999</v>
      </c>
      <c r="AL46" s="19">
        <f>+AJ46-AH46</f>
        <v>11725.568045802505</v>
      </c>
      <c r="AM46" s="20">
        <f>+IF(AH46&lt;=0,0,AJ46/AH46)</f>
        <v>2.0003401416642328</v>
      </c>
      <c r="AN46" s="19">
        <f>+AK46-AI46</f>
        <v>5374.4468314084233</v>
      </c>
      <c r="AO46" s="20">
        <f>+IF(AI46&lt;=0,0,AK46/AI46)</f>
        <v>1.9988023587667294</v>
      </c>
      <c r="AP46" s="13">
        <f>SUM(AP47:AP65)</f>
        <v>114924.18182103195</v>
      </c>
      <c r="AQ46" s="13">
        <f>SUM(AQ47:AQ65)</f>
        <v>57246.915537314504</v>
      </c>
      <c r="AR46" s="13">
        <f t="shared" ref="AR46:AS46" si="192">SUM(AR47:AR65)</f>
        <v>180383.86381685402</v>
      </c>
      <c r="AS46" s="13">
        <f t="shared" si="192"/>
        <v>88595.812418414003</v>
      </c>
      <c r="AT46" s="19">
        <f t="shared" si="73"/>
        <v>65459.681995822073</v>
      </c>
      <c r="AU46" s="20">
        <f t="shared" si="74"/>
        <v>1.5695901502936997</v>
      </c>
      <c r="AV46" s="19">
        <f t="shared" si="75"/>
        <v>31348.896881099499</v>
      </c>
      <c r="AW46" s="20">
        <f t="shared" si="76"/>
        <v>1.5476084883676529</v>
      </c>
      <c r="AX46" s="13">
        <f>SUM(AX47:AX65)</f>
        <v>72999.999999999985</v>
      </c>
      <c r="AY46" s="13">
        <f>SUM(AY47:AY65)</f>
        <v>11721.581047717493</v>
      </c>
      <c r="AZ46" s="13">
        <f>SUM(AZ47:AZ65)</f>
        <v>5380.8912085915754</v>
      </c>
      <c r="BA46" s="13">
        <f t="shared" ref="BA46:BF46" si="193">SUM(BA47:BA65)</f>
        <v>1345.2228021478938</v>
      </c>
      <c r="BB46" s="13">
        <f t="shared" si="193"/>
        <v>2690.4456042957877</v>
      </c>
      <c r="BC46" s="13">
        <f t="shared" si="193"/>
        <v>4035.6684064436813</v>
      </c>
      <c r="BD46" s="13">
        <f t="shared" si="193"/>
        <v>5380.8912085915754</v>
      </c>
      <c r="BE46" s="13">
        <f t="shared" si="193"/>
        <v>23447.149093519998</v>
      </c>
      <c r="BF46" s="13">
        <f t="shared" si="193"/>
        <v>10755.338039999999</v>
      </c>
      <c r="BG46" s="19">
        <f t="shared" si="181"/>
        <v>11725.568045802505</v>
      </c>
      <c r="BH46" s="20">
        <f t="shared" si="41"/>
        <v>2.0003401416642328</v>
      </c>
      <c r="BI46" s="19">
        <f t="shared" si="111"/>
        <v>5374.4468314084233</v>
      </c>
      <c r="BJ46" s="20">
        <f t="shared" si="42"/>
        <v>1.9988023587667294</v>
      </c>
      <c r="BK46" s="20">
        <f t="shared" si="43"/>
        <v>1.9988023587667294</v>
      </c>
      <c r="BL46" s="13">
        <f>SUM(BL47:BL65)</f>
        <v>41987.865168539327</v>
      </c>
      <c r="BM46" s="13">
        <f>SUM(BM47:BM65)</f>
        <v>6741.9748574475061</v>
      </c>
      <c r="BN46" s="13">
        <f>SUM(BN47:BN65)</f>
        <v>3094.9607473002975</v>
      </c>
      <c r="BO46" s="13">
        <f t="shared" ref="BO46:BR46" si="194">SUM(BO47:BO65)</f>
        <v>773.74018682507437</v>
      </c>
      <c r="BP46" s="13">
        <f t="shared" si="194"/>
        <v>1547.4803736501487</v>
      </c>
      <c r="BQ46" s="13">
        <f t="shared" si="194"/>
        <v>2321.2205604752226</v>
      </c>
      <c r="BR46" s="13">
        <f t="shared" si="194"/>
        <v>3094.9607473002975</v>
      </c>
      <c r="BS46" s="13">
        <f>SUM(BS47:BS65)</f>
        <v>21196.5</v>
      </c>
      <c r="BT46" s="13">
        <f>SUM(BT47:BT65)</f>
        <v>10403.5</v>
      </c>
      <c r="BU46" s="19">
        <f t="shared" si="182"/>
        <v>14454.525142552495</v>
      </c>
      <c r="BV46" s="20">
        <f t="shared" si="45"/>
        <v>3.1439601078585064</v>
      </c>
      <c r="BW46" s="19">
        <f t="shared" si="188"/>
        <v>7308.539252699702</v>
      </c>
      <c r="BX46" s="20">
        <f t="shared" si="46"/>
        <v>3.3614319693956913</v>
      </c>
      <c r="BY46" s="20">
        <f t="shared" si="47"/>
        <v>3.3614319693956913</v>
      </c>
      <c r="BZ46" s="13">
        <f>SUM(BZ47:BZ65)</f>
        <v>250000</v>
      </c>
      <c r="CA46" s="13">
        <f>SUM(CA47:CA65)</f>
        <v>47500</v>
      </c>
      <c r="CB46" s="13">
        <f>SUM(CB47:CB65)</f>
        <v>17500</v>
      </c>
      <c r="CC46" s="13">
        <f t="shared" ref="CC46:CF46" si="195">SUM(CC47:CC65)</f>
        <v>4375</v>
      </c>
      <c r="CD46" s="13">
        <f t="shared" si="195"/>
        <v>8750</v>
      </c>
      <c r="CE46" s="13">
        <f t="shared" si="195"/>
        <v>13125</v>
      </c>
      <c r="CF46" s="13">
        <f t="shared" si="195"/>
        <v>17500</v>
      </c>
      <c r="CG46" s="13">
        <f>SUM(CG47:CG65)</f>
        <v>80172.205223333993</v>
      </c>
      <c r="CH46" s="13">
        <f>SUM(CH47:CH65)</f>
        <v>33031.330878413995</v>
      </c>
      <c r="CI46" s="19">
        <f t="shared" si="186"/>
        <v>32672.205223333993</v>
      </c>
      <c r="CJ46" s="20">
        <f t="shared" si="50"/>
        <v>1.6878358994386105</v>
      </c>
      <c r="CK46" s="19">
        <f t="shared" si="187"/>
        <v>15531.330878413995</v>
      </c>
      <c r="CL46" s="20">
        <f t="shared" si="52"/>
        <v>1.8875046216236568</v>
      </c>
      <c r="CM46" s="20">
        <f t="shared" si="53"/>
        <v>1.8875046216236568</v>
      </c>
      <c r="CN46" s="13">
        <f>SUM(CN47:CN65)</f>
        <v>273994.1337156638</v>
      </c>
      <c r="CO46" s="13">
        <f>SUM(CO47:CO65)</f>
        <v>48960.625915866964</v>
      </c>
      <c r="CP46" s="13">
        <f>SUM(CP47:CP65)</f>
        <v>31271.063581422641</v>
      </c>
      <c r="CQ46" s="13">
        <f t="shared" ref="CQ46:CV46" si="196">SUM(CQ47:CQ65)</f>
        <v>7817.7658953556602</v>
      </c>
      <c r="CR46" s="13">
        <f t="shared" si="196"/>
        <v>15635.53179071132</v>
      </c>
      <c r="CS46" s="13">
        <f t="shared" si="196"/>
        <v>23453.297686066977</v>
      </c>
      <c r="CT46" s="13">
        <f t="shared" si="196"/>
        <v>31271.063581422641</v>
      </c>
      <c r="CU46" s="13">
        <f t="shared" si="196"/>
        <v>55568.0095</v>
      </c>
      <c r="CV46" s="13">
        <f t="shared" si="196"/>
        <v>34405.643500000006</v>
      </c>
      <c r="CW46" s="30">
        <f t="shared" si="77"/>
        <v>6607.3835841330365</v>
      </c>
      <c r="CX46" s="20">
        <f t="shared" si="55"/>
        <v>1.1349530047979175</v>
      </c>
      <c r="CY46" s="30">
        <f t="shared" si="153"/>
        <v>3134.5799185773649</v>
      </c>
      <c r="CZ46" s="20">
        <f t="shared" si="56"/>
        <v>1.1002389928444756</v>
      </c>
      <c r="DA46" s="20">
        <f t="shared" si="57"/>
        <v>1.1002389928444756</v>
      </c>
    </row>
    <row r="47" spans="1:105" ht="24.95" customHeight="1">
      <c r="A47" s="4" t="s">
        <v>53</v>
      </c>
      <c r="B47" s="12">
        <v>11349</v>
      </c>
      <c r="C47" s="5">
        <v>1</v>
      </c>
      <c r="D47" s="8" t="s">
        <v>86</v>
      </c>
      <c r="E47" s="45">
        <v>4099.9999999999991</v>
      </c>
      <c r="F47" s="39">
        <v>658.33537391290008</v>
      </c>
      <c r="G47" s="39">
        <v>302.21443774281448</v>
      </c>
      <c r="H47" s="39">
        <f t="shared" ref="H47:H65" si="197">+G47*0.25</f>
        <v>75.553609435703621</v>
      </c>
      <c r="I47" s="39">
        <f t="shared" ref="I47:I65" si="198">+G47*0.5</f>
        <v>151.10721887140724</v>
      </c>
      <c r="J47" s="39">
        <f t="shared" ref="J47:J65" si="199">+G47*0.75</f>
        <v>226.66082830711088</v>
      </c>
      <c r="K47" s="39">
        <f t="shared" ref="K47:K65" si="200">+G47</f>
        <v>302.21443774281448</v>
      </c>
      <c r="L47" s="39">
        <v>1611</v>
      </c>
      <c r="M47" s="39">
        <v>674</v>
      </c>
      <c r="N47" s="48">
        <f t="shared" si="2"/>
        <v>952.66462608709992</v>
      </c>
      <c r="O47" s="49">
        <f t="shared" si="29"/>
        <v>2.4470810225870387</v>
      </c>
      <c r="P47" s="48">
        <f t="shared" si="107"/>
        <v>371.78556225718552</v>
      </c>
      <c r="Q47" s="49">
        <f t="shared" si="30"/>
        <v>2.2302045032460569</v>
      </c>
      <c r="R47" s="49">
        <f t="shared" si="31"/>
        <v>2.2302045032460569</v>
      </c>
      <c r="S47" s="45">
        <v>4099.9999999999991</v>
      </c>
      <c r="T47" s="39">
        <v>658.33537391290008</v>
      </c>
      <c r="U47" s="39">
        <v>302.21443774281448</v>
      </c>
      <c r="V47" s="39">
        <f t="shared" ref="V47:V65" si="201">+U47*0.25</f>
        <v>75.553609435703621</v>
      </c>
      <c r="W47" s="39">
        <f t="shared" ref="W47:W65" si="202">+U47*0.5</f>
        <v>151.10721887140724</v>
      </c>
      <c r="X47" s="39">
        <f t="shared" ref="X47:X65" si="203">+U47*0.75</f>
        <v>226.66082830711088</v>
      </c>
      <c r="Y47" s="39">
        <f t="shared" ref="Y47:Y65" si="204">+U47</f>
        <v>302.21443774281448</v>
      </c>
      <c r="Z47" s="39">
        <v>1611</v>
      </c>
      <c r="AA47" s="39">
        <v>674</v>
      </c>
      <c r="AB47" s="48">
        <f t="shared" si="5"/>
        <v>952.66462608709992</v>
      </c>
      <c r="AC47" s="49">
        <f t="shared" si="33"/>
        <v>2.4470810225870387</v>
      </c>
      <c r="AD47" s="48">
        <f t="shared" si="109"/>
        <v>371.78556225718552</v>
      </c>
      <c r="AE47" s="49">
        <f t="shared" si="34"/>
        <v>2.2302045032460569</v>
      </c>
      <c r="AF47" s="49">
        <f t="shared" si="35"/>
        <v>2.2302045032460569</v>
      </c>
      <c r="AG47" s="45">
        <v>4099.9999999999991</v>
      </c>
      <c r="AH47" s="39">
        <v>658.33537391290008</v>
      </c>
      <c r="AI47" s="39">
        <v>302.21443774281448</v>
      </c>
      <c r="AJ47" s="39">
        <v>1611</v>
      </c>
      <c r="AK47" s="39">
        <v>674</v>
      </c>
      <c r="AL47" s="48">
        <f>+AJ47-AH47</f>
        <v>952.66462608709992</v>
      </c>
      <c r="AM47" s="49">
        <f>+IF(AH47&lt;=0,0,AJ47/AH47)</f>
        <v>2.4470810225870387</v>
      </c>
      <c r="AN47" s="48">
        <f>+AK47-AI47</f>
        <v>371.78556225718552</v>
      </c>
      <c r="AO47" s="49">
        <f>+IF(AI47&lt;=0,0,AK47/AI47)</f>
        <v>2.2302045032460569</v>
      </c>
      <c r="AP47" s="39">
        <f t="shared" ref="AP47:AP65" si="205">+AY47+BM47+CA47+CO47</f>
        <v>8488.7375190802959</v>
      </c>
      <c r="AQ47" s="39">
        <f t="shared" ref="AQ47:AQ65" si="206">+AZ47+BN47+CB47+CP47</f>
        <v>4788.4703912212699</v>
      </c>
      <c r="AR47" s="39">
        <f t="shared" ref="AR47:AR65" si="207">+BE47+BS47+CG47++CU47</f>
        <v>19212.62645</v>
      </c>
      <c r="AS47" s="39">
        <f t="shared" ref="AS47:AS65" si="208">+BF47+BT47+CH47++CV47</f>
        <v>9508.9652900000001</v>
      </c>
      <c r="AT47" s="39">
        <f t="shared" si="73"/>
        <v>10723.888930919704</v>
      </c>
      <c r="AU47" s="17">
        <f t="shared" si="74"/>
        <v>2.2633078719674646</v>
      </c>
      <c r="AV47" s="39">
        <f t="shared" si="75"/>
        <v>4720.4948987787302</v>
      </c>
      <c r="AW47" s="17">
        <f t="shared" si="76"/>
        <v>1.9858043410757724</v>
      </c>
      <c r="AX47" s="45">
        <v>4099.9999999999991</v>
      </c>
      <c r="AY47" s="39">
        <v>658.33537391290008</v>
      </c>
      <c r="AZ47" s="39">
        <v>302.21443774281448</v>
      </c>
      <c r="BA47" s="39">
        <f t="shared" ref="BA47:BA65" si="209">+AZ47*0.25</f>
        <v>75.553609435703621</v>
      </c>
      <c r="BB47" s="39">
        <f t="shared" ref="BB47:BB65" si="210">+AZ47*0.5</f>
        <v>151.10721887140724</v>
      </c>
      <c r="BC47" s="39">
        <f t="shared" ref="BC47:BC65" si="211">+AZ47*0.75</f>
        <v>226.66082830711088</v>
      </c>
      <c r="BD47" s="39">
        <f t="shared" ref="BD47:BD65" si="212">+AZ47</f>
        <v>302.21443774281448</v>
      </c>
      <c r="BE47" s="39">
        <v>1611</v>
      </c>
      <c r="BF47" s="39">
        <v>674</v>
      </c>
      <c r="BG47" s="48">
        <f t="shared" si="181"/>
        <v>952.66462608709992</v>
      </c>
      <c r="BH47" s="49">
        <f t="shared" si="41"/>
        <v>2.4470810225870387</v>
      </c>
      <c r="BI47" s="48">
        <f t="shared" si="111"/>
        <v>371.78556225718552</v>
      </c>
      <c r="BJ47" s="49">
        <f t="shared" si="42"/>
        <v>2.2302045032460569</v>
      </c>
      <c r="BK47" s="49">
        <f t="shared" si="43"/>
        <v>2.2302045032460569</v>
      </c>
      <c r="BL47" s="45">
        <v>2300</v>
      </c>
      <c r="BM47" s="39">
        <v>369.31008780479772</v>
      </c>
      <c r="BN47" s="39">
        <v>169.53492848987156</v>
      </c>
      <c r="BO47" s="39">
        <f t="shared" ref="BO47:BO65" si="213">+BN47*0.25</f>
        <v>42.38373212246789</v>
      </c>
      <c r="BP47" s="39">
        <f t="shared" ref="BP47:BP65" si="214">+BN47*0.5</f>
        <v>84.76746424493578</v>
      </c>
      <c r="BQ47" s="39">
        <f t="shared" ref="BQ47:BQ65" si="215">+BN47*0.75</f>
        <v>127.15119636740367</v>
      </c>
      <c r="BR47" s="39">
        <f t="shared" ref="BR47:BR65" si="216">+BN47</f>
        <v>169.53492848987156</v>
      </c>
      <c r="BS47" s="39">
        <v>783</v>
      </c>
      <c r="BT47" s="39">
        <v>545</v>
      </c>
      <c r="BU47" s="48">
        <f t="shared" si="182"/>
        <v>413.68991219520228</v>
      </c>
      <c r="BV47" s="49">
        <f t="shared" si="45"/>
        <v>2.1201695427660829</v>
      </c>
      <c r="BW47" s="48">
        <f t="shared" si="188"/>
        <v>375.46507151012844</v>
      </c>
      <c r="BX47" s="49">
        <f t="shared" si="46"/>
        <v>3.2146767917064341</v>
      </c>
      <c r="BY47" s="49">
        <f t="shared" si="47"/>
        <v>3.2146767917064341</v>
      </c>
      <c r="BZ47" s="45">
        <v>15000</v>
      </c>
      <c r="CA47" s="39">
        <v>2850</v>
      </c>
      <c r="CB47" s="39">
        <v>1050</v>
      </c>
      <c r="CC47" s="39">
        <f t="shared" ref="CC47:CC65" si="217">+CB47*0.25</f>
        <v>262.5</v>
      </c>
      <c r="CD47" s="39">
        <f t="shared" ref="CD47:CD65" si="218">+CB47*0.5</f>
        <v>525</v>
      </c>
      <c r="CE47" s="39">
        <f t="shared" ref="CE47:CE65" si="219">+CB47*0.75</f>
        <v>787.5</v>
      </c>
      <c r="CF47" s="39">
        <f t="shared" ref="CF47:CF65" si="220">+CB47</f>
        <v>1050</v>
      </c>
      <c r="CG47" s="39">
        <v>11754.240889999999</v>
      </c>
      <c r="CH47" s="39">
        <v>4604.4757300000001</v>
      </c>
      <c r="CI47" s="51">
        <f t="shared" si="186"/>
        <v>8904.2408899999991</v>
      </c>
      <c r="CJ47" s="49">
        <f t="shared" si="50"/>
        <v>4.1242950491228063</v>
      </c>
      <c r="CK47" s="48">
        <f t="shared" si="187"/>
        <v>3554.4757300000001</v>
      </c>
      <c r="CL47" s="49">
        <f t="shared" si="52"/>
        <v>4.385214980952381</v>
      </c>
      <c r="CM47" s="49">
        <f t="shared" si="53"/>
        <v>4.385214980952381</v>
      </c>
      <c r="CN47" s="45">
        <v>28473.150765072933</v>
      </c>
      <c r="CO47" s="39">
        <v>4611.092057362599</v>
      </c>
      <c r="CP47" s="39">
        <v>3266.7210249885838</v>
      </c>
      <c r="CQ47" s="39">
        <f t="shared" si="177"/>
        <v>816.68025624714596</v>
      </c>
      <c r="CR47" s="39">
        <f t="shared" ref="CR47:CR65" si="221">+CP47*0.5</f>
        <v>1633.3605124942919</v>
      </c>
      <c r="CS47" s="39">
        <f t="shared" ref="CS47:CS65" si="222">+CP47*0.75</f>
        <v>2450.0407687414381</v>
      </c>
      <c r="CT47" s="39">
        <f t="shared" ref="CT47:CT65" si="223">+CP47</f>
        <v>3266.7210249885838</v>
      </c>
      <c r="CU47" s="39">
        <v>5064.3855599999997</v>
      </c>
      <c r="CV47" s="39">
        <v>3685.48956</v>
      </c>
      <c r="CW47" s="50">
        <f t="shared" si="77"/>
        <v>453.29350263740071</v>
      </c>
      <c r="CX47" s="17">
        <f t="shared" si="55"/>
        <v>1.0983050212397343</v>
      </c>
      <c r="CY47" s="50">
        <f t="shared" si="153"/>
        <v>418.76853501141613</v>
      </c>
      <c r="CZ47" s="49">
        <f t="shared" si="56"/>
        <v>1.1281923163343524</v>
      </c>
      <c r="DA47" s="49">
        <f t="shared" si="57"/>
        <v>1.1281923163343524</v>
      </c>
    </row>
    <row r="48" spans="1:105" ht="24.95" customHeight="1">
      <c r="A48" s="4" t="s">
        <v>10</v>
      </c>
      <c r="B48" s="12">
        <v>11385</v>
      </c>
      <c r="C48" s="5">
        <f t="shared" ref="C48" si="224">+C47+1</f>
        <v>2</v>
      </c>
      <c r="D48" s="8" t="s">
        <v>87</v>
      </c>
      <c r="E48" s="45">
        <v>4473.5465054680672</v>
      </c>
      <c r="F48" s="39">
        <v>719.71533202071066</v>
      </c>
      <c r="G48" s="39">
        <v>329.89947293299053</v>
      </c>
      <c r="H48" s="39">
        <f t="shared" si="197"/>
        <v>82.474868233247633</v>
      </c>
      <c r="I48" s="39">
        <f t="shared" si="198"/>
        <v>164.94973646649527</v>
      </c>
      <c r="J48" s="39">
        <f t="shared" si="199"/>
        <v>247.4246046997429</v>
      </c>
      <c r="K48" s="39">
        <f t="shared" si="200"/>
        <v>329.89947293299053</v>
      </c>
      <c r="L48" s="39">
        <v>2940</v>
      </c>
      <c r="M48" s="39">
        <v>1575</v>
      </c>
      <c r="N48" s="48">
        <f t="shared" si="2"/>
        <v>2220.2846679792892</v>
      </c>
      <c r="O48" s="49">
        <f t="shared" si="29"/>
        <v>4.0849484083457011</v>
      </c>
      <c r="P48" s="48">
        <f t="shared" si="107"/>
        <v>1245.1005270670094</v>
      </c>
      <c r="Q48" s="49">
        <f t="shared" si="30"/>
        <v>4.774181619623004</v>
      </c>
      <c r="R48" s="49">
        <f t="shared" si="31"/>
        <v>4.774181619623004</v>
      </c>
      <c r="S48" s="45">
        <v>4473.5465054680672</v>
      </c>
      <c r="T48" s="39">
        <v>719.71533202071066</v>
      </c>
      <c r="U48" s="39">
        <v>329.89947293299053</v>
      </c>
      <c r="V48" s="39">
        <f t="shared" si="201"/>
        <v>82.474868233247633</v>
      </c>
      <c r="W48" s="39">
        <f t="shared" si="202"/>
        <v>164.94973646649527</v>
      </c>
      <c r="X48" s="39">
        <f t="shared" si="203"/>
        <v>247.4246046997429</v>
      </c>
      <c r="Y48" s="39">
        <f t="shared" si="204"/>
        <v>329.89947293299053</v>
      </c>
      <c r="Z48" s="39">
        <v>2940</v>
      </c>
      <c r="AA48" s="39">
        <v>1575</v>
      </c>
      <c r="AB48" s="48">
        <f t="shared" si="5"/>
        <v>2220.2846679792892</v>
      </c>
      <c r="AC48" s="49">
        <f t="shared" si="33"/>
        <v>4.0849484083457011</v>
      </c>
      <c r="AD48" s="48">
        <f t="shared" si="109"/>
        <v>1245.1005270670094</v>
      </c>
      <c r="AE48" s="49">
        <f t="shared" si="34"/>
        <v>4.774181619623004</v>
      </c>
      <c r="AF48" s="49">
        <f t="shared" si="35"/>
        <v>4.774181619623004</v>
      </c>
      <c r="AG48" s="45">
        <v>4473.5465054680672</v>
      </c>
      <c r="AH48" s="39">
        <v>719.71533202071066</v>
      </c>
      <c r="AI48" s="39">
        <v>329.89947293299053</v>
      </c>
      <c r="AJ48" s="39">
        <v>2940</v>
      </c>
      <c r="AK48" s="39">
        <v>1575</v>
      </c>
      <c r="AL48" s="48">
        <f>+AJ48-AH48</f>
        <v>2220.2846679792892</v>
      </c>
      <c r="AM48" s="49">
        <f>+IF(AH48&lt;=0,0,AJ48/AH48)</f>
        <v>4.0849484083457011</v>
      </c>
      <c r="AN48" s="48">
        <f>+AK48-AI48</f>
        <v>1245.1005270670094</v>
      </c>
      <c r="AO48" s="49">
        <f>+IF(AI48&lt;=0,0,AK48/AI48)</f>
        <v>4.774181619623004</v>
      </c>
      <c r="AP48" s="39">
        <f t="shared" si="205"/>
        <v>7058.7591854366328</v>
      </c>
      <c r="AQ48" s="39">
        <f t="shared" si="206"/>
        <v>3506.1845255537937</v>
      </c>
      <c r="AR48" s="39">
        <f t="shared" si="207"/>
        <v>16014.200315</v>
      </c>
      <c r="AS48" s="39">
        <f t="shared" si="208"/>
        <v>7621.6739299999999</v>
      </c>
      <c r="AT48" s="39">
        <f t="shared" si="73"/>
        <v>8955.4411295633672</v>
      </c>
      <c r="AU48" s="17">
        <f t="shared" si="74"/>
        <v>2.2686990580497346</v>
      </c>
      <c r="AV48" s="39">
        <f t="shared" si="75"/>
        <v>4115.4894044462062</v>
      </c>
      <c r="AW48" s="17">
        <f t="shared" si="76"/>
        <v>2.1737800376596477</v>
      </c>
      <c r="AX48" s="45">
        <v>4473.5465054680672</v>
      </c>
      <c r="AY48" s="39">
        <v>719.71533202071066</v>
      </c>
      <c r="AZ48" s="39">
        <v>329.89947293299053</v>
      </c>
      <c r="BA48" s="39">
        <f t="shared" si="209"/>
        <v>82.474868233247633</v>
      </c>
      <c r="BB48" s="39">
        <f t="shared" si="210"/>
        <v>164.94973646649527</v>
      </c>
      <c r="BC48" s="39">
        <f t="shared" si="211"/>
        <v>247.4246046997429</v>
      </c>
      <c r="BD48" s="39">
        <f t="shared" si="212"/>
        <v>329.89947293299053</v>
      </c>
      <c r="BE48" s="39">
        <v>2940</v>
      </c>
      <c r="BF48" s="39">
        <v>1575</v>
      </c>
      <c r="BG48" s="48">
        <f t="shared" si="181"/>
        <v>2220.2846679792892</v>
      </c>
      <c r="BH48" s="49">
        <f t="shared" si="41"/>
        <v>4.0849484083457011</v>
      </c>
      <c r="BI48" s="48">
        <f t="shared" si="111"/>
        <v>1245.1005270670094</v>
      </c>
      <c r="BJ48" s="49">
        <f t="shared" si="42"/>
        <v>4.774181619623004</v>
      </c>
      <c r="BK48" s="49">
        <f t="shared" si="43"/>
        <v>4.774181619623004</v>
      </c>
      <c r="BL48" s="45">
        <v>2439.8127874710044</v>
      </c>
      <c r="BM48" s="39">
        <v>391.75977163834119</v>
      </c>
      <c r="BN48" s="39">
        <v>179.84064628372647</v>
      </c>
      <c r="BO48" s="39">
        <f t="shared" si="213"/>
        <v>44.960161570931618</v>
      </c>
      <c r="BP48" s="39">
        <f t="shared" si="214"/>
        <v>89.920323141863236</v>
      </c>
      <c r="BQ48" s="39">
        <f t="shared" si="215"/>
        <v>134.88048471279484</v>
      </c>
      <c r="BR48" s="39">
        <f t="shared" si="216"/>
        <v>179.84064628372647</v>
      </c>
      <c r="BS48" s="39">
        <v>1287</v>
      </c>
      <c r="BT48" s="39">
        <v>1036</v>
      </c>
      <c r="BU48" s="48">
        <f t="shared" si="182"/>
        <v>895.24022836165886</v>
      </c>
      <c r="BV48" s="49">
        <f t="shared" si="45"/>
        <v>3.2851765116611129</v>
      </c>
      <c r="BW48" s="48">
        <f t="shared" si="188"/>
        <v>856.15935371627347</v>
      </c>
      <c r="BX48" s="49">
        <f t="shared" si="46"/>
        <v>5.7606554547493651</v>
      </c>
      <c r="BY48" s="49">
        <f t="shared" si="47"/>
        <v>5.7606554547493651</v>
      </c>
      <c r="BZ48" s="45">
        <v>15000</v>
      </c>
      <c r="CA48" s="39">
        <v>2850</v>
      </c>
      <c r="CB48" s="39">
        <v>1050</v>
      </c>
      <c r="CC48" s="39">
        <f t="shared" si="217"/>
        <v>262.5</v>
      </c>
      <c r="CD48" s="39">
        <f t="shared" si="218"/>
        <v>525</v>
      </c>
      <c r="CE48" s="39">
        <f t="shared" si="219"/>
        <v>787.5</v>
      </c>
      <c r="CF48" s="39">
        <f t="shared" si="220"/>
        <v>1050</v>
      </c>
      <c r="CG48" s="39">
        <v>8276.700315</v>
      </c>
      <c r="CH48" s="39">
        <v>2552.1739299999999</v>
      </c>
      <c r="CI48" s="51">
        <f t="shared" si="186"/>
        <v>5426.700315</v>
      </c>
      <c r="CJ48" s="49">
        <f t="shared" si="50"/>
        <v>2.9041053736842106</v>
      </c>
      <c r="CK48" s="48">
        <f t="shared" si="187"/>
        <v>1502.1739299999999</v>
      </c>
      <c r="CL48" s="49">
        <f t="shared" si="52"/>
        <v>2.4306418380952381</v>
      </c>
      <c r="CM48" s="49">
        <f t="shared" si="53"/>
        <v>2.4306418380952381</v>
      </c>
      <c r="CN48" s="45">
        <v>8993.0495301891788</v>
      </c>
      <c r="CO48" s="39">
        <v>3097.2840817775805</v>
      </c>
      <c r="CP48" s="39">
        <v>1946.4444063370765</v>
      </c>
      <c r="CQ48" s="39">
        <f t="shared" si="177"/>
        <v>486.61110158426914</v>
      </c>
      <c r="CR48" s="39">
        <f t="shared" si="221"/>
        <v>973.22220316853827</v>
      </c>
      <c r="CS48" s="39">
        <f t="shared" si="222"/>
        <v>1459.8333047528074</v>
      </c>
      <c r="CT48" s="39">
        <f t="shared" si="223"/>
        <v>1946.4444063370765</v>
      </c>
      <c r="CU48" s="39">
        <v>3510.5</v>
      </c>
      <c r="CV48" s="39">
        <v>2458.5</v>
      </c>
      <c r="CW48" s="50">
        <f t="shared" si="77"/>
        <v>413.21591822241953</v>
      </c>
      <c r="CX48" s="17">
        <f t="shared" si="55"/>
        <v>1.1334123403963863</v>
      </c>
      <c r="CY48" s="50">
        <f t="shared" si="153"/>
        <v>512.05559366292346</v>
      </c>
      <c r="CZ48" s="49">
        <f t="shared" si="56"/>
        <v>1.2630722932521548</v>
      </c>
      <c r="DA48" s="49">
        <f t="shared" si="57"/>
        <v>1.2630722932521548</v>
      </c>
    </row>
    <row r="49" spans="1:105" ht="24.95" customHeight="1">
      <c r="A49" s="4" t="s">
        <v>23</v>
      </c>
      <c r="B49" s="12">
        <v>11386</v>
      </c>
      <c r="C49" s="5">
        <f t="shared" ref="C49:C65" si="225">+C48+1</f>
        <v>3</v>
      </c>
      <c r="D49" s="8" t="s">
        <v>88</v>
      </c>
      <c r="E49" s="45">
        <v>3999.9999999999991</v>
      </c>
      <c r="F49" s="39">
        <v>642.27841357356112</v>
      </c>
      <c r="G49" s="39">
        <v>294.84335389542878</v>
      </c>
      <c r="H49" s="39">
        <f t="shared" si="197"/>
        <v>73.710838473857194</v>
      </c>
      <c r="I49" s="39">
        <f t="shared" si="198"/>
        <v>147.42167694771439</v>
      </c>
      <c r="J49" s="39">
        <f t="shared" si="199"/>
        <v>221.13251542157158</v>
      </c>
      <c r="K49" s="39">
        <f t="shared" si="200"/>
        <v>294.84335389542878</v>
      </c>
      <c r="L49" s="39">
        <v>710</v>
      </c>
      <c r="M49" s="39">
        <v>300</v>
      </c>
      <c r="N49" s="48">
        <f t="shared" si="2"/>
        <v>67.721586426438876</v>
      </c>
      <c r="O49" s="49">
        <f t="shared" si="29"/>
        <v>1.1054396115379994</v>
      </c>
      <c r="P49" s="48">
        <f t="shared" si="107"/>
        <v>5.1566461045712231</v>
      </c>
      <c r="Q49" s="49">
        <f t="shared" si="30"/>
        <v>1.017489443246532</v>
      </c>
      <c r="R49" s="49">
        <f t="shared" si="31"/>
        <v>1.017489443246532</v>
      </c>
      <c r="S49" s="45">
        <v>3999.9999999999991</v>
      </c>
      <c r="T49" s="39">
        <v>642.27841357356112</v>
      </c>
      <c r="U49" s="39">
        <v>294.84335389542878</v>
      </c>
      <c r="V49" s="39">
        <f t="shared" si="201"/>
        <v>73.710838473857194</v>
      </c>
      <c r="W49" s="39">
        <f t="shared" si="202"/>
        <v>147.42167694771439</v>
      </c>
      <c r="X49" s="39">
        <f t="shared" si="203"/>
        <v>221.13251542157158</v>
      </c>
      <c r="Y49" s="39">
        <f t="shared" si="204"/>
        <v>294.84335389542878</v>
      </c>
      <c r="Z49" s="39">
        <v>710</v>
      </c>
      <c r="AA49" s="39">
        <v>300</v>
      </c>
      <c r="AB49" s="48">
        <f t="shared" si="5"/>
        <v>67.721586426438876</v>
      </c>
      <c r="AC49" s="49">
        <f t="shared" si="33"/>
        <v>1.1054396115379994</v>
      </c>
      <c r="AD49" s="48">
        <f t="shared" si="109"/>
        <v>5.1566461045712231</v>
      </c>
      <c r="AE49" s="49">
        <f t="shared" si="34"/>
        <v>1.017489443246532</v>
      </c>
      <c r="AF49" s="49">
        <f t="shared" si="35"/>
        <v>1.017489443246532</v>
      </c>
      <c r="AG49" s="45">
        <v>3999.9999999999991</v>
      </c>
      <c r="AH49" s="39">
        <v>642.27841357356112</v>
      </c>
      <c r="AI49" s="39">
        <v>294.84335389542878</v>
      </c>
      <c r="AJ49" s="39">
        <v>710</v>
      </c>
      <c r="AK49" s="39">
        <v>300</v>
      </c>
      <c r="AL49" s="48">
        <f>+AJ49-AH49</f>
        <v>67.721586426438876</v>
      </c>
      <c r="AM49" s="49">
        <f>+IF(AH49&lt;=0,0,AJ49/AH49)</f>
        <v>1.1054396115379994</v>
      </c>
      <c r="AN49" s="48">
        <f>+AK49-AI49</f>
        <v>5.1566461045712231</v>
      </c>
      <c r="AO49" s="49">
        <f>+IF(AI49&lt;=0,0,AK49/AI49)</f>
        <v>1.017489443246532</v>
      </c>
      <c r="AP49" s="39">
        <f t="shared" si="205"/>
        <v>6524.5046630986526</v>
      </c>
      <c r="AQ49" s="39">
        <f t="shared" si="206"/>
        <v>3482.5862193844296</v>
      </c>
      <c r="AR49" s="39">
        <f t="shared" si="207"/>
        <v>10170.896167000001</v>
      </c>
      <c r="AS49" s="39">
        <f t="shared" si="208"/>
        <v>3967.0152849999999</v>
      </c>
      <c r="AT49" s="39">
        <f t="shared" si="73"/>
        <v>3646.3915039013482</v>
      </c>
      <c r="AU49" s="17">
        <f t="shared" si="74"/>
        <v>1.5588763733321611</v>
      </c>
      <c r="AV49" s="39">
        <f t="shared" si="75"/>
        <v>484.42906561557038</v>
      </c>
      <c r="AW49" s="17">
        <f t="shared" si="76"/>
        <v>1.13910037974629</v>
      </c>
      <c r="AX49" s="45">
        <v>3999.9999999999991</v>
      </c>
      <c r="AY49" s="39">
        <v>642.27841357356112</v>
      </c>
      <c r="AZ49" s="39">
        <v>294.84335389542878</v>
      </c>
      <c r="BA49" s="39">
        <f t="shared" si="209"/>
        <v>73.710838473857194</v>
      </c>
      <c r="BB49" s="39">
        <f t="shared" si="210"/>
        <v>147.42167694771439</v>
      </c>
      <c r="BC49" s="39">
        <f t="shared" si="211"/>
        <v>221.13251542157158</v>
      </c>
      <c r="BD49" s="39">
        <f t="shared" si="212"/>
        <v>294.84335389542878</v>
      </c>
      <c r="BE49" s="39">
        <v>710</v>
      </c>
      <c r="BF49" s="39">
        <v>300</v>
      </c>
      <c r="BG49" s="48">
        <f t="shared" si="181"/>
        <v>67.721586426438876</v>
      </c>
      <c r="BH49" s="49">
        <f t="shared" si="41"/>
        <v>1.1054396115379994</v>
      </c>
      <c r="BI49" s="48">
        <f t="shared" si="111"/>
        <v>5.1566461045712231</v>
      </c>
      <c r="BJ49" s="49">
        <f t="shared" si="42"/>
        <v>1.017489443246532</v>
      </c>
      <c r="BK49" s="49">
        <f t="shared" si="43"/>
        <v>1.017489443246532</v>
      </c>
      <c r="BL49" s="45">
        <v>2992.4612259030005</v>
      </c>
      <c r="BM49" s="39">
        <v>480.4983122133437</v>
      </c>
      <c r="BN49" s="39">
        <v>220.57682606181714</v>
      </c>
      <c r="BO49" s="39">
        <f t="shared" si="213"/>
        <v>55.144206515454286</v>
      </c>
      <c r="BP49" s="39">
        <f t="shared" si="214"/>
        <v>110.28841303090857</v>
      </c>
      <c r="BQ49" s="39">
        <f t="shared" si="215"/>
        <v>165.43261954636284</v>
      </c>
      <c r="BR49" s="39">
        <f t="shared" si="216"/>
        <v>220.57682606181714</v>
      </c>
      <c r="BS49" s="39">
        <v>3093</v>
      </c>
      <c r="BT49" s="39">
        <v>807</v>
      </c>
      <c r="BU49" s="48">
        <f t="shared" si="182"/>
        <v>2612.5016877866565</v>
      </c>
      <c r="BV49" s="49">
        <f t="shared" si="45"/>
        <v>6.4370673556636602</v>
      </c>
      <c r="BW49" s="48">
        <f t="shared" si="188"/>
        <v>586.4231739381828</v>
      </c>
      <c r="BX49" s="49">
        <f t="shared" si="46"/>
        <v>3.6585892290146402</v>
      </c>
      <c r="BY49" s="49">
        <f t="shared" si="47"/>
        <v>3.6585892290146402</v>
      </c>
      <c r="BZ49" s="45">
        <v>10000</v>
      </c>
      <c r="CA49" s="39">
        <v>1900</v>
      </c>
      <c r="CB49" s="39">
        <v>700.00000000000011</v>
      </c>
      <c r="CC49" s="39">
        <f t="shared" si="217"/>
        <v>175.00000000000003</v>
      </c>
      <c r="CD49" s="39">
        <f t="shared" si="218"/>
        <v>350.00000000000006</v>
      </c>
      <c r="CE49" s="39">
        <f t="shared" si="219"/>
        <v>525.00000000000011</v>
      </c>
      <c r="CF49" s="39">
        <f t="shared" si="220"/>
        <v>700.00000000000011</v>
      </c>
      <c r="CG49" s="39">
        <v>2539.6461669999999</v>
      </c>
      <c r="CH49" s="39">
        <v>531.22528499999999</v>
      </c>
      <c r="CI49" s="51">
        <f t="shared" si="186"/>
        <v>639.64616699999988</v>
      </c>
      <c r="CJ49" s="49">
        <f t="shared" si="50"/>
        <v>1.336655877368421</v>
      </c>
      <c r="CK49" s="53">
        <f t="shared" si="187"/>
        <v>-168.77471500000013</v>
      </c>
      <c r="CL49" s="49">
        <f t="shared" si="52"/>
        <v>0.75889326428571413</v>
      </c>
      <c r="CM49" s="49">
        <f t="shared" si="53"/>
        <v>0.75889326428571413</v>
      </c>
      <c r="CN49" s="45">
        <v>17605.762637401702</v>
      </c>
      <c r="CO49" s="39">
        <v>3501.7279373117476</v>
      </c>
      <c r="CP49" s="39">
        <v>2267.1660394271835</v>
      </c>
      <c r="CQ49" s="39">
        <f t="shared" si="177"/>
        <v>566.79150985679587</v>
      </c>
      <c r="CR49" s="39">
        <f t="shared" si="221"/>
        <v>1133.5830197135917</v>
      </c>
      <c r="CS49" s="39">
        <f t="shared" si="222"/>
        <v>1700.3745295703875</v>
      </c>
      <c r="CT49" s="39">
        <f t="shared" si="223"/>
        <v>2267.1660394271835</v>
      </c>
      <c r="CU49" s="39">
        <v>3828.2500000000005</v>
      </c>
      <c r="CV49" s="39">
        <v>2328.79</v>
      </c>
      <c r="CW49" s="50">
        <f t="shared" si="77"/>
        <v>326.52206268825284</v>
      </c>
      <c r="CX49" s="17">
        <f t="shared" si="55"/>
        <v>1.0932459827073036</v>
      </c>
      <c r="CY49" s="50">
        <f t="shared" si="153"/>
        <v>61.623960572816486</v>
      </c>
      <c r="CZ49" s="49">
        <f t="shared" si="56"/>
        <v>1.027181053130271</v>
      </c>
      <c r="DA49" s="49">
        <f t="shared" si="57"/>
        <v>1.027181053130271</v>
      </c>
    </row>
    <row r="50" spans="1:105" ht="24.95" customHeight="1">
      <c r="A50" s="4" t="s">
        <v>9</v>
      </c>
      <c r="B50" s="12">
        <v>11387</v>
      </c>
      <c r="C50" s="5">
        <f t="shared" si="225"/>
        <v>4</v>
      </c>
      <c r="D50" s="8" t="s">
        <v>89</v>
      </c>
      <c r="E50" s="45">
        <v>3999.9999999999991</v>
      </c>
      <c r="F50" s="39">
        <v>642.27841357356112</v>
      </c>
      <c r="G50" s="39">
        <v>294.84335389542878</v>
      </c>
      <c r="H50" s="39">
        <f t="shared" si="197"/>
        <v>73.710838473857194</v>
      </c>
      <c r="I50" s="39">
        <f t="shared" si="198"/>
        <v>147.42167694771439</v>
      </c>
      <c r="J50" s="39">
        <f t="shared" si="199"/>
        <v>221.13251542157158</v>
      </c>
      <c r="K50" s="39">
        <f t="shared" si="200"/>
        <v>294.84335389542878</v>
      </c>
      <c r="L50" s="39">
        <v>3110</v>
      </c>
      <c r="M50" s="39">
        <v>1160</v>
      </c>
      <c r="N50" s="48">
        <f t="shared" si="2"/>
        <v>2467.721586426439</v>
      </c>
      <c r="O50" s="49">
        <f t="shared" si="29"/>
        <v>4.8421368899763078</v>
      </c>
      <c r="P50" s="48">
        <f t="shared" si="107"/>
        <v>865.15664610457122</v>
      </c>
      <c r="Q50" s="49">
        <f t="shared" si="30"/>
        <v>3.9342925138865898</v>
      </c>
      <c r="R50" s="49">
        <f t="shared" si="31"/>
        <v>3.9342925138865898</v>
      </c>
      <c r="S50" s="45">
        <v>3999.9999999999991</v>
      </c>
      <c r="T50" s="39">
        <v>642.27841357356112</v>
      </c>
      <c r="U50" s="39">
        <v>294.84335389542878</v>
      </c>
      <c r="V50" s="39">
        <f t="shared" si="201"/>
        <v>73.710838473857194</v>
      </c>
      <c r="W50" s="39">
        <f t="shared" si="202"/>
        <v>147.42167694771439</v>
      </c>
      <c r="X50" s="39">
        <f t="shared" si="203"/>
        <v>221.13251542157158</v>
      </c>
      <c r="Y50" s="39">
        <f t="shared" si="204"/>
        <v>294.84335389542878</v>
      </c>
      <c r="Z50" s="39">
        <v>3110</v>
      </c>
      <c r="AA50" s="39">
        <v>1160</v>
      </c>
      <c r="AB50" s="48">
        <f t="shared" si="5"/>
        <v>2467.721586426439</v>
      </c>
      <c r="AC50" s="49">
        <f t="shared" si="33"/>
        <v>4.8421368899763078</v>
      </c>
      <c r="AD50" s="48">
        <f t="shared" si="109"/>
        <v>865.15664610457122</v>
      </c>
      <c r="AE50" s="49">
        <f t="shared" si="34"/>
        <v>3.9342925138865898</v>
      </c>
      <c r="AF50" s="49">
        <f t="shared" si="35"/>
        <v>3.9342925138865898</v>
      </c>
      <c r="AG50" s="45">
        <v>3999.9999999999991</v>
      </c>
      <c r="AH50" s="39">
        <v>642.27841357356112</v>
      </c>
      <c r="AI50" s="39">
        <v>294.84335389542878</v>
      </c>
      <c r="AJ50" s="39">
        <v>3110</v>
      </c>
      <c r="AK50" s="39">
        <v>1160</v>
      </c>
      <c r="AL50" s="48">
        <f>+AJ50-AH50</f>
        <v>2467.721586426439</v>
      </c>
      <c r="AM50" s="49">
        <f>+IF(AH50&lt;=0,0,AJ50/AH50)</f>
        <v>4.8421368899763078</v>
      </c>
      <c r="AN50" s="48">
        <f>+AK50-AI50</f>
        <v>865.15664610457122</v>
      </c>
      <c r="AO50" s="49">
        <f>+IF(AI50&lt;=0,0,AK50/AI50)</f>
        <v>3.9342925138865898</v>
      </c>
      <c r="AP50" s="39">
        <f t="shared" si="205"/>
        <v>5390.3673846534284</v>
      </c>
      <c r="AQ50" s="39">
        <f t="shared" si="206"/>
        <v>2458.8580141377515</v>
      </c>
      <c r="AR50" s="39">
        <f t="shared" si="207"/>
        <v>10882.17108</v>
      </c>
      <c r="AS50" s="39">
        <f t="shared" si="208"/>
        <v>5858.8945199999998</v>
      </c>
      <c r="AT50" s="39">
        <f t="shared" si="73"/>
        <v>5491.8036953465717</v>
      </c>
      <c r="AU50" s="17">
        <f t="shared" si="74"/>
        <v>2.0188180699857186</v>
      </c>
      <c r="AV50" s="39">
        <f t="shared" si="75"/>
        <v>3400.0365058622483</v>
      </c>
      <c r="AW50" s="17">
        <f t="shared" si="76"/>
        <v>2.3827705732958071</v>
      </c>
      <c r="AX50" s="45">
        <v>3999.9999999999991</v>
      </c>
      <c r="AY50" s="39">
        <v>642.27841357356112</v>
      </c>
      <c r="AZ50" s="39">
        <v>294.84335389542878</v>
      </c>
      <c r="BA50" s="39">
        <f t="shared" si="209"/>
        <v>73.710838473857194</v>
      </c>
      <c r="BB50" s="39">
        <f t="shared" si="210"/>
        <v>147.42167694771439</v>
      </c>
      <c r="BC50" s="39">
        <f t="shared" si="211"/>
        <v>221.13251542157158</v>
      </c>
      <c r="BD50" s="39">
        <f t="shared" si="212"/>
        <v>294.84335389542878</v>
      </c>
      <c r="BE50" s="39">
        <v>3110</v>
      </c>
      <c r="BF50" s="39">
        <v>1160</v>
      </c>
      <c r="BG50" s="48">
        <f t="shared" si="181"/>
        <v>2467.721586426439</v>
      </c>
      <c r="BH50" s="49">
        <f t="shared" si="41"/>
        <v>4.8421368899763078</v>
      </c>
      <c r="BI50" s="48">
        <f t="shared" si="111"/>
        <v>865.15664610457122</v>
      </c>
      <c r="BJ50" s="49">
        <f t="shared" si="42"/>
        <v>3.9342925138865898</v>
      </c>
      <c r="BK50" s="49">
        <f t="shared" si="43"/>
        <v>3.9342925138865898</v>
      </c>
      <c r="BL50" s="45">
        <v>1500.0000000000002</v>
      </c>
      <c r="BM50" s="39">
        <v>240.85440509008549</v>
      </c>
      <c r="BN50" s="39">
        <v>110.56625771078581</v>
      </c>
      <c r="BO50" s="39">
        <f t="shared" si="213"/>
        <v>27.641564427696451</v>
      </c>
      <c r="BP50" s="39">
        <f t="shared" si="214"/>
        <v>55.283128855392903</v>
      </c>
      <c r="BQ50" s="39">
        <f t="shared" si="215"/>
        <v>82.924693283089354</v>
      </c>
      <c r="BR50" s="39">
        <f t="shared" si="216"/>
        <v>110.56625771078581</v>
      </c>
      <c r="BS50" s="39">
        <v>616</v>
      </c>
      <c r="BT50" s="39">
        <v>430</v>
      </c>
      <c r="BU50" s="48">
        <f t="shared" si="182"/>
        <v>375.14559490991451</v>
      </c>
      <c r="BV50" s="49">
        <f t="shared" si="45"/>
        <v>2.5575616927977745</v>
      </c>
      <c r="BW50" s="48">
        <f t="shared" si="188"/>
        <v>319.43374228921419</v>
      </c>
      <c r="BX50" s="49">
        <f t="shared" si="46"/>
        <v>3.8890707608534103</v>
      </c>
      <c r="BY50" s="49">
        <f t="shared" si="47"/>
        <v>3.8890707608534103</v>
      </c>
      <c r="BZ50" s="45">
        <v>13000</v>
      </c>
      <c r="CA50" s="39">
        <v>2470</v>
      </c>
      <c r="CB50" s="39">
        <v>910.00000000000011</v>
      </c>
      <c r="CC50" s="39">
        <f t="shared" si="217"/>
        <v>227.50000000000003</v>
      </c>
      <c r="CD50" s="39">
        <f t="shared" si="218"/>
        <v>455.00000000000006</v>
      </c>
      <c r="CE50" s="39">
        <f t="shared" si="219"/>
        <v>682.50000000000011</v>
      </c>
      <c r="CF50" s="39">
        <f t="shared" si="220"/>
        <v>910.00000000000011</v>
      </c>
      <c r="CG50" s="39">
        <v>3306.5730800000001</v>
      </c>
      <c r="CH50" s="39">
        <v>1749.0965200000001</v>
      </c>
      <c r="CI50" s="51">
        <f t="shared" si="186"/>
        <v>836.57308000000012</v>
      </c>
      <c r="CJ50" s="49">
        <f t="shared" si="50"/>
        <v>1.3386935546558705</v>
      </c>
      <c r="CK50" s="53">
        <f t="shared" si="187"/>
        <v>839.09651999999994</v>
      </c>
      <c r="CL50" s="49">
        <f t="shared" si="52"/>
        <v>1.9220840879120877</v>
      </c>
      <c r="CM50" s="49">
        <f t="shared" si="53"/>
        <v>1.9220840879120877</v>
      </c>
      <c r="CN50" s="45">
        <v>10485.482010659895</v>
      </c>
      <c r="CO50" s="39">
        <v>2037.2345659897819</v>
      </c>
      <c r="CP50" s="39">
        <v>1143.4484025315371</v>
      </c>
      <c r="CQ50" s="39">
        <f t="shared" si="177"/>
        <v>285.86210063288428</v>
      </c>
      <c r="CR50" s="39">
        <f t="shared" si="221"/>
        <v>571.72420126576856</v>
      </c>
      <c r="CS50" s="39">
        <f t="shared" si="222"/>
        <v>857.58630189865289</v>
      </c>
      <c r="CT50" s="39">
        <f t="shared" si="223"/>
        <v>1143.4484025315371</v>
      </c>
      <c r="CU50" s="39">
        <v>3849.5980000000004</v>
      </c>
      <c r="CV50" s="39">
        <v>2519.7980000000002</v>
      </c>
      <c r="CW50" s="50">
        <f t="shared" si="77"/>
        <v>1812.3634340102185</v>
      </c>
      <c r="CX50" s="17">
        <f t="shared" si="55"/>
        <v>1.8896194204959846</v>
      </c>
      <c r="CY50" s="50">
        <f t="shared" si="153"/>
        <v>1376.3495974684631</v>
      </c>
      <c r="CZ50" s="49">
        <f t="shared" si="56"/>
        <v>2.2036831696308243</v>
      </c>
      <c r="DA50" s="49">
        <f t="shared" si="57"/>
        <v>2.2036831696308243</v>
      </c>
    </row>
    <row r="51" spans="1:105" ht="24.95" customHeight="1">
      <c r="A51" s="4" t="s">
        <v>22</v>
      </c>
      <c r="B51" s="12">
        <v>11388</v>
      </c>
      <c r="C51" s="5">
        <f t="shared" si="225"/>
        <v>5</v>
      </c>
      <c r="D51" s="8" t="s">
        <v>90</v>
      </c>
      <c r="E51" s="45">
        <v>2999.9999999999995</v>
      </c>
      <c r="F51" s="39">
        <v>481.70881018017087</v>
      </c>
      <c r="G51" s="39">
        <v>221.13251542157158</v>
      </c>
      <c r="H51" s="39">
        <f t="shared" si="197"/>
        <v>55.283128855392896</v>
      </c>
      <c r="I51" s="39">
        <f t="shared" si="198"/>
        <v>110.56625771078579</v>
      </c>
      <c r="J51" s="39">
        <f t="shared" si="199"/>
        <v>165.84938656617868</v>
      </c>
      <c r="K51" s="39">
        <f t="shared" si="200"/>
        <v>221.13251542157158</v>
      </c>
      <c r="L51" s="39">
        <v>649.91105352</v>
      </c>
      <c r="M51" s="39">
        <v>400</v>
      </c>
      <c r="N51" s="48">
        <f t="shared" si="2"/>
        <v>168.20224333982912</v>
      </c>
      <c r="O51" s="49">
        <f t="shared" si="29"/>
        <v>1.3491782582861986</v>
      </c>
      <c r="P51" s="48">
        <f t="shared" si="107"/>
        <v>178.86748457842842</v>
      </c>
      <c r="Q51" s="49">
        <f t="shared" si="30"/>
        <v>1.8088701213271678</v>
      </c>
      <c r="R51" s="49">
        <f t="shared" si="31"/>
        <v>1.8088701213271678</v>
      </c>
      <c r="S51" s="45">
        <v>2999.9999999999995</v>
      </c>
      <c r="T51" s="39">
        <v>481.70881018017087</v>
      </c>
      <c r="U51" s="39">
        <v>221.13251542157158</v>
      </c>
      <c r="V51" s="39">
        <f t="shared" si="201"/>
        <v>55.283128855392896</v>
      </c>
      <c r="W51" s="39">
        <f t="shared" si="202"/>
        <v>110.56625771078579</v>
      </c>
      <c r="X51" s="39">
        <f t="shared" si="203"/>
        <v>165.84938656617868</v>
      </c>
      <c r="Y51" s="39">
        <f t="shared" si="204"/>
        <v>221.13251542157158</v>
      </c>
      <c r="Z51" s="39">
        <v>649.91105352</v>
      </c>
      <c r="AA51" s="39">
        <v>400</v>
      </c>
      <c r="AB51" s="48">
        <f t="shared" si="5"/>
        <v>168.20224333982912</v>
      </c>
      <c r="AC51" s="49">
        <f t="shared" si="33"/>
        <v>1.3491782582861986</v>
      </c>
      <c r="AD51" s="48">
        <f t="shared" si="109"/>
        <v>178.86748457842842</v>
      </c>
      <c r="AE51" s="49">
        <f t="shared" si="34"/>
        <v>1.8088701213271678</v>
      </c>
      <c r="AF51" s="49">
        <f t="shared" si="35"/>
        <v>1.8088701213271678</v>
      </c>
      <c r="AG51" s="45">
        <v>2999.9999999999995</v>
      </c>
      <c r="AH51" s="39">
        <v>481.70881018017087</v>
      </c>
      <c r="AI51" s="39">
        <v>221.13251542157158</v>
      </c>
      <c r="AJ51" s="39">
        <v>649.91105352</v>
      </c>
      <c r="AK51" s="39">
        <v>400</v>
      </c>
      <c r="AL51" s="48">
        <f>+AJ51-AH51</f>
        <v>168.20224333982912</v>
      </c>
      <c r="AM51" s="49">
        <f>+IF(AH51&lt;=0,0,AJ51/AH51)</f>
        <v>1.3491782582861986</v>
      </c>
      <c r="AN51" s="48">
        <f>+AK51-AI51</f>
        <v>178.86748457842842</v>
      </c>
      <c r="AO51" s="49">
        <f>+IF(AI51&lt;=0,0,AK51/AI51)</f>
        <v>1.8088701213271678</v>
      </c>
      <c r="AP51" s="39">
        <f t="shared" si="205"/>
        <v>4364.4221688776579</v>
      </c>
      <c r="AQ51" s="39">
        <f t="shared" si="206"/>
        <v>2182.4284841851509</v>
      </c>
      <c r="AR51" s="39">
        <f t="shared" si="207"/>
        <v>8337.76163352</v>
      </c>
      <c r="AS51" s="39">
        <f t="shared" si="208"/>
        <v>4568.9240449999998</v>
      </c>
      <c r="AT51" s="39">
        <f t="shared" si="73"/>
        <v>3973.3394646423421</v>
      </c>
      <c r="AU51" s="17">
        <f t="shared" si="74"/>
        <v>1.9103930167379097</v>
      </c>
      <c r="AV51" s="39">
        <f t="shared" si="75"/>
        <v>2386.4955608148489</v>
      </c>
      <c r="AW51" s="17">
        <f t="shared" si="76"/>
        <v>2.0935045881725145</v>
      </c>
      <c r="AX51" s="45">
        <v>2999.9999999999995</v>
      </c>
      <c r="AY51" s="39">
        <v>481.70881018017087</v>
      </c>
      <c r="AZ51" s="39">
        <v>221.13251542157158</v>
      </c>
      <c r="BA51" s="39">
        <f t="shared" si="209"/>
        <v>55.283128855392896</v>
      </c>
      <c r="BB51" s="39">
        <f t="shared" si="210"/>
        <v>110.56625771078579</v>
      </c>
      <c r="BC51" s="39">
        <f t="shared" si="211"/>
        <v>165.84938656617868</v>
      </c>
      <c r="BD51" s="39">
        <f t="shared" si="212"/>
        <v>221.13251542157158</v>
      </c>
      <c r="BE51" s="39">
        <v>649.91105352</v>
      </c>
      <c r="BF51" s="39">
        <v>400</v>
      </c>
      <c r="BG51" s="48">
        <f t="shared" si="181"/>
        <v>168.20224333982912</v>
      </c>
      <c r="BH51" s="49">
        <f t="shared" si="41"/>
        <v>1.3491782582861986</v>
      </c>
      <c r="BI51" s="48">
        <f t="shared" ref="BI51:BI70" si="226">+BF51-AZ51</f>
        <v>178.86748457842842</v>
      </c>
      <c r="BJ51" s="49">
        <f t="shared" si="42"/>
        <v>1.8088701213271678</v>
      </c>
      <c r="BK51" s="49">
        <f t="shared" si="43"/>
        <v>1.8088701213271678</v>
      </c>
      <c r="BL51" s="45">
        <v>1587.5470103069072</v>
      </c>
      <c r="BM51" s="39">
        <v>254.91179381334257</v>
      </c>
      <c r="BN51" s="39">
        <v>117.01942124638732</v>
      </c>
      <c r="BO51" s="39">
        <f t="shared" si="213"/>
        <v>29.254855311596831</v>
      </c>
      <c r="BP51" s="39">
        <f t="shared" si="214"/>
        <v>58.509710623193662</v>
      </c>
      <c r="BQ51" s="39">
        <f t="shared" si="215"/>
        <v>87.764565934790497</v>
      </c>
      <c r="BR51" s="39">
        <f t="shared" si="216"/>
        <v>117.01942124638732</v>
      </c>
      <c r="BS51" s="39">
        <v>474</v>
      </c>
      <c r="BT51" s="39">
        <v>107</v>
      </c>
      <c r="BU51" s="48">
        <f t="shared" si="182"/>
        <v>219.08820618665743</v>
      </c>
      <c r="BV51" s="49">
        <f t="shared" si="45"/>
        <v>1.8594667312532558</v>
      </c>
      <c r="BW51" s="48">
        <f t="shared" si="188"/>
        <v>-10.019421246387324</v>
      </c>
      <c r="BX51" s="49">
        <f t="shared" si="46"/>
        <v>0.91437813364936082</v>
      </c>
      <c r="BY51" s="49">
        <f t="shared" si="47"/>
        <v>0.91437813364936082</v>
      </c>
      <c r="BZ51" s="45">
        <v>8000</v>
      </c>
      <c r="CA51" s="39">
        <v>1520</v>
      </c>
      <c r="CB51" s="39">
        <v>560</v>
      </c>
      <c r="CC51" s="39">
        <f t="shared" si="217"/>
        <v>140</v>
      </c>
      <c r="CD51" s="39">
        <f t="shared" si="218"/>
        <v>280</v>
      </c>
      <c r="CE51" s="39">
        <f t="shared" si="219"/>
        <v>420</v>
      </c>
      <c r="CF51" s="39">
        <f t="shared" si="220"/>
        <v>560</v>
      </c>
      <c r="CG51" s="39">
        <v>4934.4505799999997</v>
      </c>
      <c r="CH51" s="39">
        <v>2659.3240449999998</v>
      </c>
      <c r="CI51" s="51">
        <f t="shared" si="186"/>
        <v>3414.4505799999997</v>
      </c>
      <c r="CJ51" s="49">
        <f t="shared" si="50"/>
        <v>3.2463490657894734</v>
      </c>
      <c r="CK51" s="48">
        <f t="shared" si="187"/>
        <v>2099.3240449999998</v>
      </c>
      <c r="CL51" s="49">
        <f t="shared" si="52"/>
        <v>4.7487929374999993</v>
      </c>
      <c r="CM51" s="49">
        <f t="shared" si="53"/>
        <v>4.7487929374999993</v>
      </c>
      <c r="CN51" s="45">
        <v>9780.3096680715826</v>
      </c>
      <c r="CO51" s="39">
        <v>2107.8015648841447</v>
      </c>
      <c r="CP51" s="39">
        <v>1284.2765475171918</v>
      </c>
      <c r="CQ51" s="39">
        <f t="shared" si="177"/>
        <v>321.06913687929796</v>
      </c>
      <c r="CR51" s="39">
        <f t="shared" si="221"/>
        <v>642.13827375859591</v>
      </c>
      <c r="CS51" s="39">
        <f t="shared" si="222"/>
        <v>963.20741063789387</v>
      </c>
      <c r="CT51" s="39">
        <f t="shared" si="223"/>
        <v>1284.2765475171918</v>
      </c>
      <c r="CU51" s="39">
        <v>2279.3999999999996</v>
      </c>
      <c r="CV51" s="39">
        <v>1402.6</v>
      </c>
      <c r="CW51" s="50">
        <f t="shared" si="77"/>
        <v>171.59843511585495</v>
      </c>
      <c r="CX51" s="17">
        <f t="shared" si="55"/>
        <v>1.0814110957951049</v>
      </c>
      <c r="CY51" s="50">
        <f t="shared" si="153"/>
        <v>118.32345248280808</v>
      </c>
      <c r="CZ51" s="49">
        <f t="shared" si="56"/>
        <v>1.0921323781171237</v>
      </c>
      <c r="DA51" s="49">
        <f t="shared" si="57"/>
        <v>1.0921323781171237</v>
      </c>
    </row>
    <row r="52" spans="1:105" ht="24.95" customHeight="1">
      <c r="A52" s="4" t="s">
        <v>21</v>
      </c>
      <c r="B52" s="12">
        <v>11487</v>
      </c>
      <c r="C52" s="5">
        <f t="shared" si="225"/>
        <v>6</v>
      </c>
      <c r="D52" s="8" t="s">
        <v>91</v>
      </c>
      <c r="E52" s="45">
        <v>3999.9999999999991</v>
      </c>
      <c r="F52" s="39">
        <v>642.27841357356112</v>
      </c>
      <c r="G52" s="39">
        <v>294.84335389542878</v>
      </c>
      <c r="H52" s="39">
        <f t="shared" si="197"/>
        <v>73.710838473857194</v>
      </c>
      <c r="I52" s="39">
        <f t="shared" si="198"/>
        <v>147.42167694771439</v>
      </c>
      <c r="J52" s="39">
        <f t="shared" si="199"/>
        <v>221.13251542157158</v>
      </c>
      <c r="K52" s="39">
        <f t="shared" si="200"/>
        <v>294.84335389542878</v>
      </c>
      <c r="L52" s="39">
        <v>678.15</v>
      </c>
      <c r="M52" s="39">
        <v>343.25</v>
      </c>
      <c r="N52" s="48">
        <f t="shared" si="2"/>
        <v>35.871586426438853</v>
      </c>
      <c r="O52" s="49">
        <f t="shared" si="29"/>
        <v>1.0558505247387244</v>
      </c>
      <c r="P52" s="48">
        <f t="shared" si="107"/>
        <v>48.406646104571223</v>
      </c>
      <c r="Q52" s="49">
        <f t="shared" si="30"/>
        <v>1.1641775046479068</v>
      </c>
      <c r="R52" s="49">
        <f t="shared" si="31"/>
        <v>1.1641775046479068</v>
      </c>
      <c r="S52" s="45">
        <v>3999.9999999999991</v>
      </c>
      <c r="T52" s="39">
        <v>642.27841357356112</v>
      </c>
      <c r="U52" s="39">
        <v>294.84335389542878</v>
      </c>
      <c r="V52" s="39">
        <f t="shared" si="201"/>
        <v>73.710838473857194</v>
      </c>
      <c r="W52" s="39">
        <f t="shared" si="202"/>
        <v>147.42167694771439</v>
      </c>
      <c r="X52" s="39">
        <f t="shared" si="203"/>
        <v>221.13251542157158</v>
      </c>
      <c r="Y52" s="39">
        <f t="shared" si="204"/>
        <v>294.84335389542878</v>
      </c>
      <c r="Z52" s="39">
        <v>678.15</v>
      </c>
      <c r="AA52" s="39">
        <v>343.25</v>
      </c>
      <c r="AB52" s="48">
        <f t="shared" si="5"/>
        <v>35.871586426438853</v>
      </c>
      <c r="AC52" s="49">
        <f t="shared" si="33"/>
        <v>1.0558505247387244</v>
      </c>
      <c r="AD52" s="48">
        <f t="shared" si="109"/>
        <v>48.406646104571223</v>
      </c>
      <c r="AE52" s="49">
        <f t="shared" si="34"/>
        <v>1.1641775046479068</v>
      </c>
      <c r="AF52" s="49">
        <f t="shared" si="35"/>
        <v>1.1641775046479068</v>
      </c>
      <c r="AG52" s="45">
        <v>3999.9999999999991</v>
      </c>
      <c r="AH52" s="39">
        <v>642.27841357356112</v>
      </c>
      <c r="AI52" s="39">
        <v>294.84335389542878</v>
      </c>
      <c r="AJ52" s="39">
        <v>678.15</v>
      </c>
      <c r="AK52" s="39">
        <v>343.25</v>
      </c>
      <c r="AL52" s="48">
        <f>+AJ52-AH52</f>
        <v>35.871586426438853</v>
      </c>
      <c r="AM52" s="49">
        <f>+IF(AH52&lt;=0,0,AJ52/AH52)</f>
        <v>1.0558505247387244</v>
      </c>
      <c r="AN52" s="48">
        <f>+AK52-AI52</f>
        <v>48.406646104571223</v>
      </c>
      <c r="AO52" s="49">
        <f>+IF(AI52&lt;=0,0,AK52/AI52)</f>
        <v>1.1641775046479068</v>
      </c>
      <c r="AP52" s="39">
        <f t="shared" si="205"/>
        <v>4420.1001791405688</v>
      </c>
      <c r="AQ52" s="39">
        <f t="shared" si="206"/>
        <v>1972.1709862538951</v>
      </c>
      <c r="AR52" s="39">
        <f t="shared" si="207"/>
        <v>7651.2249300599997</v>
      </c>
      <c r="AS52" s="39">
        <f t="shared" si="208"/>
        <v>3720.9580900000001</v>
      </c>
      <c r="AT52" s="39">
        <f t="shared" si="73"/>
        <v>3231.1247509194309</v>
      </c>
      <c r="AU52" s="17">
        <f t="shared" si="74"/>
        <v>1.731007131052781</v>
      </c>
      <c r="AV52" s="39">
        <f t="shared" si="75"/>
        <v>1748.787103746105</v>
      </c>
      <c r="AW52" s="17">
        <f t="shared" si="76"/>
        <v>1.8867319902458843</v>
      </c>
      <c r="AX52" s="45">
        <v>3999.9999999999991</v>
      </c>
      <c r="AY52" s="39">
        <v>642.27841357356112</v>
      </c>
      <c r="AZ52" s="39">
        <v>294.84335389542878</v>
      </c>
      <c r="BA52" s="39">
        <f t="shared" si="209"/>
        <v>73.710838473857194</v>
      </c>
      <c r="BB52" s="39">
        <f t="shared" si="210"/>
        <v>147.42167694771439</v>
      </c>
      <c r="BC52" s="39">
        <f t="shared" si="211"/>
        <v>221.13251542157158</v>
      </c>
      <c r="BD52" s="39">
        <f t="shared" si="212"/>
        <v>294.84335389542878</v>
      </c>
      <c r="BE52" s="39">
        <v>678.15</v>
      </c>
      <c r="BF52" s="39">
        <v>343.25</v>
      </c>
      <c r="BG52" s="48">
        <f t="shared" si="181"/>
        <v>35.871586426438853</v>
      </c>
      <c r="BH52" s="49">
        <f t="shared" si="41"/>
        <v>1.0558505247387244</v>
      </c>
      <c r="BI52" s="48">
        <f t="shared" si="226"/>
        <v>48.406646104571223</v>
      </c>
      <c r="BJ52" s="49">
        <f t="shared" si="42"/>
        <v>1.1641775046479068</v>
      </c>
      <c r="BK52" s="49">
        <f t="shared" si="43"/>
        <v>1.1641775046479068</v>
      </c>
      <c r="BL52" s="45">
        <v>3000.0000000000005</v>
      </c>
      <c r="BM52" s="39">
        <v>481.70881018017099</v>
      </c>
      <c r="BN52" s="39">
        <v>221.13251542157161</v>
      </c>
      <c r="BO52" s="39">
        <f t="shared" si="213"/>
        <v>55.283128855392903</v>
      </c>
      <c r="BP52" s="39">
        <f t="shared" si="214"/>
        <v>110.56625771078581</v>
      </c>
      <c r="BQ52" s="39">
        <f t="shared" si="215"/>
        <v>165.84938656617871</v>
      </c>
      <c r="BR52" s="39">
        <f t="shared" si="216"/>
        <v>221.13251542157161</v>
      </c>
      <c r="BS52" s="39">
        <v>1470</v>
      </c>
      <c r="BT52" s="39">
        <v>832</v>
      </c>
      <c r="BU52" s="48">
        <f t="shared" si="182"/>
        <v>988.29118981982901</v>
      </c>
      <c r="BV52" s="49">
        <f t="shared" si="45"/>
        <v>3.0516361107246173</v>
      </c>
      <c r="BW52" s="48">
        <f t="shared" si="188"/>
        <v>610.86748457842839</v>
      </c>
      <c r="BX52" s="49">
        <f t="shared" si="46"/>
        <v>3.7624498523605086</v>
      </c>
      <c r="BY52" s="49">
        <f t="shared" si="47"/>
        <v>3.7624498523605086</v>
      </c>
      <c r="BZ52" s="45">
        <v>13000</v>
      </c>
      <c r="CA52" s="39">
        <v>2470</v>
      </c>
      <c r="CB52" s="39">
        <v>910.00000000000011</v>
      </c>
      <c r="CC52" s="39">
        <f t="shared" si="217"/>
        <v>227.50000000000003</v>
      </c>
      <c r="CD52" s="39">
        <f t="shared" si="218"/>
        <v>455.00000000000006</v>
      </c>
      <c r="CE52" s="39">
        <f t="shared" si="219"/>
        <v>682.50000000000011</v>
      </c>
      <c r="CF52" s="39">
        <f t="shared" si="220"/>
        <v>910.00000000000011</v>
      </c>
      <c r="CG52" s="39">
        <v>4549.1749300599995</v>
      </c>
      <c r="CH52" s="39">
        <v>1973.80809</v>
      </c>
      <c r="CI52" s="51">
        <f t="shared" si="186"/>
        <v>2079.1749300599995</v>
      </c>
      <c r="CJ52" s="49">
        <f t="shared" si="50"/>
        <v>1.8417712267449391</v>
      </c>
      <c r="CK52" s="53">
        <f t="shared" si="187"/>
        <v>1063.80809</v>
      </c>
      <c r="CL52" s="49">
        <f t="shared" si="52"/>
        <v>2.1690198791208788</v>
      </c>
      <c r="CM52" s="49">
        <f t="shared" si="53"/>
        <v>2.1690198791208788</v>
      </c>
      <c r="CN52" s="45">
        <v>4778.440665145491</v>
      </c>
      <c r="CO52" s="39">
        <v>826.11295538683646</v>
      </c>
      <c r="CP52" s="39">
        <v>546.19511693689435</v>
      </c>
      <c r="CQ52" s="39">
        <f t="shared" si="177"/>
        <v>136.54877923422359</v>
      </c>
      <c r="CR52" s="39">
        <f t="shared" si="221"/>
        <v>273.09755846844718</v>
      </c>
      <c r="CS52" s="39">
        <f t="shared" si="222"/>
        <v>409.64633770267073</v>
      </c>
      <c r="CT52" s="39">
        <f t="shared" si="223"/>
        <v>546.19511693689435</v>
      </c>
      <c r="CU52" s="39">
        <v>953.9</v>
      </c>
      <c r="CV52" s="39">
        <v>571.90000000000009</v>
      </c>
      <c r="CW52" s="50">
        <f t="shared" si="77"/>
        <v>127.78704461316352</v>
      </c>
      <c r="CX52" s="17">
        <f t="shared" si="55"/>
        <v>1.1546847120359296</v>
      </c>
      <c r="CY52" s="50">
        <f t="shared" si="153"/>
        <v>25.70488306310574</v>
      </c>
      <c r="CZ52" s="49">
        <f t="shared" si="56"/>
        <v>1.0470617225713419</v>
      </c>
      <c r="DA52" s="49">
        <f t="shared" si="57"/>
        <v>1.0470617225713419</v>
      </c>
    </row>
    <row r="53" spans="1:105" ht="24.95" customHeight="1">
      <c r="A53" s="4" t="s">
        <v>14</v>
      </c>
      <c r="B53" s="12">
        <v>11488</v>
      </c>
      <c r="C53" s="5">
        <f t="shared" si="225"/>
        <v>7</v>
      </c>
      <c r="D53" s="8" t="s">
        <v>92</v>
      </c>
      <c r="E53" s="45">
        <v>3500</v>
      </c>
      <c r="F53" s="39">
        <v>561.993611876866</v>
      </c>
      <c r="G53" s="39">
        <v>257.98793465850014</v>
      </c>
      <c r="H53" s="39">
        <f t="shared" si="197"/>
        <v>64.496983664625034</v>
      </c>
      <c r="I53" s="39">
        <f t="shared" si="198"/>
        <v>128.99396732925007</v>
      </c>
      <c r="J53" s="39">
        <f t="shared" si="199"/>
        <v>193.49095099387512</v>
      </c>
      <c r="K53" s="39">
        <f t="shared" si="200"/>
        <v>257.98793465850014</v>
      </c>
      <c r="L53" s="39">
        <v>590</v>
      </c>
      <c r="M53" s="39">
        <v>300</v>
      </c>
      <c r="N53" s="48">
        <f t="shared" si="2"/>
        <v>28.006388123134002</v>
      </c>
      <c r="O53" s="49">
        <f t="shared" si="29"/>
        <v>1.0498339972755246</v>
      </c>
      <c r="P53" s="48">
        <f t="shared" si="107"/>
        <v>42.012065341499863</v>
      </c>
      <c r="Q53" s="49">
        <f t="shared" si="30"/>
        <v>1.1628450779960366</v>
      </c>
      <c r="R53" s="49">
        <f t="shared" si="31"/>
        <v>1.1628450779960366</v>
      </c>
      <c r="S53" s="45">
        <v>3500</v>
      </c>
      <c r="T53" s="39">
        <v>561.993611876866</v>
      </c>
      <c r="U53" s="39">
        <v>257.98793465850014</v>
      </c>
      <c r="V53" s="39">
        <f t="shared" si="201"/>
        <v>64.496983664625034</v>
      </c>
      <c r="W53" s="39">
        <f t="shared" si="202"/>
        <v>128.99396732925007</v>
      </c>
      <c r="X53" s="39">
        <f t="shared" si="203"/>
        <v>193.49095099387512</v>
      </c>
      <c r="Y53" s="39">
        <f t="shared" si="204"/>
        <v>257.98793465850014</v>
      </c>
      <c r="Z53" s="39">
        <v>590</v>
      </c>
      <c r="AA53" s="39">
        <v>300</v>
      </c>
      <c r="AB53" s="48">
        <f t="shared" si="5"/>
        <v>28.006388123134002</v>
      </c>
      <c r="AC53" s="49">
        <f t="shared" si="33"/>
        <v>1.0498339972755246</v>
      </c>
      <c r="AD53" s="48">
        <f t="shared" si="109"/>
        <v>42.012065341499863</v>
      </c>
      <c r="AE53" s="49">
        <f t="shared" si="34"/>
        <v>1.1628450779960366</v>
      </c>
      <c r="AF53" s="49">
        <f t="shared" si="35"/>
        <v>1.1628450779960366</v>
      </c>
      <c r="AG53" s="45">
        <v>3500</v>
      </c>
      <c r="AH53" s="39">
        <v>561.993611876866</v>
      </c>
      <c r="AI53" s="39">
        <v>257.98793465850014</v>
      </c>
      <c r="AJ53" s="39">
        <v>590</v>
      </c>
      <c r="AK53" s="39">
        <v>300</v>
      </c>
      <c r="AL53" s="48">
        <f>+AJ53-AH53</f>
        <v>28.006388123134002</v>
      </c>
      <c r="AM53" s="49">
        <f>+IF(AH53&lt;=0,0,AJ53/AH53)</f>
        <v>1.0498339972755246</v>
      </c>
      <c r="AN53" s="48">
        <f>+AK53-AI53</f>
        <v>42.012065341499863</v>
      </c>
      <c r="AO53" s="49">
        <f>+IF(AI53&lt;=0,0,AK53/AI53)</f>
        <v>1.1628450779960366</v>
      </c>
      <c r="AP53" s="39">
        <f t="shared" si="205"/>
        <v>3826.3427923009554</v>
      </c>
      <c r="AQ53" s="39">
        <f t="shared" si="206"/>
        <v>1699.9468017481991</v>
      </c>
      <c r="AR53" s="39">
        <f t="shared" si="207"/>
        <v>3156</v>
      </c>
      <c r="AS53" s="39">
        <f t="shared" si="208"/>
        <v>1532</v>
      </c>
      <c r="AT53" s="39">
        <f t="shared" si="73"/>
        <v>-670.34279230095535</v>
      </c>
      <c r="AU53" s="17">
        <f t="shared" si="74"/>
        <v>0.8248084845796454</v>
      </c>
      <c r="AV53" s="39">
        <f t="shared" si="75"/>
        <v>-167.94680174819905</v>
      </c>
      <c r="AW53" s="17">
        <f t="shared" si="76"/>
        <v>0.901204672066511</v>
      </c>
      <c r="AX53" s="45">
        <v>3500</v>
      </c>
      <c r="AY53" s="39">
        <v>561.993611876866</v>
      </c>
      <c r="AZ53" s="39">
        <v>257.98793465850014</v>
      </c>
      <c r="BA53" s="39">
        <f t="shared" si="209"/>
        <v>64.496983664625034</v>
      </c>
      <c r="BB53" s="39">
        <f t="shared" si="210"/>
        <v>128.99396732925007</v>
      </c>
      <c r="BC53" s="39">
        <f t="shared" si="211"/>
        <v>193.49095099387512</v>
      </c>
      <c r="BD53" s="39">
        <f t="shared" si="212"/>
        <v>257.98793465850014</v>
      </c>
      <c r="BE53" s="39">
        <v>590</v>
      </c>
      <c r="BF53" s="39">
        <v>300</v>
      </c>
      <c r="BG53" s="48">
        <f t="shared" si="181"/>
        <v>28.006388123134002</v>
      </c>
      <c r="BH53" s="49">
        <f t="shared" si="41"/>
        <v>1.0498339972755246</v>
      </c>
      <c r="BI53" s="48">
        <f t="shared" si="226"/>
        <v>42.012065341499863</v>
      </c>
      <c r="BJ53" s="49">
        <f t="shared" si="42"/>
        <v>1.1628450779960366</v>
      </c>
      <c r="BK53" s="49">
        <f t="shared" si="43"/>
        <v>1.1628450779960366</v>
      </c>
      <c r="BL53" s="45">
        <v>1981.3598446848764</v>
      </c>
      <c r="BM53" s="39">
        <v>318.14616444064001</v>
      </c>
      <c r="BN53" s="39">
        <v>146.04769547015371</v>
      </c>
      <c r="BO53" s="39">
        <f t="shared" si="213"/>
        <v>36.511923867538428</v>
      </c>
      <c r="BP53" s="39">
        <f t="shared" si="214"/>
        <v>73.023847735076856</v>
      </c>
      <c r="BQ53" s="39">
        <f t="shared" si="215"/>
        <v>109.53577160261528</v>
      </c>
      <c r="BR53" s="39">
        <f t="shared" si="216"/>
        <v>146.04769547015371</v>
      </c>
      <c r="BS53" s="39">
        <v>541</v>
      </c>
      <c r="BT53" s="39">
        <v>220</v>
      </c>
      <c r="BU53" s="48">
        <f t="shared" si="182"/>
        <v>222.85383555935999</v>
      </c>
      <c r="BV53" s="49">
        <f t="shared" si="45"/>
        <v>1.7004762604986245</v>
      </c>
      <c r="BW53" s="48">
        <f t="shared" si="188"/>
        <v>73.952304529846288</v>
      </c>
      <c r="BX53" s="49">
        <f t="shared" si="46"/>
        <v>1.5063572163311483</v>
      </c>
      <c r="BY53" s="49">
        <f t="shared" si="47"/>
        <v>1.5063572163311483</v>
      </c>
      <c r="BZ53" s="45">
        <v>10999.999999999998</v>
      </c>
      <c r="CA53" s="39">
        <v>2090</v>
      </c>
      <c r="CB53" s="39">
        <v>770</v>
      </c>
      <c r="CC53" s="39">
        <f t="shared" si="217"/>
        <v>192.5</v>
      </c>
      <c r="CD53" s="39">
        <f t="shared" si="218"/>
        <v>385</v>
      </c>
      <c r="CE53" s="39">
        <f t="shared" si="219"/>
        <v>577.5</v>
      </c>
      <c r="CF53" s="39">
        <f t="shared" si="220"/>
        <v>770</v>
      </c>
      <c r="CG53" s="39">
        <v>1090</v>
      </c>
      <c r="CH53" s="39">
        <v>450</v>
      </c>
      <c r="CI53" s="52">
        <f t="shared" si="186"/>
        <v>-1000</v>
      </c>
      <c r="CJ53" s="49">
        <f t="shared" si="50"/>
        <v>0.52153110047846885</v>
      </c>
      <c r="CK53" s="50">
        <f t="shared" si="187"/>
        <v>-320</v>
      </c>
      <c r="CL53" s="49">
        <f t="shared" si="52"/>
        <v>0.58441558441558439</v>
      </c>
      <c r="CM53" s="49">
        <f t="shared" si="53"/>
        <v>0.58441558441558439</v>
      </c>
      <c r="CN53" s="45">
        <v>3471.1575686685665</v>
      </c>
      <c r="CO53" s="39">
        <v>856.20301598344929</v>
      </c>
      <c r="CP53" s="39">
        <v>525.91117161954514</v>
      </c>
      <c r="CQ53" s="39">
        <f t="shared" si="177"/>
        <v>131.47779290488629</v>
      </c>
      <c r="CR53" s="39">
        <f t="shared" si="221"/>
        <v>262.95558580977257</v>
      </c>
      <c r="CS53" s="39">
        <f t="shared" si="222"/>
        <v>394.43337871465883</v>
      </c>
      <c r="CT53" s="39">
        <f t="shared" si="223"/>
        <v>525.91117161954514</v>
      </c>
      <c r="CU53" s="39">
        <v>935</v>
      </c>
      <c r="CV53" s="39">
        <v>562</v>
      </c>
      <c r="CW53" s="50">
        <f t="shared" si="77"/>
        <v>78.796984016550709</v>
      </c>
      <c r="CX53" s="17">
        <f t="shared" si="55"/>
        <v>1.0920307246594352</v>
      </c>
      <c r="CY53" s="50">
        <f t="shared" si="153"/>
        <v>36.088828380454856</v>
      </c>
      <c r="CZ53" s="49">
        <f t="shared" si="56"/>
        <v>1.0686215283644178</v>
      </c>
      <c r="DA53" s="49">
        <f t="shared" si="57"/>
        <v>1.0686215283644178</v>
      </c>
    </row>
    <row r="54" spans="1:105" ht="24.95" customHeight="1">
      <c r="A54" s="4" t="s">
        <v>27</v>
      </c>
      <c r="B54" s="12">
        <v>11489</v>
      </c>
      <c r="C54" s="5">
        <f t="shared" si="225"/>
        <v>8</v>
      </c>
      <c r="D54" s="8" t="s">
        <v>93</v>
      </c>
      <c r="E54" s="45">
        <v>4099.9999999999982</v>
      </c>
      <c r="F54" s="39">
        <v>658.3353739129002</v>
      </c>
      <c r="G54" s="39">
        <v>302.21443774281448</v>
      </c>
      <c r="H54" s="39">
        <f t="shared" si="197"/>
        <v>75.553609435703621</v>
      </c>
      <c r="I54" s="39">
        <f t="shared" si="198"/>
        <v>151.10721887140724</v>
      </c>
      <c r="J54" s="39">
        <f t="shared" si="199"/>
        <v>226.66082830711088</v>
      </c>
      <c r="K54" s="39">
        <f t="shared" si="200"/>
        <v>302.21443774281448</v>
      </c>
      <c r="L54" s="39">
        <v>906</v>
      </c>
      <c r="M54" s="39">
        <v>402</v>
      </c>
      <c r="N54" s="48">
        <f t="shared" si="2"/>
        <v>247.6646260870998</v>
      </c>
      <c r="O54" s="49">
        <f t="shared" si="29"/>
        <v>1.3761982659614256</v>
      </c>
      <c r="P54" s="48">
        <f t="shared" si="107"/>
        <v>99.785562257185518</v>
      </c>
      <c r="Q54" s="49">
        <f t="shared" si="30"/>
        <v>1.3301813209271736</v>
      </c>
      <c r="R54" s="49">
        <f t="shared" si="31"/>
        <v>1.3301813209271736</v>
      </c>
      <c r="S54" s="45">
        <v>4099.9999999999982</v>
      </c>
      <c r="T54" s="39">
        <v>658.3353739129002</v>
      </c>
      <c r="U54" s="39">
        <v>302.21443774281448</v>
      </c>
      <c r="V54" s="39">
        <f t="shared" si="201"/>
        <v>75.553609435703621</v>
      </c>
      <c r="W54" s="39">
        <f t="shared" si="202"/>
        <v>151.10721887140724</v>
      </c>
      <c r="X54" s="39">
        <f t="shared" si="203"/>
        <v>226.66082830711088</v>
      </c>
      <c r="Y54" s="39">
        <f t="shared" si="204"/>
        <v>302.21443774281448</v>
      </c>
      <c r="Z54" s="39">
        <v>906</v>
      </c>
      <c r="AA54" s="39">
        <v>402</v>
      </c>
      <c r="AB54" s="48">
        <f t="shared" si="5"/>
        <v>247.6646260870998</v>
      </c>
      <c r="AC54" s="49">
        <f t="shared" si="33"/>
        <v>1.3761982659614256</v>
      </c>
      <c r="AD54" s="48">
        <f t="shared" si="109"/>
        <v>99.785562257185518</v>
      </c>
      <c r="AE54" s="49">
        <f t="shared" si="34"/>
        <v>1.3301813209271736</v>
      </c>
      <c r="AF54" s="49">
        <f t="shared" si="35"/>
        <v>1.3301813209271736</v>
      </c>
      <c r="AG54" s="45">
        <v>4099.9999999999982</v>
      </c>
      <c r="AH54" s="39">
        <v>658.3353739129002</v>
      </c>
      <c r="AI54" s="39">
        <v>302.21443774281448</v>
      </c>
      <c r="AJ54" s="39">
        <v>906</v>
      </c>
      <c r="AK54" s="39">
        <v>402</v>
      </c>
      <c r="AL54" s="48">
        <f>+AJ54-AH54</f>
        <v>247.6646260870998</v>
      </c>
      <c r="AM54" s="49">
        <f>+IF(AH54&lt;=0,0,AJ54/AH54)</f>
        <v>1.3761982659614256</v>
      </c>
      <c r="AN54" s="48">
        <f>+AK54-AI54</f>
        <v>99.785562257185518</v>
      </c>
      <c r="AO54" s="49">
        <f>+IF(AI54&lt;=0,0,AK54/AI54)</f>
        <v>1.3301813209271736</v>
      </c>
      <c r="AP54" s="39">
        <f t="shared" si="205"/>
        <v>8639.7458887542925</v>
      </c>
      <c r="AQ54" s="39">
        <f t="shared" si="206"/>
        <v>4179.2829592540675</v>
      </c>
      <c r="AR54" s="39">
        <f t="shared" si="207"/>
        <v>15420.874179999999</v>
      </c>
      <c r="AS54" s="39">
        <f t="shared" si="208"/>
        <v>7770.1419000000005</v>
      </c>
      <c r="AT54" s="39">
        <f t="shared" si="73"/>
        <v>6781.1282912457064</v>
      </c>
      <c r="AU54" s="17">
        <f t="shared" si="74"/>
        <v>1.7848758954904207</v>
      </c>
      <c r="AV54" s="39">
        <f t="shared" si="75"/>
        <v>3590.8589407459331</v>
      </c>
      <c r="AW54" s="17">
        <f t="shared" si="76"/>
        <v>1.8592045515355202</v>
      </c>
      <c r="AX54" s="45">
        <v>4099.9999999999982</v>
      </c>
      <c r="AY54" s="39">
        <v>658.3353739129002</v>
      </c>
      <c r="AZ54" s="39">
        <v>302.21443774281448</v>
      </c>
      <c r="BA54" s="39">
        <f t="shared" si="209"/>
        <v>75.553609435703621</v>
      </c>
      <c r="BB54" s="39">
        <f t="shared" si="210"/>
        <v>151.10721887140724</v>
      </c>
      <c r="BC54" s="39">
        <f t="shared" si="211"/>
        <v>226.66082830711088</v>
      </c>
      <c r="BD54" s="39">
        <f t="shared" si="212"/>
        <v>302.21443774281448</v>
      </c>
      <c r="BE54" s="39">
        <v>906</v>
      </c>
      <c r="BF54" s="39">
        <v>402</v>
      </c>
      <c r="BG54" s="48">
        <f t="shared" si="181"/>
        <v>247.6646260870998</v>
      </c>
      <c r="BH54" s="49">
        <f t="shared" si="41"/>
        <v>1.3761982659614256</v>
      </c>
      <c r="BI54" s="48">
        <f t="shared" si="226"/>
        <v>99.785562257185518</v>
      </c>
      <c r="BJ54" s="49">
        <f t="shared" si="42"/>
        <v>1.3301813209271736</v>
      </c>
      <c r="BK54" s="49">
        <f t="shared" si="43"/>
        <v>1.3301813209271736</v>
      </c>
      <c r="BL54" s="45">
        <v>2903.2425501979783</v>
      </c>
      <c r="BM54" s="39">
        <v>466.17250484010435</v>
      </c>
      <c r="BN54" s="39">
        <v>214.00044266807242</v>
      </c>
      <c r="BO54" s="39">
        <f t="shared" si="213"/>
        <v>53.500110667018106</v>
      </c>
      <c r="BP54" s="39">
        <f t="shared" si="214"/>
        <v>107.00022133403621</v>
      </c>
      <c r="BQ54" s="39">
        <f t="shared" si="215"/>
        <v>160.50033200105432</v>
      </c>
      <c r="BR54" s="39">
        <f t="shared" si="216"/>
        <v>214.00044266807242</v>
      </c>
      <c r="BS54" s="39">
        <v>6829</v>
      </c>
      <c r="BT54" s="39">
        <v>2923</v>
      </c>
      <c r="BU54" s="48">
        <f t="shared" si="182"/>
        <v>6362.827495159896</v>
      </c>
      <c r="BV54" s="49">
        <f t="shared" si="45"/>
        <v>14.649083609815909</v>
      </c>
      <c r="BW54" s="48">
        <f t="shared" si="188"/>
        <v>2708.9995573319275</v>
      </c>
      <c r="BX54" s="49">
        <f t="shared" si="46"/>
        <v>13.658850250762093</v>
      </c>
      <c r="BY54" s="49">
        <f t="shared" si="47"/>
        <v>13.658850250762093</v>
      </c>
      <c r="BZ54" s="45">
        <v>14000.000000000002</v>
      </c>
      <c r="CA54" s="39">
        <v>2660</v>
      </c>
      <c r="CB54" s="39">
        <v>980.00000000000011</v>
      </c>
      <c r="CC54" s="39">
        <f t="shared" si="217"/>
        <v>245.00000000000003</v>
      </c>
      <c r="CD54" s="39">
        <f t="shared" si="218"/>
        <v>490.00000000000006</v>
      </c>
      <c r="CE54" s="39">
        <f t="shared" si="219"/>
        <v>735.00000000000011</v>
      </c>
      <c r="CF54" s="39">
        <f t="shared" si="220"/>
        <v>980.00000000000011</v>
      </c>
      <c r="CG54" s="39">
        <v>2412.5941800000001</v>
      </c>
      <c r="CH54" s="39">
        <v>1716.0319</v>
      </c>
      <c r="CI54" s="51">
        <f t="shared" si="186"/>
        <v>-247.40581999999995</v>
      </c>
      <c r="CJ54" s="49">
        <f t="shared" si="50"/>
        <v>0.90699029323308278</v>
      </c>
      <c r="CK54" s="48">
        <f t="shared" si="187"/>
        <v>736.03189999999984</v>
      </c>
      <c r="CL54" s="49">
        <f t="shared" si="52"/>
        <v>1.7510529591836732</v>
      </c>
      <c r="CM54" s="49">
        <f t="shared" si="53"/>
        <v>1.7510529591836732</v>
      </c>
      <c r="CN54" s="45">
        <v>21992.9893206624</v>
      </c>
      <c r="CO54" s="39">
        <v>4855.2380100012879</v>
      </c>
      <c r="CP54" s="39">
        <v>2683.068078843181</v>
      </c>
      <c r="CQ54" s="39">
        <f t="shared" si="177"/>
        <v>670.76701971079524</v>
      </c>
      <c r="CR54" s="39">
        <f t="shared" si="221"/>
        <v>1341.5340394215905</v>
      </c>
      <c r="CS54" s="39">
        <f t="shared" si="222"/>
        <v>2012.3010591323857</v>
      </c>
      <c r="CT54" s="39">
        <f t="shared" si="223"/>
        <v>2683.068078843181</v>
      </c>
      <c r="CU54" s="39">
        <v>5273.28</v>
      </c>
      <c r="CV54" s="39">
        <v>2729.11</v>
      </c>
      <c r="CW54" s="50">
        <f t="shared" si="77"/>
        <v>418.04198999871187</v>
      </c>
      <c r="CX54" s="17">
        <f t="shared" si="55"/>
        <v>1.0861012352304025</v>
      </c>
      <c r="CY54" s="50">
        <f t="shared" si="153"/>
        <v>46.041921156819171</v>
      </c>
      <c r="CZ54" s="49">
        <f t="shared" si="56"/>
        <v>1.0171601762623446</v>
      </c>
      <c r="DA54" s="49">
        <f t="shared" si="57"/>
        <v>1.0171601762623446</v>
      </c>
    </row>
    <row r="55" spans="1:105" ht="24.95" customHeight="1">
      <c r="A55" s="4" t="s">
        <v>16</v>
      </c>
      <c r="B55" s="12">
        <v>11490</v>
      </c>
      <c r="C55" s="5">
        <f t="shared" si="225"/>
        <v>9</v>
      </c>
      <c r="D55" s="8" t="s">
        <v>94</v>
      </c>
      <c r="E55" s="45">
        <v>4500</v>
      </c>
      <c r="F55" s="39">
        <v>722.56321527025625</v>
      </c>
      <c r="G55" s="39">
        <v>331.69877313235736</v>
      </c>
      <c r="H55" s="39">
        <f t="shared" si="197"/>
        <v>82.92469328308934</v>
      </c>
      <c r="I55" s="39">
        <f t="shared" si="198"/>
        <v>165.84938656617868</v>
      </c>
      <c r="J55" s="39">
        <f t="shared" si="199"/>
        <v>248.77407984926802</v>
      </c>
      <c r="K55" s="39">
        <f t="shared" si="200"/>
        <v>331.69877313235736</v>
      </c>
      <c r="L55" s="39">
        <v>870</v>
      </c>
      <c r="M55" s="39">
        <v>0</v>
      </c>
      <c r="N55" s="48">
        <f t="shared" si="2"/>
        <v>147.43678472974375</v>
      </c>
      <c r="O55" s="49">
        <f t="shared" si="29"/>
        <v>1.2040469008301216</v>
      </c>
      <c r="P55" s="48">
        <f t="shared" si="107"/>
        <v>-331.69877313235736</v>
      </c>
      <c r="Q55" s="49">
        <f t="shared" si="30"/>
        <v>0</v>
      </c>
      <c r="R55" s="49">
        <f t="shared" si="31"/>
        <v>0</v>
      </c>
      <c r="S55" s="45">
        <v>4500</v>
      </c>
      <c r="T55" s="39">
        <v>722.56321527025625</v>
      </c>
      <c r="U55" s="39">
        <v>331.69877313235736</v>
      </c>
      <c r="V55" s="39">
        <f t="shared" si="201"/>
        <v>82.92469328308934</v>
      </c>
      <c r="W55" s="39">
        <f t="shared" si="202"/>
        <v>165.84938656617868</v>
      </c>
      <c r="X55" s="39">
        <f t="shared" si="203"/>
        <v>248.77407984926802</v>
      </c>
      <c r="Y55" s="39">
        <f t="shared" si="204"/>
        <v>331.69877313235736</v>
      </c>
      <c r="Z55" s="39">
        <v>870</v>
      </c>
      <c r="AA55" s="39">
        <v>0</v>
      </c>
      <c r="AB55" s="48">
        <f t="shared" si="5"/>
        <v>147.43678472974375</v>
      </c>
      <c r="AC55" s="49">
        <f t="shared" si="33"/>
        <v>1.2040469008301216</v>
      </c>
      <c r="AD55" s="48">
        <f t="shared" si="109"/>
        <v>-331.69877313235736</v>
      </c>
      <c r="AE55" s="49">
        <f t="shared" si="34"/>
        <v>0</v>
      </c>
      <c r="AF55" s="49">
        <f t="shared" si="35"/>
        <v>0</v>
      </c>
      <c r="AG55" s="45">
        <v>4500</v>
      </c>
      <c r="AH55" s="39">
        <v>722.56321527025625</v>
      </c>
      <c r="AI55" s="39">
        <v>331.69877313235736</v>
      </c>
      <c r="AJ55" s="39">
        <v>870</v>
      </c>
      <c r="AK55" s="39">
        <v>0</v>
      </c>
      <c r="AL55" s="48">
        <f>+AJ55-AH55</f>
        <v>147.43678472974375</v>
      </c>
      <c r="AM55" s="49">
        <f>+IF(AH55&lt;=0,0,AJ55/AH55)</f>
        <v>1.2040469008301216</v>
      </c>
      <c r="AN55" s="48">
        <f>+AK55-AI55</f>
        <v>-331.69877313235736</v>
      </c>
      <c r="AO55" s="49">
        <f>+IF(AI55&lt;=0,0,AK55/AI55)</f>
        <v>0</v>
      </c>
      <c r="AP55" s="39">
        <f t="shared" si="205"/>
        <v>6755.4804855435486</v>
      </c>
      <c r="AQ55" s="39">
        <f t="shared" si="206"/>
        <v>3367.9544199844236</v>
      </c>
      <c r="AR55" s="39">
        <f t="shared" si="207"/>
        <v>10739.983297999999</v>
      </c>
      <c r="AS55" s="39">
        <f t="shared" si="208"/>
        <v>5505.5374400000001</v>
      </c>
      <c r="AT55" s="39">
        <f t="shared" si="73"/>
        <v>3984.5028124564506</v>
      </c>
      <c r="AU55" s="17">
        <f t="shared" si="74"/>
        <v>1.589817825835353</v>
      </c>
      <c r="AV55" s="39">
        <f t="shared" si="75"/>
        <v>2137.5830200155765</v>
      </c>
      <c r="AW55" s="17">
        <f t="shared" si="76"/>
        <v>1.634682882681489</v>
      </c>
      <c r="AX55" s="45">
        <v>4500</v>
      </c>
      <c r="AY55" s="39">
        <v>722.56321527025625</v>
      </c>
      <c r="AZ55" s="39">
        <v>331.69877313235736</v>
      </c>
      <c r="BA55" s="39">
        <f t="shared" si="209"/>
        <v>82.92469328308934</v>
      </c>
      <c r="BB55" s="39">
        <f t="shared" si="210"/>
        <v>165.84938656617868</v>
      </c>
      <c r="BC55" s="39">
        <f t="shared" si="211"/>
        <v>248.77407984926802</v>
      </c>
      <c r="BD55" s="39">
        <f t="shared" si="212"/>
        <v>331.69877313235736</v>
      </c>
      <c r="BE55" s="39">
        <v>870</v>
      </c>
      <c r="BF55" s="39">
        <v>0</v>
      </c>
      <c r="BG55" s="48">
        <f t="shared" si="181"/>
        <v>147.43678472974375</v>
      </c>
      <c r="BH55" s="49">
        <f t="shared" si="41"/>
        <v>1.2040469008301216</v>
      </c>
      <c r="BI55" s="48">
        <f t="shared" si="226"/>
        <v>-331.69877313235736</v>
      </c>
      <c r="BJ55" s="49">
        <f t="shared" si="42"/>
        <v>0</v>
      </c>
      <c r="BK55" s="49">
        <f t="shared" si="43"/>
        <v>0</v>
      </c>
      <c r="BL55" s="45">
        <v>2000</v>
      </c>
      <c r="BM55" s="39">
        <v>321.13920678678062</v>
      </c>
      <c r="BN55" s="39">
        <v>147.42167694771442</v>
      </c>
      <c r="BO55" s="39">
        <f t="shared" si="213"/>
        <v>36.855419236928604</v>
      </c>
      <c r="BP55" s="39">
        <f t="shared" si="214"/>
        <v>73.710838473857208</v>
      </c>
      <c r="BQ55" s="39">
        <f t="shared" si="215"/>
        <v>110.56625771078581</v>
      </c>
      <c r="BR55" s="39">
        <f t="shared" si="216"/>
        <v>147.42167694771442</v>
      </c>
      <c r="BS55" s="39">
        <v>324</v>
      </c>
      <c r="BT55" s="39">
        <v>171</v>
      </c>
      <c r="BU55" s="48">
        <f t="shared" si="182"/>
        <v>2.860793213219381</v>
      </c>
      <c r="BV55" s="49">
        <f t="shared" si="45"/>
        <v>1.008908265178343</v>
      </c>
      <c r="BW55" s="48">
        <f t="shared" si="188"/>
        <v>23.578323052285583</v>
      </c>
      <c r="BX55" s="49">
        <f t="shared" si="46"/>
        <v>1.1599379653010462</v>
      </c>
      <c r="BY55" s="49">
        <f t="shared" si="47"/>
        <v>1.1599379653010462</v>
      </c>
      <c r="BZ55" s="45">
        <v>17000</v>
      </c>
      <c r="CA55" s="39">
        <v>3230</v>
      </c>
      <c r="CB55" s="39">
        <v>1190.0000000000002</v>
      </c>
      <c r="CC55" s="39">
        <f t="shared" si="217"/>
        <v>297.50000000000006</v>
      </c>
      <c r="CD55" s="39">
        <f t="shared" si="218"/>
        <v>595.00000000000011</v>
      </c>
      <c r="CE55" s="39">
        <f t="shared" si="219"/>
        <v>892.50000000000023</v>
      </c>
      <c r="CF55" s="39">
        <f t="shared" si="220"/>
        <v>1190.0000000000002</v>
      </c>
      <c r="CG55" s="39">
        <v>6826.3633579999996</v>
      </c>
      <c r="CH55" s="39">
        <v>3672.8674999999998</v>
      </c>
      <c r="CI55" s="51">
        <f t="shared" si="186"/>
        <v>3596.3633579999996</v>
      </c>
      <c r="CJ55" s="49">
        <f t="shared" si="50"/>
        <v>2.1134251882352939</v>
      </c>
      <c r="CK55" s="48">
        <f t="shared" si="187"/>
        <v>2482.8674999999994</v>
      </c>
      <c r="CL55" s="49">
        <f t="shared" si="52"/>
        <v>3.0864432773109236</v>
      </c>
      <c r="CM55" s="49">
        <f t="shared" si="53"/>
        <v>3.0864432773109236</v>
      </c>
      <c r="CN55" s="45">
        <v>15929.81114961879</v>
      </c>
      <c r="CO55" s="39">
        <v>2481.7780634865117</v>
      </c>
      <c r="CP55" s="39">
        <v>1698.8339699043515</v>
      </c>
      <c r="CQ55" s="39">
        <f t="shared" si="177"/>
        <v>424.70849247608788</v>
      </c>
      <c r="CR55" s="39">
        <f t="shared" si="221"/>
        <v>849.41698495217577</v>
      </c>
      <c r="CS55" s="39">
        <f t="shared" si="222"/>
        <v>1274.1254774282636</v>
      </c>
      <c r="CT55" s="39">
        <f t="shared" si="223"/>
        <v>1698.8339699043515</v>
      </c>
      <c r="CU55" s="39">
        <v>2719.6199400000005</v>
      </c>
      <c r="CV55" s="39">
        <v>1661.66994</v>
      </c>
      <c r="CW55" s="50">
        <f t="shared" si="77"/>
        <v>237.84187651348884</v>
      </c>
      <c r="CX55" s="17">
        <f t="shared" si="55"/>
        <v>1.0958352723044695</v>
      </c>
      <c r="CY55" s="50">
        <f t="shared" si="153"/>
        <v>-37.164029904351537</v>
      </c>
      <c r="CZ55" s="49">
        <f t="shared" si="56"/>
        <v>0.97812380105252783</v>
      </c>
      <c r="DA55" s="49">
        <f t="shared" si="57"/>
        <v>0.97812380105252783</v>
      </c>
    </row>
    <row r="56" spans="1:105" ht="24.95" customHeight="1">
      <c r="A56" s="4" t="s">
        <v>12</v>
      </c>
      <c r="B56" s="12">
        <v>11579</v>
      </c>
      <c r="C56" s="5">
        <f t="shared" si="225"/>
        <v>10</v>
      </c>
      <c r="D56" s="8" t="s">
        <v>95</v>
      </c>
      <c r="E56" s="45">
        <v>4800</v>
      </c>
      <c r="F56" s="39">
        <v>770.73409628827324</v>
      </c>
      <c r="G56" s="39">
        <v>353.81202467451453</v>
      </c>
      <c r="H56" s="39">
        <f t="shared" si="197"/>
        <v>88.453006168628633</v>
      </c>
      <c r="I56" s="39">
        <f t="shared" si="198"/>
        <v>176.90601233725727</v>
      </c>
      <c r="J56" s="39">
        <f t="shared" si="199"/>
        <v>265.3590185058859</v>
      </c>
      <c r="K56" s="39">
        <f t="shared" si="200"/>
        <v>353.81202467451453</v>
      </c>
      <c r="L56" s="39">
        <v>300</v>
      </c>
      <c r="M56" s="39">
        <v>0</v>
      </c>
      <c r="N56" s="48">
        <f t="shared" si="2"/>
        <v>-470.73409628827324</v>
      </c>
      <c r="O56" s="49">
        <f t="shared" si="29"/>
        <v>0.3892392998373238</v>
      </c>
      <c r="P56" s="48">
        <f t="shared" si="107"/>
        <v>-353.81202467451453</v>
      </c>
      <c r="Q56" s="49">
        <f t="shared" si="30"/>
        <v>0</v>
      </c>
      <c r="R56" s="49">
        <f t="shared" si="31"/>
        <v>0</v>
      </c>
      <c r="S56" s="45">
        <v>4800</v>
      </c>
      <c r="T56" s="39">
        <v>770.73409628827324</v>
      </c>
      <c r="U56" s="39">
        <v>353.81202467451453</v>
      </c>
      <c r="V56" s="39">
        <f t="shared" si="201"/>
        <v>88.453006168628633</v>
      </c>
      <c r="W56" s="39">
        <f t="shared" si="202"/>
        <v>176.90601233725727</v>
      </c>
      <c r="X56" s="39">
        <f t="shared" si="203"/>
        <v>265.3590185058859</v>
      </c>
      <c r="Y56" s="39">
        <f t="shared" si="204"/>
        <v>353.81202467451453</v>
      </c>
      <c r="Z56" s="39">
        <v>300</v>
      </c>
      <c r="AA56" s="39">
        <v>0</v>
      </c>
      <c r="AB56" s="48">
        <f t="shared" si="5"/>
        <v>-470.73409628827324</v>
      </c>
      <c r="AC56" s="49">
        <f t="shared" si="33"/>
        <v>0.3892392998373238</v>
      </c>
      <c r="AD56" s="48">
        <f t="shared" si="109"/>
        <v>-353.81202467451453</v>
      </c>
      <c r="AE56" s="49">
        <f t="shared" si="34"/>
        <v>0</v>
      </c>
      <c r="AF56" s="49">
        <f t="shared" si="35"/>
        <v>0</v>
      </c>
      <c r="AG56" s="45">
        <v>4800</v>
      </c>
      <c r="AH56" s="39">
        <v>770.73409628827324</v>
      </c>
      <c r="AI56" s="39">
        <v>353.81202467451453</v>
      </c>
      <c r="AJ56" s="39">
        <v>300</v>
      </c>
      <c r="AK56" s="39">
        <v>0</v>
      </c>
      <c r="AL56" s="48">
        <f>+AJ56-AH56</f>
        <v>-470.73409628827324</v>
      </c>
      <c r="AM56" s="49">
        <f>+IF(AH56&lt;=0,0,AJ56/AH56)</f>
        <v>0.3892392998373238</v>
      </c>
      <c r="AN56" s="48">
        <f>+AK56-AI56</f>
        <v>-353.81202467451453</v>
      </c>
      <c r="AO56" s="49">
        <f>+IF(AI56&lt;=0,0,AK56/AI56)</f>
        <v>0</v>
      </c>
      <c r="AP56" s="39">
        <f t="shared" si="205"/>
        <v>6788.3992095490676</v>
      </c>
      <c r="AQ56" s="39">
        <f t="shared" si="206"/>
        <v>3206.1783593881019</v>
      </c>
      <c r="AR56" s="39">
        <f t="shared" si="207"/>
        <v>9677.1763900000005</v>
      </c>
      <c r="AS56" s="39">
        <f t="shared" si="208"/>
        <v>2482.7348860000002</v>
      </c>
      <c r="AT56" s="39">
        <f t="shared" si="73"/>
        <v>2888.777180450933</v>
      </c>
      <c r="AU56" s="17">
        <f t="shared" si="74"/>
        <v>1.425546154738125</v>
      </c>
      <c r="AV56" s="39">
        <f t="shared" si="75"/>
        <v>-723.44347338810167</v>
      </c>
      <c r="AW56" s="17">
        <f t="shared" si="76"/>
        <v>0.77435956696864161</v>
      </c>
      <c r="AX56" s="45">
        <v>4800</v>
      </c>
      <c r="AY56" s="39">
        <v>770.73409628827324</v>
      </c>
      <c r="AZ56" s="39">
        <v>353.81202467451453</v>
      </c>
      <c r="BA56" s="39">
        <f t="shared" si="209"/>
        <v>88.453006168628633</v>
      </c>
      <c r="BB56" s="39">
        <f t="shared" si="210"/>
        <v>176.90601233725727</v>
      </c>
      <c r="BC56" s="39">
        <f t="shared" si="211"/>
        <v>265.3590185058859</v>
      </c>
      <c r="BD56" s="39">
        <f t="shared" si="212"/>
        <v>353.81202467451453</v>
      </c>
      <c r="BE56" s="39">
        <v>300</v>
      </c>
      <c r="BF56" s="39">
        <v>0</v>
      </c>
      <c r="BG56" s="48">
        <f t="shared" si="181"/>
        <v>-470.73409628827324</v>
      </c>
      <c r="BH56" s="49">
        <f t="shared" si="41"/>
        <v>0.3892392998373238</v>
      </c>
      <c r="BI56" s="48">
        <f t="shared" si="226"/>
        <v>-353.81202467451453</v>
      </c>
      <c r="BJ56" s="49">
        <f t="shared" si="42"/>
        <v>0</v>
      </c>
      <c r="BK56" s="49">
        <f t="shared" si="43"/>
        <v>0</v>
      </c>
      <c r="BL56" s="45">
        <v>2000</v>
      </c>
      <c r="BM56" s="39">
        <v>321.13920678678062</v>
      </c>
      <c r="BN56" s="39">
        <v>147.42167694771442</v>
      </c>
      <c r="BO56" s="39">
        <f t="shared" si="213"/>
        <v>36.855419236928604</v>
      </c>
      <c r="BP56" s="39">
        <f t="shared" si="214"/>
        <v>73.710838473857208</v>
      </c>
      <c r="BQ56" s="39">
        <f t="shared" si="215"/>
        <v>110.56625771078581</v>
      </c>
      <c r="BR56" s="39">
        <f t="shared" si="216"/>
        <v>147.42167694771442</v>
      </c>
      <c r="BS56" s="39">
        <v>424</v>
      </c>
      <c r="BT56" s="39">
        <v>180</v>
      </c>
      <c r="BU56" s="48">
        <f t="shared" si="182"/>
        <v>102.86079321321938</v>
      </c>
      <c r="BV56" s="49">
        <f t="shared" si="45"/>
        <v>1.3202997050482019</v>
      </c>
      <c r="BW56" s="48">
        <f t="shared" si="188"/>
        <v>32.578323052285583</v>
      </c>
      <c r="BX56" s="49">
        <f t="shared" si="46"/>
        <v>1.220987331895838</v>
      </c>
      <c r="BY56" s="49">
        <f t="shared" si="47"/>
        <v>1.220987331895838</v>
      </c>
      <c r="BZ56" s="45">
        <v>20000</v>
      </c>
      <c r="CA56" s="39">
        <v>3800</v>
      </c>
      <c r="CB56" s="39">
        <v>1400.0000000000002</v>
      </c>
      <c r="CC56" s="39">
        <f t="shared" si="217"/>
        <v>350.00000000000006</v>
      </c>
      <c r="CD56" s="39">
        <f t="shared" si="218"/>
        <v>700.00000000000011</v>
      </c>
      <c r="CE56" s="39">
        <f t="shared" si="219"/>
        <v>1050.0000000000002</v>
      </c>
      <c r="CF56" s="39">
        <f t="shared" si="220"/>
        <v>1400.0000000000002</v>
      </c>
      <c r="CG56" s="39">
        <v>6874.7463900000002</v>
      </c>
      <c r="CH56" s="39">
        <v>1100.8048859999999</v>
      </c>
      <c r="CI56" s="51">
        <f t="shared" si="186"/>
        <v>3074.7463900000002</v>
      </c>
      <c r="CJ56" s="49">
        <f t="shared" si="50"/>
        <v>1.8091437868421054</v>
      </c>
      <c r="CK56" s="48">
        <f t="shared" si="187"/>
        <v>-299.19511400000033</v>
      </c>
      <c r="CL56" s="49">
        <f t="shared" si="52"/>
        <v>0.78628920428571414</v>
      </c>
      <c r="CM56" s="49">
        <f t="shared" si="53"/>
        <v>0.78628920428571414</v>
      </c>
      <c r="CN56" s="45">
        <v>13705.794315215</v>
      </c>
      <c r="CO56" s="39">
        <v>1896.5259064740139</v>
      </c>
      <c r="CP56" s="39">
        <v>1304.9446577658725</v>
      </c>
      <c r="CQ56" s="39">
        <f t="shared" si="177"/>
        <v>326.23616444146813</v>
      </c>
      <c r="CR56" s="39">
        <f t="shared" si="221"/>
        <v>652.47232888293627</v>
      </c>
      <c r="CS56" s="39">
        <f t="shared" si="222"/>
        <v>978.70849332440434</v>
      </c>
      <c r="CT56" s="39">
        <f t="shared" si="223"/>
        <v>1304.9446577658725</v>
      </c>
      <c r="CU56" s="39">
        <v>2078.4299999999998</v>
      </c>
      <c r="CV56" s="39">
        <v>1201.93</v>
      </c>
      <c r="CW56" s="50">
        <f t="shared" si="77"/>
        <v>181.9040935259859</v>
      </c>
      <c r="CX56" s="17">
        <f t="shared" si="55"/>
        <v>1.0959143731730925</v>
      </c>
      <c r="CY56" s="50">
        <f t="shared" si="153"/>
        <v>-103.01465776587247</v>
      </c>
      <c r="CZ56" s="49">
        <f t="shared" si="56"/>
        <v>0.92105821717969372</v>
      </c>
      <c r="DA56" s="49">
        <f t="shared" si="57"/>
        <v>0.92105821717969372</v>
      </c>
    </row>
    <row r="57" spans="1:105" ht="24.95" customHeight="1">
      <c r="A57" s="4" t="s">
        <v>20</v>
      </c>
      <c r="B57" s="12">
        <v>11580</v>
      </c>
      <c r="C57" s="5">
        <f t="shared" si="225"/>
        <v>11</v>
      </c>
      <c r="D57" s="8" t="s">
        <v>96</v>
      </c>
      <c r="E57" s="45">
        <v>2999.9999999999995</v>
      </c>
      <c r="F57" s="39">
        <v>481.70881018017087</v>
      </c>
      <c r="G57" s="39">
        <v>221.13251542157158</v>
      </c>
      <c r="H57" s="39">
        <f t="shared" si="197"/>
        <v>55.283128855392896</v>
      </c>
      <c r="I57" s="39">
        <f t="shared" si="198"/>
        <v>110.56625771078579</v>
      </c>
      <c r="J57" s="39">
        <f t="shared" si="199"/>
        <v>165.84938656617868</v>
      </c>
      <c r="K57" s="39">
        <f t="shared" si="200"/>
        <v>221.13251542157158</v>
      </c>
      <c r="L57" s="39">
        <v>1080.04</v>
      </c>
      <c r="M57" s="39">
        <v>124.04</v>
      </c>
      <c r="N57" s="48">
        <f t="shared" si="2"/>
        <v>598.33118981982909</v>
      </c>
      <c r="O57" s="49">
        <f t="shared" si="29"/>
        <v>2.2421014047802834</v>
      </c>
      <c r="P57" s="48">
        <f t="shared" si="107"/>
        <v>-97.092515421571576</v>
      </c>
      <c r="Q57" s="49">
        <f t="shared" si="30"/>
        <v>0.56093062462355481</v>
      </c>
      <c r="R57" s="49">
        <f t="shared" si="31"/>
        <v>0.56093062462355481</v>
      </c>
      <c r="S57" s="45">
        <v>2999.9999999999995</v>
      </c>
      <c r="T57" s="39">
        <v>481.70881018017087</v>
      </c>
      <c r="U57" s="39">
        <v>221.13251542157158</v>
      </c>
      <c r="V57" s="39">
        <f t="shared" si="201"/>
        <v>55.283128855392896</v>
      </c>
      <c r="W57" s="39">
        <f t="shared" si="202"/>
        <v>110.56625771078579</v>
      </c>
      <c r="X57" s="39">
        <f t="shared" si="203"/>
        <v>165.84938656617868</v>
      </c>
      <c r="Y57" s="39">
        <f t="shared" si="204"/>
        <v>221.13251542157158</v>
      </c>
      <c r="Z57" s="39">
        <v>1080.04</v>
      </c>
      <c r="AA57" s="39">
        <v>124.04</v>
      </c>
      <c r="AB57" s="48">
        <f t="shared" si="5"/>
        <v>598.33118981982909</v>
      </c>
      <c r="AC57" s="49">
        <f t="shared" si="33"/>
        <v>2.2421014047802834</v>
      </c>
      <c r="AD57" s="48">
        <f t="shared" si="109"/>
        <v>-97.092515421571576</v>
      </c>
      <c r="AE57" s="49">
        <f t="shared" si="34"/>
        <v>0.56093062462355481</v>
      </c>
      <c r="AF57" s="49">
        <f t="shared" si="35"/>
        <v>0.56093062462355481</v>
      </c>
      <c r="AG57" s="45">
        <v>2999.9999999999995</v>
      </c>
      <c r="AH57" s="39">
        <v>481.70881018017087</v>
      </c>
      <c r="AI57" s="39">
        <v>221.13251542157158</v>
      </c>
      <c r="AJ57" s="39">
        <v>1080.04</v>
      </c>
      <c r="AK57" s="39">
        <v>124.04</v>
      </c>
      <c r="AL57" s="48">
        <f>+AJ57-AH57</f>
        <v>598.33118981982909</v>
      </c>
      <c r="AM57" s="49">
        <f>+IF(AH57&lt;=0,0,AJ57/AH57)</f>
        <v>2.2421014047802834</v>
      </c>
      <c r="AN57" s="48">
        <f>+AK57-AI57</f>
        <v>-97.092515421571576</v>
      </c>
      <c r="AO57" s="49">
        <f>+IF(AI57&lt;=0,0,AK57/AI57)</f>
        <v>0.56093062462355481</v>
      </c>
      <c r="AP57" s="39">
        <f t="shared" si="205"/>
        <v>5341.1619316608212</v>
      </c>
      <c r="AQ57" s="39">
        <f t="shared" si="206"/>
        <v>2187.519597434984</v>
      </c>
      <c r="AR57" s="39">
        <f t="shared" si="207"/>
        <v>8679.8599340000001</v>
      </c>
      <c r="AS57" s="39">
        <f t="shared" si="208"/>
        <v>3390.4610480000001</v>
      </c>
      <c r="AT57" s="39">
        <f t="shared" si="73"/>
        <v>3338.6980023391789</v>
      </c>
      <c r="AU57" s="17">
        <f t="shared" si="74"/>
        <v>1.6250883319130185</v>
      </c>
      <c r="AV57" s="39">
        <f t="shared" si="75"/>
        <v>1202.9414505650161</v>
      </c>
      <c r="AW57" s="17">
        <f t="shared" si="76"/>
        <v>1.5499111651276392</v>
      </c>
      <c r="AX57" s="45">
        <v>2999.9999999999995</v>
      </c>
      <c r="AY57" s="39">
        <v>481.70881018017087</v>
      </c>
      <c r="AZ57" s="39">
        <v>221.13251542157158</v>
      </c>
      <c r="BA57" s="39">
        <f t="shared" si="209"/>
        <v>55.283128855392896</v>
      </c>
      <c r="BB57" s="39">
        <f t="shared" si="210"/>
        <v>110.56625771078579</v>
      </c>
      <c r="BC57" s="39">
        <f t="shared" si="211"/>
        <v>165.84938656617868</v>
      </c>
      <c r="BD57" s="39">
        <f t="shared" si="212"/>
        <v>221.13251542157158</v>
      </c>
      <c r="BE57" s="39">
        <v>1080.04</v>
      </c>
      <c r="BF57" s="39">
        <v>124.04</v>
      </c>
      <c r="BG57" s="48">
        <f t="shared" si="181"/>
        <v>598.33118981982909</v>
      </c>
      <c r="BH57" s="49">
        <f t="shared" si="41"/>
        <v>2.2421014047802834</v>
      </c>
      <c r="BI57" s="48">
        <f t="shared" si="226"/>
        <v>-97.092515421571576</v>
      </c>
      <c r="BJ57" s="49">
        <f t="shared" si="42"/>
        <v>0.56093062462355481</v>
      </c>
      <c r="BK57" s="49">
        <f t="shared" si="43"/>
        <v>0.56093062462355481</v>
      </c>
      <c r="BL57" s="45">
        <v>2000</v>
      </c>
      <c r="BM57" s="39">
        <v>321.13920678678062</v>
      </c>
      <c r="BN57" s="39">
        <v>147.42167694771442</v>
      </c>
      <c r="BO57" s="39">
        <f t="shared" si="213"/>
        <v>36.855419236928604</v>
      </c>
      <c r="BP57" s="39">
        <f t="shared" si="214"/>
        <v>73.710838473857208</v>
      </c>
      <c r="BQ57" s="39">
        <f t="shared" si="215"/>
        <v>110.56625771078581</v>
      </c>
      <c r="BR57" s="39">
        <f t="shared" si="216"/>
        <v>147.42167694771442</v>
      </c>
      <c r="BS57" s="39">
        <v>474</v>
      </c>
      <c r="BT57" s="39">
        <v>290</v>
      </c>
      <c r="BU57" s="48">
        <f t="shared" si="182"/>
        <v>152.86079321321938</v>
      </c>
      <c r="BV57" s="49">
        <f t="shared" si="45"/>
        <v>1.4759954249831315</v>
      </c>
      <c r="BW57" s="48">
        <f t="shared" si="188"/>
        <v>142.57832305228558</v>
      </c>
      <c r="BX57" s="49">
        <f t="shared" si="46"/>
        <v>1.9671462569432947</v>
      </c>
      <c r="BY57" s="49">
        <f t="shared" si="47"/>
        <v>1.9671462569432947</v>
      </c>
      <c r="BZ57" s="45">
        <v>15000</v>
      </c>
      <c r="CA57" s="39">
        <v>2850</v>
      </c>
      <c r="CB57" s="39">
        <v>1050</v>
      </c>
      <c r="CC57" s="39">
        <f t="shared" si="217"/>
        <v>262.5</v>
      </c>
      <c r="CD57" s="39">
        <f t="shared" si="218"/>
        <v>525</v>
      </c>
      <c r="CE57" s="39">
        <f t="shared" si="219"/>
        <v>787.5</v>
      </c>
      <c r="CF57" s="39">
        <f t="shared" si="220"/>
        <v>1050</v>
      </c>
      <c r="CG57" s="39">
        <v>5257.8199340000001</v>
      </c>
      <c r="CH57" s="39">
        <v>1738.4210479999999</v>
      </c>
      <c r="CI57" s="51">
        <f t="shared" si="186"/>
        <v>2407.8199340000001</v>
      </c>
      <c r="CJ57" s="49">
        <f t="shared" si="50"/>
        <v>1.8448490996491229</v>
      </c>
      <c r="CK57" s="48">
        <f t="shared" si="187"/>
        <v>688.42104799999993</v>
      </c>
      <c r="CL57" s="49">
        <f t="shared" si="52"/>
        <v>1.6556390933333334</v>
      </c>
      <c r="CM57" s="49">
        <f t="shared" si="53"/>
        <v>1.6556390933333334</v>
      </c>
      <c r="CN57" s="45">
        <v>14096.498334511274</v>
      </c>
      <c r="CO57" s="39">
        <v>1688.3139146938699</v>
      </c>
      <c r="CP57" s="39">
        <v>768.96540506569784</v>
      </c>
      <c r="CQ57" s="39">
        <f t="shared" si="177"/>
        <v>192.24135126642446</v>
      </c>
      <c r="CR57" s="39">
        <f t="shared" si="221"/>
        <v>384.48270253284892</v>
      </c>
      <c r="CS57" s="39">
        <f t="shared" si="222"/>
        <v>576.72405379927341</v>
      </c>
      <c r="CT57" s="39">
        <f t="shared" si="223"/>
        <v>768.96540506569784</v>
      </c>
      <c r="CU57" s="39">
        <v>1868</v>
      </c>
      <c r="CV57" s="39">
        <v>1238</v>
      </c>
      <c r="CW57" s="50">
        <f t="shared" si="77"/>
        <v>179.68608530613005</v>
      </c>
      <c r="CX57" s="17">
        <f t="shared" si="55"/>
        <v>1.1064293101787954</v>
      </c>
      <c r="CY57" s="50">
        <f t="shared" si="153"/>
        <v>469.03459493430216</v>
      </c>
      <c r="CZ57" s="49">
        <f t="shared" si="56"/>
        <v>1.6099553918088545</v>
      </c>
      <c r="DA57" s="49">
        <f t="shared" si="57"/>
        <v>1.6099553918088545</v>
      </c>
    </row>
    <row r="58" spans="1:105" ht="24.95" customHeight="1">
      <c r="A58" s="4" t="s">
        <v>26</v>
      </c>
      <c r="B58" s="12">
        <v>11581</v>
      </c>
      <c r="C58" s="5">
        <f t="shared" si="225"/>
        <v>12</v>
      </c>
      <c r="D58" s="8" t="s">
        <v>97</v>
      </c>
      <c r="E58" s="45">
        <v>3099.9999999999995</v>
      </c>
      <c r="F58" s="39">
        <v>497.76577051950989</v>
      </c>
      <c r="G58" s="39">
        <v>228.50359926895732</v>
      </c>
      <c r="H58" s="39">
        <f t="shared" si="197"/>
        <v>57.125899817239329</v>
      </c>
      <c r="I58" s="39">
        <f t="shared" si="198"/>
        <v>114.25179963447866</v>
      </c>
      <c r="J58" s="39">
        <f t="shared" si="199"/>
        <v>171.377699451718</v>
      </c>
      <c r="K58" s="39">
        <f t="shared" si="200"/>
        <v>228.50359926895732</v>
      </c>
      <c r="L58" s="39">
        <v>2033.0480399999999</v>
      </c>
      <c r="M58" s="39">
        <v>1500.0480399999999</v>
      </c>
      <c r="N58" s="48">
        <f t="shared" si="2"/>
        <v>1535.28226948049</v>
      </c>
      <c r="O58" s="49">
        <f t="shared" si="29"/>
        <v>4.0843468161302878</v>
      </c>
      <c r="P58" s="48">
        <f t="shared" si="107"/>
        <v>1271.5444407310426</v>
      </c>
      <c r="Q58" s="49">
        <f t="shared" si="30"/>
        <v>6.5646582583339841</v>
      </c>
      <c r="R58" s="49">
        <f t="shared" si="31"/>
        <v>6.5646582583339841</v>
      </c>
      <c r="S58" s="45">
        <v>3099.9999999999995</v>
      </c>
      <c r="T58" s="39">
        <v>497.76577051950989</v>
      </c>
      <c r="U58" s="39">
        <v>228.50359926895732</v>
      </c>
      <c r="V58" s="39">
        <f t="shared" si="201"/>
        <v>57.125899817239329</v>
      </c>
      <c r="W58" s="39">
        <f t="shared" si="202"/>
        <v>114.25179963447866</v>
      </c>
      <c r="X58" s="39">
        <f t="shared" si="203"/>
        <v>171.377699451718</v>
      </c>
      <c r="Y58" s="39">
        <f t="shared" si="204"/>
        <v>228.50359926895732</v>
      </c>
      <c r="Z58" s="39">
        <v>2033.0480399999999</v>
      </c>
      <c r="AA58" s="39">
        <v>1500.0480399999999</v>
      </c>
      <c r="AB58" s="48">
        <f t="shared" si="5"/>
        <v>1535.28226948049</v>
      </c>
      <c r="AC58" s="49">
        <f t="shared" si="33"/>
        <v>4.0843468161302878</v>
      </c>
      <c r="AD58" s="48">
        <f t="shared" si="109"/>
        <v>1271.5444407310426</v>
      </c>
      <c r="AE58" s="49">
        <f t="shared" si="34"/>
        <v>6.5646582583339841</v>
      </c>
      <c r="AF58" s="49">
        <f t="shared" si="35"/>
        <v>6.5646582583339841</v>
      </c>
      <c r="AG58" s="45">
        <v>3099.9999999999995</v>
      </c>
      <c r="AH58" s="39">
        <v>497.76577051950989</v>
      </c>
      <c r="AI58" s="39">
        <v>228.50359926895732</v>
      </c>
      <c r="AJ58" s="39">
        <v>2033.0480399999999</v>
      </c>
      <c r="AK58" s="39">
        <v>1500.0480399999999</v>
      </c>
      <c r="AL58" s="48">
        <f>+AJ58-AH58</f>
        <v>1535.28226948049</v>
      </c>
      <c r="AM58" s="49">
        <f>+IF(AH58&lt;=0,0,AJ58/AH58)</f>
        <v>4.0843468161302878</v>
      </c>
      <c r="AN58" s="48">
        <f>+AK58-AI58</f>
        <v>1271.5444407310426</v>
      </c>
      <c r="AO58" s="49">
        <f>+IF(AI58&lt;=0,0,AK58/AI58)</f>
        <v>6.5646582583339841</v>
      </c>
      <c r="AP58" s="39">
        <f t="shared" si="205"/>
        <v>6029.3580544945062</v>
      </c>
      <c r="AQ58" s="39">
        <f t="shared" si="206"/>
        <v>3068.0499367728571</v>
      </c>
      <c r="AR58" s="39">
        <f t="shared" si="207"/>
        <v>9342.2855392739984</v>
      </c>
      <c r="AS58" s="39">
        <f t="shared" si="208"/>
        <v>4421.6876094139998</v>
      </c>
      <c r="AT58" s="39">
        <f t="shared" si="73"/>
        <v>3312.9274847794923</v>
      </c>
      <c r="AU58" s="17">
        <f t="shared" si="74"/>
        <v>1.5494660384798202</v>
      </c>
      <c r="AV58" s="39">
        <f t="shared" si="75"/>
        <v>1353.6376726411427</v>
      </c>
      <c r="AW58" s="17">
        <f t="shared" si="76"/>
        <v>1.4412045763717174</v>
      </c>
      <c r="AX58" s="45">
        <v>3099.9999999999995</v>
      </c>
      <c r="AY58" s="39">
        <v>497.76577051950989</v>
      </c>
      <c r="AZ58" s="39">
        <v>228.50359926895732</v>
      </c>
      <c r="BA58" s="39">
        <f t="shared" si="209"/>
        <v>57.125899817239329</v>
      </c>
      <c r="BB58" s="39">
        <f t="shared" si="210"/>
        <v>114.25179963447866</v>
      </c>
      <c r="BC58" s="39">
        <f t="shared" si="211"/>
        <v>171.377699451718</v>
      </c>
      <c r="BD58" s="39">
        <f t="shared" si="212"/>
        <v>228.50359926895732</v>
      </c>
      <c r="BE58" s="39">
        <v>2033.0480399999999</v>
      </c>
      <c r="BF58" s="39">
        <v>1500.0480399999999</v>
      </c>
      <c r="BG58" s="48">
        <f t="shared" si="181"/>
        <v>1535.28226948049</v>
      </c>
      <c r="BH58" s="49">
        <f t="shared" si="41"/>
        <v>4.0843468161302878</v>
      </c>
      <c r="BI58" s="48">
        <f t="shared" si="226"/>
        <v>1271.5444407310426</v>
      </c>
      <c r="BJ58" s="49">
        <f t="shared" si="42"/>
        <v>6.5646582583339841</v>
      </c>
      <c r="BK58" s="49">
        <f t="shared" si="43"/>
        <v>6.5646582583339841</v>
      </c>
      <c r="BL58" s="45">
        <v>2000</v>
      </c>
      <c r="BM58" s="39">
        <v>321.13920678678062</v>
      </c>
      <c r="BN58" s="39">
        <v>147.42167694771442</v>
      </c>
      <c r="BO58" s="39">
        <f t="shared" si="213"/>
        <v>36.855419236928604</v>
      </c>
      <c r="BP58" s="39">
        <f t="shared" si="214"/>
        <v>73.710838473857208</v>
      </c>
      <c r="BQ58" s="39">
        <f t="shared" si="215"/>
        <v>110.56625771078581</v>
      </c>
      <c r="BR58" s="39">
        <f t="shared" si="216"/>
        <v>147.42167694771442</v>
      </c>
      <c r="BS58" s="39">
        <v>562</v>
      </c>
      <c r="BT58" s="39">
        <v>380</v>
      </c>
      <c r="BU58" s="48">
        <f t="shared" si="182"/>
        <v>240.86079321321938</v>
      </c>
      <c r="BV58" s="49">
        <f t="shared" si="45"/>
        <v>1.7500198920686074</v>
      </c>
      <c r="BW58" s="48">
        <f t="shared" si="188"/>
        <v>232.57832305228558</v>
      </c>
      <c r="BX58" s="49">
        <f t="shared" si="46"/>
        <v>2.5776399228912137</v>
      </c>
      <c r="BY58" s="49">
        <f t="shared" si="47"/>
        <v>2.5776399228912137</v>
      </c>
      <c r="BZ58" s="45">
        <v>12000.000000000002</v>
      </c>
      <c r="CA58" s="39">
        <v>2280</v>
      </c>
      <c r="CB58" s="39">
        <v>840.00000000000011</v>
      </c>
      <c r="CC58" s="39">
        <f t="shared" si="217"/>
        <v>210.00000000000003</v>
      </c>
      <c r="CD58" s="39">
        <f t="shared" si="218"/>
        <v>420.00000000000006</v>
      </c>
      <c r="CE58" s="39">
        <f t="shared" si="219"/>
        <v>630.00000000000011</v>
      </c>
      <c r="CF58" s="39">
        <f t="shared" si="220"/>
        <v>840.00000000000011</v>
      </c>
      <c r="CG58" s="39">
        <v>3550.0374992740003</v>
      </c>
      <c r="CH58" s="39">
        <v>568.64956941399998</v>
      </c>
      <c r="CI58" s="51">
        <f t="shared" si="186"/>
        <v>1270.0374992740003</v>
      </c>
      <c r="CJ58" s="49">
        <f t="shared" si="50"/>
        <v>1.5570339909096493</v>
      </c>
      <c r="CK58" s="48">
        <f t="shared" si="187"/>
        <v>-271.35043058600013</v>
      </c>
      <c r="CL58" s="49">
        <f t="shared" si="52"/>
        <v>0.6769637731119047</v>
      </c>
      <c r="CM58" s="49">
        <f t="shared" si="53"/>
        <v>0.6769637731119047</v>
      </c>
      <c r="CN58" s="45">
        <v>17145.040295584957</v>
      </c>
      <c r="CO58" s="39">
        <v>2930.4530771882155</v>
      </c>
      <c r="CP58" s="39">
        <v>1852.1246605561851</v>
      </c>
      <c r="CQ58" s="39">
        <f t="shared" si="177"/>
        <v>463.03116513904627</v>
      </c>
      <c r="CR58" s="39">
        <f t="shared" si="221"/>
        <v>926.06233027809253</v>
      </c>
      <c r="CS58" s="39">
        <f t="shared" si="222"/>
        <v>1389.0934954171389</v>
      </c>
      <c r="CT58" s="39">
        <f t="shared" si="223"/>
        <v>1852.1246605561851</v>
      </c>
      <c r="CU58" s="39">
        <v>3197.2</v>
      </c>
      <c r="CV58" s="39">
        <v>1972.99</v>
      </c>
      <c r="CW58" s="50">
        <f t="shared" si="77"/>
        <v>266.74692281178432</v>
      </c>
      <c r="CX58" s="17">
        <f t="shared" si="55"/>
        <v>1.0910258297217743</v>
      </c>
      <c r="CY58" s="50">
        <f t="shared" si="153"/>
        <v>120.86533944381495</v>
      </c>
      <c r="CZ58" s="49">
        <f t="shared" si="56"/>
        <v>1.06525766975508</v>
      </c>
      <c r="DA58" s="49">
        <f t="shared" si="57"/>
        <v>1.06525766975508</v>
      </c>
    </row>
    <row r="59" spans="1:105" ht="24.95" customHeight="1">
      <c r="A59" s="4" t="s">
        <v>28</v>
      </c>
      <c r="B59" s="12">
        <v>11582</v>
      </c>
      <c r="C59" s="5">
        <f t="shared" si="225"/>
        <v>13</v>
      </c>
      <c r="D59" s="8" t="s">
        <v>98</v>
      </c>
      <c r="E59" s="45">
        <v>3842.1052631578941</v>
      </c>
      <c r="F59" s="39">
        <v>616.92531830092048</v>
      </c>
      <c r="G59" s="39">
        <v>283.20480045218812</v>
      </c>
      <c r="H59" s="39">
        <f t="shared" si="197"/>
        <v>70.801200113047031</v>
      </c>
      <c r="I59" s="39">
        <f t="shared" si="198"/>
        <v>141.60240022609406</v>
      </c>
      <c r="J59" s="39">
        <f t="shared" si="199"/>
        <v>212.40360033914109</v>
      </c>
      <c r="K59" s="39">
        <f t="shared" si="200"/>
        <v>283.20480045218812</v>
      </c>
      <c r="L59" s="39">
        <v>1589</v>
      </c>
      <c r="M59" s="39">
        <v>880</v>
      </c>
      <c r="N59" s="48">
        <f t="shared" si="2"/>
        <v>972.07468169907952</v>
      </c>
      <c r="O59" s="49">
        <f t="shared" si="29"/>
        <v>2.5756764277016204</v>
      </c>
      <c r="P59" s="48">
        <f t="shared" si="107"/>
        <v>596.79519954781188</v>
      </c>
      <c r="Q59" s="49">
        <f t="shared" si="30"/>
        <v>3.1072919618414643</v>
      </c>
      <c r="R59" s="49">
        <f t="shared" si="31"/>
        <v>3.1072919618414643</v>
      </c>
      <c r="S59" s="45">
        <v>3842.1052631578941</v>
      </c>
      <c r="T59" s="39">
        <v>616.92531830092048</v>
      </c>
      <c r="U59" s="39">
        <v>283.20480045218812</v>
      </c>
      <c r="V59" s="39">
        <f t="shared" si="201"/>
        <v>70.801200113047031</v>
      </c>
      <c r="W59" s="39">
        <f t="shared" si="202"/>
        <v>141.60240022609406</v>
      </c>
      <c r="X59" s="39">
        <f t="shared" si="203"/>
        <v>212.40360033914109</v>
      </c>
      <c r="Y59" s="39">
        <f t="shared" si="204"/>
        <v>283.20480045218812</v>
      </c>
      <c r="Z59" s="39">
        <v>1589</v>
      </c>
      <c r="AA59" s="39">
        <v>880</v>
      </c>
      <c r="AB59" s="48">
        <f t="shared" si="5"/>
        <v>972.07468169907952</v>
      </c>
      <c r="AC59" s="49">
        <f t="shared" si="33"/>
        <v>2.5756764277016204</v>
      </c>
      <c r="AD59" s="48">
        <f t="shared" si="109"/>
        <v>596.79519954781188</v>
      </c>
      <c r="AE59" s="49">
        <f t="shared" si="34"/>
        <v>3.1072919618414643</v>
      </c>
      <c r="AF59" s="49">
        <f t="shared" si="35"/>
        <v>3.1072919618414643</v>
      </c>
      <c r="AG59" s="45">
        <v>3842.1052631578941</v>
      </c>
      <c r="AH59" s="39">
        <v>616.92531830092048</v>
      </c>
      <c r="AI59" s="39">
        <v>283.20480045218812</v>
      </c>
      <c r="AJ59" s="39">
        <v>1589</v>
      </c>
      <c r="AK59" s="39">
        <v>880</v>
      </c>
      <c r="AL59" s="48">
        <f>+AJ59-AH59</f>
        <v>972.07468169907952</v>
      </c>
      <c r="AM59" s="49">
        <f>+IF(AH59&lt;=0,0,AJ59/AH59)</f>
        <v>2.5756764277016204</v>
      </c>
      <c r="AN59" s="48">
        <f>+AK59-AI59</f>
        <v>596.79519954781188</v>
      </c>
      <c r="AO59" s="49">
        <f>+IF(AI59&lt;=0,0,AK59/AI59)</f>
        <v>3.1072919618414643</v>
      </c>
      <c r="AP59" s="39">
        <f t="shared" si="205"/>
        <v>5678.6840891979</v>
      </c>
      <c r="AQ59" s="39">
        <f t="shared" si="206"/>
        <v>2992.6094533940527</v>
      </c>
      <c r="AR59" s="39">
        <f t="shared" si="207"/>
        <v>7209.541220000001</v>
      </c>
      <c r="AS59" s="39">
        <f t="shared" si="208"/>
        <v>3471.4458800000002</v>
      </c>
      <c r="AT59" s="39">
        <f t="shared" si="73"/>
        <v>1530.857130802101</v>
      </c>
      <c r="AU59" s="17">
        <f t="shared" si="74"/>
        <v>1.2695795551849989</v>
      </c>
      <c r="AV59" s="39">
        <f t="shared" si="75"/>
        <v>478.83642660594751</v>
      </c>
      <c r="AW59" s="17">
        <f t="shared" si="76"/>
        <v>1.160006320257686</v>
      </c>
      <c r="AX59" s="45">
        <v>3842.1052631578941</v>
      </c>
      <c r="AY59" s="39">
        <v>616.92531830092048</v>
      </c>
      <c r="AZ59" s="39">
        <v>283.20480045218812</v>
      </c>
      <c r="BA59" s="39">
        <f t="shared" si="209"/>
        <v>70.801200113047031</v>
      </c>
      <c r="BB59" s="39">
        <f t="shared" si="210"/>
        <v>141.60240022609406</v>
      </c>
      <c r="BC59" s="39">
        <f t="shared" si="211"/>
        <v>212.40360033914109</v>
      </c>
      <c r="BD59" s="39">
        <f t="shared" si="212"/>
        <v>283.20480045218812</v>
      </c>
      <c r="BE59" s="39">
        <v>1589</v>
      </c>
      <c r="BF59" s="39">
        <v>880</v>
      </c>
      <c r="BG59" s="48">
        <f t="shared" si="181"/>
        <v>972.07468169907952</v>
      </c>
      <c r="BH59" s="49">
        <f t="shared" si="41"/>
        <v>2.5756764277016204</v>
      </c>
      <c r="BI59" s="48">
        <f t="shared" si="226"/>
        <v>596.79519954781188</v>
      </c>
      <c r="BJ59" s="49">
        <f t="shared" si="42"/>
        <v>3.1072919618414643</v>
      </c>
      <c r="BK59" s="49">
        <f t="shared" si="43"/>
        <v>3.1072919618414643</v>
      </c>
      <c r="BL59" s="45">
        <v>2078.5542105884483</v>
      </c>
      <c r="BM59" s="39">
        <v>333.75262522584865</v>
      </c>
      <c r="BN59" s="39">
        <v>153.21197367584088</v>
      </c>
      <c r="BO59" s="39">
        <f t="shared" si="213"/>
        <v>38.30299341896022</v>
      </c>
      <c r="BP59" s="39">
        <f t="shared" si="214"/>
        <v>76.60598683792044</v>
      </c>
      <c r="BQ59" s="39">
        <f t="shared" si="215"/>
        <v>114.90898025688065</v>
      </c>
      <c r="BR59" s="39">
        <f t="shared" si="216"/>
        <v>153.21197367584088</v>
      </c>
      <c r="BS59" s="39">
        <v>334</v>
      </c>
      <c r="BT59" s="39">
        <v>97</v>
      </c>
      <c r="BU59" s="48">
        <f t="shared" si="182"/>
        <v>0.24737477415135345</v>
      </c>
      <c r="BV59" s="49">
        <f t="shared" si="45"/>
        <v>1.0007411919950711</v>
      </c>
      <c r="BW59" s="48">
        <f t="shared" si="188"/>
        <v>-56.211973675840881</v>
      </c>
      <c r="BX59" s="49">
        <f t="shared" si="46"/>
        <v>0.63310978687102037</v>
      </c>
      <c r="BY59" s="49">
        <f t="shared" si="47"/>
        <v>0.63310978687102037</v>
      </c>
      <c r="BZ59" s="45">
        <v>12000.000000000002</v>
      </c>
      <c r="CA59" s="39">
        <v>2280</v>
      </c>
      <c r="CB59" s="39">
        <v>840.00000000000011</v>
      </c>
      <c r="CC59" s="39">
        <f t="shared" si="217"/>
        <v>210.00000000000003</v>
      </c>
      <c r="CD59" s="39">
        <f t="shared" si="218"/>
        <v>420.00000000000006</v>
      </c>
      <c r="CE59" s="39">
        <f t="shared" si="219"/>
        <v>630.00000000000011</v>
      </c>
      <c r="CF59" s="39">
        <f t="shared" si="220"/>
        <v>840.00000000000011</v>
      </c>
      <c r="CG59" s="39">
        <v>2600.0453400000001</v>
      </c>
      <c r="CH59" s="39">
        <v>735</v>
      </c>
      <c r="CI59" s="51">
        <f t="shared" si="186"/>
        <v>320.04534000000012</v>
      </c>
      <c r="CJ59" s="49">
        <f t="shared" si="50"/>
        <v>1.1403707631578948</v>
      </c>
      <c r="CK59" s="48">
        <f t="shared" si="187"/>
        <v>-105.00000000000011</v>
      </c>
      <c r="CL59" s="49">
        <f t="shared" si="52"/>
        <v>0.87499999999999989</v>
      </c>
      <c r="CM59" s="49">
        <f t="shared" si="53"/>
        <v>0.87499999999999989</v>
      </c>
      <c r="CN59" s="45">
        <v>16263.597599881483</v>
      </c>
      <c r="CO59" s="39">
        <v>2448.006145671131</v>
      </c>
      <c r="CP59" s="39">
        <v>1716.1926792660236</v>
      </c>
      <c r="CQ59" s="39">
        <f t="shared" si="177"/>
        <v>429.04816981650589</v>
      </c>
      <c r="CR59" s="39">
        <f t="shared" si="221"/>
        <v>858.09633963301178</v>
      </c>
      <c r="CS59" s="39">
        <f t="shared" si="222"/>
        <v>1287.1445094495177</v>
      </c>
      <c r="CT59" s="39">
        <f t="shared" si="223"/>
        <v>1716.1926792660236</v>
      </c>
      <c r="CU59" s="39">
        <v>2686.4958800000004</v>
      </c>
      <c r="CV59" s="39">
        <v>1759.4458800000002</v>
      </c>
      <c r="CW59" s="50">
        <f t="shared" si="77"/>
        <v>238.48973432886942</v>
      </c>
      <c r="CX59" s="17">
        <f t="shared" si="55"/>
        <v>1.0974220325184219</v>
      </c>
      <c r="CY59" s="50">
        <f t="shared" si="153"/>
        <v>43.253200733976655</v>
      </c>
      <c r="CZ59" s="49">
        <f t="shared" si="56"/>
        <v>1.025202998041266</v>
      </c>
      <c r="DA59" s="49">
        <f t="shared" si="57"/>
        <v>1.025202998041266</v>
      </c>
    </row>
    <row r="60" spans="1:105" ht="24.95" customHeight="1">
      <c r="A60" s="4" t="s">
        <v>24</v>
      </c>
      <c r="B60" s="12">
        <v>11633</v>
      </c>
      <c r="C60" s="5">
        <f t="shared" si="225"/>
        <v>14</v>
      </c>
      <c r="D60" s="8" t="s">
        <v>99</v>
      </c>
      <c r="E60" s="45">
        <v>3999.9999999999991</v>
      </c>
      <c r="F60" s="39">
        <v>642.27841357356112</v>
      </c>
      <c r="G60" s="39">
        <v>294.84335389542878</v>
      </c>
      <c r="H60" s="39">
        <f t="shared" si="197"/>
        <v>73.710838473857194</v>
      </c>
      <c r="I60" s="39">
        <f t="shared" si="198"/>
        <v>147.42167694771439</v>
      </c>
      <c r="J60" s="39">
        <f t="shared" si="199"/>
        <v>221.13251542157158</v>
      </c>
      <c r="K60" s="39">
        <f t="shared" si="200"/>
        <v>294.84335389542878</v>
      </c>
      <c r="L60" s="39">
        <v>1182</v>
      </c>
      <c r="M60" s="39">
        <v>652</v>
      </c>
      <c r="N60" s="48">
        <f t="shared" si="2"/>
        <v>539.72158642643888</v>
      </c>
      <c r="O60" s="49">
        <f t="shared" si="29"/>
        <v>1.8403234096308667</v>
      </c>
      <c r="P60" s="48">
        <f t="shared" si="107"/>
        <v>357.15664610457122</v>
      </c>
      <c r="Q60" s="49">
        <f t="shared" si="30"/>
        <v>2.2113437233224627</v>
      </c>
      <c r="R60" s="49">
        <f t="shared" si="31"/>
        <v>2.2113437233224627</v>
      </c>
      <c r="S60" s="45">
        <v>3999.9999999999991</v>
      </c>
      <c r="T60" s="39">
        <v>642.27841357356112</v>
      </c>
      <c r="U60" s="39">
        <v>294.84335389542878</v>
      </c>
      <c r="V60" s="39">
        <f t="shared" si="201"/>
        <v>73.710838473857194</v>
      </c>
      <c r="W60" s="39">
        <f t="shared" si="202"/>
        <v>147.42167694771439</v>
      </c>
      <c r="X60" s="39">
        <f t="shared" si="203"/>
        <v>221.13251542157158</v>
      </c>
      <c r="Y60" s="39">
        <f t="shared" si="204"/>
        <v>294.84335389542878</v>
      </c>
      <c r="Z60" s="39">
        <v>1182</v>
      </c>
      <c r="AA60" s="39">
        <v>652</v>
      </c>
      <c r="AB60" s="48">
        <f t="shared" si="5"/>
        <v>539.72158642643888</v>
      </c>
      <c r="AC60" s="49">
        <f t="shared" si="33"/>
        <v>1.8403234096308667</v>
      </c>
      <c r="AD60" s="48">
        <f t="shared" si="109"/>
        <v>357.15664610457122</v>
      </c>
      <c r="AE60" s="49">
        <f t="shared" si="34"/>
        <v>2.2113437233224627</v>
      </c>
      <c r="AF60" s="49">
        <f t="shared" si="35"/>
        <v>2.2113437233224627</v>
      </c>
      <c r="AG60" s="45">
        <v>3999.9999999999991</v>
      </c>
      <c r="AH60" s="39">
        <v>642.27841357356112</v>
      </c>
      <c r="AI60" s="39">
        <v>294.84335389542878</v>
      </c>
      <c r="AJ60" s="39">
        <v>1182</v>
      </c>
      <c r="AK60" s="39">
        <v>652</v>
      </c>
      <c r="AL60" s="48">
        <f>+AJ60-AH60</f>
        <v>539.72158642643888</v>
      </c>
      <c r="AM60" s="49">
        <f>+IF(AH60&lt;=0,0,AJ60/AH60)</f>
        <v>1.8403234096308667</v>
      </c>
      <c r="AN60" s="48">
        <f>+AK60-AI60</f>
        <v>357.15664610457122</v>
      </c>
      <c r="AO60" s="49">
        <f>+IF(AI60&lt;=0,0,AK60/AI60)</f>
        <v>2.2113437233224627</v>
      </c>
      <c r="AP60" s="39">
        <f t="shared" si="205"/>
        <v>5588.2549651207291</v>
      </c>
      <c r="AQ60" s="39">
        <f t="shared" si="206"/>
        <v>2766.2178869051004</v>
      </c>
      <c r="AR60" s="39">
        <f t="shared" si="207"/>
        <v>5605.7478799999999</v>
      </c>
      <c r="AS60" s="39">
        <f t="shared" si="208"/>
        <v>2513</v>
      </c>
      <c r="AT60" s="39">
        <f t="shared" ref="AT60:AT65" si="227">+AR60-AP60</f>
        <v>17.492914879270757</v>
      </c>
      <c r="AU60" s="17">
        <f t="shared" ref="AU60:AU98" si="228">+AR60/AP60</f>
        <v>1.0031303000647704</v>
      </c>
      <c r="AV60" s="39">
        <f t="shared" ref="AV60:AV98" si="229">+AS60-AQ60</f>
        <v>-253.21788690510039</v>
      </c>
      <c r="AW60" s="17">
        <f t="shared" ref="AW60:AW98" si="230">+AS60/AQ60</f>
        <v>0.90846061400159417</v>
      </c>
      <c r="AX60" s="45">
        <v>3999.9999999999991</v>
      </c>
      <c r="AY60" s="39">
        <v>642.27841357356112</v>
      </c>
      <c r="AZ60" s="39">
        <v>294.84335389542878</v>
      </c>
      <c r="BA60" s="39">
        <f t="shared" si="209"/>
        <v>73.710838473857194</v>
      </c>
      <c r="BB60" s="39">
        <f t="shared" si="210"/>
        <v>147.42167694771439</v>
      </c>
      <c r="BC60" s="39">
        <f t="shared" si="211"/>
        <v>221.13251542157158</v>
      </c>
      <c r="BD60" s="39">
        <f t="shared" si="212"/>
        <v>294.84335389542878</v>
      </c>
      <c r="BE60" s="39">
        <v>1182</v>
      </c>
      <c r="BF60" s="39">
        <v>652</v>
      </c>
      <c r="BG60" s="48">
        <f t="shared" si="181"/>
        <v>539.72158642643888</v>
      </c>
      <c r="BH60" s="49">
        <f t="shared" si="41"/>
        <v>1.8403234096308667</v>
      </c>
      <c r="BI60" s="48">
        <f t="shared" si="226"/>
        <v>357.15664610457122</v>
      </c>
      <c r="BJ60" s="49">
        <f t="shared" si="42"/>
        <v>2.2113437233224627</v>
      </c>
      <c r="BK60" s="49">
        <f t="shared" si="43"/>
        <v>2.2113437233224627</v>
      </c>
      <c r="BL60" s="45">
        <v>1801.5847915882034</v>
      </c>
      <c r="BM60" s="39">
        <v>289.27975546488153</v>
      </c>
      <c r="BN60" s="39">
        <v>132.79632556971575</v>
      </c>
      <c r="BO60" s="39">
        <f t="shared" si="213"/>
        <v>33.199081392428937</v>
      </c>
      <c r="BP60" s="39">
        <f t="shared" si="214"/>
        <v>66.398162784857874</v>
      </c>
      <c r="BQ60" s="39">
        <f t="shared" si="215"/>
        <v>99.597244177286811</v>
      </c>
      <c r="BR60" s="39">
        <f t="shared" si="216"/>
        <v>132.79632556971575</v>
      </c>
      <c r="BS60" s="39">
        <v>390</v>
      </c>
      <c r="BT60" s="39">
        <v>200</v>
      </c>
      <c r="BU60" s="48">
        <f t="shared" si="182"/>
        <v>100.72024453511847</v>
      </c>
      <c r="BV60" s="49">
        <f t="shared" si="45"/>
        <v>1.3481759184055515</v>
      </c>
      <c r="BW60" s="48">
        <f t="shared" si="188"/>
        <v>67.203674430284252</v>
      </c>
      <c r="BX60" s="49">
        <f t="shared" si="46"/>
        <v>1.5060657675727895</v>
      </c>
      <c r="BY60" s="49">
        <f t="shared" si="47"/>
        <v>1.5060657675727895</v>
      </c>
      <c r="BZ60" s="45">
        <v>13000</v>
      </c>
      <c r="CA60" s="39">
        <v>2470</v>
      </c>
      <c r="CB60" s="39">
        <v>910</v>
      </c>
      <c r="CC60" s="39">
        <f t="shared" si="217"/>
        <v>227.5</v>
      </c>
      <c r="CD60" s="39">
        <f t="shared" si="218"/>
        <v>455</v>
      </c>
      <c r="CE60" s="39">
        <f t="shared" si="219"/>
        <v>682.5</v>
      </c>
      <c r="CF60" s="39">
        <f t="shared" si="220"/>
        <v>910</v>
      </c>
      <c r="CG60" s="39">
        <v>1643.2478799999999</v>
      </c>
      <c r="CH60" s="39">
        <v>280</v>
      </c>
      <c r="CI60" s="51">
        <f t="shared" si="186"/>
        <v>-826.7521200000001</v>
      </c>
      <c r="CJ60" s="49">
        <f t="shared" si="50"/>
        <v>0.66528254251012142</v>
      </c>
      <c r="CK60" s="48">
        <f t="shared" si="187"/>
        <v>-630</v>
      </c>
      <c r="CL60" s="49">
        <f t="shared" si="52"/>
        <v>0.30769230769230771</v>
      </c>
      <c r="CM60" s="49">
        <f t="shared" si="53"/>
        <v>0.30769230769230771</v>
      </c>
      <c r="CN60" s="45">
        <v>12431.272128906547</v>
      </c>
      <c r="CO60" s="39">
        <v>2186.6967960822867</v>
      </c>
      <c r="CP60" s="39">
        <v>1428.5782074399556</v>
      </c>
      <c r="CQ60" s="39">
        <f t="shared" si="177"/>
        <v>357.14455185998889</v>
      </c>
      <c r="CR60" s="39">
        <f t="shared" si="221"/>
        <v>714.28910371997779</v>
      </c>
      <c r="CS60" s="39">
        <f t="shared" si="222"/>
        <v>1071.4336555799666</v>
      </c>
      <c r="CT60" s="39">
        <f t="shared" si="223"/>
        <v>1428.5782074399556</v>
      </c>
      <c r="CU60" s="39">
        <v>2390.5</v>
      </c>
      <c r="CV60" s="39">
        <v>1381</v>
      </c>
      <c r="CW60" s="50">
        <f t="shared" ref="CW60:CW98" si="231">+CU60-CO60</f>
        <v>203.80320391771329</v>
      </c>
      <c r="CX60" s="17">
        <f t="shared" si="55"/>
        <v>1.0932014005246862</v>
      </c>
      <c r="CY60" s="50">
        <f t="shared" ref="CY60:CY65" si="232">+CV60-CP60</f>
        <v>-47.578207439955577</v>
      </c>
      <c r="CZ60" s="49">
        <f t="shared" si="56"/>
        <v>0.96669541282922355</v>
      </c>
      <c r="DA60" s="49">
        <f t="shared" si="57"/>
        <v>0.96669541282922355</v>
      </c>
    </row>
    <row r="61" spans="1:105" ht="24.95" customHeight="1">
      <c r="A61" s="4" t="s">
        <v>11</v>
      </c>
      <c r="B61" s="12">
        <v>11634</v>
      </c>
      <c r="C61" s="5">
        <f t="shared" si="225"/>
        <v>15</v>
      </c>
      <c r="D61" s="8" t="s">
        <v>100</v>
      </c>
      <c r="E61" s="45">
        <v>2999.9999999999995</v>
      </c>
      <c r="F61" s="39">
        <v>481.70881018017087</v>
      </c>
      <c r="G61" s="39">
        <v>221.13251542157158</v>
      </c>
      <c r="H61" s="39">
        <f t="shared" si="197"/>
        <v>55.283128855392896</v>
      </c>
      <c r="I61" s="39">
        <f t="shared" si="198"/>
        <v>110.56625771078579</v>
      </c>
      <c r="J61" s="39">
        <f t="shared" si="199"/>
        <v>165.84938656617868</v>
      </c>
      <c r="K61" s="39">
        <f t="shared" si="200"/>
        <v>221.13251542157158</v>
      </c>
      <c r="L61" s="39">
        <v>1136</v>
      </c>
      <c r="M61" s="39">
        <v>865</v>
      </c>
      <c r="N61" s="48">
        <f t="shared" si="2"/>
        <v>654.29118981982913</v>
      </c>
      <c r="O61" s="49">
        <f t="shared" si="29"/>
        <v>2.3582711712810656</v>
      </c>
      <c r="P61" s="48">
        <f t="shared" si="107"/>
        <v>643.86748457842839</v>
      </c>
      <c r="Q61" s="49">
        <f t="shared" si="30"/>
        <v>3.9116816373700005</v>
      </c>
      <c r="R61" s="49">
        <f t="shared" si="31"/>
        <v>3.9116816373700005</v>
      </c>
      <c r="S61" s="45">
        <v>2999.9999999999995</v>
      </c>
      <c r="T61" s="39">
        <v>481.70881018017087</v>
      </c>
      <c r="U61" s="39">
        <v>221.13251542157158</v>
      </c>
      <c r="V61" s="39">
        <f t="shared" si="201"/>
        <v>55.283128855392896</v>
      </c>
      <c r="W61" s="39">
        <f t="shared" si="202"/>
        <v>110.56625771078579</v>
      </c>
      <c r="X61" s="39">
        <f t="shared" si="203"/>
        <v>165.84938656617868</v>
      </c>
      <c r="Y61" s="39">
        <f t="shared" si="204"/>
        <v>221.13251542157158</v>
      </c>
      <c r="Z61" s="39">
        <v>1136</v>
      </c>
      <c r="AA61" s="39">
        <v>865</v>
      </c>
      <c r="AB61" s="48">
        <f t="shared" si="5"/>
        <v>654.29118981982913</v>
      </c>
      <c r="AC61" s="49">
        <f t="shared" si="33"/>
        <v>2.3582711712810656</v>
      </c>
      <c r="AD61" s="48">
        <f t="shared" si="109"/>
        <v>643.86748457842839</v>
      </c>
      <c r="AE61" s="49">
        <f t="shared" si="34"/>
        <v>3.9116816373700005</v>
      </c>
      <c r="AF61" s="49">
        <f t="shared" si="35"/>
        <v>3.9116816373700005</v>
      </c>
      <c r="AG61" s="45">
        <v>2999.9999999999995</v>
      </c>
      <c r="AH61" s="39">
        <v>481.70881018017087</v>
      </c>
      <c r="AI61" s="39">
        <v>221.13251542157158</v>
      </c>
      <c r="AJ61" s="39">
        <v>1136</v>
      </c>
      <c r="AK61" s="39">
        <v>865</v>
      </c>
      <c r="AL61" s="48">
        <f>+AJ61-AH61</f>
        <v>654.29118981982913</v>
      </c>
      <c r="AM61" s="49">
        <f>+IF(AH61&lt;=0,0,AJ61/AH61)</f>
        <v>2.3582711712810656</v>
      </c>
      <c r="AN61" s="48">
        <f>+AK61-AI61</f>
        <v>643.86748457842839</v>
      </c>
      <c r="AO61" s="49">
        <f>+IF(AI61&lt;=0,0,AK61/AI61)</f>
        <v>3.9116816373700005</v>
      </c>
      <c r="AP61" s="39">
        <f t="shared" si="205"/>
        <v>5003.6799323792056</v>
      </c>
      <c r="AQ61" s="39">
        <f t="shared" si="206"/>
        <v>2386.1502574096689</v>
      </c>
      <c r="AR61" s="39">
        <f t="shared" si="207"/>
        <v>7575.5124749999995</v>
      </c>
      <c r="AS61" s="39">
        <f t="shared" si="208"/>
        <v>5114.0814200000004</v>
      </c>
      <c r="AT61" s="39">
        <f t="shared" si="227"/>
        <v>2571.8325426207939</v>
      </c>
      <c r="AU61" s="17">
        <f t="shared" si="228"/>
        <v>1.51398822014539</v>
      </c>
      <c r="AV61" s="39">
        <f t="shared" si="229"/>
        <v>2727.9311625903315</v>
      </c>
      <c r="AW61" s="17">
        <f t="shared" si="230"/>
        <v>2.1432352820696585</v>
      </c>
      <c r="AX61" s="45">
        <v>2999.9999999999995</v>
      </c>
      <c r="AY61" s="39">
        <v>481.70881018017087</v>
      </c>
      <c r="AZ61" s="39">
        <v>221.13251542157158</v>
      </c>
      <c r="BA61" s="39">
        <f t="shared" si="209"/>
        <v>55.283128855392896</v>
      </c>
      <c r="BB61" s="39">
        <f t="shared" si="210"/>
        <v>110.56625771078579</v>
      </c>
      <c r="BC61" s="39">
        <f t="shared" si="211"/>
        <v>165.84938656617868</v>
      </c>
      <c r="BD61" s="39">
        <f t="shared" si="212"/>
        <v>221.13251542157158</v>
      </c>
      <c r="BE61" s="39">
        <v>1136</v>
      </c>
      <c r="BF61" s="39">
        <v>865</v>
      </c>
      <c r="BG61" s="48">
        <f t="shared" si="181"/>
        <v>654.29118981982913</v>
      </c>
      <c r="BH61" s="49">
        <f t="shared" si="41"/>
        <v>2.3582711712810656</v>
      </c>
      <c r="BI61" s="48">
        <f t="shared" si="226"/>
        <v>643.86748457842839</v>
      </c>
      <c r="BJ61" s="49">
        <f t="shared" si="42"/>
        <v>3.9116816373700005</v>
      </c>
      <c r="BK61" s="49">
        <f t="shared" si="43"/>
        <v>3.9116816373700005</v>
      </c>
      <c r="BL61" s="45">
        <v>1000</v>
      </c>
      <c r="BM61" s="39">
        <v>160.56960339339031</v>
      </c>
      <c r="BN61" s="39">
        <v>73.710838473857208</v>
      </c>
      <c r="BO61" s="39">
        <f t="shared" si="213"/>
        <v>18.427709618464302</v>
      </c>
      <c r="BP61" s="39">
        <f t="shared" si="214"/>
        <v>36.855419236928604</v>
      </c>
      <c r="BQ61" s="39">
        <f t="shared" si="215"/>
        <v>55.283128855392903</v>
      </c>
      <c r="BR61" s="39">
        <f t="shared" si="216"/>
        <v>73.710838473857208</v>
      </c>
      <c r="BS61" s="39">
        <v>493</v>
      </c>
      <c r="BT61" s="39">
        <v>246</v>
      </c>
      <c r="BU61" s="48">
        <f t="shared" si="182"/>
        <v>332.43039660660969</v>
      </c>
      <c r="BV61" s="49">
        <f t="shared" si="45"/>
        <v>3.0703195971168094</v>
      </c>
      <c r="BW61" s="48">
        <f t="shared" si="188"/>
        <v>172.28916152614278</v>
      </c>
      <c r="BX61" s="49">
        <f t="shared" si="46"/>
        <v>3.3373653738486242</v>
      </c>
      <c r="BY61" s="49">
        <f t="shared" si="47"/>
        <v>3.3373653738486242</v>
      </c>
      <c r="BZ61" s="45">
        <v>10000</v>
      </c>
      <c r="CA61" s="39">
        <v>1900</v>
      </c>
      <c r="CB61" s="39">
        <v>700.00000000000011</v>
      </c>
      <c r="CC61" s="39">
        <f t="shared" si="217"/>
        <v>175.00000000000003</v>
      </c>
      <c r="CD61" s="39">
        <f t="shared" si="218"/>
        <v>350.00000000000006</v>
      </c>
      <c r="CE61" s="39">
        <f t="shared" si="219"/>
        <v>525.00000000000011</v>
      </c>
      <c r="CF61" s="39">
        <f t="shared" si="220"/>
        <v>700.00000000000011</v>
      </c>
      <c r="CG61" s="39">
        <v>3275.9324750000001</v>
      </c>
      <c r="CH61" s="39">
        <v>2578.3814200000002</v>
      </c>
      <c r="CI61" s="51">
        <f t="shared" si="186"/>
        <v>1375.9324750000001</v>
      </c>
      <c r="CJ61" s="49">
        <f t="shared" si="50"/>
        <v>1.7241749868421052</v>
      </c>
      <c r="CK61" s="53">
        <f t="shared" si="187"/>
        <v>1878.3814200000002</v>
      </c>
      <c r="CL61" s="49">
        <f t="shared" si="52"/>
        <v>3.6834020285714284</v>
      </c>
      <c r="CM61" s="49">
        <f t="shared" si="53"/>
        <v>3.6834020285714284</v>
      </c>
      <c r="CN61" s="45">
        <v>13739.438095547835</v>
      </c>
      <c r="CO61" s="39">
        <v>2461.4015188056451</v>
      </c>
      <c r="CP61" s="39">
        <v>1391.30690351424</v>
      </c>
      <c r="CQ61" s="39">
        <f t="shared" si="177"/>
        <v>347.82672587856001</v>
      </c>
      <c r="CR61" s="39">
        <f t="shared" si="221"/>
        <v>695.65345175712002</v>
      </c>
      <c r="CS61" s="39">
        <f t="shared" si="222"/>
        <v>1043.4801776356801</v>
      </c>
      <c r="CT61" s="39">
        <f t="shared" si="223"/>
        <v>1391.30690351424</v>
      </c>
      <c r="CU61" s="39">
        <v>2670.58</v>
      </c>
      <c r="CV61" s="39">
        <v>1424.7</v>
      </c>
      <c r="CW61" s="50">
        <f t="shared" si="231"/>
        <v>209.17848119435484</v>
      </c>
      <c r="CX61" s="17">
        <f t="shared" si="55"/>
        <v>1.084983485870219</v>
      </c>
      <c r="CY61" s="50">
        <f t="shared" si="232"/>
        <v>33.393096485759997</v>
      </c>
      <c r="CZ61" s="49">
        <f t="shared" si="56"/>
        <v>1.0240012440112343</v>
      </c>
      <c r="DA61" s="49">
        <f t="shared" si="57"/>
        <v>1.0240012440112343</v>
      </c>
    </row>
    <row r="62" spans="1:105" ht="24.95" customHeight="1">
      <c r="A62" s="4" t="s">
        <v>13</v>
      </c>
      <c r="B62" s="12">
        <v>11782</v>
      </c>
      <c r="C62" s="5">
        <f t="shared" si="225"/>
        <v>16</v>
      </c>
      <c r="D62" s="8" t="s">
        <v>101</v>
      </c>
      <c r="E62" s="45">
        <v>4800</v>
      </c>
      <c r="F62" s="39">
        <v>770.73409628827324</v>
      </c>
      <c r="G62" s="39">
        <v>353.81202467451453</v>
      </c>
      <c r="H62" s="39">
        <f t="shared" si="197"/>
        <v>88.453006168628633</v>
      </c>
      <c r="I62" s="39">
        <f t="shared" si="198"/>
        <v>176.90601233725727</v>
      </c>
      <c r="J62" s="39">
        <f t="shared" si="199"/>
        <v>265.3590185058859</v>
      </c>
      <c r="K62" s="39">
        <f t="shared" si="200"/>
        <v>353.81202467451453</v>
      </c>
      <c r="L62" s="39">
        <v>1314.9</v>
      </c>
      <c r="M62" s="39">
        <v>140</v>
      </c>
      <c r="N62" s="48">
        <f t="shared" si="2"/>
        <v>544.16590371172686</v>
      </c>
      <c r="O62" s="49">
        <f t="shared" si="29"/>
        <v>1.7060358511869904</v>
      </c>
      <c r="P62" s="48">
        <f t="shared" si="107"/>
        <v>-213.81202467451453</v>
      </c>
      <c r="Q62" s="49">
        <f t="shared" si="30"/>
        <v>0.39569033904031797</v>
      </c>
      <c r="R62" s="49">
        <f t="shared" si="31"/>
        <v>0.39569033904031797</v>
      </c>
      <c r="S62" s="45">
        <v>4800</v>
      </c>
      <c r="T62" s="39">
        <v>770.73409628827324</v>
      </c>
      <c r="U62" s="39">
        <v>353.81202467451453</v>
      </c>
      <c r="V62" s="39">
        <f t="shared" si="201"/>
        <v>88.453006168628633</v>
      </c>
      <c r="W62" s="39">
        <f t="shared" si="202"/>
        <v>176.90601233725727</v>
      </c>
      <c r="X62" s="39">
        <f t="shared" si="203"/>
        <v>265.3590185058859</v>
      </c>
      <c r="Y62" s="39">
        <f t="shared" si="204"/>
        <v>353.81202467451453</v>
      </c>
      <c r="Z62" s="39">
        <v>1314.9</v>
      </c>
      <c r="AA62" s="39">
        <v>140</v>
      </c>
      <c r="AB62" s="48">
        <f t="shared" si="5"/>
        <v>544.16590371172686</v>
      </c>
      <c r="AC62" s="49">
        <f t="shared" si="33"/>
        <v>1.7060358511869904</v>
      </c>
      <c r="AD62" s="48">
        <f t="shared" si="109"/>
        <v>-213.81202467451453</v>
      </c>
      <c r="AE62" s="49">
        <f t="shared" si="34"/>
        <v>0.39569033904031797</v>
      </c>
      <c r="AF62" s="49">
        <f t="shared" si="35"/>
        <v>0.39569033904031797</v>
      </c>
      <c r="AG62" s="45">
        <v>4800</v>
      </c>
      <c r="AH62" s="39">
        <v>770.73409628827324</v>
      </c>
      <c r="AI62" s="39">
        <v>353.81202467451453</v>
      </c>
      <c r="AJ62" s="39">
        <v>1314.9</v>
      </c>
      <c r="AK62" s="39">
        <v>140</v>
      </c>
      <c r="AL62" s="48">
        <f>+AJ62-AH62</f>
        <v>544.16590371172686</v>
      </c>
      <c r="AM62" s="49">
        <f>+IF(AH62&lt;=0,0,AJ62/AH62)</f>
        <v>1.7060358511869904</v>
      </c>
      <c r="AN62" s="48">
        <f>+AK62-AI62</f>
        <v>-213.81202467451453</v>
      </c>
      <c r="AO62" s="49">
        <f>+IF(AI62&lt;=0,0,AK62/AI62)</f>
        <v>0.39569033904031797</v>
      </c>
      <c r="AP62" s="39">
        <f t="shared" si="205"/>
        <v>4746.0531391021896</v>
      </c>
      <c r="AQ62" s="39">
        <f t="shared" si="206"/>
        <v>2004.0423504505234</v>
      </c>
      <c r="AR62" s="39">
        <f t="shared" si="207"/>
        <v>6395.4365299999999</v>
      </c>
      <c r="AS62" s="39">
        <f t="shared" si="208"/>
        <v>2571.6154699999997</v>
      </c>
      <c r="AT62" s="39">
        <f t="shared" si="227"/>
        <v>1649.3833908978104</v>
      </c>
      <c r="AU62" s="17">
        <f t="shared" si="228"/>
        <v>1.3475273753908756</v>
      </c>
      <c r="AV62" s="39">
        <f t="shared" si="229"/>
        <v>567.57311954947636</v>
      </c>
      <c r="AW62" s="17">
        <f t="shared" si="230"/>
        <v>1.2832141343828796</v>
      </c>
      <c r="AX62" s="45">
        <v>4800</v>
      </c>
      <c r="AY62" s="39">
        <v>770.73409628827324</v>
      </c>
      <c r="AZ62" s="39">
        <v>353.81202467451453</v>
      </c>
      <c r="BA62" s="39">
        <f t="shared" si="209"/>
        <v>88.453006168628633</v>
      </c>
      <c r="BB62" s="39">
        <f t="shared" si="210"/>
        <v>176.90601233725727</v>
      </c>
      <c r="BC62" s="39">
        <f t="shared" si="211"/>
        <v>265.3590185058859</v>
      </c>
      <c r="BD62" s="39">
        <f t="shared" si="212"/>
        <v>353.81202467451453</v>
      </c>
      <c r="BE62" s="39">
        <v>1314.9</v>
      </c>
      <c r="BF62" s="39">
        <v>140</v>
      </c>
      <c r="BG62" s="48">
        <f t="shared" si="181"/>
        <v>544.16590371172686</v>
      </c>
      <c r="BH62" s="49">
        <f t="shared" si="41"/>
        <v>1.7060358511869904</v>
      </c>
      <c r="BI62" s="48">
        <f t="shared" si="226"/>
        <v>-213.81202467451453</v>
      </c>
      <c r="BJ62" s="49">
        <f t="shared" si="42"/>
        <v>0.39569033904031797</v>
      </c>
      <c r="BK62" s="49">
        <f t="shared" si="43"/>
        <v>0.39569033904031797</v>
      </c>
      <c r="BL62" s="45">
        <v>2193.7463195340724</v>
      </c>
      <c r="BM62" s="39">
        <v>352.24897647329567</v>
      </c>
      <c r="BN62" s="39">
        <v>161.70288061179471</v>
      </c>
      <c r="BO62" s="39">
        <f t="shared" si="213"/>
        <v>40.425720152948678</v>
      </c>
      <c r="BP62" s="39">
        <f t="shared" si="214"/>
        <v>80.851440305897356</v>
      </c>
      <c r="BQ62" s="39">
        <f t="shared" si="215"/>
        <v>121.27716045884603</v>
      </c>
      <c r="BR62" s="39">
        <f t="shared" si="216"/>
        <v>161.70288061179471</v>
      </c>
      <c r="BS62" s="39">
        <v>455</v>
      </c>
      <c r="BT62" s="39">
        <v>225</v>
      </c>
      <c r="BU62" s="48">
        <f t="shared" si="182"/>
        <v>102.75102352670433</v>
      </c>
      <c r="BV62" s="49">
        <f t="shared" si="45"/>
        <v>1.2916999917372194</v>
      </c>
      <c r="BW62" s="48">
        <f t="shared" si="188"/>
        <v>63.297119388205289</v>
      </c>
      <c r="BX62" s="49">
        <f t="shared" si="46"/>
        <v>1.3914408892947598</v>
      </c>
      <c r="BY62" s="49">
        <f t="shared" si="47"/>
        <v>1.3914408892947598</v>
      </c>
      <c r="BZ62" s="45">
        <v>15000</v>
      </c>
      <c r="CA62" s="39">
        <v>2850</v>
      </c>
      <c r="CB62" s="39">
        <v>1050</v>
      </c>
      <c r="CC62" s="39">
        <f t="shared" si="217"/>
        <v>262.5</v>
      </c>
      <c r="CD62" s="39">
        <f t="shared" si="218"/>
        <v>525</v>
      </c>
      <c r="CE62" s="39">
        <f t="shared" si="219"/>
        <v>787.5</v>
      </c>
      <c r="CF62" s="39">
        <f t="shared" si="220"/>
        <v>1050</v>
      </c>
      <c r="CG62" s="39">
        <v>3547.0365299999999</v>
      </c>
      <c r="CH62" s="39">
        <v>1758.61547</v>
      </c>
      <c r="CI62" s="51">
        <f t="shared" si="186"/>
        <v>697.03652999999986</v>
      </c>
      <c r="CJ62" s="49">
        <f t="shared" si="50"/>
        <v>1.2445742210526316</v>
      </c>
      <c r="CK62" s="53">
        <f t="shared" si="187"/>
        <v>708.61546999999996</v>
      </c>
      <c r="CL62" s="49">
        <f t="shared" si="52"/>
        <v>1.6748718761904762</v>
      </c>
      <c r="CM62" s="49">
        <f t="shared" si="53"/>
        <v>1.6748718761904762</v>
      </c>
      <c r="CN62" s="45">
        <v>3968.5308066162488</v>
      </c>
      <c r="CO62" s="39">
        <v>773.07006634062088</v>
      </c>
      <c r="CP62" s="39">
        <v>438.52744516421399</v>
      </c>
      <c r="CQ62" s="39">
        <f t="shared" si="177"/>
        <v>109.6318612910535</v>
      </c>
      <c r="CR62" s="39">
        <f t="shared" si="221"/>
        <v>219.26372258210699</v>
      </c>
      <c r="CS62" s="39">
        <f t="shared" si="222"/>
        <v>328.89558387316049</v>
      </c>
      <c r="CT62" s="39">
        <f t="shared" si="223"/>
        <v>438.52744516421399</v>
      </c>
      <c r="CU62" s="39">
        <v>1078.5</v>
      </c>
      <c r="CV62" s="39">
        <v>448</v>
      </c>
      <c r="CW62" s="50">
        <f t="shared" si="231"/>
        <v>305.42993365937912</v>
      </c>
      <c r="CX62" s="17">
        <f t="shared" si="55"/>
        <v>1.3950870004644627</v>
      </c>
      <c r="CY62" s="50">
        <f t="shared" si="232"/>
        <v>9.4725548357860134</v>
      </c>
      <c r="CZ62" s="49">
        <f t="shared" si="56"/>
        <v>1.0216008255361049</v>
      </c>
      <c r="DA62" s="49">
        <f t="shared" si="57"/>
        <v>1.0216008255361049</v>
      </c>
    </row>
    <row r="63" spans="1:105" ht="24.95" customHeight="1">
      <c r="A63" s="4" t="s">
        <v>8</v>
      </c>
      <c r="B63" s="12">
        <v>11799</v>
      </c>
      <c r="C63" s="5">
        <f t="shared" si="225"/>
        <v>17</v>
      </c>
      <c r="D63" s="8" t="s">
        <v>102</v>
      </c>
      <c r="E63" s="45">
        <v>3799.9999999999991</v>
      </c>
      <c r="F63" s="39">
        <v>610.16449289488298</v>
      </c>
      <c r="G63" s="39">
        <v>280.10118620065725</v>
      </c>
      <c r="H63" s="39">
        <f t="shared" si="197"/>
        <v>70.025296550164313</v>
      </c>
      <c r="I63" s="39">
        <f t="shared" si="198"/>
        <v>140.05059310032863</v>
      </c>
      <c r="J63" s="39">
        <f t="shared" si="199"/>
        <v>210.07588965049294</v>
      </c>
      <c r="K63" s="39">
        <f t="shared" si="200"/>
        <v>280.10118620065725</v>
      </c>
      <c r="L63" s="39">
        <v>725.1</v>
      </c>
      <c r="M63" s="39">
        <v>520</v>
      </c>
      <c r="N63" s="48">
        <f t="shared" si="2"/>
        <v>114.93550710511704</v>
      </c>
      <c r="O63" s="49">
        <f t="shared" si="29"/>
        <v>1.1883680686822884</v>
      </c>
      <c r="P63" s="48">
        <f t="shared" si="107"/>
        <v>239.89881379934275</v>
      </c>
      <c r="Q63" s="49">
        <f t="shared" si="30"/>
        <v>1.8564719666252518</v>
      </c>
      <c r="R63" s="49">
        <f t="shared" si="31"/>
        <v>1.8564719666252518</v>
      </c>
      <c r="S63" s="45">
        <v>3799.9999999999991</v>
      </c>
      <c r="T63" s="39">
        <v>610.16449289488298</v>
      </c>
      <c r="U63" s="39">
        <v>280.10118620065725</v>
      </c>
      <c r="V63" s="39">
        <f t="shared" si="201"/>
        <v>70.025296550164313</v>
      </c>
      <c r="W63" s="39">
        <f t="shared" si="202"/>
        <v>140.05059310032863</v>
      </c>
      <c r="X63" s="39">
        <f t="shared" si="203"/>
        <v>210.07588965049294</v>
      </c>
      <c r="Y63" s="39">
        <f t="shared" si="204"/>
        <v>280.10118620065725</v>
      </c>
      <c r="Z63" s="39">
        <v>725.1</v>
      </c>
      <c r="AA63" s="39">
        <v>520</v>
      </c>
      <c r="AB63" s="48">
        <f t="shared" si="5"/>
        <v>114.93550710511704</v>
      </c>
      <c r="AC63" s="49">
        <f t="shared" si="33"/>
        <v>1.1883680686822884</v>
      </c>
      <c r="AD63" s="48">
        <f t="shared" si="109"/>
        <v>239.89881379934275</v>
      </c>
      <c r="AE63" s="49">
        <f t="shared" si="34"/>
        <v>1.8564719666252518</v>
      </c>
      <c r="AF63" s="49">
        <f t="shared" si="35"/>
        <v>1.8564719666252518</v>
      </c>
      <c r="AG63" s="45">
        <v>3799.9999999999991</v>
      </c>
      <c r="AH63" s="39">
        <v>610.16449289488298</v>
      </c>
      <c r="AI63" s="39">
        <v>280.10118620065725</v>
      </c>
      <c r="AJ63" s="39">
        <v>725.1</v>
      </c>
      <c r="AK63" s="39">
        <v>520</v>
      </c>
      <c r="AL63" s="48">
        <f>+AJ63-AH63</f>
        <v>114.93550710511704</v>
      </c>
      <c r="AM63" s="49">
        <f>+IF(AH63&lt;=0,0,AJ63/AH63)</f>
        <v>1.1883680686822884</v>
      </c>
      <c r="AN63" s="48">
        <f>+AK63-AI63</f>
        <v>239.89881379934275</v>
      </c>
      <c r="AO63" s="49">
        <f>+IF(AI63&lt;=0,0,AK63/AI63)</f>
        <v>1.8564719666252518</v>
      </c>
      <c r="AP63" s="39">
        <f t="shared" si="205"/>
        <v>6020.921198382679</v>
      </c>
      <c r="AQ63" s="39">
        <f t="shared" si="206"/>
        <v>3158.1146203041526</v>
      </c>
      <c r="AR63" s="39">
        <f t="shared" si="207"/>
        <v>7565.8972200000007</v>
      </c>
      <c r="AS63" s="39">
        <f t="shared" si="208"/>
        <v>4967.1775200000002</v>
      </c>
      <c r="AT63" s="39">
        <f t="shared" si="227"/>
        <v>1544.9760216173217</v>
      </c>
      <c r="AU63" s="17">
        <f t="shared" si="228"/>
        <v>1.2566012692596489</v>
      </c>
      <c r="AV63" s="39">
        <f t="shared" si="229"/>
        <v>1809.0628996958476</v>
      </c>
      <c r="AW63" s="17">
        <f t="shared" si="230"/>
        <v>1.5728300322176463</v>
      </c>
      <c r="AX63" s="45">
        <v>3799.9999999999991</v>
      </c>
      <c r="AY63" s="39">
        <v>610.16449289488298</v>
      </c>
      <c r="AZ63" s="39">
        <v>280.10118620065725</v>
      </c>
      <c r="BA63" s="39">
        <f t="shared" si="209"/>
        <v>70.025296550164313</v>
      </c>
      <c r="BB63" s="39">
        <f t="shared" si="210"/>
        <v>140.05059310032863</v>
      </c>
      <c r="BC63" s="39">
        <f t="shared" si="211"/>
        <v>210.07588965049294</v>
      </c>
      <c r="BD63" s="39">
        <f t="shared" si="212"/>
        <v>280.10118620065725</v>
      </c>
      <c r="BE63" s="39">
        <v>725.1</v>
      </c>
      <c r="BF63" s="39">
        <v>520</v>
      </c>
      <c r="BG63" s="48">
        <f t="shared" si="181"/>
        <v>114.93550710511704</v>
      </c>
      <c r="BH63" s="49">
        <f t="shared" si="41"/>
        <v>1.1883680686822884</v>
      </c>
      <c r="BI63" s="48">
        <f t="shared" si="226"/>
        <v>239.89881379934275</v>
      </c>
      <c r="BJ63" s="49">
        <f t="shared" si="42"/>
        <v>1.8564719666252518</v>
      </c>
      <c r="BK63" s="49">
        <f t="shared" si="43"/>
        <v>1.8564719666252518</v>
      </c>
      <c r="BL63" s="45">
        <v>2500</v>
      </c>
      <c r="BM63" s="38">
        <v>401.42400848347575</v>
      </c>
      <c r="BN63" s="38">
        <v>184.27709618464303</v>
      </c>
      <c r="BO63" s="39">
        <f t="shared" si="213"/>
        <v>46.069274046160757</v>
      </c>
      <c r="BP63" s="39">
        <f t="shared" si="214"/>
        <v>92.138548092321514</v>
      </c>
      <c r="BQ63" s="39">
        <f t="shared" si="215"/>
        <v>138.20782213848227</v>
      </c>
      <c r="BR63" s="39">
        <f t="shared" si="216"/>
        <v>184.27709618464303</v>
      </c>
      <c r="BS63" s="39">
        <v>1044</v>
      </c>
      <c r="BT63" s="39">
        <v>764</v>
      </c>
      <c r="BU63" s="48">
        <f t="shared" si="182"/>
        <v>642.57599151652425</v>
      </c>
      <c r="BV63" s="49">
        <f t="shared" si="45"/>
        <v>2.6007413057930622</v>
      </c>
      <c r="BW63" s="48">
        <f t="shared" si="188"/>
        <v>579.72290381535697</v>
      </c>
      <c r="BX63" s="49">
        <f t="shared" si="46"/>
        <v>4.1459303180818674</v>
      </c>
      <c r="BY63" s="49">
        <f t="shared" si="47"/>
        <v>4.1459303180818674</v>
      </c>
      <c r="BZ63" s="45">
        <v>10000</v>
      </c>
      <c r="CA63" s="39">
        <v>1900</v>
      </c>
      <c r="CB63" s="39">
        <v>700.00000000000011</v>
      </c>
      <c r="CC63" s="39">
        <f t="shared" si="217"/>
        <v>175.00000000000003</v>
      </c>
      <c r="CD63" s="39">
        <f t="shared" si="218"/>
        <v>350.00000000000006</v>
      </c>
      <c r="CE63" s="39">
        <f t="shared" si="219"/>
        <v>525.00000000000011</v>
      </c>
      <c r="CF63" s="39">
        <f t="shared" si="220"/>
        <v>700.00000000000011</v>
      </c>
      <c r="CG63" s="39">
        <v>2401.8171000000002</v>
      </c>
      <c r="CH63" s="39">
        <v>1528.1974</v>
      </c>
      <c r="CI63" s="51">
        <f t="shared" si="186"/>
        <v>501.81710000000021</v>
      </c>
      <c r="CJ63" s="49">
        <f t="shared" si="50"/>
        <v>1.2641142631578948</v>
      </c>
      <c r="CK63" s="48">
        <f t="shared" si="187"/>
        <v>828.1973999999999</v>
      </c>
      <c r="CL63" s="49">
        <f t="shared" si="52"/>
        <v>2.1831391428571427</v>
      </c>
      <c r="CM63" s="49">
        <f t="shared" si="53"/>
        <v>2.1831391428571427</v>
      </c>
      <c r="CN63" s="45">
        <v>18361.370221520203</v>
      </c>
      <c r="CO63" s="39">
        <v>3109.3326970043204</v>
      </c>
      <c r="CP63" s="39">
        <v>1993.7363379188523</v>
      </c>
      <c r="CQ63" s="39">
        <f t="shared" si="177"/>
        <v>498.43408447971308</v>
      </c>
      <c r="CR63" s="39">
        <f t="shared" si="221"/>
        <v>996.86816895942616</v>
      </c>
      <c r="CS63" s="39">
        <f t="shared" si="222"/>
        <v>1495.3022534391393</v>
      </c>
      <c r="CT63" s="39">
        <f t="shared" si="223"/>
        <v>1993.7363379188523</v>
      </c>
      <c r="CU63" s="39">
        <v>3394.9801200000002</v>
      </c>
      <c r="CV63" s="39">
        <v>2154.9801200000002</v>
      </c>
      <c r="CW63" s="50">
        <f t="shared" si="231"/>
        <v>285.64742299567979</v>
      </c>
      <c r="CX63" s="17">
        <f t="shared" si="55"/>
        <v>1.0918677577574398</v>
      </c>
      <c r="CY63" s="50">
        <f t="shared" si="232"/>
        <v>161.24378208114786</v>
      </c>
      <c r="CZ63" s="49">
        <f t="shared" si="56"/>
        <v>1.0808751784348081</v>
      </c>
      <c r="DA63" s="49">
        <f t="shared" si="57"/>
        <v>1.0808751784348081</v>
      </c>
    </row>
    <row r="64" spans="1:105" ht="24.95" customHeight="1">
      <c r="A64" s="4" t="s">
        <v>19</v>
      </c>
      <c r="B64" s="12">
        <v>11800</v>
      </c>
      <c r="C64" s="5">
        <f t="shared" si="225"/>
        <v>18</v>
      </c>
      <c r="D64" s="8" t="s">
        <v>103</v>
      </c>
      <c r="E64" s="45">
        <v>3999.9999999999991</v>
      </c>
      <c r="F64" s="39">
        <v>642.27841357356112</v>
      </c>
      <c r="G64" s="39">
        <v>294.84335389542878</v>
      </c>
      <c r="H64" s="39">
        <f t="shared" si="197"/>
        <v>73.710838473857194</v>
      </c>
      <c r="I64" s="39">
        <f t="shared" si="198"/>
        <v>147.42167694771439</v>
      </c>
      <c r="J64" s="39">
        <f t="shared" si="199"/>
        <v>221.13251542157158</v>
      </c>
      <c r="K64" s="39">
        <f t="shared" si="200"/>
        <v>294.84335389542878</v>
      </c>
      <c r="L64" s="39">
        <v>1182</v>
      </c>
      <c r="M64" s="39">
        <v>520</v>
      </c>
      <c r="N64" s="48">
        <f t="shared" si="2"/>
        <v>539.72158642643888</v>
      </c>
      <c r="O64" s="49">
        <f t="shared" si="29"/>
        <v>1.8403234096308667</v>
      </c>
      <c r="P64" s="48">
        <f t="shared" si="107"/>
        <v>225.15664610457122</v>
      </c>
      <c r="Q64" s="49">
        <f t="shared" si="30"/>
        <v>1.7636483682939887</v>
      </c>
      <c r="R64" s="49">
        <f t="shared" si="31"/>
        <v>1.7636483682939887</v>
      </c>
      <c r="S64" s="45">
        <v>3999.9999999999991</v>
      </c>
      <c r="T64" s="39">
        <v>642.27841357356112</v>
      </c>
      <c r="U64" s="39">
        <v>294.84335389542878</v>
      </c>
      <c r="V64" s="39">
        <f t="shared" si="201"/>
        <v>73.710838473857194</v>
      </c>
      <c r="W64" s="39">
        <f t="shared" si="202"/>
        <v>147.42167694771439</v>
      </c>
      <c r="X64" s="39">
        <f t="shared" si="203"/>
        <v>221.13251542157158</v>
      </c>
      <c r="Y64" s="39">
        <f t="shared" si="204"/>
        <v>294.84335389542878</v>
      </c>
      <c r="Z64" s="39">
        <v>1182</v>
      </c>
      <c r="AA64" s="39">
        <v>520</v>
      </c>
      <c r="AB64" s="48">
        <f t="shared" si="5"/>
        <v>539.72158642643888</v>
      </c>
      <c r="AC64" s="49">
        <f t="shared" si="33"/>
        <v>1.8403234096308667</v>
      </c>
      <c r="AD64" s="48">
        <f t="shared" si="109"/>
        <v>225.15664610457122</v>
      </c>
      <c r="AE64" s="49">
        <f t="shared" si="34"/>
        <v>1.7636483682939887</v>
      </c>
      <c r="AF64" s="49">
        <f t="shared" si="35"/>
        <v>1.7636483682939887</v>
      </c>
      <c r="AG64" s="45">
        <v>3999.9999999999991</v>
      </c>
      <c r="AH64" s="39">
        <v>642.27841357356112</v>
      </c>
      <c r="AI64" s="39">
        <v>294.84335389542878</v>
      </c>
      <c r="AJ64" s="39">
        <v>1182</v>
      </c>
      <c r="AK64" s="39">
        <v>520</v>
      </c>
      <c r="AL64" s="48">
        <f>+AJ64-AH64</f>
        <v>539.72158642643888</v>
      </c>
      <c r="AM64" s="49">
        <f>+IF(AH64&lt;=0,0,AJ64/AH64)</f>
        <v>1.8403234096308667</v>
      </c>
      <c r="AN64" s="48">
        <f>+AK64-AI64</f>
        <v>225.15664610457122</v>
      </c>
      <c r="AO64" s="49">
        <f>+IF(AI64&lt;=0,0,AK64/AI64)</f>
        <v>1.7636483682939887</v>
      </c>
      <c r="AP64" s="39">
        <f t="shared" si="205"/>
        <v>7851.7731343903497</v>
      </c>
      <c r="AQ64" s="39">
        <f t="shared" si="206"/>
        <v>4244.992859539002</v>
      </c>
      <c r="AR64" s="39">
        <f t="shared" si="207"/>
        <v>9942.1049749999984</v>
      </c>
      <c r="AS64" s="39">
        <f t="shared" si="208"/>
        <v>5559.1340849999997</v>
      </c>
      <c r="AT64" s="39">
        <f t="shared" si="227"/>
        <v>2090.3318406096487</v>
      </c>
      <c r="AU64" s="17">
        <f t="shared" si="228"/>
        <v>1.2662241769892848</v>
      </c>
      <c r="AV64" s="39">
        <f t="shared" si="229"/>
        <v>1314.1412254609977</v>
      </c>
      <c r="AW64" s="17">
        <f t="shared" si="230"/>
        <v>1.3095744254334767</v>
      </c>
      <c r="AX64" s="45">
        <v>3999.9999999999991</v>
      </c>
      <c r="AY64" s="39">
        <v>642.27841357356112</v>
      </c>
      <c r="AZ64" s="39">
        <v>294.84335389542878</v>
      </c>
      <c r="BA64" s="39">
        <f t="shared" si="209"/>
        <v>73.710838473857194</v>
      </c>
      <c r="BB64" s="39">
        <f t="shared" si="210"/>
        <v>147.42167694771439</v>
      </c>
      <c r="BC64" s="39">
        <f t="shared" si="211"/>
        <v>221.13251542157158</v>
      </c>
      <c r="BD64" s="39">
        <f t="shared" si="212"/>
        <v>294.84335389542878</v>
      </c>
      <c r="BE64" s="39">
        <v>1182</v>
      </c>
      <c r="BF64" s="39">
        <v>520</v>
      </c>
      <c r="BG64" s="48">
        <f t="shared" si="181"/>
        <v>539.72158642643888</v>
      </c>
      <c r="BH64" s="49">
        <f t="shared" si="41"/>
        <v>1.8403234096308667</v>
      </c>
      <c r="BI64" s="48">
        <f t="shared" si="226"/>
        <v>225.15664610457122</v>
      </c>
      <c r="BJ64" s="49">
        <f t="shared" si="42"/>
        <v>1.7636483682939887</v>
      </c>
      <c r="BK64" s="49">
        <f t="shared" si="43"/>
        <v>1.7636483682939887</v>
      </c>
      <c r="BL64" s="45">
        <v>3000.0000000000005</v>
      </c>
      <c r="BM64" s="39">
        <v>481.70881018017099</v>
      </c>
      <c r="BN64" s="39">
        <v>221.13251542157161</v>
      </c>
      <c r="BO64" s="39">
        <f t="shared" si="213"/>
        <v>55.283128855392903</v>
      </c>
      <c r="BP64" s="39">
        <f t="shared" si="214"/>
        <v>110.56625771078581</v>
      </c>
      <c r="BQ64" s="39">
        <f t="shared" si="215"/>
        <v>165.84938656617871</v>
      </c>
      <c r="BR64" s="39">
        <f t="shared" si="216"/>
        <v>221.13251542157161</v>
      </c>
      <c r="BS64" s="39">
        <v>666.5</v>
      </c>
      <c r="BT64" s="39">
        <v>471.5</v>
      </c>
      <c r="BU64" s="48">
        <f t="shared" si="182"/>
        <v>184.79118981982901</v>
      </c>
      <c r="BV64" s="49">
        <f t="shared" si="45"/>
        <v>1.3836159644884065</v>
      </c>
      <c r="BW64" s="48">
        <f t="shared" si="188"/>
        <v>250.36748457842839</v>
      </c>
      <c r="BX64" s="49">
        <f t="shared" si="46"/>
        <v>2.1322056555143987</v>
      </c>
      <c r="BY64" s="49">
        <f t="shared" si="47"/>
        <v>2.1322056555143987</v>
      </c>
      <c r="BZ64" s="45">
        <v>15000</v>
      </c>
      <c r="CA64" s="39">
        <v>2850</v>
      </c>
      <c r="CB64" s="39">
        <v>1050</v>
      </c>
      <c r="CC64" s="39">
        <f t="shared" si="217"/>
        <v>262.5</v>
      </c>
      <c r="CD64" s="39">
        <f t="shared" si="218"/>
        <v>525</v>
      </c>
      <c r="CE64" s="39">
        <f t="shared" si="219"/>
        <v>787.5</v>
      </c>
      <c r="CF64" s="39">
        <f t="shared" si="220"/>
        <v>1050</v>
      </c>
      <c r="CG64" s="39">
        <v>3840.2249750000001</v>
      </c>
      <c r="CH64" s="39">
        <v>1935.1040849999999</v>
      </c>
      <c r="CI64" s="51">
        <f t="shared" si="186"/>
        <v>990.22497500000009</v>
      </c>
      <c r="CJ64" s="49">
        <f t="shared" si="50"/>
        <v>1.3474473596491228</v>
      </c>
      <c r="CK64" s="53">
        <f t="shared" si="187"/>
        <v>885.10408499999994</v>
      </c>
      <c r="CL64" s="49">
        <f t="shared" si="52"/>
        <v>1.8429562714285714</v>
      </c>
      <c r="CM64" s="49">
        <f t="shared" si="53"/>
        <v>1.8429562714285714</v>
      </c>
      <c r="CN64" s="45">
        <v>21353.826184278008</v>
      </c>
      <c r="CO64" s="39">
        <v>3877.7859106366177</v>
      </c>
      <c r="CP64" s="39">
        <v>2679.0169902220014</v>
      </c>
      <c r="CQ64" s="39">
        <f t="shared" si="177"/>
        <v>669.75424755550034</v>
      </c>
      <c r="CR64" s="39">
        <f t="shared" si="221"/>
        <v>1339.5084951110007</v>
      </c>
      <c r="CS64" s="39">
        <f t="shared" si="222"/>
        <v>2009.262742666501</v>
      </c>
      <c r="CT64" s="39">
        <f t="shared" si="223"/>
        <v>2679.0169902220014</v>
      </c>
      <c r="CU64" s="39">
        <v>4253.3799999999992</v>
      </c>
      <c r="CV64" s="39">
        <v>2632.5299999999997</v>
      </c>
      <c r="CW64" s="50">
        <f t="shared" si="231"/>
        <v>375.5940893633815</v>
      </c>
      <c r="CX64" s="17">
        <f t="shared" si="55"/>
        <v>1.0968578714810278</v>
      </c>
      <c r="CY64" s="50">
        <f t="shared" si="232"/>
        <v>-46.486990222001623</v>
      </c>
      <c r="CZ64" s="49">
        <f t="shared" si="56"/>
        <v>0.98264774341048533</v>
      </c>
      <c r="DA64" s="49">
        <f t="shared" si="57"/>
        <v>0.98264774341048533</v>
      </c>
    </row>
    <row r="65" spans="1:105" ht="24.95" customHeight="1">
      <c r="A65" s="4" t="s">
        <v>15</v>
      </c>
      <c r="B65" s="12">
        <v>11801</v>
      </c>
      <c r="C65" s="5">
        <f t="shared" si="225"/>
        <v>19</v>
      </c>
      <c r="D65" s="8" t="s">
        <v>104</v>
      </c>
      <c r="E65" s="45">
        <v>2984.3482313740369</v>
      </c>
      <c r="F65" s="39">
        <v>477.7958680236801</v>
      </c>
      <c r="G65" s="39">
        <v>219.82820136940802</v>
      </c>
      <c r="H65" s="39">
        <f t="shared" si="197"/>
        <v>54.957050342352005</v>
      </c>
      <c r="I65" s="39">
        <f t="shared" si="198"/>
        <v>109.91410068470401</v>
      </c>
      <c r="J65" s="39">
        <f t="shared" si="199"/>
        <v>164.87115102705602</v>
      </c>
      <c r="K65" s="39">
        <f t="shared" si="200"/>
        <v>219.82820136940802</v>
      </c>
      <c r="L65" s="39">
        <v>840</v>
      </c>
      <c r="M65" s="39">
        <v>400</v>
      </c>
      <c r="N65" s="48">
        <f t="shared" si="2"/>
        <v>362.2041319763199</v>
      </c>
      <c r="O65" s="49">
        <f t="shared" si="29"/>
        <v>1.7580729684300422</v>
      </c>
      <c r="P65" s="48">
        <f t="shared" si="107"/>
        <v>180.17179863059198</v>
      </c>
      <c r="Q65" s="49">
        <f t="shared" si="30"/>
        <v>1.819602751185796</v>
      </c>
      <c r="R65" s="49">
        <f t="shared" si="31"/>
        <v>1.819602751185796</v>
      </c>
      <c r="S65" s="45">
        <v>2984.3482313740369</v>
      </c>
      <c r="T65" s="39">
        <v>477.7958680236801</v>
      </c>
      <c r="U65" s="39">
        <v>219.82820136940802</v>
      </c>
      <c r="V65" s="39">
        <f t="shared" si="201"/>
        <v>54.957050342352005</v>
      </c>
      <c r="W65" s="39">
        <f t="shared" si="202"/>
        <v>109.91410068470401</v>
      </c>
      <c r="X65" s="39">
        <f t="shared" si="203"/>
        <v>164.87115102705602</v>
      </c>
      <c r="Y65" s="39">
        <f t="shared" si="204"/>
        <v>219.82820136940802</v>
      </c>
      <c r="Z65" s="39">
        <v>840</v>
      </c>
      <c r="AA65" s="39">
        <v>400</v>
      </c>
      <c r="AB65" s="48">
        <f t="shared" si="5"/>
        <v>362.2041319763199</v>
      </c>
      <c r="AC65" s="49">
        <f t="shared" si="33"/>
        <v>1.7580729684300422</v>
      </c>
      <c r="AD65" s="48">
        <f t="shared" si="109"/>
        <v>180.17179863059198</v>
      </c>
      <c r="AE65" s="49">
        <f t="shared" si="34"/>
        <v>1.819602751185796</v>
      </c>
      <c r="AF65" s="49">
        <f t="shared" si="35"/>
        <v>1.819602751185796</v>
      </c>
      <c r="AG65" s="45">
        <v>2984.3482313740369</v>
      </c>
      <c r="AH65" s="39">
        <v>477.7958680236801</v>
      </c>
      <c r="AI65" s="39">
        <v>219.82820136940802</v>
      </c>
      <c r="AJ65" s="39">
        <v>840</v>
      </c>
      <c r="AK65" s="39">
        <v>400</v>
      </c>
      <c r="AL65" s="48">
        <f>+AJ65-AH65</f>
        <v>362.2041319763199</v>
      </c>
      <c r="AM65" s="49">
        <f>+IF(AH65&lt;=0,0,AJ65/AH65)</f>
        <v>1.7580729684300422</v>
      </c>
      <c r="AN65" s="48">
        <f>+AK65-AI65</f>
        <v>180.17179863059198</v>
      </c>
      <c r="AO65" s="49">
        <f>+IF(AI65&lt;=0,0,AK65/AI65)</f>
        <v>1.819602751185796</v>
      </c>
      <c r="AP65" s="39">
        <f t="shared" si="205"/>
        <v>6407.4358998684766</v>
      </c>
      <c r="AQ65" s="39">
        <f t="shared" si="206"/>
        <v>3595.1574139930917</v>
      </c>
      <c r="AR65" s="39">
        <f t="shared" si="207"/>
        <v>6804.5636000000004</v>
      </c>
      <c r="AS65" s="39">
        <f t="shared" si="208"/>
        <v>4050.3639999999996</v>
      </c>
      <c r="AT65" s="39">
        <f t="shared" si="227"/>
        <v>397.12770013152385</v>
      </c>
      <c r="AU65" s="17">
        <f t="shared" si="228"/>
        <v>1.061979192041496</v>
      </c>
      <c r="AV65" s="39">
        <f t="shared" si="229"/>
        <v>455.20658600690786</v>
      </c>
      <c r="AW65" s="17">
        <f t="shared" si="230"/>
        <v>1.1266165938201065</v>
      </c>
      <c r="AX65" s="45">
        <v>2984.3482313740369</v>
      </c>
      <c r="AY65" s="39">
        <v>477.7958680236801</v>
      </c>
      <c r="AZ65" s="39">
        <v>219.82820136940802</v>
      </c>
      <c r="BA65" s="39">
        <f t="shared" si="209"/>
        <v>54.957050342352005</v>
      </c>
      <c r="BB65" s="39">
        <f t="shared" si="210"/>
        <v>109.91410068470401</v>
      </c>
      <c r="BC65" s="39">
        <f t="shared" si="211"/>
        <v>164.87115102705602</v>
      </c>
      <c r="BD65" s="39">
        <f t="shared" si="212"/>
        <v>219.82820136940802</v>
      </c>
      <c r="BE65" s="39">
        <v>840</v>
      </c>
      <c r="BF65" s="39">
        <v>400</v>
      </c>
      <c r="BG65" s="48">
        <f t="shared" si="181"/>
        <v>362.2041319763199</v>
      </c>
      <c r="BH65" s="49">
        <f t="shared" si="41"/>
        <v>1.7580729684300422</v>
      </c>
      <c r="BI65" s="48">
        <f t="shared" si="226"/>
        <v>180.17179863059198</v>
      </c>
      <c r="BJ65" s="49">
        <f t="shared" si="42"/>
        <v>1.819602751185796</v>
      </c>
      <c r="BK65" s="49">
        <f t="shared" si="43"/>
        <v>1.819602751185796</v>
      </c>
      <c r="BL65" s="45">
        <v>2709.5564282648352</v>
      </c>
      <c r="BM65" s="39">
        <v>435.07240105849576</v>
      </c>
      <c r="BN65" s="39">
        <v>199.7236762196307</v>
      </c>
      <c r="BO65" s="39">
        <f t="shared" si="213"/>
        <v>49.930919054907676</v>
      </c>
      <c r="BP65" s="39">
        <f t="shared" si="214"/>
        <v>99.861838109815352</v>
      </c>
      <c r="BQ65" s="39">
        <f t="shared" si="215"/>
        <v>149.79275716472301</v>
      </c>
      <c r="BR65" s="39">
        <f t="shared" si="216"/>
        <v>199.7236762196307</v>
      </c>
      <c r="BS65" s="39">
        <v>937</v>
      </c>
      <c r="BT65" s="39">
        <v>479</v>
      </c>
      <c r="BU65" s="48">
        <f t="shared" si="182"/>
        <v>501.92759894150424</v>
      </c>
      <c r="BV65" s="49">
        <f t="shared" si="45"/>
        <v>2.1536645342714342</v>
      </c>
      <c r="BW65" s="48">
        <f t="shared" si="188"/>
        <v>279.2763237803693</v>
      </c>
      <c r="BX65" s="49">
        <f t="shared" si="46"/>
        <v>2.3983135553406134</v>
      </c>
      <c r="BY65" s="49">
        <f t="shared" si="47"/>
        <v>2.3983135553406134</v>
      </c>
      <c r="BZ65" s="45">
        <v>12000.000000000002</v>
      </c>
      <c r="CA65" s="39">
        <v>2280</v>
      </c>
      <c r="CB65" s="39">
        <v>840.00000000000011</v>
      </c>
      <c r="CC65" s="39">
        <f t="shared" si="217"/>
        <v>210.00000000000003</v>
      </c>
      <c r="CD65" s="39">
        <f t="shared" si="218"/>
        <v>420.00000000000006</v>
      </c>
      <c r="CE65" s="39">
        <f t="shared" si="219"/>
        <v>630.00000000000011</v>
      </c>
      <c r="CF65" s="39">
        <f t="shared" si="220"/>
        <v>840.00000000000011</v>
      </c>
      <c r="CG65" s="39">
        <v>1491.5536</v>
      </c>
      <c r="CH65" s="39">
        <v>899.154</v>
      </c>
      <c r="CI65" s="51">
        <f t="shared" si="186"/>
        <v>-788.44640000000004</v>
      </c>
      <c r="CJ65" s="49">
        <f t="shared" si="50"/>
        <v>0.65419017543859648</v>
      </c>
      <c r="CK65" s="48">
        <f t="shared" si="187"/>
        <v>59.153999999999883</v>
      </c>
      <c r="CL65" s="49">
        <f t="shared" si="52"/>
        <v>1.0704214285714284</v>
      </c>
      <c r="CM65" s="49">
        <f t="shared" si="53"/>
        <v>1.0704214285714284</v>
      </c>
      <c r="CN65" s="45">
        <v>21418.612418111708</v>
      </c>
      <c r="CO65" s="39">
        <v>3214.5676307863009</v>
      </c>
      <c r="CP65" s="39">
        <v>2335.6055364040526</v>
      </c>
      <c r="CQ65" s="39">
        <f t="shared" si="177"/>
        <v>583.90138410101315</v>
      </c>
      <c r="CR65" s="39">
        <f t="shared" si="221"/>
        <v>1167.8027682020263</v>
      </c>
      <c r="CS65" s="39">
        <f t="shared" si="222"/>
        <v>1751.7041523030393</v>
      </c>
      <c r="CT65" s="39">
        <f t="shared" si="223"/>
        <v>2335.6055364040526</v>
      </c>
      <c r="CU65" s="39">
        <v>3536.01</v>
      </c>
      <c r="CV65" s="39">
        <v>2272.2099999999996</v>
      </c>
      <c r="CW65" s="50">
        <f t="shared" si="231"/>
        <v>321.44236921369929</v>
      </c>
      <c r="CX65" s="17">
        <f t="shared" si="55"/>
        <v>1.0999955223014153</v>
      </c>
      <c r="CY65" s="50">
        <f t="shared" si="232"/>
        <v>-63.395536404053018</v>
      </c>
      <c r="CZ65" s="49">
        <f t="shared" si="56"/>
        <v>0.97285691636882399</v>
      </c>
      <c r="DA65" s="49">
        <f t="shared" si="57"/>
        <v>0.97285691636882399</v>
      </c>
    </row>
    <row r="66" spans="1:105" s="26" customFormat="1" ht="24.95" customHeight="1">
      <c r="A66" s="25"/>
      <c r="B66" s="7"/>
      <c r="C66" s="6"/>
      <c r="D66" s="7" t="s">
        <v>52</v>
      </c>
      <c r="E66" s="13">
        <f>SUM(E67:E72)</f>
        <v>47999.999999999993</v>
      </c>
      <c r="F66" s="13">
        <f>SUM(F67:F72)</f>
        <v>9056.603773584904</v>
      </c>
      <c r="G66" s="13">
        <f>SUM(G67:G72)</f>
        <v>3622.6415094339613</v>
      </c>
      <c r="H66" s="13">
        <f t="shared" ref="H66:K66" si="233">SUM(H67:H72)</f>
        <v>905.66037735849034</v>
      </c>
      <c r="I66" s="13">
        <f t="shared" si="233"/>
        <v>1811.3207547169807</v>
      </c>
      <c r="J66" s="13">
        <f t="shared" si="233"/>
        <v>2716.9811320754716</v>
      </c>
      <c r="K66" s="13">
        <f t="shared" si="233"/>
        <v>3622.6415094339613</v>
      </c>
      <c r="L66" s="13">
        <f>SUM(L67:L72)</f>
        <v>12526.369998</v>
      </c>
      <c r="M66" s="13">
        <f>SUM(M67:M72)</f>
        <v>5350</v>
      </c>
      <c r="N66" s="19">
        <f t="shared" si="2"/>
        <v>3469.7662244150961</v>
      </c>
      <c r="O66" s="20">
        <f t="shared" si="29"/>
        <v>1.3831200206125003</v>
      </c>
      <c r="P66" s="19">
        <f t="shared" si="107"/>
        <v>1727.3584905660387</v>
      </c>
      <c r="Q66" s="20">
        <f t="shared" si="30"/>
        <v>1.4768229166666671</v>
      </c>
      <c r="R66" s="20">
        <f t="shared" si="31"/>
        <v>1.4768229166666671</v>
      </c>
      <c r="S66" s="13">
        <f>SUM(S67:S72)</f>
        <v>47999.999999999993</v>
      </c>
      <c r="T66" s="13">
        <f>SUM(T67:T72)</f>
        <v>9056.603773584904</v>
      </c>
      <c r="U66" s="13">
        <f>SUM(U67:U72)</f>
        <v>3622.6415094339613</v>
      </c>
      <c r="V66" s="13">
        <f t="shared" ref="V66:Y66" si="234">SUM(V67:V72)</f>
        <v>905.66037735849034</v>
      </c>
      <c r="W66" s="13">
        <f t="shared" si="234"/>
        <v>1811.3207547169807</v>
      </c>
      <c r="X66" s="13">
        <f t="shared" si="234"/>
        <v>2716.9811320754716</v>
      </c>
      <c r="Y66" s="13">
        <f t="shared" si="234"/>
        <v>3622.6415094339613</v>
      </c>
      <c r="Z66" s="13">
        <f>SUM(Z67:Z72)</f>
        <v>12526.369998</v>
      </c>
      <c r="AA66" s="13">
        <f>SUM(AA67:AA72)</f>
        <v>5350</v>
      </c>
      <c r="AB66" s="19">
        <f t="shared" si="5"/>
        <v>3469.7662244150961</v>
      </c>
      <c r="AC66" s="20">
        <f t="shared" si="33"/>
        <v>1.3831200206125003</v>
      </c>
      <c r="AD66" s="19">
        <f t="shared" si="109"/>
        <v>1727.3584905660387</v>
      </c>
      <c r="AE66" s="20">
        <f t="shared" si="34"/>
        <v>1.4768229166666671</v>
      </c>
      <c r="AF66" s="20">
        <f t="shared" si="35"/>
        <v>1.4768229166666671</v>
      </c>
      <c r="AG66" s="13">
        <f>SUM(AG67:AG72)</f>
        <v>47999.999999999993</v>
      </c>
      <c r="AH66" s="13">
        <f>SUM(AH67:AH72)</f>
        <v>9056.603773584904</v>
      </c>
      <c r="AI66" s="13">
        <f>SUM(AI67:AI72)</f>
        <v>3622.6415094339613</v>
      </c>
      <c r="AJ66" s="13">
        <f>SUM(AJ67:AJ72)</f>
        <v>12526.369998</v>
      </c>
      <c r="AK66" s="13">
        <f>SUM(AK67:AK72)</f>
        <v>5350</v>
      </c>
      <c r="AL66" s="19">
        <f>+AJ66-AH66</f>
        <v>3469.7662244150961</v>
      </c>
      <c r="AM66" s="20">
        <f>+IF(AH66&lt;=0,0,AJ66/AH66)</f>
        <v>1.3831200206125003</v>
      </c>
      <c r="AN66" s="19">
        <f>+AK66-AI66</f>
        <v>1727.3584905660387</v>
      </c>
      <c r="AO66" s="20">
        <f>+IF(AI66&lt;=0,0,AK66/AI66)</f>
        <v>1.4768229166666671</v>
      </c>
      <c r="AP66" s="13">
        <f>SUM(AP67:AP72)</f>
        <v>57386.589858079395</v>
      </c>
      <c r="AQ66" s="13">
        <f>SUM(AQ67:AQ72)</f>
        <v>16391.929420535282</v>
      </c>
      <c r="AR66" s="13">
        <f t="shared" ref="AR66:AS66" si="235">SUM(AR67:AR72)</f>
        <v>97306.755998000008</v>
      </c>
      <c r="AS66" s="13">
        <f t="shared" si="235"/>
        <v>42811.885999999999</v>
      </c>
      <c r="AT66" s="19">
        <f t="shared" ref="AT66:AT98" si="236">+AR66-AP66</f>
        <v>39920.166139920613</v>
      </c>
      <c r="AU66" s="20">
        <f t="shared" si="228"/>
        <v>1.6956357964229216</v>
      </c>
      <c r="AV66" s="19">
        <f t="shared" si="229"/>
        <v>26419.956579464717</v>
      </c>
      <c r="AW66" s="20">
        <f t="shared" si="230"/>
        <v>2.6117661259794498</v>
      </c>
      <c r="AX66" s="13">
        <f>SUM(AX67:AX72)</f>
        <v>47999.999999999993</v>
      </c>
      <c r="AY66" s="13">
        <f>SUM(AY67:AY72)</f>
        <v>9056.603773584904</v>
      </c>
      <c r="AZ66" s="13">
        <f>SUM(AZ67:AZ72)</f>
        <v>3622.6415094339613</v>
      </c>
      <c r="BA66" s="13">
        <f t="shared" ref="BA66:BD66" si="237">SUM(BA67:BA72)</f>
        <v>905.66037735849034</v>
      </c>
      <c r="BB66" s="13">
        <f t="shared" si="237"/>
        <v>1811.3207547169807</v>
      </c>
      <c r="BC66" s="13">
        <f t="shared" si="237"/>
        <v>2716.9811320754716</v>
      </c>
      <c r="BD66" s="13">
        <f t="shared" si="237"/>
        <v>3622.6415094339613</v>
      </c>
      <c r="BE66" s="13">
        <f>SUM(BE67:BE72)</f>
        <v>12526.369998</v>
      </c>
      <c r="BF66" s="13">
        <f>SUM(BF67:BF72)</f>
        <v>5350</v>
      </c>
      <c r="BG66" s="19">
        <f t="shared" si="181"/>
        <v>3469.7662244150961</v>
      </c>
      <c r="BH66" s="20">
        <f t="shared" si="41"/>
        <v>1.3831200206125003</v>
      </c>
      <c r="BI66" s="19">
        <f t="shared" si="226"/>
        <v>1727.3584905660387</v>
      </c>
      <c r="BJ66" s="20">
        <f t="shared" si="42"/>
        <v>1.4768229166666671</v>
      </c>
      <c r="BK66" s="20">
        <f t="shared" si="43"/>
        <v>1.4768229166666671</v>
      </c>
      <c r="BL66" s="13">
        <f>SUM(BL67:BL72)</f>
        <v>43707.013792521611</v>
      </c>
      <c r="BM66" s="13">
        <f>SUM(BM67:BM72)</f>
        <v>9178.4728964295391</v>
      </c>
      <c r="BN66" s="13">
        <f>SUM(BN67:BN72)</f>
        <v>3496.5611034017293</v>
      </c>
      <c r="BO66" s="13">
        <f t="shared" ref="BO66:BR66" si="238">SUM(BO67:BO72)</f>
        <v>874.14027585043232</v>
      </c>
      <c r="BP66" s="13">
        <f t="shared" si="238"/>
        <v>1748.2805517008646</v>
      </c>
      <c r="BQ66" s="13">
        <f t="shared" si="238"/>
        <v>2622.420827551297</v>
      </c>
      <c r="BR66" s="13">
        <f t="shared" si="238"/>
        <v>3496.5611034017293</v>
      </c>
      <c r="BS66" s="13">
        <f>SUM(BS67:BS72)</f>
        <v>13179.386</v>
      </c>
      <c r="BT66" s="13">
        <f>SUM(BT67:BT72)</f>
        <v>5138.8860000000004</v>
      </c>
      <c r="BU66" s="19">
        <f t="shared" si="182"/>
        <v>4000.9131035704613</v>
      </c>
      <c r="BV66" s="20">
        <f t="shared" si="45"/>
        <v>1.4359018268852579</v>
      </c>
      <c r="BW66" s="19">
        <f t="shared" si="188"/>
        <v>1642.3248965982712</v>
      </c>
      <c r="BX66" s="20">
        <f t="shared" si="46"/>
        <v>1.4696971818969469</v>
      </c>
      <c r="BY66" s="20">
        <f t="shared" si="47"/>
        <v>1.4696971818969469</v>
      </c>
      <c r="BZ66" s="13">
        <f>SUM(BZ67:BZ72)</f>
        <v>222545.44338479021</v>
      </c>
      <c r="CA66" s="13">
        <f>SUM(CA67:CA72)</f>
        <v>39151.513188064942</v>
      </c>
      <c r="CB66" s="13">
        <f>SUM(CB67:CB72)</f>
        <v>9272.7268076995897</v>
      </c>
      <c r="CC66" s="13">
        <f t="shared" ref="CC66:CF66" si="239">SUM(CC67:CC72)</f>
        <v>2318.1817019248974</v>
      </c>
      <c r="CD66" s="13">
        <f t="shared" si="239"/>
        <v>4636.3634038497948</v>
      </c>
      <c r="CE66" s="13">
        <f t="shared" si="239"/>
        <v>6954.5451057746914</v>
      </c>
      <c r="CF66" s="13">
        <f t="shared" si="239"/>
        <v>9272.7268076995897</v>
      </c>
      <c r="CG66" s="13">
        <f>SUM(CG67:CG72)</f>
        <v>71601</v>
      </c>
      <c r="CH66" s="13">
        <f>SUM(CH67:CH72)</f>
        <v>32323</v>
      </c>
      <c r="CI66" s="19">
        <f t="shared" si="186"/>
        <v>32449.486811935058</v>
      </c>
      <c r="CJ66" s="20">
        <f t="shared" si="50"/>
        <v>1.8288182031704219</v>
      </c>
      <c r="CK66" s="19">
        <f t="shared" si="187"/>
        <v>23050.27319230041</v>
      </c>
      <c r="CL66" s="20">
        <f t="shared" si="52"/>
        <v>3.4858139003039175</v>
      </c>
      <c r="CM66" s="20">
        <f t="shared" si="53"/>
        <v>3.4858139003039175</v>
      </c>
      <c r="CN66" s="13">
        <f>SUM(CN67:CN72)</f>
        <v>0</v>
      </c>
      <c r="CO66" s="13">
        <f>SUM(CO67:CO72)</f>
        <v>0</v>
      </c>
      <c r="CP66" s="13">
        <f>SUM(CP67:CP72)</f>
        <v>0</v>
      </c>
      <c r="CQ66" s="13">
        <f t="shared" ref="CQ66:CT66" si="240">SUM(CQ67:CQ72)</f>
        <v>0</v>
      </c>
      <c r="CR66" s="13">
        <f t="shared" si="240"/>
        <v>0</v>
      </c>
      <c r="CS66" s="13">
        <f t="shared" si="240"/>
        <v>0</v>
      </c>
      <c r="CT66" s="13">
        <f t="shared" si="240"/>
        <v>0</v>
      </c>
      <c r="CU66" s="13"/>
      <c r="CV66" s="13"/>
      <c r="CW66" s="30">
        <f t="shared" si="231"/>
        <v>0</v>
      </c>
      <c r="CX66" s="20">
        <f t="shared" si="55"/>
        <v>0</v>
      </c>
      <c r="CY66" s="30"/>
      <c r="CZ66" s="20">
        <f t="shared" si="56"/>
        <v>0</v>
      </c>
      <c r="DA66" s="20">
        <f t="shared" si="57"/>
        <v>0</v>
      </c>
    </row>
    <row r="67" spans="1:105" ht="24.95" customHeight="1">
      <c r="A67" s="4" t="s">
        <v>8</v>
      </c>
      <c r="B67" s="9">
        <v>10818</v>
      </c>
      <c r="C67" s="5">
        <v>1</v>
      </c>
      <c r="D67" s="8" t="s">
        <v>105</v>
      </c>
      <c r="E67" s="45">
        <v>14641.485391205206</v>
      </c>
      <c r="F67" s="39">
        <v>3378.1749362290907</v>
      </c>
      <c r="G67" s="39">
        <v>1199.2784521477024</v>
      </c>
      <c r="H67" s="39">
        <f t="shared" ref="H67:H72" si="241">+G67*0.25</f>
        <v>299.8196130369256</v>
      </c>
      <c r="I67" s="39">
        <f t="shared" ref="I67:I72" si="242">+G67*0.5</f>
        <v>599.63922607385121</v>
      </c>
      <c r="J67" s="39">
        <f t="shared" ref="J67:J72" si="243">+G67*0.75</f>
        <v>899.45883911077681</v>
      </c>
      <c r="K67" s="39">
        <f t="shared" ref="K67:K72" si="244">+G67</f>
        <v>1199.2784521477024</v>
      </c>
      <c r="L67" s="39">
        <v>3576.3699980000001</v>
      </c>
      <c r="M67" s="39">
        <v>1600</v>
      </c>
      <c r="N67" s="48">
        <f t="shared" si="2"/>
        <v>198.19506177090943</v>
      </c>
      <c r="O67" s="49">
        <f t="shared" si="29"/>
        <v>1.0586692712817727</v>
      </c>
      <c r="P67" s="48">
        <f t="shared" si="107"/>
        <v>400.72154785229759</v>
      </c>
      <c r="Q67" s="49">
        <f t="shared" si="30"/>
        <v>1.3341355355252769</v>
      </c>
      <c r="R67" s="49">
        <f t="shared" si="31"/>
        <v>1.3341355355252769</v>
      </c>
      <c r="S67" s="45">
        <v>14641.485391205206</v>
      </c>
      <c r="T67" s="39">
        <v>3378.1749362290907</v>
      </c>
      <c r="U67" s="39">
        <v>1199.2784521477024</v>
      </c>
      <c r="V67" s="39">
        <f t="shared" ref="V67:V72" si="245">+U67*0.25</f>
        <v>299.8196130369256</v>
      </c>
      <c r="W67" s="39">
        <f t="shared" ref="W67:W72" si="246">+U67*0.5</f>
        <v>599.63922607385121</v>
      </c>
      <c r="X67" s="39">
        <f t="shared" ref="X67:X72" si="247">+U67*0.75</f>
        <v>899.45883911077681</v>
      </c>
      <c r="Y67" s="39">
        <f t="shared" ref="Y67:Y72" si="248">+U67</f>
        <v>1199.2784521477024</v>
      </c>
      <c r="Z67" s="39">
        <v>3576.3699980000001</v>
      </c>
      <c r="AA67" s="39">
        <v>1600</v>
      </c>
      <c r="AB67" s="48">
        <f t="shared" si="5"/>
        <v>198.19506177090943</v>
      </c>
      <c r="AC67" s="49">
        <f t="shared" si="33"/>
        <v>1.0586692712817727</v>
      </c>
      <c r="AD67" s="48">
        <f t="shared" si="109"/>
        <v>400.72154785229759</v>
      </c>
      <c r="AE67" s="49">
        <f t="shared" si="34"/>
        <v>1.3341355355252769</v>
      </c>
      <c r="AF67" s="49">
        <f t="shared" si="35"/>
        <v>1.3341355355252769</v>
      </c>
      <c r="AG67" s="45">
        <v>14641.485391205206</v>
      </c>
      <c r="AH67" s="39">
        <v>3378.1749362290907</v>
      </c>
      <c r="AI67" s="39">
        <v>1199.2784521477024</v>
      </c>
      <c r="AJ67" s="39">
        <v>3576.3699980000001</v>
      </c>
      <c r="AK67" s="39">
        <v>1600</v>
      </c>
      <c r="AL67" s="48">
        <f>+AJ67-AH67</f>
        <v>198.19506177090943</v>
      </c>
      <c r="AM67" s="49">
        <f>+IF(AH67&lt;=0,0,AJ67/AH67)</f>
        <v>1.0586692712817727</v>
      </c>
      <c r="AN67" s="48">
        <f>+AK67-AI67</f>
        <v>400.72154785229759</v>
      </c>
      <c r="AO67" s="49">
        <f>+IF(AI67&lt;=0,0,AK67/AI67)</f>
        <v>1.3341355355252769</v>
      </c>
      <c r="AP67" s="39">
        <f t="shared" ref="AP67:AQ72" si="249">+AY67+BM67+CA67+CO67</f>
        <v>22735.434852437043</v>
      </c>
      <c r="AQ67" s="39">
        <f t="shared" si="249"/>
        <v>6152.6575339180017</v>
      </c>
      <c r="AR67" s="39">
        <f t="shared" ref="AR67:AS72" si="250">+BE67+BS67+CG67++CU67</f>
        <v>39363.817198000004</v>
      </c>
      <c r="AS67" s="39">
        <f t="shared" si="250"/>
        <v>16781.447199999999</v>
      </c>
      <c r="AT67" s="39">
        <f t="shared" si="236"/>
        <v>16628.382345562961</v>
      </c>
      <c r="AU67" s="17">
        <f t="shared" si="228"/>
        <v>1.731386157928734</v>
      </c>
      <c r="AV67" s="39">
        <f t="shared" si="229"/>
        <v>10628.789666081997</v>
      </c>
      <c r="AW67" s="17">
        <f t="shared" si="230"/>
        <v>2.7275119909548424</v>
      </c>
      <c r="AX67" s="45">
        <v>14641.485391205206</v>
      </c>
      <c r="AY67" s="39">
        <v>3378.1749362290907</v>
      </c>
      <c r="AZ67" s="39">
        <v>1199.2784521477024</v>
      </c>
      <c r="BA67" s="39">
        <f t="shared" ref="BA67:BA72" si="251">+AZ67*0.25</f>
        <v>299.8196130369256</v>
      </c>
      <c r="BB67" s="39">
        <f t="shared" ref="BB67:BB72" si="252">+AZ67*0.5</f>
        <v>599.63922607385121</v>
      </c>
      <c r="BC67" s="39">
        <f t="shared" ref="BC67:BC72" si="253">+AZ67*0.75</f>
        <v>899.45883911077681</v>
      </c>
      <c r="BD67" s="39">
        <f t="shared" ref="BD67:BD72" si="254">+AZ67</f>
        <v>1199.2784521477024</v>
      </c>
      <c r="BE67" s="39">
        <v>3576.3699980000001</v>
      </c>
      <c r="BF67" s="39">
        <v>1600</v>
      </c>
      <c r="BG67" s="48">
        <f t="shared" si="181"/>
        <v>198.19506177090943</v>
      </c>
      <c r="BH67" s="49">
        <f t="shared" si="41"/>
        <v>1.0586692712817727</v>
      </c>
      <c r="BI67" s="48">
        <f t="shared" si="226"/>
        <v>400.72154785229759</v>
      </c>
      <c r="BJ67" s="49">
        <f t="shared" si="42"/>
        <v>1.3341355355252769</v>
      </c>
      <c r="BK67" s="49">
        <f t="shared" si="43"/>
        <v>1.3341355355252769</v>
      </c>
      <c r="BL67" s="45">
        <v>11257.01379252161</v>
      </c>
      <c r="BM67" s="39">
        <v>2228.47289642954</v>
      </c>
      <c r="BN67" s="39">
        <v>896.56110340172927</v>
      </c>
      <c r="BO67" s="39">
        <f t="shared" ref="BO67:BO72" si="255">+BN67*0.25</f>
        <v>224.14027585043232</v>
      </c>
      <c r="BP67" s="39">
        <f t="shared" ref="BP67:BP72" si="256">+BN67*0.5</f>
        <v>448.28055170086463</v>
      </c>
      <c r="BQ67" s="39">
        <f t="shared" ref="BQ67:BQ72" si="257">+BN67*0.75</f>
        <v>672.42082755129695</v>
      </c>
      <c r="BR67" s="39">
        <f t="shared" ref="BR67:BR72" si="258">+BN67</f>
        <v>896.56110340172927</v>
      </c>
      <c r="BS67" s="39">
        <v>2567.4472000000001</v>
      </c>
      <c r="BT67" s="39">
        <v>1262.4472000000001</v>
      </c>
      <c r="BU67" s="48">
        <f t="shared" si="182"/>
        <v>338.97430357046005</v>
      </c>
      <c r="BV67" s="49">
        <f t="shared" si="45"/>
        <v>1.1521105794526667</v>
      </c>
      <c r="BW67" s="48">
        <f t="shared" si="188"/>
        <v>365.8860965982708</v>
      </c>
      <c r="BX67" s="49">
        <f t="shared" si="46"/>
        <v>1.4080994538018958</v>
      </c>
      <c r="BY67" s="49">
        <f t="shared" si="47"/>
        <v>1.4080994538018958</v>
      </c>
      <c r="BZ67" s="45">
        <v>97363.631480845739</v>
      </c>
      <c r="CA67" s="39">
        <v>17128.787019778414</v>
      </c>
      <c r="CB67" s="39">
        <v>4056.8179783685705</v>
      </c>
      <c r="CC67" s="39">
        <f t="shared" ref="CC67:CC72" si="259">+CB67*0.25</f>
        <v>1014.2044945921426</v>
      </c>
      <c r="CD67" s="39">
        <f t="shared" ref="CD67:CD72" si="260">+CB67*0.5</f>
        <v>2028.4089891842852</v>
      </c>
      <c r="CE67" s="39">
        <f t="shared" ref="CE67:CE72" si="261">+CB67*0.75</f>
        <v>3042.613483776428</v>
      </c>
      <c r="CF67" s="39">
        <f t="shared" ref="CF67:CF72" si="262">+CB67</f>
        <v>4056.8179783685705</v>
      </c>
      <c r="CG67" s="39">
        <v>33220</v>
      </c>
      <c r="CH67" s="39">
        <v>13919</v>
      </c>
      <c r="CI67" s="51">
        <f t="shared" si="186"/>
        <v>16091.212980221586</v>
      </c>
      <c r="CJ67" s="49">
        <f t="shared" si="50"/>
        <v>1.9394251304334187</v>
      </c>
      <c r="CK67" s="48">
        <f t="shared" si="187"/>
        <v>9862.18202163143</v>
      </c>
      <c r="CL67" s="49">
        <f t="shared" si="52"/>
        <v>3.4310141776677536</v>
      </c>
      <c r="CM67" s="49">
        <f t="shared" si="53"/>
        <v>3.4310141776677536</v>
      </c>
      <c r="CN67" s="45"/>
      <c r="CO67" s="39"/>
      <c r="CP67" s="39"/>
      <c r="CQ67" s="39"/>
      <c r="CR67" s="39"/>
      <c r="CS67" s="39"/>
      <c r="CT67" s="39"/>
      <c r="CU67" s="39"/>
      <c r="CV67" s="39"/>
      <c r="CW67" s="31">
        <f t="shared" si="231"/>
        <v>0</v>
      </c>
      <c r="CX67" s="17">
        <f t="shared" si="55"/>
        <v>0</v>
      </c>
      <c r="CY67" s="31"/>
      <c r="CZ67" s="49">
        <f t="shared" si="56"/>
        <v>0</v>
      </c>
      <c r="DA67" s="49">
        <f t="shared" si="57"/>
        <v>0</v>
      </c>
    </row>
    <row r="68" spans="1:105" ht="24.95" customHeight="1">
      <c r="A68" s="4" t="s">
        <v>24</v>
      </c>
      <c r="B68" s="9">
        <v>10819</v>
      </c>
      <c r="C68" s="5">
        <f t="shared" si="72"/>
        <v>2</v>
      </c>
      <c r="D68" s="8" t="s">
        <v>106</v>
      </c>
      <c r="E68" s="45">
        <v>10936.911245012685</v>
      </c>
      <c r="F68" s="39">
        <v>2204.3838659576581</v>
      </c>
      <c r="G68" s="39">
        <v>901.45083229881186</v>
      </c>
      <c r="H68" s="39">
        <f t="shared" si="241"/>
        <v>225.36270807470297</v>
      </c>
      <c r="I68" s="39">
        <f t="shared" si="242"/>
        <v>450.72541614940593</v>
      </c>
      <c r="J68" s="39">
        <f t="shared" si="243"/>
        <v>676.08812422410892</v>
      </c>
      <c r="K68" s="39">
        <f t="shared" si="244"/>
        <v>901.45083229881186</v>
      </c>
      <c r="L68" s="39">
        <v>3150</v>
      </c>
      <c r="M68" s="39">
        <v>1350</v>
      </c>
      <c r="N68" s="48">
        <f t="shared" si="2"/>
        <v>945.61613404234186</v>
      </c>
      <c r="O68" s="49">
        <f t="shared" si="29"/>
        <v>1.4289707199574038</v>
      </c>
      <c r="P68" s="48">
        <f t="shared" si="107"/>
        <v>448.54916770118814</v>
      </c>
      <c r="Q68" s="49">
        <f t="shared" si="30"/>
        <v>1.4975858378846154</v>
      </c>
      <c r="R68" s="49">
        <f t="shared" si="31"/>
        <v>1.4975858378846154</v>
      </c>
      <c r="S68" s="45">
        <v>10936.911245012685</v>
      </c>
      <c r="T68" s="39">
        <v>2204.3838659576581</v>
      </c>
      <c r="U68" s="39">
        <v>901.45083229881186</v>
      </c>
      <c r="V68" s="39">
        <f t="shared" si="245"/>
        <v>225.36270807470297</v>
      </c>
      <c r="W68" s="39">
        <f t="shared" si="246"/>
        <v>450.72541614940593</v>
      </c>
      <c r="X68" s="39">
        <f t="shared" si="247"/>
        <v>676.08812422410892</v>
      </c>
      <c r="Y68" s="39">
        <f t="shared" si="248"/>
        <v>901.45083229881186</v>
      </c>
      <c r="Z68" s="39">
        <v>3150</v>
      </c>
      <c r="AA68" s="39">
        <v>1350</v>
      </c>
      <c r="AB68" s="48">
        <f t="shared" si="5"/>
        <v>945.61613404234186</v>
      </c>
      <c r="AC68" s="49">
        <f t="shared" si="33"/>
        <v>1.4289707199574038</v>
      </c>
      <c r="AD68" s="48">
        <f t="shared" si="109"/>
        <v>448.54916770118814</v>
      </c>
      <c r="AE68" s="49">
        <f t="shared" si="34"/>
        <v>1.4975858378846154</v>
      </c>
      <c r="AF68" s="49">
        <f t="shared" si="35"/>
        <v>1.4975858378846154</v>
      </c>
      <c r="AG68" s="45">
        <v>10936.911245012685</v>
      </c>
      <c r="AH68" s="39">
        <v>2204.3838659576581</v>
      </c>
      <c r="AI68" s="39">
        <v>901.45083229881186</v>
      </c>
      <c r="AJ68" s="39">
        <v>3150</v>
      </c>
      <c r="AK68" s="39">
        <v>1350</v>
      </c>
      <c r="AL68" s="48">
        <f>+AJ68-AH68</f>
        <v>945.61613404234186</v>
      </c>
      <c r="AM68" s="49">
        <f>+IF(AH68&lt;=0,0,AJ68/AH68)</f>
        <v>1.4289707199574038</v>
      </c>
      <c r="AN68" s="48">
        <f>+AK68-AI68</f>
        <v>448.54916770118814</v>
      </c>
      <c r="AO68" s="49">
        <f>+IF(AI68&lt;=0,0,AK68/AI68)</f>
        <v>1.4975858378846154</v>
      </c>
      <c r="AP68" s="39">
        <f t="shared" si="249"/>
        <v>11995.292588719834</v>
      </c>
      <c r="AQ68" s="39">
        <f t="shared" si="249"/>
        <v>3540.0871087424848</v>
      </c>
      <c r="AR68" s="39">
        <f t="shared" si="250"/>
        <v>20845.602899999998</v>
      </c>
      <c r="AS68" s="39">
        <f t="shared" si="250"/>
        <v>9118.1028999999999</v>
      </c>
      <c r="AT68" s="39">
        <f t="shared" si="236"/>
        <v>8850.3103112801637</v>
      </c>
      <c r="AU68" s="17">
        <f t="shared" si="228"/>
        <v>1.7378152926092727</v>
      </c>
      <c r="AV68" s="39">
        <f t="shared" si="229"/>
        <v>5578.015791257515</v>
      </c>
      <c r="AW68" s="17">
        <f t="shared" si="230"/>
        <v>2.5756719029546553</v>
      </c>
      <c r="AX68" s="45">
        <v>10936.911245012685</v>
      </c>
      <c r="AY68" s="39">
        <v>2204.3838659576581</v>
      </c>
      <c r="AZ68" s="39">
        <v>901.45083229881186</v>
      </c>
      <c r="BA68" s="39">
        <f t="shared" si="251"/>
        <v>225.36270807470297</v>
      </c>
      <c r="BB68" s="39">
        <f t="shared" si="252"/>
        <v>450.72541614940593</v>
      </c>
      <c r="BC68" s="39">
        <f t="shared" si="253"/>
        <v>676.08812422410892</v>
      </c>
      <c r="BD68" s="39">
        <f t="shared" si="254"/>
        <v>901.45083229881186</v>
      </c>
      <c r="BE68" s="39">
        <v>3150</v>
      </c>
      <c r="BF68" s="39">
        <v>1350</v>
      </c>
      <c r="BG68" s="48">
        <f t="shared" si="181"/>
        <v>945.61613404234186</v>
      </c>
      <c r="BH68" s="49">
        <f t="shared" si="41"/>
        <v>1.4289707199574038</v>
      </c>
      <c r="BI68" s="48">
        <f t="shared" si="226"/>
        <v>448.54916770118814</v>
      </c>
      <c r="BJ68" s="49">
        <f t="shared" si="42"/>
        <v>1.4975858378846154</v>
      </c>
      <c r="BK68" s="49">
        <f t="shared" si="43"/>
        <v>1.4975858378846154</v>
      </c>
      <c r="BL68" s="45">
        <v>10450</v>
      </c>
      <c r="BM68" s="39">
        <v>2450</v>
      </c>
      <c r="BN68" s="39">
        <v>900</v>
      </c>
      <c r="BO68" s="39">
        <f t="shared" si="255"/>
        <v>225</v>
      </c>
      <c r="BP68" s="39">
        <f t="shared" si="256"/>
        <v>450</v>
      </c>
      <c r="BQ68" s="39">
        <f t="shared" si="257"/>
        <v>675</v>
      </c>
      <c r="BR68" s="39">
        <f t="shared" si="258"/>
        <v>900</v>
      </c>
      <c r="BS68" s="39">
        <v>4290.6028999999999</v>
      </c>
      <c r="BT68" s="39">
        <v>1823.1029000000001</v>
      </c>
      <c r="BU68" s="48">
        <f t="shared" si="182"/>
        <v>1840.6028999999999</v>
      </c>
      <c r="BV68" s="49">
        <f t="shared" si="45"/>
        <v>1.7512664897959183</v>
      </c>
      <c r="BW68" s="48">
        <f t="shared" si="188"/>
        <v>923.10290000000009</v>
      </c>
      <c r="BX68" s="49">
        <f t="shared" si="46"/>
        <v>2.0256698888888889</v>
      </c>
      <c r="BY68" s="49">
        <f t="shared" si="47"/>
        <v>2.0256698888888889</v>
      </c>
      <c r="BZ68" s="45">
        <v>41727.270634648165</v>
      </c>
      <c r="CA68" s="39">
        <v>7340.9087227621767</v>
      </c>
      <c r="CB68" s="39">
        <v>1738.6362764436731</v>
      </c>
      <c r="CC68" s="39">
        <f t="shared" si="259"/>
        <v>434.65906911091827</v>
      </c>
      <c r="CD68" s="39">
        <f t="shared" si="260"/>
        <v>869.31813822183653</v>
      </c>
      <c r="CE68" s="39">
        <f t="shared" si="261"/>
        <v>1303.9772073327549</v>
      </c>
      <c r="CF68" s="39">
        <f t="shared" si="262"/>
        <v>1738.6362764436731</v>
      </c>
      <c r="CG68" s="39">
        <v>13405</v>
      </c>
      <c r="CH68" s="39">
        <v>5945</v>
      </c>
      <c r="CI68" s="51">
        <f t="shared" si="186"/>
        <v>6064.0912772378233</v>
      </c>
      <c r="CJ68" s="49">
        <f t="shared" si="50"/>
        <v>1.8260682030325093</v>
      </c>
      <c r="CK68" s="48">
        <f t="shared" si="187"/>
        <v>4206.3637235563274</v>
      </c>
      <c r="CL68" s="49">
        <f t="shared" si="52"/>
        <v>3.4193465767091404</v>
      </c>
      <c r="CM68" s="49">
        <f t="shared" si="53"/>
        <v>3.4193465767091404</v>
      </c>
      <c r="CN68" s="45"/>
      <c r="CO68" s="39"/>
      <c r="CP68" s="39"/>
      <c r="CQ68" s="39"/>
      <c r="CR68" s="39"/>
      <c r="CS68" s="39"/>
      <c r="CT68" s="39"/>
      <c r="CU68" s="39"/>
      <c r="CV68" s="39"/>
      <c r="CW68" s="31">
        <f t="shared" si="231"/>
        <v>0</v>
      </c>
      <c r="CX68" s="17">
        <f t="shared" si="55"/>
        <v>0</v>
      </c>
      <c r="CY68" s="31"/>
      <c r="CZ68" s="49">
        <f t="shared" si="56"/>
        <v>0</v>
      </c>
      <c r="DA68" s="49">
        <f t="shared" si="57"/>
        <v>0</v>
      </c>
    </row>
    <row r="69" spans="1:105" ht="24.95" customHeight="1">
      <c r="A69" s="4" t="s">
        <v>18</v>
      </c>
      <c r="B69" s="9">
        <v>10820</v>
      </c>
      <c r="C69" s="5">
        <f t="shared" si="72"/>
        <v>3</v>
      </c>
      <c r="D69" s="8" t="s">
        <v>107</v>
      </c>
      <c r="E69" s="45">
        <v>15700.386894332456</v>
      </c>
      <c r="F69" s="39">
        <v>1868.545732726011</v>
      </c>
      <c r="G69" s="39">
        <v>720.08995560876667</v>
      </c>
      <c r="H69" s="39">
        <f t="shared" si="241"/>
        <v>180.02248890219167</v>
      </c>
      <c r="I69" s="39">
        <f t="shared" si="242"/>
        <v>360.04497780438334</v>
      </c>
      <c r="J69" s="39">
        <f t="shared" si="243"/>
        <v>540.06746670657503</v>
      </c>
      <c r="K69" s="39">
        <f t="shared" si="244"/>
        <v>720.08995560876667</v>
      </c>
      <c r="L69" s="39">
        <v>3700</v>
      </c>
      <c r="M69" s="39">
        <v>1200</v>
      </c>
      <c r="N69" s="48">
        <f t="shared" si="2"/>
        <v>1831.454267273989</v>
      </c>
      <c r="O69" s="49">
        <f t="shared" si="29"/>
        <v>1.9801495543821079</v>
      </c>
      <c r="P69" s="48">
        <f t="shared" si="107"/>
        <v>479.91004439123333</v>
      </c>
      <c r="Q69" s="49">
        <f t="shared" si="30"/>
        <v>1.6664584621035516</v>
      </c>
      <c r="R69" s="49">
        <f t="shared" si="31"/>
        <v>1.6664584621035516</v>
      </c>
      <c r="S69" s="45">
        <v>15700.386894332456</v>
      </c>
      <c r="T69" s="39">
        <v>1868.545732726011</v>
      </c>
      <c r="U69" s="39">
        <v>720.08995560876667</v>
      </c>
      <c r="V69" s="39">
        <f t="shared" si="245"/>
        <v>180.02248890219167</v>
      </c>
      <c r="W69" s="39">
        <f t="shared" si="246"/>
        <v>360.04497780438334</v>
      </c>
      <c r="X69" s="39">
        <f t="shared" si="247"/>
        <v>540.06746670657503</v>
      </c>
      <c r="Y69" s="39">
        <f t="shared" si="248"/>
        <v>720.08995560876667</v>
      </c>
      <c r="Z69" s="39">
        <v>3700</v>
      </c>
      <c r="AA69" s="39">
        <v>1200</v>
      </c>
      <c r="AB69" s="48">
        <f t="shared" si="5"/>
        <v>1831.454267273989</v>
      </c>
      <c r="AC69" s="49">
        <f t="shared" si="33"/>
        <v>1.9801495543821079</v>
      </c>
      <c r="AD69" s="48">
        <f t="shared" si="109"/>
        <v>479.91004439123333</v>
      </c>
      <c r="AE69" s="49">
        <f t="shared" si="34"/>
        <v>1.6664584621035516</v>
      </c>
      <c r="AF69" s="49">
        <f t="shared" si="35"/>
        <v>1.6664584621035516</v>
      </c>
      <c r="AG69" s="45">
        <v>15700.386894332456</v>
      </c>
      <c r="AH69" s="39">
        <v>1868.545732726011</v>
      </c>
      <c r="AI69" s="39">
        <v>720.08995560876667</v>
      </c>
      <c r="AJ69" s="39">
        <v>3700</v>
      </c>
      <c r="AK69" s="39">
        <v>1200</v>
      </c>
      <c r="AL69" s="48">
        <f>+AJ69-AH69</f>
        <v>1831.454267273989</v>
      </c>
      <c r="AM69" s="49">
        <f>+IF(AH69&lt;=0,0,AJ69/AH69)</f>
        <v>1.9801495543821079</v>
      </c>
      <c r="AN69" s="48">
        <f>+AK69-AI69</f>
        <v>479.91004439123333</v>
      </c>
      <c r="AO69" s="49">
        <f>+IF(AI69&lt;=0,0,AK69/AI69)</f>
        <v>1.6664584621035516</v>
      </c>
      <c r="AP69" s="39">
        <f t="shared" si="249"/>
        <v>14656.424029742248</v>
      </c>
      <c r="AQ69" s="39">
        <f t="shared" si="249"/>
        <v>4138.2716575336635</v>
      </c>
      <c r="AR69" s="39">
        <f t="shared" si="250"/>
        <v>23200.7359</v>
      </c>
      <c r="AS69" s="39">
        <f t="shared" si="250"/>
        <v>10055.7359</v>
      </c>
      <c r="AT69" s="39">
        <f t="shared" si="236"/>
        <v>8544.3118702577522</v>
      </c>
      <c r="AU69" s="17">
        <f t="shared" si="228"/>
        <v>1.5829738449787478</v>
      </c>
      <c r="AV69" s="39">
        <f t="shared" si="229"/>
        <v>5917.4642424663361</v>
      </c>
      <c r="AW69" s="17">
        <f t="shared" si="230"/>
        <v>2.4299361502026282</v>
      </c>
      <c r="AX69" s="45">
        <v>15700.386894332456</v>
      </c>
      <c r="AY69" s="39">
        <v>1868.545732726011</v>
      </c>
      <c r="AZ69" s="39">
        <v>720.08995560876667</v>
      </c>
      <c r="BA69" s="39">
        <f t="shared" si="251"/>
        <v>180.02248890219167</v>
      </c>
      <c r="BB69" s="39">
        <f t="shared" si="252"/>
        <v>360.04497780438334</v>
      </c>
      <c r="BC69" s="39">
        <f t="shared" si="253"/>
        <v>540.06746670657503</v>
      </c>
      <c r="BD69" s="39">
        <f t="shared" si="254"/>
        <v>720.08995560876667</v>
      </c>
      <c r="BE69" s="39">
        <v>3700</v>
      </c>
      <c r="BF69" s="39">
        <v>1200</v>
      </c>
      <c r="BG69" s="48">
        <f t="shared" si="181"/>
        <v>1831.454267273989</v>
      </c>
      <c r="BH69" s="49">
        <f t="shared" si="41"/>
        <v>1.9801495543821079</v>
      </c>
      <c r="BI69" s="48">
        <f t="shared" si="226"/>
        <v>479.91004439123333</v>
      </c>
      <c r="BJ69" s="49">
        <f t="shared" si="42"/>
        <v>1.6664584621035516</v>
      </c>
      <c r="BK69" s="49">
        <f t="shared" si="43"/>
        <v>1.6664584621035516</v>
      </c>
      <c r="BL69" s="45">
        <v>14300</v>
      </c>
      <c r="BM69" s="39">
        <v>3000</v>
      </c>
      <c r="BN69" s="39">
        <v>1100</v>
      </c>
      <c r="BO69" s="39">
        <f t="shared" si="255"/>
        <v>275</v>
      </c>
      <c r="BP69" s="39">
        <f t="shared" si="256"/>
        <v>550</v>
      </c>
      <c r="BQ69" s="39">
        <f t="shared" si="257"/>
        <v>825</v>
      </c>
      <c r="BR69" s="39">
        <f t="shared" si="258"/>
        <v>1100</v>
      </c>
      <c r="BS69" s="39">
        <v>4141.7358999999997</v>
      </c>
      <c r="BT69" s="39">
        <v>1378.7358999999999</v>
      </c>
      <c r="BU69" s="48">
        <f t="shared" si="182"/>
        <v>1141.7358999999997</v>
      </c>
      <c r="BV69" s="49">
        <f t="shared" si="45"/>
        <v>1.3805786333333332</v>
      </c>
      <c r="BW69" s="48">
        <f t="shared" si="188"/>
        <v>278.7358999999999</v>
      </c>
      <c r="BX69" s="49">
        <f t="shared" si="46"/>
        <v>1.2533962727272727</v>
      </c>
      <c r="BY69" s="49">
        <f t="shared" si="47"/>
        <v>1.2533962727272727</v>
      </c>
      <c r="BZ69" s="45">
        <v>55636.360846197553</v>
      </c>
      <c r="CA69" s="39">
        <v>9787.8782970162356</v>
      </c>
      <c r="CB69" s="39">
        <v>2318.1817019248974</v>
      </c>
      <c r="CC69" s="39">
        <f t="shared" si="259"/>
        <v>579.54542548122436</v>
      </c>
      <c r="CD69" s="39">
        <f t="shared" si="260"/>
        <v>1159.0908509624487</v>
      </c>
      <c r="CE69" s="39">
        <f t="shared" si="261"/>
        <v>1738.6362764436731</v>
      </c>
      <c r="CF69" s="39">
        <f t="shared" si="262"/>
        <v>2318.1817019248974</v>
      </c>
      <c r="CG69" s="39">
        <v>15359</v>
      </c>
      <c r="CH69" s="39">
        <v>7477</v>
      </c>
      <c r="CI69" s="51">
        <f t="shared" si="186"/>
        <v>5571.1217029837644</v>
      </c>
      <c r="CJ69" s="49">
        <f t="shared" si="50"/>
        <v>1.5691858372086707</v>
      </c>
      <c r="CK69" s="48">
        <f t="shared" si="187"/>
        <v>5158.8182980751026</v>
      </c>
      <c r="CL69" s="49">
        <f t="shared" si="52"/>
        <v>3.2253727107721919</v>
      </c>
      <c r="CM69" s="49">
        <f t="shared" si="53"/>
        <v>3.2253727107721919</v>
      </c>
      <c r="CN69" s="45"/>
      <c r="CO69" s="39"/>
      <c r="CP69" s="39"/>
      <c r="CQ69" s="39"/>
      <c r="CR69" s="39"/>
      <c r="CS69" s="39"/>
      <c r="CT69" s="39"/>
      <c r="CU69" s="39"/>
      <c r="CV69" s="39"/>
      <c r="CW69" s="31">
        <f t="shared" si="231"/>
        <v>0</v>
      </c>
      <c r="CX69" s="17">
        <f t="shared" si="55"/>
        <v>0</v>
      </c>
      <c r="CY69" s="31"/>
      <c r="CZ69" s="49">
        <f t="shared" si="56"/>
        <v>0</v>
      </c>
      <c r="DA69" s="49">
        <f t="shared" si="57"/>
        <v>0</v>
      </c>
    </row>
    <row r="70" spans="1:105" ht="24.95" customHeight="1">
      <c r="A70" s="4" t="s">
        <v>10</v>
      </c>
      <c r="B70" s="9">
        <v>12129</v>
      </c>
      <c r="C70" s="5">
        <f t="shared" si="72"/>
        <v>4</v>
      </c>
      <c r="D70" s="8" t="s">
        <v>142</v>
      </c>
      <c r="E70" s="45">
        <v>6721.2164694496478</v>
      </c>
      <c r="F70" s="39">
        <v>1605.4992386721449</v>
      </c>
      <c r="G70" s="39">
        <v>801.82226937868074</v>
      </c>
      <c r="H70" s="39">
        <f t="shared" si="241"/>
        <v>200.45556734467019</v>
      </c>
      <c r="I70" s="39">
        <f t="shared" si="242"/>
        <v>400.91113468934037</v>
      </c>
      <c r="J70" s="39">
        <f t="shared" si="243"/>
        <v>601.36670203401059</v>
      </c>
      <c r="K70" s="39">
        <f t="shared" si="244"/>
        <v>801.82226937868074</v>
      </c>
      <c r="L70" s="39">
        <v>2100</v>
      </c>
      <c r="M70" s="39">
        <v>1200</v>
      </c>
      <c r="N70" s="48">
        <f t="shared" si="2"/>
        <v>494.50076132785512</v>
      </c>
      <c r="O70" s="49">
        <f t="shared" si="29"/>
        <v>1.3080043574090015</v>
      </c>
      <c r="P70" s="48">
        <f t="shared" si="107"/>
        <v>398.17773062131926</v>
      </c>
      <c r="Q70" s="49">
        <f t="shared" si="30"/>
        <v>1.4965910100374997</v>
      </c>
      <c r="R70" s="49">
        <f t="shared" si="31"/>
        <v>1.4965910100374997</v>
      </c>
      <c r="S70" s="45">
        <v>6721.2164694496478</v>
      </c>
      <c r="T70" s="39">
        <v>1605.4992386721449</v>
      </c>
      <c r="U70" s="39">
        <v>801.82226937868074</v>
      </c>
      <c r="V70" s="39">
        <f t="shared" si="245"/>
        <v>200.45556734467019</v>
      </c>
      <c r="W70" s="39">
        <f t="shared" si="246"/>
        <v>400.91113468934037</v>
      </c>
      <c r="X70" s="39">
        <f t="shared" si="247"/>
        <v>601.36670203401059</v>
      </c>
      <c r="Y70" s="39">
        <f t="shared" si="248"/>
        <v>801.82226937868074</v>
      </c>
      <c r="Z70" s="39">
        <v>2100</v>
      </c>
      <c r="AA70" s="39">
        <v>1200</v>
      </c>
      <c r="AB70" s="48">
        <f t="shared" si="5"/>
        <v>494.50076132785512</v>
      </c>
      <c r="AC70" s="49">
        <f t="shared" si="33"/>
        <v>1.3080043574090015</v>
      </c>
      <c r="AD70" s="48">
        <f t="shared" si="109"/>
        <v>398.17773062131926</v>
      </c>
      <c r="AE70" s="49">
        <f t="shared" si="34"/>
        <v>1.4965910100374997</v>
      </c>
      <c r="AF70" s="49">
        <f t="shared" si="35"/>
        <v>1.4965910100374997</v>
      </c>
      <c r="AG70" s="45">
        <v>6721.2164694496478</v>
      </c>
      <c r="AH70" s="39">
        <v>1605.4992386721449</v>
      </c>
      <c r="AI70" s="39">
        <v>801.82226937868074</v>
      </c>
      <c r="AJ70" s="39">
        <v>2100</v>
      </c>
      <c r="AK70" s="39">
        <v>1200</v>
      </c>
      <c r="AL70" s="48">
        <f>+AJ70-AH70</f>
        <v>494.50076132785512</v>
      </c>
      <c r="AM70" s="49">
        <f>+IF(AH70&lt;=0,0,AJ70/AH70)</f>
        <v>1.3080043574090015</v>
      </c>
      <c r="AN70" s="48">
        <f>+AK70-AI70</f>
        <v>398.17773062131926</v>
      </c>
      <c r="AO70" s="49">
        <f>+IF(AI70&lt;=0,0,AK70/AI70)</f>
        <v>1.4965910100374997</v>
      </c>
      <c r="AP70" s="39">
        <f t="shared" si="249"/>
        <v>7999.4383871802629</v>
      </c>
      <c r="AQ70" s="39">
        <f t="shared" si="249"/>
        <v>2560.9131203411293</v>
      </c>
      <c r="AR70" s="39">
        <f t="shared" si="250"/>
        <v>13896.6</v>
      </c>
      <c r="AS70" s="39">
        <f t="shared" si="250"/>
        <v>6856.6</v>
      </c>
      <c r="AT70" s="39">
        <f t="shared" si="236"/>
        <v>5897.1616128197375</v>
      </c>
      <c r="AU70" s="17">
        <f t="shared" si="228"/>
        <v>1.7371969540099725</v>
      </c>
      <c r="AV70" s="39">
        <f t="shared" si="229"/>
        <v>4295.6868796588715</v>
      </c>
      <c r="AW70" s="17">
        <f t="shared" si="230"/>
        <v>2.6774043779691592</v>
      </c>
      <c r="AX70" s="45">
        <v>6721.2164694496478</v>
      </c>
      <c r="AY70" s="39">
        <v>1605.4992386721449</v>
      </c>
      <c r="AZ70" s="39">
        <v>801.82226937868074</v>
      </c>
      <c r="BA70" s="39">
        <f t="shared" si="251"/>
        <v>200.45556734467019</v>
      </c>
      <c r="BB70" s="39">
        <f t="shared" si="252"/>
        <v>400.91113468934037</v>
      </c>
      <c r="BC70" s="39">
        <f t="shared" si="253"/>
        <v>601.36670203401059</v>
      </c>
      <c r="BD70" s="39">
        <f t="shared" si="254"/>
        <v>801.82226937868074</v>
      </c>
      <c r="BE70" s="39">
        <v>2100</v>
      </c>
      <c r="BF70" s="39">
        <v>1200</v>
      </c>
      <c r="BG70" s="48">
        <f t="shared" si="181"/>
        <v>494.50076132785512</v>
      </c>
      <c r="BH70" s="49">
        <f t="shared" si="41"/>
        <v>1.3080043574090015</v>
      </c>
      <c r="BI70" s="48">
        <f t="shared" si="226"/>
        <v>398.17773062131926</v>
      </c>
      <c r="BJ70" s="49">
        <f t="shared" si="42"/>
        <v>1.4965910100374997</v>
      </c>
      <c r="BK70" s="49">
        <f t="shared" si="43"/>
        <v>1.4965910100374997</v>
      </c>
      <c r="BL70" s="45">
        <v>7700</v>
      </c>
      <c r="BM70" s="39">
        <v>1500</v>
      </c>
      <c r="BN70" s="39">
        <v>600</v>
      </c>
      <c r="BO70" s="39">
        <f t="shared" si="255"/>
        <v>150</v>
      </c>
      <c r="BP70" s="39">
        <f t="shared" si="256"/>
        <v>300</v>
      </c>
      <c r="BQ70" s="39">
        <f t="shared" si="257"/>
        <v>450</v>
      </c>
      <c r="BR70" s="39">
        <f t="shared" si="258"/>
        <v>600</v>
      </c>
      <c r="BS70" s="39">
        <v>2179.6</v>
      </c>
      <c r="BT70" s="39">
        <v>674.6</v>
      </c>
      <c r="BU70" s="48">
        <f t="shared" si="182"/>
        <v>679.59999999999991</v>
      </c>
      <c r="BV70" s="49">
        <f t="shared" si="45"/>
        <v>1.4530666666666665</v>
      </c>
      <c r="BW70" s="48">
        <f t="shared" si="188"/>
        <v>74.600000000000023</v>
      </c>
      <c r="BX70" s="49">
        <f t="shared" si="46"/>
        <v>1.1243333333333334</v>
      </c>
      <c r="BY70" s="49">
        <f t="shared" si="47"/>
        <v>1.1243333333333334</v>
      </c>
      <c r="BZ70" s="45">
        <v>27818.180423098776</v>
      </c>
      <c r="CA70" s="39">
        <v>4893.9391485081178</v>
      </c>
      <c r="CB70" s="39">
        <v>1159.0908509624487</v>
      </c>
      <c r="CC70" s="39">
        <f t="shared" si="259"/>
        <v>289.77271274061218</v>
      </c>
      <c r="CD70" s="39">
        <f t="shared" si="260"/>
        <v>579.54542548122436</v>
      </c>
      <c r="CE70" s="39">
        <f t="shared" si="261"/>
        <v>869.31813822183653</v>
      </c>
      <c r="CF70" s="39">
        <f t="shared" si="262"/>
        <v>1159.0908509624487</v>
      </c>
      <c r="CG70" s="39">
        <v>9617</v>
      </c>
      <c r="CH70" s="39">
        <v>4982</v>
      </c>
      <c r="CI70" s="51">
        <f t="shared" si="186"/>
        <v>4723.0608514918822</v>
      </c>
      <c r="CJ70" s="49">
        <f t="shared" si="50"/>
        <v>1.965083689880303</v>
      </c>
      <c r="CK70" s="48">
        <f t="shared" si="187"/>
        <v>3822.9091490375513</v>
      </c>
      <c r="CL70" s="49">
        <f t="shared" si="52"/>
        <v>4.2981962939861065</v>
      </c>
      <c r="CM70" s="49">
        <f t="shared" si="53"/>
        <v>4.2981962939861065</v>
      </c>
      <c r="CN70" s="45"/>
      <c r="CO70" s="39"/>
      <c r="CP70" s="39"/>
      <c r="CQ70" s="39"/>
      <c r="CR70" s="39"/>
      <c r="CS70" s="39"/>
      <c r="CT70" s="39"/>
      <c r="CU70" s="39"/>
      <c r="CV70" s="39"/>
      <c r="CW70" s="31">
        <f t="shared" si="231"/>
        <v>0</v>
      </c>
      <c r="CX70" s="17">
        <f t="shared" si="55"/>
        <v>0</v>
      </c>
      <c r="CY70" s="31"/>
      <c r="CZ70" s="49">
        <f t="shared" si="56"/>
        <v>0</v>
      </c>
      <c r="DA70" s="49">
        <f t="shared" si="57"/>
        <v>0</v>
      </c>
    </row>
    <row r="71" spans="1:105" ht="24.95" customHeight="1">
      <c r="A71" s="4" t="s">
        <v>27</v>
      </c>
      <c r="B71" s="9">
        <v>12213</v>
      </c>
      <c r="C71" s="5">
        <f t="shared" si="72"/>
        <v>5</v>
      </c>
      <c r="D71" s="8" t="s">
        <v>141</v>
      </c>
      <c r="E71" s="45"/>
      <c r="F71" s="39"/>
      <c r="G71" s="39"/>
      <c r="H71" s="39">
        <f t="shared" si="241"/>
        <v>0</v>
      </c>
      <c r="I71" s="39">
        <f t="shared" si="242"/>
        <v>0</v>
      </c>
      <c r="J71" s="39">
        <f t="shared" si="243"/>
        <v>0</v>
      </c>
      <c r="K71" s="39">
        <f t="shared" si="244"/>
        <v>0</v>
      </c>
      <c r="L71" s="39"/>
      <c r="M71" s="39"/>
      <c r="N71" s="48">
        <f t="shared" ref="N71:N103" si="263">+L71-F71</f>
        <v>0</v>
      </c>
      <c r="O71" s="49">
        <f t="shared" si="29"/>
        <v>0</v>
      </c>
      <c r="P71" s="48"/>
      <c r="Q71" s="49">
        <f t="shared" si="30"/>
        <v>0</v>
      </c>
      <c r="R71" s="49">
        <f t="shared" si="31"/>
        <v>0</v>
      </c>
      <c r="S71" s="45"/>
      <c r="T71" s="39"/>
      <c r="U71" s="39"/>
      <c r="V71" s="39">
        <f t="shared" si="245"/>
        <v>0</v>
      </c>
      <c r="W71" s="39">
        <f t="shared" si="246"/>
        <v>0</v>
      </c>
      <c r="X71" s="39">
        <f t="shared" si="247"/>
        <v>0</v>
      </c>
      <c r="Y71" s="39">
        <f t="shared" si="248"/>
        <v>0</v>
      </c>
      <c r="Z71" s="39"/>
      <c r="AA71" s="39"/>
      <c r="AB71" s="48">
        <f t="shared" ref="AB71:AB103" si="264">+Z71-T71</f>
        <v>0</v>
      </c>
      <c r="AC71" s="49">
        <f t="shared" si="33"/>
        <v>0</v>
      </c>
      <c r="AD71" s="48"/>
      <c r="AE71" s="49">
        <f t="shared" si="34"/>
        <v>0</v>
      </c>
      <c r="AF71" s="49">
        <f t="shared" si="35"/>
        <v>0</v>
      </c>
      <c r="AG71" s="45"/>
      <c r="AH71" s="39"/>
      <c r="AI71" s="39"/>
      <c r="AJ71" s="39"/>
      <c r="AK71" s="39"/>
      <c r="AL71" s="48">
        <f>+AJ71-AH71</f>
        <v>0</v>
      </c>
      <c r="AM71" s="49">
        <f>+IF(AH71&lt;=0,0,AJ71/AH71)</f>
        <v>0</v>
      </c>
      <c r="AN71" s="48"/>
      <c r="AO71" s="49">
        <f>+IF(AI71&lt;=0,0,AK71/AI71)</f>
        <v>0</v>
      </c>
      <c r="AP71" s="39">
        <f t="shared" si="249"/>
        <v>0</v>
      </c>
      <c r="AQ71" s="39">
        <f t="shared" si="249"/>
        <v>0</v>
      </c>
      <c r="AR71" s="39">
        <f t="shared" si="250"/>
        <v>0</v>
      </c>
      <c r="AS71" s="39">
        <f t="shared" si="250"/>
        <v>0</v>
      </c>
      <c r="AT71" s="39">
        <f t="shared" si="236"/>
        <v>0</v>
      </c>
      <c r="AU71" s="17" t="e">
        <f t="shared" si="228"/>
        <v>#DIV/0!</v>
      </c>
      <c r="AV71" s="39">
        <f t="shared" si="229"/>
        <v>0</v>
      </c>
      <c r="AW71" s="17" t="e">
        <f t="shared" si="230"/>
        <v>#DIV/0!</v>
      </c>
      <c r="AX71" s="45"/>
      <c r="AY71" s="39"/>
      <c r="AZ71" s="39"/>
      <c r="BA71" s="39">
        <f t="shared" si="251"/>
        <v>0</v>
      </c>
      <c r="BB71" s="39">
        <f t="shared" si="252"/>
        <v>0</v>
      </c>
      <c r="BC71" s="39">
        <f t="shared" si="253"/>
        <v>0</v>
      </c>
      <c r="BD71" s="39">
        <f t="shared" si="254"/>
        <v>0</v>
      </c>
      <c r="BE71" s="39"/>
      <c r="BF71" s="39"/>
      <c r="BG71" s="48">
        <f t="shared" ref="BG71:BG103" si="265">+BE71-AY71</f>
        <v>0</v>
      </c>
      <c r="BH71" s="49">
        <f t="shared" si="41"/>
        <v>0</v>
      </c>
      <c r="BI71" s="48"/>
      <c r="BJ71" s="49">
        <f t="shared" si="42"/>
        <v>0</v>
      </c>
      <c r="BK71" s="49">
        <f t="shared" si="43"/>
        <v>0</v>
      </c>
      <c r="BL71" s="45"/>
      <c r="BM71" s="39"/>
      <c r="BN71" s="39"/>
      <c r="BO71" s="39">
        <f t="shared" si="255"/>
        <v>0</v>
      </c>
      <c r="BP71" s="39">
        <f t="shared" si="256"/>
        <v>0</v>
      </c>
      <c r="BQ71" s="39">
        <f t="shared" si="257"/>
        <v>0</v>
      </c>
      <c r="BR71" s="39">
        <f t="shared" si="258"/>
        <v>0</v>
      </c>
      <c r="BS71" s="39"/>
      <c r="BT71" s="39"/>
      <c r="BU71" s="48">
        <f t="shared" ref="BU71:BU103" si="266">+BS71-BM71</f>
        <v>0</v>
      </c>
      <c r="BV71" s="49">
        <f t="shared" si="45"/>
        <v>0</v>
      </c>
      <c r="BW71" s="48"/>
      <c r="BX71" s="49">
        <f t="shared" si="46"/>
        <v>0</v>
      </c>
      <c r="BY71" s="49">
        <f t="shared" si="47"/>
        <v>0</v>
      </c>
      <c r="BZ71" s="45"/>
      <c r="CA71" s="39"/>
      <c r="CB71" s="39"/>
      <c r="CC71" s="39">
        <f t="shared" si="259"/>
        <v>0</v>
      </c>
      <c r="CD71" s="39">
        <f t="shared" si="260"/>
        <v>0</v>
      </c>
      <c r="CE71" s="39">
        <f t="shared" si="261"/>
        <v>0</v>
      </c>
      <c r="CF71" s="39">
        <f t="shared" si="262"/>
        <v>0</v>
      </c>
      <c r="CG71" s="39"/>
      <c r="CH71" s="39"/>
      <c r="CI71" s="51">
        <f t="shared" si="186"/>
        <v>0</v>
      </c>
      <c r="CJ71" s="49">
        <f t="shared" si="50"/>
        <v>0</v>
      </c>
      <c r="CK71" s="48">
        <f t="shared" si="187"/>
        <v>0</v>
      </c>
      <c r="CL71" s="49">
        <f t="shared" si="52"/>
        <v>0</v>
      </c>
      <c r="CM71" s="49">
        <f t="shared" si="53"/>
        <v>0</v>
      </c>
      <c r="CN71" s="45"/>
      <c r="CO71" s="39"/>
      <c r="CP71" s="39"/>
      <c r="CQ71" s="39"/>
      <c r="CR71" s="39"/>
      <c r="CS71" s="39"/>
      <c r="CT71" s="39"/>
      <c r="CU71" s="39"/>
      <c r="CV71" s="39"/>
      <c r="CW71" s="31">
        <f t="shared" si="231"/>
        <v>0</v>
      </c>
      <c r="CX71" s="17">
        <f t="shared" si="55"/>
        <v>0</v>
      </c>
      <c r="CY71" s="31"/>
      <c r="CZ71" s="49">
        <f t="shared" si="56"/>
        <v>0</v>
      </c>
      <c r="DA71" s="49">
        <f t="shared" si="57"/>
        <v>0</v>
      </c>
    </row>
    <row r="72" spans="1:105" ht="24.95" customHeight="1">
      <c r="A72" s="4" t="s">
        <v>53</v>
      </c>
      <c r="B72" s="9">
        <v>12274</v>
      </c>
      <c r="C72" s="5">
        <f t="shared" si="72"/>
        <v>6</v>
      </c>
      <c r="D72" s="8" t="s">
        <v>108</v>
      </c>
      <c r="E72" s="45"/>
      <c r="F72" s="39"/>
      <c r="G72" s="39"/>
      <c r="H72" s="39">
        <f t="shared" si="241"/>
        <v>0</v>
      </c>
      <c r="I72" s="39">
        <f t="shared" si="242"/>
        <v>0</v>
      </c>
      <c r="J72" s="39">
        <f t="shared" si="243"/>
        <v>0</v>
      </c>
      <c r="K72" s="39">
        <f t="shared" si="244"/>
        <v>0</v>
      </c>
      <c r="L72" s="39"/>
      <c r="M72" s="39"/>
      <c r="N72" s="48">
        <f t="shared" si="263"/>
        <v>0</v>
      </c>
      <c r="O72" s="49">
        <f t="shared" ref="O72:O103" si="267">+IF(F72&lt;=0,0,L72/F72)</f>
        <v>0</v>
      </c>
      <c r="P72" s="48"/>
      <c r="Q72" s="49">
        <f t="shared" ref="Q72:Q103" si="268">+IF(G72&lt;=0,0,M72/G72)</f>
        <v>0</v>
      </c>
      <c r="R72" s="49">
        <f t="shared" ref="R72:R103" si="269">+IF(K72&lt;=0,0,M72/K72)</f>
        <v>0</v>
      </c>
      <c r="S72" s="45"/>
      <c r="T72" s="39"/>
      <c r="U72" s="39"/>
      <c r="V72" s="39">
        <f t="shared" si="245"/>
        <v>0</v>
      </c>
      <c r="W72" s="39">
        <f t="shared" si="246"/>
        <v>0</v>
      </c>
      <c r="X72" s="39">
        <f t="shared" si="247"/>
        <v>0</v>
      </c>
      <c r="Y72" s="39">
        <f t="shared" si="248"/>
        <v>0</v>
      </c>
      <c r="Z72" s="39"/>
      <c r="AA72" s="39"/>
      <c r="AB72" s="48">
        <f t="shared" si="264"/>
        <v>0</v>
      </c>
      <c r="AC72" s="49">
        <f t="shared" ref="AC72:AC103" si="270">+IF(T72&lt;=0,0,Z72/T72)</f>
        <v>0</v>
      </c>
      <c r="AD72" s="48"/>
      <c r="AE72" s="49">
        <f t="shared" ref="AE72:AE103" si="271">+IF(U72&lt;=0,0,AA72/U72)</f>
        <v>0</v>
      </c>
      <c r="AF72" s="49">
        <f t="shared" ref="AF72:AF103" si="272">+IF(Y72&lt;=0,0,AA72/Y72)</f>
        <v>0</v>
      </c>
      <c r="AG72" s="45"/>
      <c r="AH72" s="39"/>
      <c r="AI72" s="39"/>
      <c r="AJ72" s="39"/>
      <c r="AK72" s="39"/>
      <c r="AL72" s="48">
        <f>+AJ72-AH72</f>
        <v>0</v>
      </c>
      <c r="AM72" s="49">
        <f>+IF(AH72&lt;=0,0,AJ72/AH72)</f>
        <v>0</v>
      </c>
      <c r="AN72" s="48"/>
      <c r="AO72" s="49">
        <f>+IF(AI72&lt;=0,0,AK72/AI72)</f>
        <v>0</v>
      </c>
      <c r="AP72" s="39">
        <f t="shared" si="249"/>
        <v>0</v>
      </c>
      <c r="AQ72" s="39">
        <f t="shared" si="249"/>
        <v>0</v>
      </c>
      <c r="AR72" s="39">
        <f t="shared" si="250"/>
        <v>0</v>
      </c>
      <c r="AS72" s="39">
        <f t="shared" si="250"/>
        <v>0</v>
      </c>
      <c r="AT72" s="39">
        <f t="shared" si="236"/>
        <v>0</v>
      </c>
      <c r="AU72" s="17" t="e">
        <f t="shared" si="228"/>
        <v>#DIV/0!</v>
      </c>
      <c r="AV72" s="39">
        <f t="shared" si="229"/>
        <v>0</v>
      </c>
      <c r="AW72" s="17" t="e">
        <f t="shared" si="230"/>
        <v>#DIV/0!</v>
      </c>
      <c r="AX72" s="45"/>
      <c r="AY72" s="39"/>
      <c r="AZ72" s="39"/>
      <c r="BA72" s="39">
        <f t="shared" si="251"/>
        <v>0</v>
      </c>
      <c r="BB72" s="39">
        <f t="shared" si="252"/>
        <v>0</v>
      </c>
      <c r="BC72" s="39">
        <f t="shared" si="253"/>
        <v>0</v>
      </c>
      <c r="BD72" s="39">
        <f t="shared" si="254"/>
        <v>0</v>
      </c>
      <c r="BE72" s="39"/>
      <c r="BF72" s="39"/>
      <c r="BG72" s="48">
        <f t="shared" si="265"/>
        <v>0</v>
      </c>
      <c r="BH72" s="49">
        <f t="shared" ref="BH72:BH103" si="273">+IF(AY72&lt;=0,0,BE72/AY72)</f>
        <v>0</v>
      </c>
      <c r="BI72" s="48"/>
      <c r="BJ72" s="49">
        <f t="shared" ref="BJ72:BJ103" si="274">+IF(AZ72&lt;=0,0,BF72/AZ72)</f>
        <v>0</v>
      </c>
      <c r="BK72" s="49">
        <f t="shared" ref="BK72:BK103" si="275">+IF(BD72&lt;=0,0,BF72/BD72)</f>
        <v>0</v>
      </c>
      <c r="BL72" s="45"/>
      <c r="BM72" s="39"/>
      <c r="BN72" s="39"/>
      <c r="BO72" s="39">
        <f t="shared" si="255"/>
        <v>0</v>
      </c>
      <c r="BP72" s="39">
        <f t="shared" si="256"/>
        <v>0</v>
      </c>
      <c r="BQ72" s="39">
        <f t="shared" si="257"/>
        <v>0</v>
      </c>
      <c r="BR72" s="39">
        <f t="shared" si="258"/>
        <v>0</v>
      </c>
      <c r="BS72" s="39"/>
      <c r="BT72" s="39"/>
      <c r="BU72" s="48">
        <f t="shared" si="266"/>
        <v>0</v>
      </c>
      <c r="BV72" s="49">
        <f t="shared" ref="BV72:BV103" si="276">+IF(BM72&lt;=0,0,BS72/BM72)</f>
        <v>0</v>
      </c>
      <c r="BW72" s="48"/>
      <c r="BX72" s="49">
        <f t="shared" ref="BX72:BX103" si="277">+IF(BN72&lt;=0,0,BT72/BN72)</f>
        <v>0</v>
      </c>
      <c r="BY72" s="49">
        <f t="shared" ref="BY72:BY103" si="278">+IF(BR72&lt;=0,0,BT72/BR72)</f>
        <v>0</v>
      </c>
      <c r="BZ72" s="45"/>
      <c r="CA72" s="39"/>
      <c r="CB72" s="39"/>
      <c r="CC72" s="39">
        <f t="shared" si="259"/>
        <v>0</v>
      </c>
      <c r="CD72" s="39">
        <f t="shared" si="260"/>
        <v>0</v>
      </c>
      <c r="CE72" s="39">
        <f t="shared" si="261"/>
        <v>0</v>
      </c>
      <c r="CF72" s="39">
        <f t="shared" si="262"/>
        <v>0</v>
      </c>
      <c r="CG72" s="39"/>
      <c r="CH72" s="39"/>
      <c r="CI72" s="51">
        <f t="shared" ref="CI72:CI103" si="279">+CG72-CA72</f>
        <v>0</v>
      </c>
      <c r="CJ72" s="49">
        <f t="shared" ref="CJ72:CJ103" si="280">+IF(CA72&lt;=0,0,CG72/CA72)</f>
        <v>0</v>
      </c>
      <c r="CK72" s="48">
        <f t="shared" ref="CK72:CK103" si="281">+CH72-CB72</f>
        <v>0</v>
      </c>
      <c r="CL72" s="49">
        <f t="shared" ref="CL72:CL103" si="282">+IF(CB72&lt;=0,0,CH72/CB72)</f>
        <v>0</v>
      </c>
      <c r="CM72" s="49">
        <f t="shared" ref="CM72:CM103" si="283">+IF(CF72&lt;=0,0,CH72/CF72)</f>
        <v>0</v>
      </c>
      <c r="CN72" s="45"/>
      <c r="CO72" s="39"/>
      <c r="CP72" s="39"/>
      <c r="CQ72" s="39"/>
      <c r="CR72" s="39"/>
      <c r="CS72" s="39"/>
      <c r="CT72" s="39"/>
      <c r="CU72" s="39"/>
      <c r="CV72" s="39"/>
      <c r="CW72" s="31">
        <f t="shared" si="231"/>
        <v>0</v>
      </c>
      <c r="CX72" s="17">
        <f t="shared" ref="CX72:CX103" si="284">+IF(CO72&lt;=0,0,CU72/CO72)</f>
        <v>0</v>
      </c>
      <c r="CY72" s="31"/>
      <c r="CZ72" s="49">
        <f t="shared" ref="CZ72:CZ103" si="285">+IF(CP72&lt;=0,0,CV72/CP72)</f>
        <v>0</v>
      </c>
      <c r="DA72" s="49">
        <f t="shared" ref="DA72:DA103" si="286">+IF(CT72&lt;=0,0,CV72/CT72)</f>
        <v>0</v>
      </c>
    </row>
    <row r="73" spans="1:105" s="26" customFormat="1" ht="24.95" customHeight="1">
      <c r="A73" s="25"/>
      <c r="B73" s="7"/>
      <c r="C73" s="6"/>
      <c r="D73" s="7" t="s">
        <v>5</v>
      </c>
      <c r="E73" s="13">
        <f t="shared" ref="E73:M73" si="287">SUM(E74:E77)</f>
        <v>16000</v>
      </c>
      <c r="F73" s="13">
        <f t="shared" si="287"/>
        <v>1920</v>
      </c>
      <c r="G73" s="13">
        <f t="shared" si="287"/>
        <v>1120</v>
      </c>
      <c r="H73" s="13">
        <f t="shared" si="287"/>
        <v>280</v>
      </c>
      <c r="I73" s="13">
        <f t="shared" si="287"/>
        <v>560</v>
      </c>
      <c r="J73" s="13">
        <f t="shared" si="287"/>
        <v>840</v>
      </c>
      <c r="K73" s="13">
        <f t="shared" si="287"/>
        <v>1120</v>
      </c>
      <c r="L73" s="13">
        <f t="shared" si="287"/>
        <v>2000</v>
      </c>
      <c r="M73" s="13">
        <f t="shared" si="287"/>
        <v>1000</v>
      </c>
      <c r="N73" s="19">
        <f t="shared" si="263"/>
        <v>80</v>
      </c>
      <c r="O73" s="20">
        <f t="shared" si="267"/>
        <v>1.0416666666666667</v>
      </c>
      <c r="P73" s="19">
        <f t="shared" ref="P73:P85" si="288">+M73-G73</f>
        <v>-120</v>
      </c>
      <c r="Q73" s="20">
        <f t="shared" si="268"/>
        <v>0.8928571428571429</v>
      </c>
      <c r="R73" s="20">
        <f t="shared" si="269"/>
        <v>0.8928571428571429</v>
      </c>
      <c r="S73" s="13">
        <f t="shared" ref="S73:AA73" si="289">SUM(S74:S77)</f>
        <v>16000</v>
      </c>
      <c r="T73" s="13">
        <f t="shared" si="289"/>
        <v>1920</v>
      </c>
      <c r="U73" s="13">
        <f t="shared" si="289"/>
        <v>1120</v>
      </c>
      <c r="V73" s="13">
        <f t="shared" si="289"/>
        <v>280</v>
      </c>
      <c r="W73" s="13">
        <f t="shared" si="289"/>
        <v>560</v>
      </c>
      <c r="X73" s="13">
        <f t="shared" si="289"/>
        <v>840</v>
      </c>
      <c r="Y73" s="13">
        <f t="shared" si="289"/>
        <v>1120</v>
      </c>
      <c r="Z73" s="13">
        <f t="shared" si="289"/>
        <v>2000</v>
      </c>
      <c r="AA73" s="13">
        <f t="shared" si="289"/>
        <v>1000</v>
      </c>
      <c r="AB73" s="19">
        <f t="shared" si="264"/>
        <v>80</v>
      </c>
      <c r="AC73" s="20">
        <f t="shared" si="270"/>
        <v>1.0416666666666667</v>
      </c>
      <c r="AD73" s="19">
        <f t="shared" ref="AD73:AD85" si="290">+AA73-U73</f>
        <v>-120</v>
      </c>
      <c r="AE73" s="20">
        <f t="shared" si="271"/>
        <v>0.8928571428571429</v>
      </c>
      <c r="AF73" s="20">
        <f t="shared" si="272"/>
        <v>0.8928571428571429</v>
      </c>
      <c r="AG73" s="13">
        <f t="shared" ref="AG73:AK73" si="291">SUM(AG74:AG77)</f>
        <v>16000</v>
      </c>
      <c r="AH73" s="13">
        <f t="shared" si="291"/>
        <v>1920</v>
      </c>
      <c r="AI73" s="13">
        <f t="shared" si="291"/>
        <v>1120</v>
      </c>
      <c r="AJ73" s="13">
        <f t="shared" si="291"/>
        <v>2000</v>
      </c>
      <c r="AK73" s="13">
        <f t="shared" si="291"/>
        <v>1000</v>
      </c>
      <c r="AL73" s="19">
        <f>+AJ73-AH73</f>
        <v>80</v>
      </c>
      <c r="AM73" s="20">
        <f>+IF(AH73&lt;=0,0,AJ73/AH73)</f>
        <v>1.0416666666666667</v>
      </c>
      <c r="AN73" s="19">
        <f>+AK73-AI73</f>
        <v>-120</v>
      </c>
      <c r="AO73" s="20">
        <f>+IF(AI73&lt;=0,0,AK73/AI73)</f>
        <v>0.8928571428571429</v>
      </c>
      <c r="AP73" s="13">
        <f t="shared" ref="AP73:AS73" si="292">SUM(AP74:AP77)</f>
        <v>6020</v>
      </c>
      <c r="AQ73" s="13">
        <f t="shared" si="292"/>
        <v>2920</v>
      </c>
      <c r="AR73" s="13">
        <f t="shared" si="292"/>
        <v>13485.367299999998</v>
      </c>
      <c r="AS73" s="13">
        <f t="shared" si="292"/>
        <v>5219.2759999999998</v>
      </c>
      <c r="AT73" s="19">
        <f t="shared" si="236"/>
        <v>7465.3672999999981</v>
      </c>
      <c r="AU73" s="20">
        <f t="shared" si="228"/>
        <v>2.2400942358803984</v>
      </c>
      <c r="AV73" s="19">
        <f t="shared" si="229"/>
        <v>2299.2759999999998</v>
      </c>
      <c r="AW73" s="20">
        <f t="shared" si="230"/>
        <v>1.7874232876712328</v>
      </c>
      <c r="AX73" s="13">
        <f t="shared" ref="AX73:BF73" si="293">SUM(AX74:AX77)</f>
        <v>16000</v>
      </c>
      <c r="AY73" s="13">
        <f t="shared" si="293"/>
        <v>1920</v>
      </c>
      <c r="AZ73" s="13">
        <f t="shared" si="293"/>
        <v>1120</v>
      </c>
      <c r="BA73" s="13">
        <f t="shared" si="293"/>
        <v>280</v>
      </c>
      <c r="BB73" s="13">
        <f t="shared" si="293"/>
        <v>560</v>
      </c>
      <c r="BC73" s="13">
        <f t="shared" si="293"/>
        <v>840</v>
      </c>
      <c r="BD73" s="13">
        <f t="shared" si="293"/>
        <v>1120</v>
      </c>
      <c r="BE73" s="13">
        <f t="shared" si="293"/>
        <v>2000</v>
      </c>
      <c r="BF73" s="13">
        <f t="shared" si="293"/>
        <v>1000</v>
      </c>
      <c r="BG73" s="19">
        <f t="shared" si="265"/>
        <v>80</v>
      </c>
      <c r="BH73" s="20">
        <f t="shared" si="273"/>
        <v>1.0416666666666667</v>
      </c>
      <c r="BI73" s="19">
        <f t="shared" ref="BI73:BI85" si="294">+BF73-AZ73</f>
        <v>-120</v>
      </c>
      <c r="BJ73" s="20">
        <f t="shared" si="274"/>
        <v>0.8928571428571429</v>
      </c>
      <c r="BK73" s="20">
        <f t="shared" si="275"/>
        <v>0.8928571428571429</v>
      </c>
      <c r="BL73" s="13">
        <f t="shared" ref="BL73:BT73" si="295">SUM(BL74:BL77)</f>
        <v>25000</v>
      </c>
      <c r="BM73" s="13">
        <f t="shared" si="295"/>
        <v>1800</v>
      </c>
      <c r="BN73" s="13">
        <f t="shared" si="295"/>
        <v>1000</v>
      </c>
      <c r="BO73" s="13">
        <f t="shared" si="295"/>
        <v>250</v>
      </c>
      <c r="BP73" s="13">
        <f t="shared" si="295"/>
        <v>500</v>
      </c>
      <c r="BQ73" s="13">
        <f t="shared" si="295"/>
        <v>750</v>
      </c>
      <c r="BR73" s="13">
        <f t="shared" si="295"/>
        <v>1000</v>
      </c>
      <c r="BS73" s="13">
        <f t="shared" si="295"/>
        <v>1147.28</v>
      </c>
      <c r="BT73" s="13">
        <f t="shared" si="295"/>
        <v>381</v>
      </c>
      <c r="BU73" s="19">
        <f t="shared" si="266"/>
        <v>-652.72</v>
      </c>
      <c r="BV73" s="20">
        <f t="shared" si="276"/>
        <v>0.63737777777777771</v>
      </c>
      <c r="BW73" s="19">
        <f>+BT73-BN73</f>
        <v>-619</v>
      </c>
      <c r="BX73" s="20">
        <f t="shared" si="277"/>
        <v>0.38100000000000001</v>
      </c>
      <c r="BY73" s="20">
        <f t="shared" si="278"/>
        <v>0.38100000000000001</v>
      </c>
      <c r="BZ73" s="13">
        <f t="shared" ref="BZ73:CH73" si="296">SUM(BZ74:BZ77)</f>
        <v>25000.000000000004</v>
      </c>
      <c r="CA73" s="13">
        <f t="shared" si="296"/>
        <v>2300</v>
      </c>
      <c r="CB73" s="13">
        <f t="shared" si="296"/>
        <v>800</v>
      </c>
      <c r="CC73" s="13">
        <f t="shared" si="296"/>
        <v>200</v>
      </c>
      <c r="CD73" s="13">
        <f t="shared" si="296"/>
        <v>400</v>
      </c>
      <c r="CE73" s="13">
        <f t="shared" si="296"/>
        <v>600</v>
      </c>
      <c r="CF73" s="13">
        <f t="shared" si="296"/>
        <v>800</v>
      </c>
      <c r="CG73" s="13">
        <f t="shared" si="296"/>
        <v>10338.087299999999</v>
      </c>
      <c r="CH73" s="13">
        <f t="shared" si="296"/>
        <v>3838.2759999999998</v>
      </c>
      <c r="CI73" s="19">
        <f t="shared" si="279"/>
        <v>8038.0872999999992</v>
      </c>
      <c r="CJ73" s="20">
        <f t="shared" si="280"/>
        <v>4.4948205652173909</v>
      </c>
      <c r="CK73" s="19">
        <f t="shared" si="281"/>
        <v>3038.2759999999998</v>
      </c>
      <c r="CL73" s="20">
        <f t="shared" si="282"/>
        <v>4.7978449999999997</v>
      </c>
      <c r="CM73" s="20">
        <f t="shared" si="283"/>
        <v>4.7978449999999997</v>
      </c>
      <c r="CN73" s="13">
        <f t="shared" ref="CN73:CT73" si="297">SUM(CN74:CN77)</f>
        <v>0</v>
      </c>
      <c r="CO73" s="13">
        <f t="shared" si="297"/>
        <v>0</v>
      </c>
      <c r="CP73" s="13">
        <f t="shared" si="297"/>
        <v>0</v>
      </c>
      <c r="CQ73" s="13">
        <f t="shared" si="297"/>
        <v>0</v>
      </c>
      <c r="CR73" s="13">
        <f t="shared" si="297"/>
        <v>0</v>
      </c>
      <c r="CS73" s="13">
        <f t="shared" si="297"/>
        <v>0</v>
      </c>
      <c r="CT73" s="13">
        <f t="shared" si="297"/>
        <v>0</v>
      </c>
      <c r="CU73" s="13"/>
      <c r="CV73" s="13"/>
      <c r="CW73" s="30">
        <f t="shared" si="231"/>
        <v>0</v>
      </c>
      <c r="CX73" s="20">
        <f t="shared" si="284"/>
        <v>0</v>
      </c>
      <c r="CY73" s="30"/>
      <c r="CZ73" s="20">
        <f t="shared" si="285"/>
        <v>0</v>
      </c>
      <c r="DA73" s="20">
        <f t="shared" si="286"/>
        <v>0</v>
      </c>
    </row>
    <row r="74" spans="1:105" ht="24.95" customHeight="1">
      <c r="A74" s="4" t="s">
        <v>19</v>
      </c>
      <c r="B74" s="9">
        <v>10714</v>
      </c>
      <c r="C74" s="5">
        <f>+C73+1</f>
        <v>1</v>
      </c>
      <c r="D74" s="8" t="s">
        <v>123</v>
      </c>
      <c r="E74" s="45">
        <v>1500</v>
      </c>
      <c r="F74" s="39">
        <v>200</v>
      </c>
      <c r="G74" s="39">
        <v>100</v>
      </c>
      <c r="H74" s="39">
        <f>+G74*0.25</f>
        <v>25</v>
      </c>
      <c r="I74" s="39">
        <f>+G74*0.5</f>
        <v>50</v>
      </c>
      <c r="J74" s="39">
        <f>+G74*0.75</f>
        <v>75</v>
      </c>
      <c r="K74" s="39">
        <f>+G74</f>
        <v>100</v>
      </c>
      <c r="L74" s="39">
        <v>200</v>
      </c>
      <c r="M74" s="39">
        <v>0</v>
      </c>
      <c r="N74" s="48">
        <f t="shared" si="263"/>
        <v>0</v>
      </c>
      <c r="O74" s="49">
        <f t="shared" si="267"/>
        <v>1</v>
      </c>
      <c r="P74" s="48">
        <f t="shared" si="288"/>
        <v>-100</v>
      </c>
      <c r="Q74" s="49">
        <f t="shared" si="268"/>
        <v>0</v>
      </c>
      <c r="R74" s="49">
        <f t="shared" si="269"/>
        <v>0</v>
      </c>
      <c r="S74" s="45">
        <v>1500</v>
      </c>
      <c r="T74" s="39">
        <v>200</v>
      </c>
      <c r="U74" s="39">
        <v>100</v>
      </c>
      <c r="V74" s="39">
        <f>+U74*0.25</f>
        <v>25</v>
      </c>
      <c r="W74" s="39">
        <f>+U74*0.5</f>
        <v>50</v>
      </c>
      <c r="X74" s="39">
        <f>+U74*0.75</f>
        <v>75</v>
      </c>
      <c r="Y74" s="39">
        <f>+U74</f>
        <v>100</v>
      </c>
      <c r="Z74" s="39">
        <v>200</v>
      </c>
      <c r="AA74" s="39">
        <v>0</v>
      </c>
      <c r="AB74" s="48">
        <f t="shared" si="264"/>
        <v>0</v>
      </c>
      <c r="AC74" s="49">
        <f t="shared" si="270"/>
        <v>1</v>
      </c>
      <c r="AD74" s="48">
        <f t="shared" si="290"/>
        <v>-100</v>
      </c>
      <c r="AE74" s="49">
        <f t="shared" si="271"/>
        <v>0</v>
      </c>
      <c r="AF74" s="49">
        <f t="shared" si="272"/>
        <v>0</v>
      </c>
      <c r="AG74" s="45">
        <v>1500</v>
      </c>
      <c r="AH74" s="39">
        <v>200</v>
      </c>
      <c r="AI74" s="39">
        <v>100</v>
      </c>
      <c r="AJ74" s="39">
        <v>200</v>
      </c>
      <c r="AK74" s="39">
        <v>0</v>
      </c>
      <c r="AL74" s="48">
        <f>+AJ74-AH74</f>
        <v>0</v>
      </c>
      <c r="AM74" s="49">
        <f>+IF(AH74&lt;=0,0,AJ74/AH74)</f>
        <v>1</v>
      </c>
      <c r="AN74" s="48">
        <f>+AK74-AI74</f>
        <v>-100</v>
      </c>
      <c r="AO74" s="49">
        <f>+IF(AI74&lt;=0,0,AK74/AI74)</f>
        <v>0</v>
      </c>
      <c r="AP74" s="39">
        <f t="shared" ref="AP74:AQ77" si="298">+AY74+BM74+CA74+CO74</f>
        <v>200</v>
      </c>
      <c r="AQ74" s="39">
        <f t="shared" si="298"/>
        <v>100</v>
      </c>
      <c r="AR74" s="39">
        <f t="shared" ref="AR74:AS77" si="299">+BE74+BS74+CG74++CU74</f>
        <v>200</v>
      </c>
      <c r="AS74" s="39">
        <f t="shared" si="299"/>
        <v>0</v>
      </c>
      <c r="AT74" s="39">
        <f t="shared" ref="AT74:AT77" si="300">+AR74-AP74</f>
        <v>0</v>
      </c>
      <c r="AU74" s="17">
        <f t="shared" si="228"/>
        <v>1</v>
      </c>
      <c r="AV74" s="39">
        <f t="shared" si="229"/>
        <v>-100</v>
      </c>
      <c r="AW74" s="17">
        <f t="shared" si="230"/>
        <v>0</v>
      </c>
      <c r="AX74" s="45">
        <v>1500</v>
      </c>
      <c r="AY74" s="39">
        <v>200</v>
      </c>
      <c r="AZ74" s="39">
        <v>100</v>
      </c>
      <c r="BA74" s="39">
        <f>+AZ74*0.25</f>
        <v>25</v>
      </c>
      <c r="BB74" s="39">
        <f>+AZ74*0.5</f>
        <v>50</v>
      </c>
      <c r="BC74" s="39">
        <f>+AZ74*0.75</f>
        <v>75</v>
      </c>
      <c r="BD74" s="39">
        <f>+AZ74</f>
        <v>100</v>
      </c>
      <c r="BE74" s="39">
        <v>200</v>
      </c>
      <c r="BF74" s="39">
        <v>0</v>
      </c>
      <c r="BG74" s="48">
        <f t="shared" si="265"/>
        <v>0</v>
      </c>
      <c r="BH74" s="49">
        <f t="shared" si="273"/>
        <v>1</v>
      </c>
      <c r="BI74" s="48">
        <f t="shared" si="294"/>
        <v>-100</v>
      </c>
      <c r="BJ74" s="49">
        <f t="shared" si="274"/>
        <v>0</v>
      </c>
      <c r="BK74" s="49">
        <f t="shared" si="275"/>
        <v>0</v>
      </c>
      <c r="BL74" s="45"/>
      <c r="BM74" s="39"/>
      <c r="BN74" s="39"/>
      <c r="BO74" s="39">
        <f>+BN74*0.25</f>
        <v>0</v>
      </c>
      <c r="BP74" s="39">
        <f>+BN74*0.5</f>
        <v>0</v>
      </c>
      <c r="BQ74" s="39">
        <f>+BN74*0.75</f>
        <v>0</v>
      </c>
      <c r="BR74" s="39">
        <f>+BN74</f>
        <v>0</v>
      </c>
      <c r="BS74" s="39"/>
      <c r="BT74" s="39"/>
      <c r="BU74" s="48">
        <f t="shared" si="266"/>
        <v>0</v>
      </c>
      <c r="BV74" s="49">
        <f t="shared" si="276"/>
        <v>0</v>
      </c>
      <c r="BW74" s="48"/>
      <c r="BX74" s="49">
        <f t="shared" si="277"/>
        <v>0</v>
      </c>
      <c r="BY74" s="49">
        <f t="shared" si="278"/>
        <v>0</v>
      </c>
      <c r="BZ74" s="45"/>
      <c r="CA74" s="39">
        <v>0</v>
      </c>
      <c r="CB74" s="39">
        <v>0</v>
      </c>
      <c r="CC74" s="39">
        <f>+CB74*0.25</f>
        <v>0</v>
      </c>
      <c r="CD74" s="39">
        <f>+CB74*0.5</f>
        <v>0</v>
      </c>
      <c r="CE74" s="39">
        <f>+CB74*0.75</f>
        <v>0</v>
      </c>
      <c r="CF74" s="39">
        <f>+CB74</f>
        <v>0</v>
      </c>
      <c r="CG74" s="39"/>
      <c r="CH74" s="39"/>
      <c r="CI74" s="51">
        <f t="shared" si="279"/>
        <v>0</v>
      </c>
      <c r="CJ74" s="49">
        <f t="shared" si="280"/>
        <v>0</v>
      </c>
      <c r="CK74" s="48">
        <f t="shared" si="281"/>
        <v>0</v>
      </c>
      <c r="CL74" s="49">
        <f t="shared" si="282"/>
        <v>0</v>
      </c>
      <c r="CM74" s="49">
        <f t="shared" si="283"/>
        <v>0</v>
      </c>
      <c r="CN74" s="45"/>
      <c r="CO74" s="39"/>
      <c r="CP74" s="39"/>
      <c r="CQ74" s="39"/>
      <c r="CR74" s="39"/>
      <c r="CS74" s="39"/>
      <c r="CT74" s="39"/>
      <c r="CU74" s="39"/>
      <c r="CV74" s="39"/>
      <c r="CW74" s="31">
        <f t="shared" si="231"/>
        <v>0</v>
      </c>
      <c r="CX74" s="17">
        <f t="shared" si="284"/>
        <v>0</v>
      </c>
      <c r="CY74" s="31"/>
      <c r="CZ74" s="49">
        <f t="shared" si="285"/>
        <v>0</v>
      </c>
      <c r="DA74" s="49">
        <f t="shared" si="286"/>
        <v>0</v>
      </c>
    </row>
    <row r="75" spans="1:105" ht="24.95" customHeight="1">
      <c r="A75" s="4" t="s">
        <v>17</v>
      </c>
      <c r="B75" s="9">
        <v>10715</v>
      </c>
      <c r="C75" s="5">
        <f>+C74+1</f>
        <v>2</v>
      </c>
      <c r="D75" s="8" t="s">
        <v>124</v>
      </c>
      <c r="E75" s="45">
        <v>2500</v>
      </c>
      <c r="F75" s="39">
        <v>300</v>
      </c>
      <c r="G75" s="39">
        <v>200</v>
      </c>
      <c r="H75" s="39">
        <f>+G75*0.25</f>
        <v>50</v>
      </c>
      <c r="I75" s="39">
        <f>+G75*0.5</f>
        <v>100</v>
      </c>
      <c r="J75" s="39">
        <f>+G75*0.75</f>
        <v>150</v>
      </c>
      <c r="K75" s="39">
        <f>+G75</f>
        <v>200</v>
      </c>
      <c r="L75" s="39">
        <v>400</v>
      </c>
      <c r="M75" s="39">
        <v>300</v>
      </c>
      <c r="N75" s="48">
        <f t="shared" si="263"/>
        <v>100</v>
      </c>
      <c r="O75" s="49">
        <f t="shared" si="267"/>
        <v>1.3333333333333333</v>
      </c>
      <c r="P75" s="48">
        <f t="shared" si="288"/>
        <v>100</v>
      </c>
      <c r="Q75" s="49">
        <f t="shared" si="268"/>
        <v>1.5</v>
      </c>
      <c r="R75" s="49">
        <f t="shared" si="269"/>
        <v>1.5</v>
      </c>
      <c r="S75" s="45">
        <v>2500</v>
      </c>
      <c r="T75" s="39">
        <v>300</v>
      </c>
      <c r="U75" s="39">
        <v>200</v>
      </c>
      <c r="V75" s="39">
        <f>+U75*0.25</f>
        <v>50</v>
      </c>
      <c r="W75" s="39">
        <f>+U75*0.5</f>
        <v>100</v>
      </c>
      <c r="X75" s="39">
        <f>+U75*0.75</f>
        <v>150</v>
      </c>
      <c r="Y75" s="39">
        <f>+U75</f>
        <v>200</v>
      </c>
      <c r="Z75" s="39">
        <v>400</v>
      </c>
      <c r="AA75" s="39">
        <v>300</v>
      </c>
      <c r="AB75" s="48">
        <f t="shared" si="264"/>
        <v>100</v>
      </c>
      <c r="AC75" s="49">
        <f t="shared" si="270"/>
        <v>1.3333333333333333</v>
      </c>
      <c r="AD75" s="48">
        <f t="shared" si="290"/>
        <v>100</v>
      </c>
      <c r="AE75" s="49">
        <f t="shared" si="271"/>
        <v>1.5</v>
      </c>
      <c r="AF75" s="49">
        <f t="shared" si="272"/>
        <v>1.5</v>
      </c>
      <c r="AG75" s="45">
        <v>2500</v>
      </c>
      <c r="AH75" s="39">
        <v>300</v>
      </c>
      <c r="AI75" s="39">
        <v>200</v>
      </c>
      <c r="AJ75" s="39">
        <v>400</v>
      </c>
      <c r="AK75" s="39">
        <v>300</v>
      </c>
      <c r="AL75" s="48">
        <f>+AJ75-AH75</f>
        <v>100</v>
      </c>
      <c r="AM75" s="49">
        <f>+IF(AH75&lt;=0,0,AJ75/AH75)</f>
        <v>1.3333333333333333</v>
      </c>
      <c r="AN75" s="48">
        <f>+AK75-AI75</f>
        <v>100</v>
      </c>
      <c r="AO75" s="49">
        <f>+IF(AI75&lt;=0,0,AK75/AI75)</f>
        <v>1.5</v>
      </c>
      <c r="AP75" s="39">
        <f t="shared" si="298"/>
        <v>300</v>
      </c>
      <c r="AQ75" s="39">
        <f t="shared" si="298"/>
        <v>200</v>
      </c>
      <c r="AR75" s="39">
        <f t="shared" si="299"/>
        <v>400</v>
      </c>
      <c r="AS75" s="39">
        <f t="shared" si="299"/>
        <v>300</v>
      </c>
      <c r="AT75" s="39">
        <f t="shared" si="300"/>
        <v>100</v>
      </c>
      <c r="AU75" s="17">
        <f t="shared" si="228"/>
        <v>1.3333333333333333</v>
      </c>
      <c r="AV75" s="39">
        <f t="shared" si="229"/>
        <v>100</v>
      </c>
      <c r="AW75" s="17">
        <f t="shared" si="230"/>
        <v>1.5</v>
      </c>
      <c r="AX75" s="45">
        <v>2500</v>
      </c>
      <c r="AY75" s="39">
        <v>300</v>
      </c>
      <c r="AZ75" s="39">
        <v>200</v>
      </c>
      <c r="BA75" s="39">
        <f>+AZ75*0.25</f>
        <v>50</v>
      </c>
      <c r="BB75" s="39">
        <f>+AZ75*0.5</f>
        <v>100</v>
      </c>
      <c r="BC75" s="39">
        <f>+AZ75*0.75</f>
        <v>150</v>
      </c>
      <c r="BD75" s="39">
        <f>+AZ75</f>
        <v>200</v>
      </c>
      <c r="BE75" s="39">
        <v>400</v>
      </c>
      <c r="BF75" s="39">
        <v>300</v>
      </c>
      <c r="BG75" s="48">
        <f t="shared" si="265"/>
        <v>100</v>
      </c>
      <c r="BH75" s="49">
        <f t="shared" si="273"/>
        <v>1.3333333333333333</v>
      </c>
      <c r="BI75" s="48">
        <f t="shared" si="294"/>
        <v>100</v>
      </c>
      <c r="BJ75" s="49">
        <f t="shared" si="274"/>
        <v>1.5</v>
      </c>
      <c r="BK75" s="49">
        <f t="shared" si="275"/>
        <v>1.5</v>
      </c>
      <c r="BL75" s="45"/>
      <c r="BM75" s="39"/>
      <c r="BN75" s="39"/>
      <c r="BO75" s="39">
        <f>+BN75*0.25</f>
        <v>0</v>
      </c>
      <c r="BP75" s="39">
        <f>+BN75*0.5</f>
        <v>0</v>
      </c>
      <c r="BQ75" s="39">
        <f>+BN75*0.75</f>
        <v>0</v>
      </c>
      <c r="BR75" s="39">
        <f>+BN75</f>
        <v>0</v>
      </c>
      <c r="BS75" s="39"/>
      <c r="BT75" s="39"/>
      <c r="BU75" s="48">
        <f t="shared" si="266"/>
        <v>0</v>
      </c>
      <c r="BV75" s="49">
        <f t="shared" si="276"/>
        <v>0</v>
      </c>
      <c r="BW75" s="48"/>
      <c r="BX75" s="49">
        <f t="shared" si="277"/>
        <v>0</v>
      </c>
      <c r="BY75" s="49">
        <f t="shared" si="278"/>
        <v>0</v>
      </c>
      <c r="BZ75" s="45"/>
      <c r="CA75" s="39"/>
      <c r="CB75" s="39"/>
      <c r="CC75" s="39">
        <f>+CB75*0.25</f>
        <v>0</v>
      </c>
      <c r="CD75" s="39">
        <f>+CB75*0.5</f>
        <v>0</v>
      </c>
      <c r="CE75" s="39">
        <f>+CB75*0.75</f>
        <v>0</v>
      </c>
      <c r="CF75" s="39">
        <f>+CB75</f>
        <v>0</v>
      </c>
      <c r="CG75" s="39"/>
      <c r="CH75" s="39"/>
      <c r="CI75" s="51">
        <f t="shared" si="279"/>
        <v>0</v>
      </c>
      <c r="CJ75" s="49">
        <f t="shared" si="280"/>
        <v>0</v>
      </c>
      <c r="CK75" s="48">
        <f t="shared" si="281"/>
        <v>0</v>
      </c>
      <c r="CL75" s="49">
        <f t="shared" si="282"/>
        <v>0</v>
      </c>
      <c r="CM75" s="49">
        <f t="shared" si="283"/>
        <v>0</v>
      </c>
      <c r="CN75" s="45"/>
      <c r="CO75" s="39"/>
      <c r="CP75" s="39"/>
      <c r="CQ75" s="39"/>
      <c r="CR75" s="39"/>
      <c r="CS75" s="39"/>
      <c r="CT75" s="39"/>
      <c r="CU75" s="39"/>
      <c r="CV75" s="39"/>
      <c r="CW75" s="31">
        <f t="shared" si="231"/>
        <v>0</v>
      </c>
      <c r="CX75" s="17">
        <f t="shared" si="284"/>
        <v>0</v>
      </c>
      <c r="CY75" s="31"/>
      <c r="CZ75" s="49">
        <f t="shared" si="285"/>
        <v>0</v>
      </c>
      <c r="DA75" s="49">
        <f t="shared" si="286"/>
        <v>0</v>
      </c>
    </row>
    <row r="76" spans="1:105" ht="24.95" customHeight="1">
      <c r="A76" s="4" t="s">
        <v>12</v>
      </c>
      <c r="B76" s="9">
        <v>11291</v>
      </c>
      <c r="C76" s="5">
        <f t="shared" ref="C76:C77" si="301">+C75+1</f>
        <v>3</v>
      </c>
      <c r="D76" s="8" t="s">
        <v>125</v>
      </c>
      <c r="E76" s="45">
        <v>8500</v>
      </c>
      <c r="F76" s="39">
        <v>800</v>
      </c>
      <c r="G76" s="39">
        <v>500</v>
      </c>
      <c r="H76" s="39">
        <f>+G76*0.25</f>
        <v>125</v>
      </c>
      <c r="I76" s="39">
        <f>+G76*0.5</f>
        <v>250</v>
      </c>
      <c r="J76" s="39">
        <f>+G76*0.75</f>
        <v>375</v>
      </c>
      <c r="K76" s="39">
        <f>+G76</f>
        <v>500</v>
      </c>
      <c r="L76" s="39">
        <v>1000</v>
      </c>
      <c r="M76" s="39">
        <v>600</v>
      </c>
      <c r="N76" s="48">
        <f t="shared" si="263"/>
        <v>200</v>
      </c>
      <c r="O76" s="49">
        <f t="shared" si="267"/>
        <v>1.25</v>
      </c>
      <c r="P76" s="48">
        <f t="shared" si="288"/>
        <v>100</v>
      </c>
      <c r="Q76" s="49">
        <f t="shared" si="268"/>
        <v>1.2</v>
      </c>
      <c r="R76" s="49">
        <f t="shared" si="269"/>
        <v>1.2</v>
      </c>
      <c r="S76" s="45">
        <v>8500</v>
      </c>
      <c r="T76" s="39">
        <v>800</v>
      </c>
      <c r="U76" s="39">
        <v>500</v>
      </c>
      <c r="V76" s="39">
        <f>+U76*0.25</f>
        <v>125</v>
      </c>
      <c r="W76" s="39">
        <f>+U76*0.5</f>
        <v>250</v>
      </c>
      <c r="X76" s="39">
        <f>+U76*0.75</f>
        <v>375</v>
      </c>
      <c r="Y76" s="39">
        <f>+U76</f>
        <v>500</v>
      </c>
      <c r="Z76" s="39">
        <v>1000</v>
      </c>
      <c r="AA76" s="39">
        <v>600</v>
      </c>
      <c r="AB76" s="48">
        <f t="shared" si="264"/>
        <v>200</v>
      </c>
      <c r="AC76" s="49">
        <f t="shared" si="270"/>
        <v>1.25</v>
      </c>
      <c r="AD76" s="48">
        <f t="shared" si="290"/>
        <v>100</v>
      </c>
      <c r="AE76" s="49">
        <f t="shared" si="271"/>
        <v>1.2</v>
      </c>
      <c r="AF76" s="49">
        <f t="shared" si="272"/>
        <v>1.2</v>
      </c>
      <c r="AG76" s="45">
        <v>8500</v>
      </c>
      <c r="AH76" s="39">
        <v>800</v>
      </c>
      <c r="AI76" s="39">
        <v>500</v>
      </c>
      <c r="AJ76" s="39">
        <v>1000</v>
      </c>
      <c r="AK76" s="39">
        <v>600</v>
      </c>
      <c r="AL76" s="48">
        <f>+AJ76-AH76</f>
        <v>200</v>
      </c>
      <c r="AM76" s="49">
        <f>+IF(AH76&lt;=0,0,AJ76/AH76)</f>
        <v>1.25</v>
      </c>
      <c r="AN76" s="48">
        <f>+AK76-AI76</f>
        <v>100</v>
      </c>
      <c r="AO76" s="49">
        <f>+IF(AI76&lt;=0,0,AK76/AI76)</f>
        <v>1.2</v>
      </c>
      <c r="AP76" s="39">
        <f t="shared" si="298"/>
        <v>4900</v>
      </c>
      <c r="AQ76" s="39">
        <f t="shared" si="298"/>
        <v>2300</v>
      </c>
      <c r="AR76" s="39">
        <f t="shared" si="299"/>
        <v>12485.367299999998</v>
      </c>
      <c r="AS76" s="39">
        <f t="shared" si="299"/>
        <v>4819.2759999999998</v>
      </c>
      <c r="AT76" s="39">
        <f t="shared" si="300"/>
        <v>7585.3672999999981</v>
      </c>
      <c r="AU76" s="17">
        <f t="shared" si="228"/>
        <v>2.5480341428571425</v>
      </c>
      <c r="AV76" s="39">
        <f t="shared" si="229"/>
        <v>2519.2759999999998</v>
      </c>
      <c r="AW76" s="17">
        <f t="shared" si="230"/>
        <v>2.0953373913043478</v>
      </c>
      <c r="AX76" s="45">
        <v>8500</v>
      </c>
      <c r="AY76" s="39">
        <v>800</v>
      </c>
      <c r="AZ76" s="39">
        <v>500</v>
      </c>
      <c r="BA76" s="39">
        <f>+AZ76*0.25</f>
        <v>125</v>
      </c>
      <c r="BB76" s="39">
        <f>+AZ76*0.5</f>
        <v>250</v>
      </c>
      <c r="BC76" s="39">
        <f>+AZ76*0.75</f>
        <v>375</v>
      </c>
      <c r="BD76" s="39">
        <f>+AZ76</f>
        <v>500</v>
      </c>
      <c r="BE76" s="39">
        <v>1000</v>
      </c>
      <c r="BF76" s="39">
        <v>600</v>
      </c>
      <c r="BG76" s="48">
        <f t="shared" si="265"/>
        <v>200</v>
      </c>
      <c r="BH76" s="49">
        <f t="shared" si="273"/>
        <v>1.25</v>
      </c>
      <c r="BI76" s="48">
        <f t="shared" si="294"/>
        <v>100</v>
      </c>
      <c r="BJ76" s="49">
        <f t="shared" si="274"/>
        <v>1.2</v>
      </c>
      <c r="BK76" s="49">
        <f t="shared" si="275"/>
        <v>1.2</v>
      </c>
      <c r="BL76" s="45">
        <v>25000</v>
      </c>
      <c r="BM76" s="39">
        <v>1800</v>
      </c>
      <c r="BN76" s="39">
        <v>1000</v>
      </c>
      <c r="BO76" s="39">
        <f>+BN76*0.25</f>
        <v>250</v>
      </c>
      <c r="BP76" s="39">
        <f>+BN76*0.5</f>
        <v>500</v>
      </c>
      <c r="BQ76" s="39">
        <f>+BN76*0.75</f>
        <v>750</v>
      </c>
      <c r="BR76" s="39">
        <f>+BN76</f>
        <v>1000</v>
      </c>
      <c r="BS76" s="39">
        <v>1147.28</v>
      </c>
      <c r="BT76" s="39">
        <v>381</v>
      </c>
      <c r="BU76" s="48">
        <f t="shared" si="266"/>
        <v>-652.72</v>
      </c>
      <c r="BV76" s="49">
        <f t="shared" si="276"/>
        <v>0.63737777777777771</v>
      </c>
      <c r="BW76" s="48">
        <f>+BT76-BN76</f>
        <v>-619</v>
      </c>
      <c r="BX76" s="49">
        <f t="shared" si="277"/>
        <v>0.38100000000000001</v>
      </c>
      <c r="BY76" s="49">
        <f t="shared" si="278"/>
        <v>0.38100000000000001</v>
      </c>
      <c r="BZ76" s="45">
        <v>25000.000000000004</v>
      </c>
      <c r="CA76" s="39">
        <v>2300</v>
      </c>
      <c r="CB76" s="39">
        <v>800</v>
      </c>
      <c r="CC76" s="39">
        <f>+CB76*0.25</f>
        <v>200</v>
      </c>
      <c r="CD76" s="39">
        <f>+CB76*0.5</f>
        <v>400</v>
      </c>
      <c r="CE76" s="39">
        <f>+CB76*0.75</f>
        <v>600</v>
      </c>
      <c r="CF76" s="39">
        <f>+CB76</f>
        <v>800</v>
      </c>
      <c r="CG76" s="39">
        <v>10338.087299999999</v>
      </c>
      <c r="CH76" s="39">
        <v>3838.2759999999998</v>
      </c>
      <c r="CI76" s="51">
        <f t="shared" si="279"/>
        <v>8038.0872999999992</v>
      </c>
      <c r="CJ76" s="49">
        <f t="shared" si="280"/>
        <v>4.4948205652173909</v>
      </c>
      <c r="CK76" s="48">
        <f t="shared" si="281"/>
        <v>3038.2759999999998</v>
      </c>
      <c r="CL76" s="49">
        <f t="shared" si="282"/>
        <v>4.7978449999999997</v>
      </c>
      <c r="CM76" s="49">
        <f t="shared" si="283"/>
        <v>4.7978449999999997</v>
      </c>
      <c r="CN76" s="45"/>
      <c r="CO76" s="39"/>
      <c r="CP76" s="39"/>
      <c r="CQ76" s="39"/>
      <c r="CR76" s="39"/>
      <c r="CS76" s="39"/>
      <c r="CT76" s="39"/>
      <c r="CU76" s="39"/>
      <c r="CV76" s="39"/>
      <c r="CW76" s="31">
        <f t="shared" si="231"/>
        <v>0</v>
      </c>
      <c r="CX76" s="17">
        <f t="shared" si="284"/>
        <v>0</v>
      </c>
      <c r="CY76" s="31"/>
      <c r="CZ76" s="49">
        <f t="shared" si="285"/>
        <v>0</v>
      </c>
      <c r="DA76" s="49">
        <f t="shared" si="286"/>
        <v>0</v>
      </c>
    </row>
    <row r="77" spans="1:105" ht="24.95" customHeight="1">
      <c r="A77" s="4" t="s">
        <v>27</v>
      </c>
      <c r="B77" s="9">
        <v>12228</v>
      </c>
      <c r="C77" s="5">
        <f t="shared" si="301"/>
        <v>4</v>
      </c>
      <c r="D77" s="8" t="s">
        <v>126</v>
      </c>
      <c r="E77" s="45">
        <v>3500</v>
      </c>
      <c r="F77" s="39">
        <v>620</v>
      </c>
      <c r="G77" s="39">
        <v>320</v>
      </c>
      <c r="H77" s="39">
        <f>+G77*0.25</f>
        <v>80</v>
      </c>
      <c r="I77" s="39">
        <f>+G77*0.5</f>
        <v>160</v>
      </c>
      <c r="J77" s="39">
        <f>+G77*0.75</f>
        <v>240</v>
      </c>
      <c r="K77" s="39">
        <f>+G77</f>
        <v>320</v>
      </c>
      <c r="L77" s="39">
        <v>400</v>
      </c>
      <c r="M77" s="39">
        <v>100</v>
      </c>
      <c r="N77" s="48">
        <f t="shared" si="263"/>
        <v>-220</v>
      </c>
      <c r="O77" s="49">
        <f t="shared" si="267"/>
        <v>0.64516129032258063</v>
      </c>
      <c r="P77" s="48">
        <f t="shared" si="288"/>
        <v>-220</v>
      </c>
      <c r="Q77" s="49">
        <f t="shared" si="268"/>
        <v>0.3125</v>
      </c>
      <c r="R77" s="49">
        <f t="shared" si="269"/>
        <v>0.3125</v>
      </c>
      <c r="S77" s="45">
        <v>3500</v>
      </c>
      <c r="T77" s="39">
        <v>620</v>
      </c>
      <c r="U77" s="39">
        <v>320</v>
      </c>
      <c r="V77" s="39">
        <f>+U77*0.25</f>
        <v>80</v>
      </c>
      <c r="W77" s="39">
        <f>+U77*0.5</f>
        <v>160</v>
      </c>
      <c r="X77" s="39">
        <f>+U77*0.75</f>
        <v>240</v>
      </c>
      <c r="Y77" s="39">
        <f>+U77</f>
        <v>320</v>
      </c>
      <c r="Z77" s="39">
        <v>400</v>
      </c>
      <c r="AA77" s="39">
        <v>100</v>
      </c>
      <c r="AB77" s="48">
        <f t="shared" si="264"/>
        <v>-220</v>
      </c>
      <c r="AC77" s="49">
        <f t="shared" si="270"/>
        <v>0.64516129032258063</v>
      </c>
      <c r="AD77" s="48">
        <f t="shared" si="290"/>
        <v>-220</v>
      </c>
      <c r="AE77" s="49">
        <f t="shared" si="271"/>
        <v>0.3125</v>
      </c>
      <c r="AF77" s="49">
        <f t="shared" si="272"/>
        <v>0.3125</v>
      </c>
      <c r="AG77" s="45">
        <v>3500</v>
      </c>
      <c r="AH77" s="39">
        <v>620</v>
      </c>
      <c r="AI77" s="39">
        <v>320</v>
      </c>
      <c r="AJ77" s="39">
        <v>400</v>
      </c>
      <c r="AK77" s="39">
        <v>100</v>
      </c>
      <c r="AL77" s="48">
        <f>+AJ77-AH77</f>
        <v>-220</v>
      </c>
      <c r="AM77" s="49">
        <f>+IF(AH77&lt;=0,0,AJ77/AH77)</f>
        <v>0.64516129032258063</v>
      </c>
      <c r="AN77" s="48">
        <f>+AK77-AI77</f>
        <v>-220</v>
      </c>
      <c r="AO77" s="49">
        <f>+IF(AI77&lt;=0,0,AK77/AI77)</f>
        <v>0.3125</v>
      </c>
      <c r="AP77" s="39">
        <f t="shared" si="298"/>
        <v>620</v>
      </c>
      <c r="AQ77" s="39">
        <f t="shared" si="298"/>
        <v>320</v>
      </c>
      <c r="AR77" s="39">
        <f t="shared" si="299"/>
        <v>400</v>
      </c>
      <c r="AS77" s="39">
        <f t="shared" si="299"/>
        <v>100</v>
      </c>
      <c r="AT77" s="39">
        <f t="shared" si="300"/>
        <v>-220</v>
      </c>
      <c r="AU77" s="17">
        <f t="shared" si="228"/>
        <v>0.64516129032258063</v>
      </c>
      <c r="AV77" s="39">
        <f t="shared" si="229"/>
        <v>-220</v>
      </c>
      <c r="AW77" s="17">
        <f t="shared" si="230"/>
        <v>0.3125</v>
      </c>
      <c r="AX77" s="45">
        <v>3500</v>
      </c>
      <c r="AY77" s="39">
        <v>620</v>
      </c>
      <c r="AZ77" s="39">
        <v>320</v>
      </c>
      <c r="BA77" s="39">
        <f>+AZ77*0.25</f>
        <v>80</v>
      </c>
      <c r="BB77" s="39">
        <f>+AZ77*0.5</f>
        <v>160</v>
      </c>
      <c r="BC77" s="39">
        <f>+AZ77*0.75</f>
        <v>240</v>
      </c>
      <c r="BD77" s="39">
        <f>+AZ77</f>
        <v>320</v>
      </c>
      <c r="BE77" s="39">
        <v>400</v>
      </c>
      <c r="BF77" s="39">
        <v>100</v>
      </c>
      <c r="BG77" s="48">
        <f t="shared" si="265"/>
        <v>-220</v>
      </c>
      <c r="BH77" s="49">
        <f t="shared" si="273"/>
        <v>0.64516129032258063</v>
      </c>
      <c r="BI77" s="48">
        <f t="shared" si="294"/>
        <v>-220</v>
      </c>
      <c r="BJ77" s="49">
        <f t="shared" si="274"/>
        <v>0.3125</v>
      </c>
      <c r="BK77" s="49">
        <f t="shared" si="275"/>
        <v>0.3125</v>
      </c>
      <c r="BL77" s="45"/>
      <c r="BM77" s="39"/>
      <c r="BN77" s="39"/>
      <c r="BO77" s="39">
        <f>+BN77*0.25</f>
        <v>0</v>
      </c>
      <c r="BP77" s="39">
        <f>+BN77*0.5</f>
        <v>0</v>
      </c>
      <c r="BQ77" s="39">
        <f>+BN77*0.75</f>
        <v>0</v>
      </c>
      <c r="BR77" s="39">
        <f>+BN77</f>
        <v>0</v>
      </c>
      <c r="BS77" s="39"/>
      <c r="BT77" s="39"/>
      <c r="BU77" s="48">
        <f t="shared" si="266"/>
        <v>0</v>
      </c>
      <c r="BV77" s="49">
        <f t="shared" si="276"/>
        <v>0</v>
      </c>
      <c r="BW77" s="48"/>
      <c r="BX77" s="49">
        <f t="shared" si="277"/>
        <v>0</v>
      </c>
      <c r="BY77" s="49">
        <f t="shared" si="278"/>
        <v>0</v>
      </c>
      <c r="BZ77" s="45"/>
      <c r="CA77" s="39"/>
      <c r="CB77" s="39"/>
      <c r="CC77" s="39">
        <f>+CB77*0.25</f>
        <v>0</v>
      </c>
      <c r="CD77" s="39">
        <f>+CB77*0.5</f>
        <v>0</v>
      </c>
      <c r="CE77" s="39">
        <f>+CB77*0.75</f>
        <v>0</v>
      </c>
      <c r="CF77" s="39">
        <f>+CB77</f>
        <v>0</v>
      </c>
      <c r="CG77" s="39"/>
      <c r="CH77" s="39"/>
      <c r="CI77" s="51">
        <f t="shared" si="279"/>
        <v>0</v>
      </c>
      <c r="CJ77" s="49">
        <f t="shared" si="280"/>
        <v>0</v>
      </c>
      <c r="CK77" s="48">
        <f t="shared" si="281"/>
        <v>0</v>
      </c>
      <c r="CL77" s="49">
        <f t="shared" si="282"/>
        <v>0</v>
      </c>
      <c r="CM77" s="49">
        <f t="shared" si="283"/>
        <v>0</v>
      </c>
      <c r="CN77" s="45"/>
      <c r="CO77" s="39"/>
      <c r="CP77" s="39"/>
      <c r="CQ77" s="39"/>
      <c r="CR77" s="39"/>
      <c r="CS77" s="39"/>
      <c r="CT77" s="39"/>
      <c r="CU77" s="39"/>
      <c r="CV77" s="39"/>
      <c r="CW77" s="31">
        <f t="shared" si="231"/>
        <v>0</v>
      </c>
      <c r="CX77" s="17">
        <f t="shared" si="284"/>
        <v>0</v>
      </c>
      <c r="CY77" s="31"/>
      <c r="CZ77" s="49">
        <f t="shared" si="285"/>
        <v>0</v>
      </c>
      <c r="DA77" s="49">
        <f t="shared" si="286"/>
        <v>0</v>
      </c>
    </row>
    <row r="78" spans="1:105" s="26" customFormat="1" ht="24.95" customHeight="1">
      <c r="A78" s="25"/>
      <c r="B78" s="7"/>
      <c r="C78" s="6"/>
      <c r="D78" s="7" t="s">
        <v>3</v>
      </c>
      <c r="E78" s="13">
        <f t="shared" ref="E78:M78" si="302">+E79</f>
        <v>15999.997000000001</v>
      </c>
      <c r="F78" s="13">
        <f t="shared" si="302"/>
        <v>1800</v>
      </c>
      <c r="G78" s="13">
        <f t="shared" si="302"/>
        <v>700</v>
      </c>
      <c r="H78" s="13">
        <f t="shared" si="302"/>
        <v>175</v>
      </c>
      <c r="I78" s="13">
        <f t="shared" si="302"/>
        <v>350</v>
      </c>
      <c r="J78" s="13">
        <f t="shared" si="302"/>
        <v>525</v>
      </c>
      <c r="K78" s="13">
        <f t="shared" si="302"/>
        <v>700</v>
      </c>
      <c r="L78" s="13">
        <f t="shared" si="302"/>
        <v>2776.7053999999998</v>
      </c>
      <c r="M78" s="13">
        <f t="shared" si="302"/>
        <v>669.33400000000006</v>
      </c>
      <c r="N78" s="19">
        <f t="shared" si="263"/>
        <v>976.70539999999983</v>
      </c>
      <c r="O78" s="20">
        <f t="shared" si="267"/>
        <v>1.5426141111111109</v>
      </c>
      <c r="P78" s="19">
        <f t="shared" si="288"/>
        <v>-30.66599999999994</v>
      </c>
      <c r="Q78" s="20">
        <f t="shared" si="268"/>
        <v>0.95619142857142869</v>
      </c>
      <c r="R78" s="20">
        <f t="shared" si="269"/>
        <v>0.95619142857142869</v>
      </c>
      <c r="S78" s="13">
        <f t="shared" ref="S78:AA78" si="303">+S79</f>
        <v>15999.997000000001</v>
      </c>
      <c r="T78" s="13">
        <f t="shared" si="303"/>
        <v>1800</v>
      </c>
      <c r="U78" s="13">
        <f t="shared" si="303"/>
        <v>700</v>
      </c>
      <c r="V78" s="13">
        <f t="shared" si="303"/>
        <v>175</v>
      </c>
      <c r="W78" s="13">
        <f t="shared" si="303"/>
        <v>350</v>
      </c>
      <c r="X78" s="13">
        <f t="shared" si="303"/>
        <v>525</v>
      </c>
      <c r="Y78" s="13">
        <f t="shared" si="303"/>
        <v>700</v>
      </c>
      <c r="Z78" s="13">
        <f t="shared" si="303"/>
        <v>2776.7053999999998</v>
      </c>
      <c r="AA78" s="13">
        <f t="shared" si="303"/>
        <v>669.33400000000006</v>
      </c>
      <c r="AB78" s="19">
        <f t="shared" si="264"/>
        <v>976.70539999999983</v>
      </c>
      <c r="AC78" s="20">
        <f t="shared" si="270"/>
        <v>1.5426141111111109</v>
      </c>
      <c r="AD78" s="19">
        <f t="shared" si="290"/>
        <v>-30.66599999999994</v>
      </c>
      <c r="AE78" s="20">
        <f t="shared" si="271"/>
        <v>0.95619142857142869</v>
      </c>
      <c r="AF78" s="20">
        <f t="shared" si="272"/>
        <v>0.95619142857142869</v>
      </c>
      <c r="AG78" s="13">
        <f t="shared" ref="AG78:AK78" si="304">+AG79</f>
        <v>15999.997000000001</v>
      </c>
      <c r="AH78" s="13">
        <f t="shared" si="304"/>
        <v>1800</v>
      </c>
      <c r="AI78" s="13">
        <f t="shared" si="304"/>
        <v>700</v>
      </c>
      <c r="AJ78" s="13">
        <f t="shared" si="304"/>
        <v>2776.7053999999998</v>
      </c>
      <c r="AK78" s="13">
        <f t="shared" si="304"/>
        <v>669.33400000000006</v>
      </c>
      <c r="AL78" s="19">
        <f>+AJ78-AH78</f>
        <v>976.70539999999983</v>
      </c>
      <c r="AM78" s="20">
        <f>+IF(AH78&lt;=0,0,AJ78/AH78)</f>
        <v>1.5426141111111109</v>
      </c>
      <c r="AN78" s="19">
        <f>+AK78-AI78</f>
        <v>-30.66599999999994</v>
      </c>
      <c r="AO78" s="20">
        <f>+IF(AI78&lt;=0,0,AK78/AI78)</f>
        <v>0.95619142857142869</v>
      </c>
      <c r="AP78" s="13">
        <f t="shared" ref="AP78:CT78" si="305">+AP79</f>
        <v>19338.627450980392</v>
      </c>
      <c r="AQ78" s="13">
        <f t="shared" si="305"/>
        <v>5999.6078431372543</v>
      </c>
      <c r="AR78" s="13">
        <f t="shared" si="305"/>
        <v>21872.64794531</v>
      </c>
      <c r="AS78" s="13">
        <f t="shared" si="305"/>
        <v>9840.0707379800006</v>
      </c>
      <c r="AT78" s="19">
        <f t="shared" si="236"/>
        <v>2534.0204943296085</v>
      </c>
      <c r="AU78" s="20">
        <f t="shared" si="228"/>
        <v>1.1310341440080405</v>
      </c>
      <c r="AV78" s="19">
        <f t="shared" si="229"/>
        <v>3840.4628948427462</v>
      </c>
      <c r="AW78" s="20">
        <f t="shared" si="230"/>
        <v>1.6401189869827442</v>
      </c>
      <c r="AX78" s="13">
        <f t="shared" si="305"/>
        <v>15999.997000000001</v>
      </c>
      <c r="AY78" s="13">
        <f t="shared" si="305"/>
        <v>1800</v>
      </c>
      <c r="AZ78" s="13">
        <f t="shared" si="305"/>
        <v>700</v>
      </c>
      <c r="BA78" s="13">
        <f t="shared" si="305"/>
        <v>175</v>
      </c>
      <c r="BB78" s="13">
        <f t="shared" si="305"/>
        <v>350</v>
      </c>
      <c r="BC78" s="13">
        <f t="shared" si="305"/>
        <v>525</v>
      </c>
      <c r="BD78" s="13">
        <f t="shared" si="305"/>
        <v>700</v>
      </c>
      <c r="BE78" s="13">
        <f t="shared" si="305"/>
        <v>2776.7053999999998</v>
      </c>
      <c r="BF78" s="13">
        <f t="shared" si="305"/>
        <v>669.33400000000006</v>
      </c>
      <c r="BG78" s="19">
        <f t="shared" si="265"/>
        <v>976.70539999999983</v>
      </c>
      <c r="BH78" s="20">
        <f t="shared" si="273"/>
        <v>1.5426141111111109</v>
      </c>
      <c r="BI78" s="19">
        <f t="shared" si="294"/>
        <v>-30.66599999999994</v>
      </c>
      <c r="BJ78" s="20">
        <f t="shared" si="274"/>
        <v>0.95619142857142869</v>
      </c>
      <c r="BK78" s="20">
        <f t="shared" si="275"/>
        <v>0.95619142857142869</v>
      </c>
      <c r="BL78" s="13">
        <f t="shared" si="305"/>
        <v>20200</v>
      </c>
      <c r="BM78" s="13">
        <f t="shared" si="305"/>
        <v>3703.3333333333335</v>
      </c>
      <c r="BN78" s="13">
        <f t="shared" si="305"/>
        <v>1346.6666666666667</v>
      </c>
      <c r="BO78" s="13">
        <f t="shared" si="305"/>
        <v>336.66666666666669</v>
      </c>
      <c r="BP78" s="13">
        <f t="shared" si="305"/>
        <v>673.33333333333337</v>
      </c>
      <c r="BQ78" s="13">
        <f t="shared" si="305"/>
        <v>1010</v>
      </c>
      <c r="BR78" s="13">
        <f t="shared" si="305"/>
        <v>1346.6666666666667</v>
      </c>
      <c r="BS78" s="13">
        <f>+BS79</f>
        <v>3941.9273179800002</v>
      </c>
      <c r="BT78" s="13">
        <f>+BT79</f>
        <v>1589.3819429800001</v>
      </c>
      <c r="BU78" s="19">
        <f t="shared" si="266"/>
        <v>238.59398464666674</v>
      </c>
      <c r="BV78" s="20">
        <f t="shared" si="276"/>
        <v>1.0644268185364536</v>
      </c>
      <c r="BW78" s="19">
        <f t="shared" ref="BW78:BW83" si="306">+BT78-BN78</f>
        <v>242.71527631333333</v>
      </c>
      <c r="BX78" s="20">
        <f t="shared" si="277"/>
        <v>1.1802341160742573</v>
      </c>
      <c r="BY78" s="20">
        <f t="shared" si="278"/>
        <v>1.1802341160742573</v>
      </c>
      <c r="BZ78" s="13">
        <f t="shared" si="305"/>
        <v>98823.529411764699</v>
      </c>
      <c r="CA78" s="13">
        <f t="shared" si="305"/>
        <v>13835.294117647059</v>
      </c>
      <c r="CB78" s="13">
        <f t="shared" si="305"/>
        <v>3952.9411764705878</v>
      </c>
      <c r="CC78" s="13">
        <f t="shared" si="305"/>
        <v>988.23529411764696</v>
      </c>
      <c r="CD78" s="13">
        <f t="shared" si="305"/>
        <v>1976.4705882352939</v>
      </c>
      <c r="CE78" s="13">
        <f t="shared" si="305"/>
        <v>2964.705882352941</v>
      </c>
      <c r="CF78" s="13">
        <f t="shared" si="305"/>
        <v>3952.9411764705878</v>
      </c>
      <c r="CG78" s="13">
        <f t="shared" si="305"/>
        <v>15154.015227329999</v>
      </c>
      <c r="CH78" s="13">
        <f t="shared" si="305"/>
        <v>7581.3547950000002</v>
      </c>
      <c r="CI78" s="19">
        <f t="shared" si="279"/>
        <v>1318.7211096829396</v>
      </c>
      <c r="CJ78" s="20">
        <f t="shared" si="280"/>
        <v>1.0953157264651785</v>
      </c>
      <c r="CK78" s="19">
        <f t="shared" si="281"/>
        <v>3628.4136185294124</v>
      </c>
      <c r="CL78" s="20">
        <f t="shared" si="282"/>
        <v>1.9179022546875002</v>
      </c>
      <c r="CM78" s="20">
        <f t="shared" si="283"/>
        <v>1.9179022546875002</v>
      </c>
      <c r="CN78" s="13">
        <f t="shared" si="305"/>
        <v>0</v>
      </c>
      <c r="CO78" s="13">
        <f t="shared" si="305"/>
        <v>0</v>
      </c>
      <c r="CP78" s="13">
        <f t="shared" si="305"/>
        <v>0</v>
      </c>
      <c r="CQ78" s="13">
        <f t="shared" si="305"/>
        <v>0</v>
      </c>
      <c r="CR78" s="13">
        <f t="shared" si="305"/>
        <v>0</v>
      </c>
      <c r="CS78" s="13">
        <f t="shared" si="305"/>
        <v>0</v>
      </c>
      <c r="CT78" s="13">
        <f t="shared" si="305"/>
        <v>0</v>
      </c>
      <c r="CU78" s="13"/>
      <c r="CV78" s="13"/>
      <c r="CW78" s="30">
        <f t="shared" si="231"/>
        <v>0</v>
      </c>
      <c r="CX78" s="20">
        <f t="shared" si="284"/>
        <v>0</v>
      </c>
      <c r="CY78" s="30"/>
      <c r="CZ78" s="20">
        <f t="shared" si="285"/>
        <v>0</v>
      </c>
      <c r="DA78" s="20">
        <f t="shared" si="286"/>
        <v>0</v>
      </c>
    </row>
    <row r="79" spans="1:105" ht="24.95" customHeight="1">
      <c r="A79" s="4" t="s">
        <v>8</v>
      </c>
      <c r="B79" s="9">
        <v>12008</v>
      </c>
      <c r="C79" s="5">
        <f>+C78+1</f>
        <v>1</v>
      </c>
      <c r="D79" s="8" t="s">
        <v>127</v>
      </c>
      <c r="E79" s="45">
        <v>15999.997000000001</v>
      </c>
      <c r="F79" s="39">
        <v>1800</v>
      </c>
      <c r="G79" s="39">
        <v>700</v>
      </c>
      <c r="H79" s="39">
        <f>+G79*0.25</f>
        <v>175</v>
      </c>
      <c r="I79" s="39">
        <f>+G79*0.5</f>
        <v>350</v>
      </c>
      <c r="J79" s="39">
        <f>+G79*0.75</f>
        <v>525</v>
      </c>
      <c r="K79" s="39">
        <f>+G79</f>
        <v>700</v>
      </c>
      <c r="L79" s="39">
        <v>2776.7053999999998</v>
      </c>
      <c r="M79" s="39">
        <v>669.33400000000006</v>
      </c>
      <c r="N79" s="48">
        <f t="shared" si="263"/>
        <v>976.70539999999983</v>
      </c>
      <c r="O79" s="49">
        <f t="shared" si="267"/>
        <v>1.5426141111111109</v>
      </c>
      <c r="P79" s="48">
        <f t="shared" si="288"/>
        <v>-30.66599999999994</v>
      </c>
      <c r="Q79" s="49">
        <f t="shared" si="268"/>
        <v>0.95619142857142869</v>
      </c>
      <c r="R79" s="49">
        <f t="shared" si="269"/>
        <v>0.95619142857142869</v>
      </c>
      <c r="S79" s="45">
        <v>15999.997000000001</v>
      </c>
      <c r="T79" s="39">
        <v>1800</v>
      </c>
      <c r="U79" s="39">
        <v>700</v>
      </c>
      <c r="V79" s="39">
        <f>+U79*0.25</f>
        <v>175</v>
      </c>
      <c r="W79" s="39">
        <f>+U79*0.5</f>
        <v>350</v>
      </c>
      <c r="X79" s="39">
        <f>+U79*0.75</f>
        <v>525</v>
      </c>
      <c r="Y79" s="39">
        <f>+U79</f>
        <v>700</v>
      </c>
      <c r="Z79" s="39">
        <v>2776.7053999999998</v>
      </c>
      <c r="AA79" s="39">
        <v>669.33400000000006</v>
      </c>
      <c r="AB79" s="48">
        <f t="shared" si="264"/>
        <v>976.70539999999983</v>
      </c>
      <c r="AC79" s="49">
        <f t="shared" si="270"/>
        <v>1.5426141111111109</v>
      </c>
      <c r="AD79" s="48">
        <f t="shared" si="290"/>
        <v>-30.66599999999994</v>
      </c>
      <c r="AE79" s="49">
        <f t="shared" si="271"/>
        <v>0.95619142857142869</v>
      </c>
      <c r="AF79" s="49">
        <f t="shared" si="272"/>
        <v>0.95619142857142869</v>
      </c>
      <c r="AG79" s="45">
        <v>15999.997000000001</v>
      </c>
      <c r="AH79" s="39">
        <v>1800</v>
      </c>
      <c r="AI79" s="39">
        <v>700</v>
      </c>
      <c r="AJ79" s="39">
        <v>2776.7053999999998</v>
      </c>
      <c r="AK79" s="39">
        <v>669.33400000000006</v>
      </c>
      <c r="AL79" s="48">
        <f>+AJ79-AH79</f>
        <v>976.70539999999983</v>
      </c>
      <c r="AM79" s="49">
        <f>+IF(AH79&lt;=0,0,AJ79/AH79)</f>
        <v>1.5426141111111109</v>
      </c>
      <c r="AN79" s="48">
        <f>+AK79-AI79</f>
        <v>-30.66599999999994</v>
      </c>
      <c r="AO79" s="49">
        <f>+IF(AI79&lt;=0,0,AK79/AI79)</f>
        <v>0.95619142857142869</v>
      </c>
      <c r="AP79" s="39">
        <f>+AY79+BM79+CA79+CO79</f>
        <v>19338.627450980392</v>
      </c>
      <c r="AQ79" s="39">
        <f>+AZ79+BN79+CB79+CP79</f>
        <v>5999.6078431372543</v>
      </c>
      <c r="AR79" s="39">
        <f>+BE79+BS79+CG79++CU79</f>
        <v>21872.64794531</v>
      </c>
      <c r="AS79" s="39">
        <f>+BF79+BT79+CH79++CV79</f>
        <v>9840.0707379800006</v>
      </c>
      <c r="AT79" s="39">
        <f t="shared" si="236"/>
        <v>2534.0204943296085</v>
      </c>
      <c r="AU79" s="17">
        <f t="shared" si="228"/>
        <v>1.1310341440080405</v>
      </c>
      <c r="AV79" s="39">
        <f t="shared" si="229"/>
        <v>3840.4628948427462</v>
      </c>
      <c r="AW79" s="17">
        <f t="shared" si="230"/>
        <v>1.6401189869827442</v>
      </c>
      <c r="AX79" s="45">
        <v>15999.997000000001</v>
      </c>
      <c r="AY79" s="39">
        <v>1800</v>
      </c>
      <c r="AZ79" s="39">
        <v>700</v>
      </c>
      <c r="BA79" s="39">
        <f>+AZ79*0.25</f>
        <v>175</v>
      </c>
      <c r="BB79" s="39">
        <f>+AZ79*0.5</f>
        <v>350</v>
      </c>
      <c r="BC79" s="39">
        <f>+AZ79*0.75</f>
        <v>525</v>
      </c>
      <c r="BD79" s="39">
        <f>+AZ79</f>
        <v>700</v>
      </c>
      <c r="BE79" s="39">
        <v>2776.7053999999998</v>
      </c>
      <c r="BF79" s="39">
        <v>669.33400000000006</v>
      </c>
      <c r="BG79" s="48">
        <f t="shared" si="265"/>
        <v>976.70539999999983</v>
      </c>
      <c r="BH79" s="49">
        <f t="shared" si="273"/>
        <v>1.5426141111111109</v>
      </c>
      <c r="BI79" s="48">
        <f t="shared" si="294"/>
        <v>-30.66599999999994</v>
      </c>
      <c r="BJ79" s="49">
        <f t="shared" si="274"/>
        <v>0.95619142857142869</v>
      </c>
      <c r="BK79" s="49">
        <f t="shared" si="275"/>
        <v>0.95619142857142869</v>
      </c>
      <c r="BL79" s="45">
        <v>20200</v>
      </c>
      <c r="BM79" s="39">
        <v>3703.3333333333335</v>
      </c>
      <c r="BN79" s="39">
        <v>1346.6666666666667</v>
      </c>
      <c r="BO79" s="39">
        <f>+BN79*0.25</f>
        <v>336.66666666666669</v>
      </c>
      <c r="BP79" s="39">
        <f>+BN79*0.5</f>
        <v>673.33333333333337</v>
      </c>
      <c r="BQ79" s="39">
        <f>+BN79*0.75</f>
        <v>1010</v>
      </c>
      <c r="BR79" s="39">
        <f>+BN79</f>
        <v>1346.6666666666667</v>
      </c>
      <c r="BS79" s="39">
        <v>3941.9273179800002</v>
      </c>
      <c r="BT79" s="39">
        <v>1589.3819429800001</v>
      </c>
      <c r="BU79" s="48">
        <f t="shared" si="266"/>
        <v>238.59398464666674</v>
      </c>
      <c r="BV79" s="49">
        <f t="shared" si="276"/>
        <v>1.0644268185364536</v>
      </c>
      <c r="BW79" s="48">
        <f t="shared" si="306"/>
        <v>242.71527631333333</v>
      </c>
      <c r="BX79" s="49">
        <f t="shared" si="277"/>
        <v>1.1802341160742573</v>
      </c>
      <c r="BY79" s="49">
        <f t="shared" si="278"/>
        <v>1.1802341160742573</v>
      </c>
      <c r="BZ79" s="45">
        <v>98823.529411764699</v>
      </c>
      <c r="CA79" s="39">
        <v>13835.294117647059</v>
      </c>
      <c r="CB79" s="39">
        <v>3952.9411764705878</v>
      </c>
      <c r="CC79" s="39">
        <f>+CB79*0.25</f>
        <v>988.23529411764696</v>
      </c>
      <c r="CD79" s="39">
        <f>+CB79*0.5</f>
        <v>1976.4705882352939</v>
      </c>
      <c r="CE79" s="39">
        <f>+CB79*0.75</f>
        <v>2964.705882352941</v>
      </c>
      <c r="CF79" s="39">
        <f>+CB79</f>
        <v>3952.9411764705878</v>
      </c>
      <c r="CG79" s="39">
        <v>15154.015227329999</v>
      </c>
      <c r="CH79" s="39">
        <v>7581.3547950000002</v>
      </c>
      <c r="CI79" s="51">
        <f t="shared" si="279"/>
        <v>1318.7211096829396</v>
      </c>
      <c r="CJ79" s="49">
        <f t="shared" si="280"/>
        <v>1.0953157264651785</v>
      </c>
      <c r="CK79" s="48">
        <f t="shared" si="281"/>
        <v>3628.4136185294124</v>
      </c>
      <c r="CL79" s="49">
        <f t="shared" si="282"/>
        <v>1.9179022546875002</v>
      </c>
      <c r="CM79" s="49">
        <f t="shared" si="283"/>
        <v>1.9179022546875002</v>
      </c>
      <c r="CN79" s="45"/>
      <c r="CO79" s="39"/>
      <c r="CP79" s="39"/>
      <c r="CQ79" s="39"/>
      <c r="CR79" s="39"/>
      <c r="CS79" s="39"/>
      <c r="CT79" s="39"/>
      <c r="CU79" s="39"/>
      <c r="CV79" s="39"/>
      <c r="CW79" s="31">
        <f t="shared" si="231"/>
        <v>0</v>
      </c>
      <c r="CX79" s="17">
        <f t="shared" si="284"/>
        <v>0</v>
      </c>
      <c r="CY79" s="31"/>
      <c r="CZ79" s="49">
        <f t="shared" si="285"/>
        <v>0</v>
      </c>
      <c r="DA79" s="49">
        <f t="shared" si="286"/>
        <v>0</v>
      </c>
    </row>
    <row r="80" spans="1:105" s="26" customFormat="1" ht="24.95" customHeight="1">
      <c r="A80" s="25"/>
      <c r="B80" s="7"/>
      <c r="C80" s="6"/>
      <c r="D80" s="7" t="s">
        <v>51</v>
      </c>
      <c r="E80" s="13">
        <f t="shared" ref="E80:M80" si="307">SUM(E81:E85)</f>
        <v>18000</v>
      </c>
      <c r="F80" s="13">
        <f t="shared" si="307"/>
        <v>1800</v>
      </c>
      <c r="G80" s="13">
        <f t="shared" si="307"/>
        <v>900</v>
      </c>
      <c r="H80" s="13">
        <f t="shared" si="307"/>
        <v>225</v>
      </c>
      <c r="I80" s="13">
        <f t="shared" si="307"/>
        <v>450</v>
      </c>
      <c r="J80" s="13">
        <f t="shared" si="307"/>
        <v>675</v>
      </c>
      <c r="K80" s="13">
        <f t="shared" si="307"/>
        <v>900</v>
      </c>
      <c r="L80" s="13">
        <f t="shared" si="307"/>
        <v>1679.5059999999999</v>
      </c>
      <c r="M80" s="13">
        <f t="shared" si="307"/>
        <v>600</v>
      </c>
      <c r="N80" s="19">
        <f t="shared" si="263"/>
        <v>-120.49400000000014</v>
      </c>
      <c r="O80" s="20">
        <f t="shared" si="267"/>
        <v>0.93305888888888877</v>
      </c>
      <c r="P80" s="19">
        <f t="shared" si="288"/>
        <v>-300</v>
      </c>
      <c r="Q80" s="20">
        <f t="shared" si="268"/>
        <v>0.66666666666666663</v>
      </c>
      <c r="R80" s="20">
        <f t="shared" si="269"/>
        <v>0.66666666666666663</v>
      </c>
      <c r="S80" s="13">
        <f t="shared" ref="S80:AA80" si="308">SUM(S81:S85)</f>
        <v>18000</v>
      </c>
      <c r="T80" s="13">
        <f t="shared" si="308"/>
        <v>1800</v>
      </c>
      <c r="U80" s="13">
        <f t="shared" si="308"/>
        <v>900</v>
      </c>
      <c r="V80" s="13">
        <f t="shared" si="308"/>
        <v>225</v>
      </c>
      <c r="W80" s="13">
        <f t="shared" si="308"/>
        <v>450</v>
      </c>
      <c r="X80" s="13">
        <f t="shared" si="308"/>
        <v>675</v>
      </c>
      <c r="Y80" s="13">
        <f t="shared" si="308"/>
        <v>900</v>
      </c>
      <c r="Z80" s="13">
        <f t="shared" si="308"/>
        <v>1679.5059999999999</v>
      </c>
      <c r="AA80" s="13">
        <f t="shared" si="308"/>
        <v>600</v>
      </c>
      <c r="AB80" s="19">
        <f t="shared" si="264"/>
        <v>-120.49400000000014</v>
      </c>
      <c r="AC80" s="20">
        <f t="shared" si="270"/>
        <v>0.93305888888888877</v>
      </c>
      <c r="AD80" s="19">
        <f t="shared" si="290"/>
        <v>-300</v>
      </c>
      <c r="AE80" s="20">
        <f t="shared" si="271"/>
        <v>0.66666666666666663</v>
      </c>
      <c r="AF80" s="20">
        <f t="shared" si="272"/>
        <v>0.66666666666666663</v>
      </c>
      <c r="AG80" s="13">
        <f t="shared" ref="AG80:AK80" si="309">SUM(AG81:AG85)</f>
        <v>18000</v>
      </c>
      <c r="AH80" s="13">
        <f t="shared" si="309"/>
        <v>1800</v>
      </c>
      <c r="AI80" s="13">
        <f t="shared" si="309"/>
        <v>900</v>
      </c>
      <c r="AJ80" s="13">
        <f t="shared" si="309"/>
        <v>1679.5059999999999</v>
      </c>
      <c r="AK80" s="13">
        <f t="shared" si="309"/>
        <v>600</v>
      </c>
      <c r="AL80" s="19">
        <f>+AJ80-AH80</f>
        <v>-120.49400000000014</v>
      </c>
      <c r="AM80" s="20">
        <f>+IF(AH80&lt;=0,0,AJ80/AH80)</f>
        <v>0.93305888888888877</v>
      </c>
      <c r="AN80" s="19">
        <f>+AK80-AI80</f>
        <v>-300</v>
      </c>
      <c r="AO80" s="20">
        <f>+IF(AI80&lt;=0,0,AK80/AI80)</f>
        <v>0.66666666666666663</v>
      </c>
      <c r="AP80" s="13">
        <f t="shared" ref="AP80:AS80" si="310">SUM(AP81:AP85)</f>
        <v>7300</v>
      </c>
      <c r="AQ80" s="13">
        <f t="shared" si="310"/>
        <v>2990</v>
      </c>
      <c r="AR80" s="13">
        <f t="shared" si="310"/>
        <v>9678.3459808000007</v>
      </c>
      <c r="AS80" s="13">
        <f t="shared" si="310"/>
        <v>2826.6000000000004</v>
      </c>
      <c r="AT80" s="19">
        <f t="shared" si="236"/>
        <v>2378.3459808000007</v>
      </c>
      <c r="AU80" s="20">
        <f t="shared" si="228"/>
        <v>1.3258008192876714</v>
      </c>
      <c r="AV80" s="19">
        <f t="shared" si="229"/>
        <v>-163.39999999999964</v>
      </c>
      <c r="AW80" s="20">
        <f t="shared" si="230"/>
        <v>0.94535117056856199</v>
      </c>
      <c r="AX80" s="13">
        <f t="shared" ref="AX80:BF80" si="311">SUM(AX81:AX85)</f>
        <v>18000</v>
      </c>
      <c r="AY80" s="13">
        <f t="shared" si="311"/>
        <v>1800</v>
      </c>
      <c r="AZ80" s="13">
        <f t="shared" si="311"/>
        <v>900</v>
      </c>
      <c r="BA80" s="13">
        <f t="shared" si="311"/>
        <v>225</v>
      </c>
      <c r="BB80" s="13">
        <f t="shared" si="311"/>
        <v>450</v>
      </c>
      <c r="BC80" s="13">
        <f t="shared" si="311"/>
        <v>675</v>
      </c>
      <c r="BD80" s="13">
        <f t="shared" si="311"/>
        <v>900</v>
      </c>
      <c r="BE80" s="13">
        <f t="shared" si="311"/>
        <v>1679.5059999999999</v>
      </c>
      <c r="BF80" s="13">
        <f t="shared" si="311"/>
        <v>600</v>
      </c>
      <c r="BG80" s="19">
        <f t="shared" si="265"/>
        <v>-120.49400000000014</v>
      </c>
      <c r="BH80" s="20">
        <f t="shared" si="273"/>
        <v>0.93305888888888877</v>
      </c>
      <c r="BI80" s="19">
        <f t="shared" si="294"/>
        <v>-300</v>
      </c>
      <c r="BJ80" s="20">
        <f t="shared" si="274"/>
        <v>0.66666666666666663</v>
      </c>
      <c r="BK80" s="20">
        <f t="shared" si="275"/>
        <v>0.66666666666666663</v>
      </c>
      <c r="BL80" s="13">
        <f t="shared" ref="BL80:BT80" si="312">SUM(BL81:BL85)</f>
        <v>21999.999999999996</v>
      </c>
      <c r="BM80" s="13">
        <f t="shared" si="312"/>
        <v>2200</v>
      </c>
      <c r="BN80" s="13">
        <f t="shared" si="312"/>
        <v>1100.0000000000002</v>
      </c>
      <c r="BO80" s="13">
        <f t="shared" si="312"/>
        <v>275.00000000000006</v>
      </c>
      <c r="BP80" s="13">
        <f t="shared" si="312"/>
        <v>550.00000000000011</v>
      </c>
      <c r="BQ80" s="13">
        <f t="shared" si="312"/>
        <v>825.00000000000023</v>
      </c>
      <c r="BR80" s="13">
        <f t="shared" si="312"/>
        <v>1100.0000000000002</v>
      </c>
      <c r="BS80" s="13">
        <f t="shared" si="312"/>
        <v>3138.1916000000001</v>
      </c>
      <c r="BT80" s="13">
        <f t="shared" si="312"/>
        <v>1986.6</v>
      </c>
      <c r="BU80" s="19">
        <f t="shared" si="266"/>
        <v>938.19160000000011</v>
      </c>
      <c r="BV80" s="20">
        <f t="shared" si="276"/>
        <v>1.4264507272727274</v>
      </c>
      <c r="BW80" s="19">
        <f t="shared" si="306"/>
        <v>886.59999999999968</v>
      </c>
      <c r="BX80" s="20">
        <f t="shared" si="277"/>
        <v>1.8059999999999996</v>
      </c>
      <c r="BY80" s="20">
        <f t="shared" si="278"/>
        <v>1.8059999999999996</v>
      </c>
      <c r="BZ80" s="13">
        <f t="shared" ref="BZ80:CH80" si="313">SUM(BZ81:BZ85)</f>
        <v>33000</v>
      </c>
      <c r="CA80" s="13">
        <f t="shared" si="313"/>
        <v>3300</v>
      </c>
      <c r="CB80" s="13">
        <f t="shared" si="313"/>
        <v>990</v>
      </c>
      <c r="CC80" s="13">
        <f t="shared" si="313"/>
        <v>247.5</v>
      </c>
      <c r="CD80" s="13">
        <f t="shared" si="313"/>
        <v>495</v>
      </c>
      <c r="CE80" s="13">
        <f t="shared" si="313"/>
        <v>742.5</v>
      </c>
      <c r="CF80" s="13">
        <f t="shared" si="313"/>
        <v>990</v>
      </c>
      <c r="CG80" s="13">
        <f t="shared" si="313"/>
        <v>4860.6483807999994</v>
      </c>
      <c r="CH80" s="13">
        <f t="shared" si="313"/>
        <v>240</v>
      </c>
      <c r="CI80" s="19">
        <f t="shared" si="279"/>
        <v>1560.6483807999994</v>
      </c>
      <c r="CJ80" s="20">
        <f t="shared" si="280"/>
        <v>1.4729237517575755</v>
      </c>
      <c r="CK80" s="30">
        <f t="shared" si="281"/>
        <v>-750</v>
      </c>
      <c r="CL80" s="20">
        <f t="shared" si="282"/>
        <v>0.24242424242424243</v>
      </c>
      <c r="CM80" s="20">
        <f t="shared" si="283"/>
        <v>0.24242424242424243</v>
      </c>
      <c r="CN80" s="46"/>
      <c r="CO80" s="13">
        <f t="shared" ref="CO80:CT80" si="314">SUM(CO81:CO85)</f>
        <v>0</v>
      </c>
      <c r="CP80" s="13">
        <f t="shared" si="314"/>
        <v>0</v>
      </c>
      <c r="CQ80" s="13">
        <f t="shared" si="314"/>
        <v>0</v>
      </c>
      <c r="CR80" s="13">
        <f t="shared" si="314"/>
        <v>0</v>
      </c>
      <c r="CS80" s="13">
        <f t="shared" si="314"/>
        <v>0</v>
      </c>
      <c r="CT80" s="13">
        <f t="shared" si="314"/>
        <v>0</v>
      </c>
      <c r="CU80" s="13"/>
      <c r="CV80" s="13"/>
      <c r="CW80" s="30">
        <f t="shared" si="231"/>
        <v>0</v>
      </c>
      <c r="CX80" s="20">
        <f t="shared" si="284"/>
        <v>0</v>
      </c>
      <c r="CY80" s="30"/>
      <c r="CZ80" s="20">
        <f t="shared" si="285"/>
        <v>0</v>
      </c>
      <c r="DA80" s="20">
        <f t="shared" si="286"/>
        <v>0</v>
      </c>
    </row>
    <row r="81" spans="1:105" ht="24.95" customHeight="1">
      <c r="A81" s="4" t="s">
        <v>13</v>
      </c>
      <c r="B81" s="9">
        <v>10502</v>
      </c>
      <c r="C81" s="5">
        <v>1</v>
      </c>
      <c r="D81" s="8" t="s">
        <v>109</v>
      </c>
      <c r="E81" s="45">
        <v>3360</v>
      </c>
      <c r="F81" s="39">
        <v>360</v>
      </c>
      <c r="G81" s="39">
        <v>200</v>
      </c>
      <c r="H81" s="39">
        <f>+G81*0.25</f>
        <v>50</v>
      </c>
      <c r="I81" s="39">
        <f>+G81*0.5</f>
        <v>100</v>
      </c>
      <c r="J81" s="39">
        <f>+G81*0.75</f>
        <v>150</v>
      </c>
      <c r="K81" s="39">
        <f>+G81</f>
        <v>200</v>
      </c>
      <c r="L81" s="39">
        <v>200</v>
      </c>
      <c r="M81" s="39">
        <v>200</v>
      </c>
      <c r="N81" s="48">
        <f t="shared" si="263"/>
        <v>-160</v>
      </c>
      <c r="O81" s="49">
        <f t="shared" si="267"/>
        <v>0.55555555555555558</v>
      </c>
      <c r="P81" s="48">
        <f t="shared" si="288"/>
        <v>0</v>
      </c>
      <c r="Q81" s="49">
        <f t="shared" si="268"/>
        <v>1</v>
      </c>
      <c r="R81" s="49">
        <f t="shared" si="269"/>
        <v>1</v>
      </c>
      <c r="S81" s="45">
        <v>3360</v>
      </c>
      <c r="T81" s="39">
        <v>360</v>
      </c>
      <c r="U81" s="39">
        <v>200</v>
      </c>
      <c r="V81" s="39">
        <f>+U81*0.25</f>
        <v>50</v>
      </c>
      <c r="W81" s="39">
        <f>+U81*0.5</f>
        <v>100</v>
      </c>
      <c r="X81" s="39">
        <f>+U81*0.75</f>
        <v>150</v>
      </c>
      <c r="Y81" s="39">
        <f>+U81</f>
        <v>200</v>
      </c>
      <c r="Z81" s="39">
        <v>200</v>
      </c>
      <c r="AA81" s="39">
        <v>200</v>
      </c>
      <c r="AB81" s="48">
        <f t="shared" si="264"/>
        <v>-160</v>
      </c>
      <c r="AC81" s="49">
        <f t="shared" si="270"/>
        <v>0.55555555555555558</v>
      </c>
      <c r="AD81" s="48">
        <f t="shared" si="290"/>
        <v>0</v>
      </c>
      <c r="AE81" s="49">
        <f t="shared" si="271"/>
        <v>1</v>
      </c>
      <c r="AF81" s="49">
        <f t="shared" si="272"/>
        <v>1</v>
      </c>
      <c r="AG81" s="45">
        <v>3360</v>
      </c>
      <c r="AH81" s="39">
        <v>360</v>
      </c>
      <c r="AI81" s="39">
        <v>200</v>
      </c>
      <c r="AJ81" s="39">
        <v>200</v>
      </c>
      <c r="AK81" s="39">
        <v>200</v>
      </c>
      <c r="AL81" s="48">
        <f>+AJ81-AH81</f>
        <v>-160</v>
      </c>
      <c r="AM81" s="49">
        <f>+IF(AH81&lt;=0,0,AJ81/AH81)</f>
        <v>0.55555555555555558</v>
      </c>
      <c r="AN81" s="48">
        <f>+AK81-AI81</f>
        <v>0</v>
      </c>
      <c r="AO81" s="49">
        <f>+IF(AI81&lt;=0,0,AK81/AI81)</f>
        <v>1</v>
      </c>
      <c r="AP81" s="39">
        <f t="shared" ref="AP81:AQ85" si="315">+AY81+BM81+CA81+CO81</f>
        <v>1484.1176470588234</v>
      </c>
      <c r="AQ81" s="39">
        <f t="shared" si="315"/>
        <v>620</v>
      </c>
      <c r="AR81" s="39">
        <f t="shared" ref="AR81:AS85" si="316">+BE81+BS81+CG81++CU81</f>
        <v>967.03560000000004</v>
      </c>
      <c r="AS81" s="39">
        <f t="shared" si="316"/>
        <v>587.9</v>
      </c>
      <c r="AT81" s="39">
        <f t="shared" ref="AT81:AT85" si="317">+AR81-AP81</f>
        <v>-517.08204705882338</v>
      </c>
      <c r="AU81" s="17">
        <f t="shared" si="228"/>
        <v>0.6515895838287753</v>
      </c>
      <c r="AV81" s="39">
        <f t="shared" si="229"/>
        <v>-32.100000000000023</v>
      </c>
      <c r="AW81" s="17">
        <f t="shared" si="230"/>
        <v>0.94822580645161292</v>
      </c>
      <c r="AX81" s="45">
        <v>3360</v>
      </c>
      <c r="AY81" s="39">
        <v>360</v>
      </c>
      <c r="AZ81" s="39">
        <v>200</v>
      </c>
      <c r="BA81" s="39">
        <f>+AZ81*0.25</f>
        <v>50</v>
      </c>
      <c r="BB81" s="39">
        <f>+AZ81*0.5</f>
        <v>100</v>
      </c>
      <c r="BC81" s="39">
        <f>+AZ81*0.75</f>
        <v>150</v>
      </c>
      <c r="BD81" s="39">
        <f>+AZ81</f>
        <v>200</v>
      </c>
      <c r="BE81" s="39">
        <v>200</v>
      </c>
      <c r="BF81" s="39">
        <v>200</v>
      </c>
      <c r="BG81" s="48">
        <f t="shared" si="265"/>
        <v>-160</v>
      </c>
      <c r="BH81" s="49">
        <f t="shared" si="273"/>
        <v>0.55555555555555558</v>
      </c>
      <c r="BI81" s="48">
        <f t="shared" si="294"/>
        <v>0</v>
      </c>
      <c r="BJ81" s="49">
        <f t="shared" si="274"/>
        <v>1</v>
      </c>
      <c r="BK81" s="49">
        <f t="shared" si="275"/>
        <v>1</v>
      </c>
      <c r="BL81" s="45">
        <v>8939.075283625154</v>
      </c>
      <c r="BM81" s="39">
        <v>524.11764705882354</v>
      </c>
      <c r="BN81" s="39">
        <v>220.00000000000003</v>
      </c>
      <c r="BO81" s="39">
        <f>+BN81*0.25</f>
        <v>55.000000000000007</v>
      </c>
      <c r="BP81" s="39">
        <f>+BN81*0.5</f>
        <v>110.00000000000001</v>
      </c>
      <c r="BQ81" s="39">
        <f>+BN81*0.75</f>
        <v>165.00000000000003</v>
      </c>
      <c r="BR81" s="39">
        <f>+BN81</f>
        <v>220.00000000000003</v>
      </c>
      <c r="BS81" s="39">
        <v>767.03560000000004</v>
      </c>
      <c r="BT81" s="39">
        <v>387.9</v>
      </c>
      <c r="BU81" s="48">
        <f t="shared" si="266"/>
        <v>242.91795294117651</v>
      </c>
      <c r="BV81" s="49">
        <f t="shared" si="276"/>
        <v>1.4634798204264872</v>
      </c>
      <c r="BW81" s="48">
        <f t="shared" si="306"/>
        <v>167.89999999999995</v>
      </c>
      <c r="BX81" s="49">
        <f t="shared" si="277"/>
        <v>1.763181818181818</v>
      </c>
      <c r="BY81" s="49">
        <f t="shared" si="278"/>
        <v>1.763181818181818</v>
      </c>
      <c r="BZ81" s="45">
        <v>6500.0000000000009</v>
      </c>
      <c r="CA81" s="39">
        <v>600</v>
      </c>
      <c r="CB81" s="39">
        <v>200</v>
      </c>
      <c r="CC81" s="39">
        <f>+CB81*0.25</f>
        <v>50</v>
      </c>
      <c r="CD81" s="39">
        <f>+CB81*0.5</f>
        <v>100</v>
      </c>
      <c r="CE81" s="39">
        <f>+CB81*0.75</f>
        <v>150</v>
      </c>
      <c r="CF81" s="39">
        <f>+CB81</f>
        <v>200</v>
      </c>
      <c r="CG81" s="39"/>
      <c r="CH81" s="39"/>
      <c r="CI81" s="51">
        <f t="shared" si="279"/>
        <v>-600</v>
      </c>
      <c r="CJ81" s="49">
        <f t="shared" si="280"/>
        <v>0</v>
      </c>
      <c r="CK81" s="48">
        <f t="shared" si="281"/>
        <v>-200</v>
      </c>
      <c r="CL81" s="49">
        <f t="shared" si="282"/>
        <v>0</v>
      </c>
      <c r="CM81" s="49">
        <f t="shared" si="283"/>
        <v>0</v>
      </c>
      <c r="CN81" s="45"/>
      <c r="CO81" s="39"/>
      <c r="CP81" s="39"/>
      <c r="CQ81" s="39"/>
      <c r="CR81" s="39"/>
      <c r="CS81" s="39"/>
      <c r="CT81" s="39"/>
      <c r="CU81" s="39"/>
      <c r="CV81" s="39"/>
      <c r="CW81" s="31">
        <f t="shared" si="231"/>
        <v>0</v>
      </c>
      <c r="CX81" s="17">
        <f t="shared" si="284"/>
        <v>0</v>
      </c>
      <c r="CY81" s="31"/>
      <c r="CZ81" s="49">
        <f t="shared" si="285"/>
        <v>0</v>
      </c>
      <c r="DA81" s="49">
        <f t="shared" si="286"/>
        <v>0</v>
      </c>
    </row>
    <row r="82" spans="1:105" ht="24.95" customHeight="1">
      <c r="A82" s="4" t="s">
        <v>11</v>
      </c>
      <c r="B82" s="9">
        <v>10508</v>
      </c>
      <c r="C82" s="5">
        <f>+C81+1</f>
        <v>2</v>
      </c>
      <c r="D82" s="8" t="s">
        <v>110</v>
      </c>
      <c r="E82" s="45">
        <v>3810</v>
      </c>
      <c r="F82" s="39">
        <v>400</v>
      </c>
      <c r="G82" s="39">
        <v>200</v>
      </c>
      <c r="H82" s="39">
        <f>+G82*0.25</f>
        <v>50</v>
      </c>
      <c r="I82" s="39">
        <f>+G82*0.5</f>
        <v>100</v>
      </c>
      <c r="J82" s="39">
        <f>+G82*0.75</f>
        <v>150</v>
      </c>
      <c r="K82" s="39">
        <f>+G82</f>
        <v>200</v>
      </c>
      <c r="L82" s="39">
        <v>596.37</v>
      </c>
      <c r="M82" s="39">
        <v>200</v>
      </c>
      <c r="N82" s="48">
        <f t="shared" si="263"/>
        <v>196.37</v>
      </c>
      <c r="O82" s="49">
        <f t="shared" si="267"/>
        <v>1.4909250000000001</v>
      </c>
      <c r="P82" s="48">
        <f t="shared" si="288"/>
        <v>0</v>
      </c>
      <c r="Q82" s="49">
        <f t="shared" si="268"/>
        <v>1</v>
      </c>
      <c r="R82" s="49">
        <f t="shared" si="269"/>
        <v>1</v>
      </c>
      <c r="S82" s="45">
        <v>3810</v>
      </c>
      <c r="T82" s="39">
        <v>400</v>
      </c>
      <c r="U82" s="39">
        <v>200</v>
      </c>
      <c r="V82" s="39">
        <f>+U82*0.25</f>
        <v>50</v>
      </c>
      <c r="W82" s="39">
        <f>+U82*0.5</f>
        <v>100</v>
      </c>
      <c r="X82" s="39">
        <f>+U82*0.75</f>
        <v>150</v>
      </c>
      <c r="Y82" s="39">
        <f>+U82</f>
        <v>200</v>
      </c>
      <c r="Z82" s="39">
        <v>596.37</v>
      </c>
      <c r="AA82" s="39">
        <v>200</v>
      </c>
      <c r="AB82" s="48">
        <f t="shared" si="264"/>
        <v>196.37</v>
      </c>
      <c r="AC82" s="49">
        <f t="shared" si="270"/>
        <v>1.4909250000000001</v>
      </c>
      <c r="AD82" s="48">
        <f t="shared" si="290"/>
        <v>0</v>
      </c>
      <c r="AE82" s="49">
        <f t="shared" si="271"/>
        <v>1</v>
      </c>
      <c r="AF82" s="49">
        <f t="shared" si="272"/>
        <v>1</v>
      </c>
      <c r="AG82" s="45">
        <v>3810</v>
      </c>
      <c r="AH82" s="39">
        <v>400</v>
      </c>
      <c r="AI82" s="39">
        <v>200</v>
      </c>
      <c r="AJ82" s="39">
        <v>596.37</v>
      </c>
      <c r="AK82" s="39">
        <v>200</v>
      </c>
      <c r="AL82" s="48">
        <f>+AJ82-AH82</f>
        <v>196.37</v>
      </c>
      <c r="AM82" s="49">
        <f>+IF(AH82&lt;=0,0,AJ82/AH82)</f>
        <v>1.4909250000000001</v>
      </c>
      <c r="AN82" s="48">
        <f>+AK82-AI82</f>
        <v>0</v>
      </c>
      <c r="AO82" s="49">
        <f>+IF(AI82&lt;=0,0,AK82/AI82)</f>
        <v>1</v>
      </c>
      <c r="AP82" s="39">
        <f t="shared" si="315"/>
        <v>1391.4705882352941</v>
      </c>
      <c r="AQ82" s="39">
        <f t="shared" si="315"/>
        <v>620</v>
      </c>
      <c r="AR82" s="39">
        <f t="shared" si="316"/>
        <v>1801.02</v>
      </c>
      <c r="AS82" s="39">
        <f t="shared" si="316"/>
        <v>512</v>
      </c>
      <c r="AT82" s="39">
        <f t="shared" si="317"/>
        <v>409.54941176470584</v>
      </c>
      <c r="AU82" s="17">
        <f t="shared" si="228"/>
        <v>1.2943284717818642</v>
      </c>
      <c r="AV82" s="39">
        <f t="shared" si="229"/>
        <v>-108</v>
      </c>
      <c r="AW82" s="17">
        <f t="shared" si="230"/>
        <v>0.82580645161290323</v>
      </c>
      <c r="AX82" s="45">
        <v>3810</v>
      </c>
      <c r="AY82" s="39">
        <v>400</v>
      </c>
      <c r="AZ82" s="39">
        <v>200</v>
      </c>
      <c r="BA82" s="39">
        <f>+AZ82*0.25</f>
        <v>50</v>
      </c>
      <c r="BB82" s="39">
        <f>+AZ82*0.5</f>
        <v>100</v>
      </c>
      <c r="BC82" s="39">
        <f>+AZ82*0.75</f>
        <v>150</v>
      </c>
      <c r="BD82" s="39">
        <f>+AZ82</f>
        <v>200</v>
      </c>
      <c r="BE82" s="39">
        <v>596.37</v>
      </c>
      <c r="BF82" s="39">
        <v>200</v>
      </c>
      <c r="BG82" s="48">
        <f t="shared" si="265"/>
        <v>196.37</v>
      </c>
      <c r="BH82" s="49">
        <f t="shared" si="273"/>
        <v>1.4909250000000001</v>
      </c>
      <c r="BI82" s="48">
        <f t="shared" si="294"/>
        <v>0</v>
      </c>
      <c r="BJ82" s="49">
        <f t="shared" si="274"/>
        <v>1</v>
      </c>
      <c r="BK82" s="49">
        <f t="shared" si="275"/>
        <v>1</v>
      </c>
      <c r="BL82" s="45">
        <v>3072.3145124270441</v>
      </c>
      <c r="BM82" s="39">
        <v>391.47058823529414</v>
      </c>
      <c r="BN82" s="39">
        <v>220.00000000000003</v>
      </c>
      <c r="BO82" s="39">
        <f>+BN82*0.25</f>
        <v>55.000000000000007</v>
      </c>
      <c r="BP82" s="39">
        <f>+BN82*0.5</f>
        <v>110.00000000000001</v>
      </c>
      <c r="BQ82" s="39">
        <f>+BN82*0.75</f>
        <v>165.00000000000003</v>
      </c>
      <c r="BR82" s="39">
        <f>+BN82</f>
        <v>220.00000000000003</v>
      </c>
      <c r="BS82" s="39">
        <v>570.91600000000005</v>
      </c>
      <c r="BT82" s="39">
        <v>232</v>
      </c>
      <c r="BU82" s="48">
        <f t="shared" si="266"/>
        <v>179.44541176470591</v>
      </c>
      <c r="BV82" s="49">
        <f t="shared" si="276"/>
        <v>1.4583879789631855</v>
      </c>
      <c r="BW82" s="48">
        <f t="shared" si="306"/>
        <v>11.999999999999972</v>
      </c>
      <c r="BX82" s="49">
        <f t="shared" si="277"/>
        <v>1.0545454545454545</v>
      </c>
      <c r="BY82" s="49">
        <f t="shared" si="278"/>
        <v>1.0545454545454545</v>
      </c>
      <c r="BZ82" s="45">
        <v>6500</v>
      </c>
      <c r="CA82" s="39">
        <v>600</v>
      </c>
      <c r="CB82" s="39">
        <v>200</v>
      </c>
      <c r="CC82" s="39">
        <f>+CB82*0.25</f>
        <v>50</v>
      </c>
      <c r="CD82" s="39">
        <f>+CB82*0.5</f>
        <v>100</v>
      </c>
      <c r="CE82" s="39">
        <f>+CB82*0.75</f>
        <v>150</v>
      </c>
      <c r="CF82" s="39">
        <f>+CB82</f>
        <v>200</v>
      </c>
      <c r="CG82" s="39">
        <v>633.73400000000004</v>
      </c>
      <c r="CH82" s="39">
        <v>80</v>
      </c>
      <c r="CI82" s="51">
        <f t="shared" si="279"/>
        <v>33.734000000000037</v>
      </c>
      <c r="CJ82" s="49">
        <f t="shared" si="280"/>
        <v>1.0562233333333333</v>
      </c>
      <c r="CK82" s="53">
        <f t="shared" si="281"/>
        <v>-120</v>
      </c>
      <c r="CL82" s="49">
        <f t="shared" si="282"/>
        <v>0.4</v>
      </c>
      <c r="CM82" s="49">
        <f t="shared" si="283"/>
        <v>0.4</v>
      </c>
      <c r="CN82" s="45"/>
      <c r="CO82" s="39"/>
      <c r="CP82" s="39"/>
      <c r="CQ82" s="39"/>
      <c r="CR82" s="39"/>
      <c r="CS82" s="39"/>
      <c r="CT82" s="39"/>
      <c r="CU82" s="39"/>
      <c r="CV82" s="39"/>
      <c r="CW82" s="31">
        <f t="shared" si="231"/>
        <v>0</v>
      </c>
      <c r="CX82" s="17">
        <f t="shared" si="284"/>
        <v>0</v>
      </c>
      <c r="CY82" s="31"/>
      <c r="CZ82" s="49">
        <f t="shared" si="285"/>
        <v>0</v>
      </c>
      <c r="DA82" s="49">
        <f t="shared" si="286"/>
        <v>0</v>
      </c>
    </row>
    <row r="83" spans="1:105" ht="24.95" customHeight="1">
      <c r="A83" s="4" t="s">
        <v>25</v>
      </c>
      <c r="B83" s="9">
        <v>10510</v>
      </c>
      <c r="C83" s="5">
        <f t="shared" ref="C83:C85" si="318">+C82+1</f>
        <v>3</v>
      </c>
      <c r="D83" s="8" t="s">
        <v>111</v>
      </c>
      <c r="E83" s="45">
        <v>3170</v>
      </c>
      <c r="F83" s="39">
        <v>250</v>
      </c>
      <c r="G83" s="39">
        <v>100</v>
      </c>
      <c r="H83" s="39">
        <f>+G83*0.25</f>
        <v>25</v>
      </c>
      <c r="I83" s="39">
        <f>+G83*0.5</f>
        <v>50</v>
      </c>
      <c r="J83" s="39">
        <f>+G83*0.75</f>
        <v>75</v>
      </c>
      <c r="K83" s="39">
        <f>+G83</f>
        <v>100</v>
      </c>
      <c r="L83" s="39"/>
      <c r="M83" s="39"/>
      <c r="N83" s="48">
        <f t="shared" si="263"/>
        <v>-250</v>
      </c>
      <c r="O83" s="49">
        <f t="shared" si="267"/>
        <v>0</v>
      </c>
      <c r="P83" s="48">
        <f t="shared" si="288"/>
        <v>-100</v>
      </c>
      <c r="Q83" s="49">
        <f t="shared" si="268"/>
        <v>0</v>
      </c>
      <c r="R83" s="49">
        <f t="shared" si="269"/>
        <v>0</v>
      </c>
      <c r="S83" s="45">
        <v>3170</v>
      </c>
      <c r="T83" s="39">
        <v>250</v>
      </c>
      <c r="U83" s="39">
        <v>100</v>
      </c>
      <c r="V83" s="39">
        <f>+U83*0.25</f>
        <v>25</v>
      </c>
      <c r="W83" s="39">
        <f>+U83*0.5</f>
        <v>50</v>
      </c>
      <c r="X83" s="39">
        <f>+U83*0.75</f>
        <v>75</v>
      </c>
      <c r="Y83" s="39">
        <f>+U83</f>
        <v>100</v>
      </c>
      <c r="Z83" s="39"/>
      <c r="AA83" s="39"/>
      <c r="AB83" s="48">
        <f t="shared" si="264"/>
        <v>-250</v>
      </c>
      <c r="AC83" s="49">
        <f t="shared" si="270"/>
        <v>0</v>
      </c>
      <c r="AD83" s="48">
        <f t="shared" si="290"/>
        <v>-100</v>
      </c>
      <c r="AE83" s="49">
        <f t="shared" si="271"/>
        <v>0</v>
      </c>
      <c r="AF83" s="49">
        <f t="shared" si="272"/>
        <v>0</v>
      </c>
      <c r="AG83" s="45">
        <v>3170</v>
      </c>
      <c r="AH83" s="39">
        <v>250</v>
      </c>
      <c r="AI83" s="39">
        <v>100</v>
      </c>
      <c r="AJ83" s="39"/>
      <c r="AK83" s="39"/>
      <c r="AL83" s="48">
        <f>+AJ83-AH83</f>
        <v>-250</v>
      </c>
      <c r="AM83" s="49">
        <f>+IF(AH83&lt;=0,0,AJ83/AH83)</f>
        <v>0</v>
      </c>
      <c r="AN83" s="48">
        <f>+AK83-AI83</f>
        <v>-100</v>
      </c>
      <c r="AO83" s="49">
        <f>+IF(AI83&lt;=0,0,AK83/AI83)</f>
        <v>0</v>
      </c>
      <c r="AP83" s="39">
        <f t="shared" si="315"/>
        <v>1241.4705882352941</v>
      </c>
      <c r="AQ83" s="39">
        <f t="shared" si="315"/>
        <v>510</v>
      </c>
      <c r="AR83" s="39">
        <f t="shared" si="316"/>
        <v>920.33038079999994</v>
      </c>
      <c r="AS83" s="39">
        <f t="shared" si="316"/>
        <v>204</v>
      </c>
      <c r="AT83" s="39">
        <f t="shared" si="317"/>
        <v>-321.1402074352942</v>
      </c>
      <c r="AU83" s="17">
        <f t="shared" si="228"/>
        <v>0.74132274217484007</v>
      </c>
      <c r="AV83" s="39">
        <f t="shared" si="229"/>
        <v>-306</v>
      </c>
      <c r="AW83" s="17">
        <f t="shared" si="230"/>
        <v>0.4</v>
      </c>
      <c r="AX83" s="45">
        <v>3170</v>
      </c>
      <c r="AY83" s="39">
        <v>250</v>
      </c>
      <c r="AZ83" s="39">
        <v>100</v>
      </c>
      <c r="BA83" s="39">
        <f>+AZ83*0.25</f>
        <v>25</v>
      </c>
      <c r="BB83" s="39">
        <f>+AZ83*0.5</f>
        <v>50</v>
      </c>
      <c r="BC83" s="39">
        <f>+AZ83*0.75</f>
        <v>75</v>
      </c>
      <c r="BD83" s="39">
        <f>+AZ83</f>
        <v>100</v>
      </c>
      <c r="BE83" s="39"/>
      <c r="BF83" s="39"/>
      <c r="BG83" s="48">
        <f t="shared" si="265"/>
        <v>-250</v>
      </c>
      <c r="BH83" s="49">
        <f t="shared" si="273"/>
        <v>0</v>
      </c>
      <c r="BI83" s="48">
        <f t="shared" si="294"/>
        <v>-100</v>
      </c>
      <c r="BJ83" s="49">
        <f t="shared" si="274"/>
        <v>0</v>
      </c>
      <c r="BK83" s="49">
        <f t="shared" si="275"/>
        <v>0</v>
      </c>
      <c r="BL83" s="45">
        <v>3072.3145124270441</v>
      </c>
      <c r="BM83" s="39">
        <v>391.47058823529414</v>
      </c>
      <c r="BN83" s="39">
        <v>220.00000000000003</v>
      </c>
      <c r="BO83" s="39">
        <f>+BN83*0.25</f>
        <v>55.000000000000007</v>
      </c>
      <c r="BP83" s="39">
        <f>+BN83*0.5</f>
        <v>110.00000000000001</v>
      </c>
      <c r="BQ83" s="39">
        <f>+BN83*0.75</f>
        <v>165.00000000000003</v>
      </c>
      <c r="BR83" s="39">
        <f>+BN83</f>
        <v>220.00000000000003</v>
      </c>
      <c r="BS83" s="39">
        <v>255</v>
      </c>
      <c r="BT83" s="39">
        <v>204</v>
      </c>
      <c r="BU83" s="48">
        <f t="shared" si="266"/>
        <v>-136.47058823529414</v>
      </c>
      <c r="BV83" s="49">
        <f t="shared" si="276"/>
        <v>0.65138993238166787</v>
      </c>
      <c r="BW83" s="48">
        <f t="shared" si="306"/>
        <v>-16.000000000000028</v>
      </c>
      <c r="BX83" s="49">
        <f t="shared" si="277"/>
        <v>0.92727272727272714</v>
      </c>
      <c r="BY83" s="49">
        <f t="shared" si="278"/>
        <v>0.92727272727272714</v>
      </c>
      <c r="BZ83" s="45">
        <v>6399.9999999999973</v>
      </c>
      <c r="CA83" s="39">
        <v>600</v>
      </c>
      <c r="CB83" s="39">
        <v>190</v>
      </c>
      <c r="CC83" s="39">
        <f>+CB83*0.25</f>
        <v>47.5</v>
      </c>
      <c r="CD83" s="39">
        <f>+CB83*0.5</f>
        <v>95</v>
      </c>
      <c r="CE83" s="39">
        <f>+CB83*0.75</f>
        <v>142.5</v>
      </c>
      <c r="CF83" s="39">
        <f>+CB83</f>
        <v>190</v>
      </c>
      <c r="CG83" s="39">
        <v>665.33038079999994</v>
      </c>
      <c r="CH83" s="39">
        <v>0</v>
      </c>
      <c r="CI83" s="51">
        <f t="shared" si="279"/>
        <v>65.330380799999944</v>
      </c>
      <c r="CJ83" s="49">
        <f t="shared" si="280"/>
        <v>1.108883968</v>
      </c>
      <c r="CK83" s="48">
        <f t="shared" si="281"/>
        <v>-190</v>
      </c>
      <c r="CL83" s="49">
        <f t="shared" si="282"/>
        <v>0</v>
      </c>
      <c r="CM83" s="49">
        <f t="shared" si="283"/>
        <v>0</v>
      </c>
      <c r="CN83" s="45"/>
      <c r="CO83" s="39"/>
      <c r="CP83" s="39"/>
      <c r="CQ83" s="39"/>
      <c r="CR83" s="39"/>
      <c r="CS83" s="39"/>
      <c r="CT83" s="39"/>
      <c r="CU83" s="39"/>
      <c r="CV83" s="39"/>
      <c r="CW83" s="31">
        <f t="shared" si="231"/>
        <v>0</v>
      </c>
      <c r="CX83" s="17">
        <f t="shared" si="284"/>
        <v>0</v>
      </c>
      <c r="CY83" s="31"/>
      <c r="CZ83" s="49">
        <f t="shared" si="285"/>
        <v>0</v>
      </c>
      <c r="DA83" s="49">
        <f t="shared" si="286"/>
        <v>0</v>
      </c>
    </row>
    <row r="84" spans="1:105" ht="24.95" customHeight="1">
      <c r="A84" s="4" t="s">
        <v>8</v>
      </c>
      <c r="B84" s="9">
        <v>10729</v>
      </c>
      <c r="C84" s="5">
        <f t="shared" si="318"/>
        <v>4</v>
      </c>
      <c r="D84" s="8" t="s">
        <v>145</v>
      </c>
      <c r="E84" s="45">
        <v>3990</v>
      </c>
      <c r="F84" s="39">
        <v>440</v>
      </c>
      <c r="G84" s="39">
        <v>200</v>
      </c>
      <c r="H84" s="39">
        <f>+G84*0.25</f>
        <v>50</v>
      </c>
      <c r="I84" s="39">
        <f>+G84*0.5</f>
        <v>100</v>
      </c>
      <c r="J84" s="39">
        <f>+G84*0.75</f>
        <v>150</v>
      </c>
      <c r="K84" s="39">
        <f>+G84</f>
        <v>200</v>
      </c>
      <c r="L84" s="39">
        <v>400</v>
      </c>
      <c r="M84" s="39">
        <v>0</v>
      </c>
      <c r="N84" s="48">
        <f t="shared" si="263"/>
        <v>-40</v>
      </c>
      <c r="O84" s="49">
        <f t="shared" si="267"/>
        <v>0.90909090909090906</v>
      </c>
      <c r="P84" s="48">
        <f t="shared" si="288"/>
        <v>-200</v>
      </c>
      <c r="Q84" s="49">
        <f t="shared" si="268"/>
        <v>0</v>
      </c>
      <c r="R84" s="49">
        <f t="shared" si="269"/>
        <v>0</v>
      </c>
      <c r="S84" s="45">
        <v>3990</v>
      </c>
      <c r="T84" s="39">
        <v>440</v>
      </c>
      <c r="U84" s="39">
        <v>200</v>
      </c>
      <c r="V84" s="39">
        <f>+U84*0.25</f>
        <v>50</v>
      </c>
      <c r="W84" s="39">
        <f>+U84*0.5</f>
        <v>100</v>
      </c>
      <c r="X84" s="39">
        <f>+U84*0.75</f>
        <v>150</v>
      </c>
      <c r="Y84" s="39">
        <f>+U84</f>
        <v>200</v>
      </c>
      <c r="Z84" s="39">
        <v>400</v>
      </c>
      <c r="AA84" s="39">
        <v>0</v>
      </c>
      <c r="AB84" s="48">
        <f t="shared" si="264"/>
        <v>-40</v>
      </c>
      <c r="AC84" s="49">
        <f t="shared" si="270"/>
        <v>0.90909090909090906</v>
      </c>
      <c r="AD84" s="48">
        <f t="shared" si="290"/>
        <v>-200</v>
      </c>
      <c r="AE84" s="49">
        <f t="shared" si="271"/>
        <v>0</v>
      </c>
      <c r="AF84" s="49">
        <f t="shared" si="272"/>
        <v>0</v>
      </c>
      <c r="AG84" s="45">
        <v>3990</v>
      </c>
      <c r="AH84" s="39">
        <v>440</v>
      </c>
      <c r="AI84" s="39">
        <v>200</v>
      </c>
      <c r="AJ84" s="39">
        <v>400</v>
      </c>
      <c r="AK84" s="39">
        <v>0</v>
      </c>
      <c r="AL84" s="48">
        <f>+AJ84-AH84</f>
        <v>-40</v>
      </c>
      <c r="AM84" s="49">
        <f>+IF(AH84&lt;=0,0,AJ84/AH84)</f>
        <v>0.90909090909090906</v>
      </c>
      <c r="AN84" s="48">
        <f>+AK84-AI84</f>
        <v>-200</v>
      </c>
      <c r="AO84" s="49">
        <f>+IF(AI84&lt;=0,0,AK84/AI84)</f>
        <v>0</v>
      </c>
      <c r="AP84" s="39">
        <f t="shared" si="315"/>
        <v>1340</v>
      </c>
      <c r="AQ84" s="39">
        <f t="shared" si="315"/>
        <v>400</v>
      </c>
      <c r="AR84" s="39">
        <f t="shared" si="316"/>
        <v>4083.2239999999997</v>
      </c>
      <c r="AS84" s="39">
        <f t="shared" si="316"/>
        <v>295</v>
      </c>
      <c r="AT84" s="39">
        <f t="shared" si="317"/>
        <v>2743.2239999999997</v>
      </c>
      <c r="AU84" s="17">
        <f t="shared" si="228"/>
        <v>3.0471820895522388</v>
      </c>
      <c r="AV84" s="39">
        <f t="shared" si="229"/>
        <v>-105</v>
      </c>
      <c r="AW84" s="17">
        <f t="shared" si="230"/>
        <v>0.73750000000000004</v>
      </c>
      <c r="AX84" s="45">
        <v>3990</v>
      </c>
      <c r="AY84" s="39">
        <v>440</v>
      </c>
      <c r="AZ84" s="39">
        <v>200</v>
      </c>
      <c r="BA84" s="39">
        <f>+AZ84*0.25</f>
        <v>50</v>
      </c>
      <c r="BB84" s="39">
        <f>+AZ84*0.5</f>
        <v>100</v>
      </c>
      <c r="BC84" s="39">
        <f>+AZ84*0.75</f>
        <v>150</v>
      </c>
      <c r="BD84" s="39">
        <f>+AZ84</f>
        <v>200</v>
      </c>
      <c r="BE84" s="39">
        <v>400</v>
      </c>
      <c r="BF84" s="39">
        <v>0</v>
      </c>
      <c r="BG84" s="48">
        <f t="shared" si="265"/>
        <v>-40</v>
      </c>
      <c r="BH84" s="49">
        <f t="shared" si="273"/>
        <v>0.90909090909090906</v>
      </c>
      <c r="BI84" s="48">
        <f t="shared" si="294"/>
        <v>-200</v>
      </c>
      <c r="BJ84" s="49">
        <f t="shared" si="274"/>
        <v>0</v>
      </c>
      <c r="BK84" s="49">
        <f t="shared" si="275"/>
        <v>0</v>
      </c>
      <c r="BL84" s="45"/>
      <c r="BM84" s="39"/>
      <c r="BN84" s="39"/>
      <c r="BO84" s="39">
        <f>+BN84*0.25</f>
        <v>0</v>
      </c>
      <c r="BP84" s="39">
        <f>+BN84*0.5</f>
        <v>0</v>
      </c>
      <c r="BQ84" s="39">
        <f>+BN84*0.75</f>
        <v>0</v>
      </c>
      <c r="BR84" s="39">
        <f>+BN84</f>
        <v>0</v>
      </c>
      <c r="BS84" s="39">
        <v>321.64</v>
      </c>
      <c r="BT84" s="39">
        <v>135</v>
      </c>
      <c r="BU84" s="48">
        <f t="shared" si="266"/>
        <v>321.64</v>
      </c>
      <c r="BV84" s="49">
        <f t="shared" si="276"/>
        <v>0</v>
      </c>
      <c r="BW84" s="48"/>
      <c r="BX84" s="49">
        <f t="shared" si="277"/>
        <v>0</v>
      </c>
      <c r="BY84" s="49">
        <f t="shared" si="278"/>
        <v>0</v>
      </c>
      <c r="BZ84" s="45">
        <v>7299.9999999999991</v>
      </c>
      <c r="CA84" s="39">
        <v>900</v>
      </c>
      <c r="CB84" s="39">
        <v>200</v>
      </c>
      <c r="CC84" s="39">
        <f>+CB84*0.25</f>
        <v>50</v>
      </c>
      <c r="CD84" s="39">
        <f>+CB84*0.5</f>
        <v>100</v>
      </c>
      <c r="CE84" s="39">
        <f>+CB84*0.75</f>
        <v>150</v>
      </c>
      <c r="CF84" s="39">
        <f>+CB84</f>
        <v>200</v>
      </c>
      <c r="CG84" s="39">
        <v>3361.5839999999998</v>
      </c>
      <c r="CH84" s="39">
        <v>160</v>
      </c>
      <c r="CI84" s="51">
        <f t="shared" si="279"/>
        <v>2461.5839999999998</v>
      </c>
      <c r="CJ84" s="49">
        <f t="shared" si="280"/>
        <v>3.7350933333333329</v>
      </c>
      <c r="CK84" s="48">
        <f t="shared" si="281"/>
        <v>-40</v>
      </c>
      <c r="CL84" s="49">
        <f t="shared" si="282"/>
        <v>0.8</v>
      </c>
      <c r="CM84" s="49">
        <f t="shared" si="283"/>
        <v>0.8</v>
      </c>
      <c r="CN84" s="45"/>
      <c r="CO84" s="39"/>
      <c r="CP84" s="39"/>
      <c r="CQ84" s="39"/>
      <c r="CR84" s="39"/>
      <c r="CS84" s="39"/>
      <c r="CT84" s="39"/>
      <c r="CU84" s="39"/>
      <c r="CV84" s="39"/>
      <c r="CW84" s="31">
        <f t="shared" si="231"/>
        <v>0</v>
      </c>
      <c r="CX84" s="17">
        <f t="shared" si="284"/>
        <v>0</v>
      </c>
      <c r="CY84" s="31"/>
      <c r="CZ84" s="49">
        <f t="shared" si="285"/>
        <v>0</v>
      </c>
      <c r="DA84" s="49">
        <f t="shared" si="286"/>
        <v>0</v>
      </c>
    </row>
    <row r="85" spans="1:105" ht="24.95" customHeight="1">
      <c r="A85" s="4" t="s">
        <v>20</v>
      </c>
      <c r="B85" s="9">
        <v>12029</v>
      </c>
      <c r="C85" s="5">
        <f t="shared" si="318"/>
        <v>5</v>
      </c>
      <c r="D85" s="8" t="s">
        <v>112</v>
      </c>
      <c r="E85" s="45">
        <v>3670</v>
      </c>
      <c r="F85" s="39">
        <v>350</v>
      </c>
      <c r="G85" s="39">
        <v>200</v>
      </c>
      <c r="H85" s="39">
        <f>+G85*0.25</f>
        <v>50</v>
      </c>
      <c r="I85" s="39">
        <f>+G85*0.5</f>
        <v>100</v>
      </c>
      <c r="J85" s="39">
        <f>+G85*0.75</f>
        <v>150</v>
      </c>
      <c r="K85" s="39">
        <f>+G85</f>
        <v>200</v>
      </c>
      <c r="L85" s="39">
        <v>483.13600000000002</v>
      </c>
      <c r="M85" s="39">
        <v>200</v>
      </c>
      <c r="N85" s="48">
        <f t="shared" si="263"/>
        <v>133.13600000000002</v>
      </c>
      <c r="O85" s="49">
        <f t="shared" si="267"/>
        <v>1.3803885714285715</v>
      </c>
      <c r="P85" s="48">
        <f t="shared" si="288"/>
        <v>0</v>
      </c>
      <c r="Q85" s="49">
        <f t="shared" si="268"/>
        <v>1</v>
      </c>
      <c r="R85" s="49">
        <f t="shared" si="269"/>
        <v>1</v>
      </c>
      <c r="S85" s="45">
        <v>3670</v>
      </c>
      <c r="T85" s="39">
        <v>350</v>
      </c>
      <c r="U85" s="39">
        <v>200</v>
      </c>
      <c r="V85" s="39">
        <f>+U85*0.25</f>
        <v>50</v>
      </c>
      <c r="W85" s="39">
        <f>+U85*0.5</f>
        <v>100</v>
      </c>
      <c r="X85" s="39">
        <f>+U85*0.75</f>
        <v>150</v>
      </c>
      <c r="Y85" s="39">
        <f>+U85</f>
        <v>200</v>
      </c>
      <c r="Z85" s="39">
        <v>483.13600000000002</v>
      </c>
      <c r="AA85" s="39">
        <v>200</v>
      </c>
      <c r="AB85" s="48">
        <f t="shared" si="264"/>
        <v>133.13600000000002</v>
      </c>
      <c r="AC85" s="49">
        <f t="shared" si="270"/>
        <v>1.3803885714285715</v>
      </c>
      <c r="AD85" s="48">
        <f t="shared" si="290"/>
        <v>0</v>
      </c>
      <c r="AE85" s="49">
        <f t="shared" si="271"/>
        <v>1</v>
      </c>
      <c r="AF85" s="49">
        <f t="shared" si="272"/>
        <v>1</v>
      </c>
      <c r="AG85" s="45">
        <v>3670</v>
      </c>
      <c r="AH85" s="39">
        <v>350</v>
      </c>
      <c r="AI85" s="39">
        <v>200</v>
      </c>
      <c r="AJ85" s="39">
        <v>483.13600000000002</v>
      </c>
      <c r="AK85" s="39">
        <v>200</v>
      </c>
      <c r="AL85" s="48">
        <f>+AJ85-AH85</f>
        <v>133.13600000000002</v>
      </c>
      <c r="AM85" s="49">
        <f>+IF(AH85&lt;=0,0,AJ85/AH85)</f>
        <v>1.3803885714285715</v>
      </c>
      <c r="AN85" s="48">
        <f>+AK85-AI85</f>
        <v>0</v>
      </c>
      <c r="AO85" s="49">
        <f>+IF(AI85&lt;=0,0,AK85/AI85)</f>
        <v>1</v>
      </c>
      <c r="AP85" s="39">
        <f t="shared" si="315"/>
        <v>1842.9411764705883</v>
      </c>
      <c r="AQ85" s="39">
        <f t="shared" si="315"/>
        <v>840</v>
      </c>
      <c r="AR85" s="39">
        <f t="shared" si="316"/>
        <v>1906.7359999999999</v>
      </c>
      <c r="AS85" s="39">
        <f t="shared" si="316"/>
        <v>1227.7</v>
      </c>
      <c r="AT85" s="39">
        <f t="shared" si="317"/>
        <v>63.794823529411588</v>
      </c>
      <c r="AU85" s="17">
        <f t="shared" si="228"/>
        <v>1.0346157676348546</v>
      </c>
      <c r="AV85" s="39">
        <f t="shared" si="229"/>
        <v>387.70000000000005</v>
      </c>
      <c r="AW85" s="17">
        <f t="shared" si="230"/>
        <v>1.4615476190476191</v>
      </c>
      <c r="AX85" s="45">
        <v>3670</v>
      </c>
      <c r="AY85" s="39">
        <v>350</v>
      </c>
      <c r="AZ85" s="39">
        <v>200</v>
      </c>
      <c r="BA85" s="39">
        <f>+AZ85*0.25</f>
        <v>50</v>
      </c>
      <c r="BB85" s="39">
        <f>+AZ85*0.5</f>
        <v>100</v>
      </c>
      <c r="BC85" s="39">
        <f>+AZ85*0.75</f>
        <v>150</v>
      </c>
      <c r="BD85" s="39">
        <f>+AZ85</f>
        <v>200</v>
      </c>
      <c r="BE85" s="39">
        <v>483.13600000000002</v>
      </c>
      <c r="BF85" s="39">
        <v>200</v>
      </c>
      <c r="BG85" s="48">
        <f t="shared" si="265"/>
        <v>133.13600000000002</v>
      </c>
      <c r="BH85" s="49">
        <f t="shared" si="273"/>
        <v>1.3803885714285715</v>
      </c>
      <c r="BI85" s="48">
        <f t="shared" si="294"/>
        <v>0</v>
      </c>
      <c r="BJ85" s="49">
        <f t="shared" si="274"/>
        <v>1</v>
      </c>
      <c r="BK85" s="49">
        <f t="shared" si="275"/>
        <v>1</v>
      </c>
      <c r="BL85" s="45">
        <v>6916.2956915207551</v>
      </c>
      <c r="BM85" s="39">
        <v>892.94117647058829</v>
      </c>
      <c r="BN85" s="39">
        <v>440.00000000000006</v>
      </c>
      <c r="BO85" s="39">
        <f>+BN85*0.25</f>
        <v>110.00000000000001</v>
      </c>
      <c r="BP85" s="39">
        <f>+BN85*0.5</f>
        <v>220.00000000000003</v>
      </c>
      <c r="BQ85" s="39">
        <f>+BN85*0.75</f>
        <v>330.00000000000006</v>
      </c>
      <c r="BR85" s="39">
        <f>+BN85</f>
        <v>440.00000000000006</v>
      </c>
      <c r="BS85" s="39">
        <v>1223.5999999999999</v>
      </c>
      <c r="BT85" s="39">
        <v>1027.7</v>
      </c>
      <c r="BU85" s="48">
        <f t="shared" si="266"/>
        <v>330.65882352941162</v>
      </c>
      <c r="BV85" s="49">
        <f t="shared" si="276"/>
        <v>1.3703030303030301</v>
      </c>
      <c r="BW85" s="48">
        <f t="shared" ref="BW85:BW103" si="319">+BT85-BN85</f>
        <v>587.70000000000005</v>
      </c>
      <c r="BX85" s="49">
        <f t="shared" si="277"/>
        <v>2.335681818181818</v>
      </c>
      <c r="BY85" s="49">
        <f t="shared" si="278"/>
        <v>2.335681818181818</v>
      </c>
      <c r="BZ85" s="45">
        <v>6300.0000000000009</v>
      </c>
      <c r="CA85" s="39">
        <v>600</v>
      </c>
      <c r="CB85" s="39">
        <v>200</v>
      </c>
      <c r="CC85" s="39">
        <f>+CB85*0.25</f>
        <v>50</v>
      </c>
      <c r="CD85" s="39">
        <f>+CB85*0.5</f>
        <v>100</v>
      </c>
      <c r="CE85" s="39">
        <f>+CB85*0.75</f>
        <v>150</v>
      </c>
      <c r="CF85" s="39">
        <f>+CB85</f>
        <v>200</v>
      </c>
      <c r="CG85" s="39">
        <v>200</v>
      </c>
      <c r="CH85" s="39">
        <v>0</v>
      </c>
      <c r="CI85" s="51">
        <f t="shared" si="279"/>
        <v>-400</v>
      </c>
      <c r="CJ85" s="49">
        <f t="shared" si="280"/>
        <v>0.33333333333333331</v>
      </c>
      <c r="CK85" s="48">
        <f t="shared" si="281"/>
        <v>-200</v>
      </c>
      <c r="CL85" s="49">
        <f t="shared" si="282"/>
        <v>0</v>
      </c>
      <c r="CM85" s="49">
        <f t="shared" si="283"/>
        <v>0</v>
      </c>
      <c r="CN85" s="45"/>
      <c r="CO85" s="39"/>
      <c r="CP85" s="39"/>
      <c r="CQ85" s="39"/>
      <c r="CR85" s="39"/>
      <c r="CS85" s="39"/>
      <c r="CT85" s="39"/>
      <c r="CU85" s="39"/>
      <c r="CV85" s="39"/>
      <c r="CW85" s="31">
        <f t="shared" si="231"/>
        <v>0</v>
      </c>
      <c r="CX85" s="17">
        <f t="shared" si="284"/>
        <v>0</v>
      </c>
      <c r="CY85" s="31"/>
      <c r="CZ85" s="49">
        <f t="shared" si="285"/>
        <v>0</v>
      </c>
      <c r="DA85" s="49">
        <f t="shared" si="286"/>
        <v>0</v>
      </c>
    </row>
    <row r="86" spans="1:105" s="26" customFormat="1" ht="24.95" customHeight="1">
      <c r="A86" s="25"/>
      <c r="B86" s="7"/>
      <c r="C86" s="6"/>
      <c r="D86" s="7" t="s">
        <v>50</v>
      </c>
      <c r="E86" s="13">
        <f>SUM(E87:E89)</f>
        <v>0</v>
      </c>
      <c r="F86" s="13">
        <f>SUM(F87:F89)</f>
        <v>0</v>
      </c>
      <c r="G86" s="13">
        <f>SUM(G87:G89)</f>
        <v>0</v>
      </c>
      <c r="H86" s="13">
        <f t="shared" ref="H86:L86" si="320">SUM(H87:H89)</f>
        <v>0</v>
      </c>
      <c r="I86" s="13">
        <f t="shared" si="320"/>
        <v>0</v>
      </c>
      <c r="J86" s="13">
        <f t="shared" si="320"/>
        <v>0</v>
      </c>
      <c r="K86" s="13">
        <f t="shared" si="320"/>
        <v>0</v>
      </c>
      <c r="L86" s="13">
        <f t="shared" si="320"/>
        <v>0</v>
      </c>
      <c r="M86" s="13"/>
      <c r="N86" s="19">
        <f t="shared" si="263"/>
        <v>0</v>
      </c>
      <c r="O86" s="20">
        <f t="shared" si="267"/>
        <v>0</v>
      </c>
      <c r="P86" s="19"/>
      <c r="Q86" s="20">
        <f t="shared" si="268"/>
        <v>0</v>
      </c>
      <c r="R86" s="20">
        <f t="shared" si="269"/>
        <v>0</v>
      </c>
      <c r="S86" s="13">
        <f>SUM(S87:S89)</f>
        <v>0</v>
      </c>
      <c r="T86" s="13">
        <f>SUM(T87:T89)</f>
        <v>0</v>
      </c>
      <c r="U86" s="13">
        <f>SUM(U87:U89)</f>
        <v>0</v>
      </c>
      <c r="V86" s="13">
        <f t="shared" ref="V86:Z86" si="321">SUM(V87:V89)</f>
        <v>0</v>
      </c>
      <c r="W86" s="13">
        <f t="shared" si="321"/>
        <v>0</v>
      </c>
      <c r="X86" s="13">
        <f t="shared" si="321"/>
        <v>0</v>
      </c>
      <c r="Y86" s="13">
        <f t="shared" si="321"/>
        <v>0</v>
      </c>
      <c r="Z86" s="13">
        <f t="shared" si="321"/>
        <v>0</v>
      </c>
      <c r="AA86" s="13"/>
      <c r="AB86" s="19">
        <f t="shared" si="264"/>
        <v>0</v>
      </c>
      <c r="AC86" s="20">
        <f t="shared" si="270"/>
        <v>0</v>
      </c>
      <c r="AD86" s="19"/>
      <c r="AE86" s="20">
        <f t="shared" si="271"/>
        <v>0</v>
      </c>
      <c r="AF86" s="20">
        <f t="shared" si="272"/>
        <v>0</v>
      </c>
      <c r="AG86" s="13">
        <f>SUM(AG87:AG89)</f>
        <v>0</v>
      </c>
      <c r="AH86" s="13">
        <f>SUM(AH87:AH89)</f>
        <v>0</v>
      </c>
      <c r="AI86" s="13">
        <f>SUM(AI87:AI89)</f>
        <v>0</v>
      </c>
      <c r="AJ86" s="13">
        <f t="shared" ref="AJ86" si="322">SUM(AJ87:AJ89)</f>
        <v>0</v>
      </c>
      <c r="AK86" s="13"/>
      <c r="AL86" s="19">
        <f>+AJ86-AH86</f>
        <v>0</v>
      </c>
      <c r="AM86" s="20">
        <f>+IF(AH86&lt;=0,0,AJ86/AH86)</f>
        <v>0</v>
      </c>
      <c r="AN86" s="19"/>
      <c r="AO86" s="20">
        <f>+IF(AI86&lt;=0,0,AK86/AI86)</f>
        <v>0</v>
      </c>
      <c r="AP86" s="13">
        <f>SUM(AP87:AP89)</f>
        <v>600</v>
      </c>
      <c r="AQ86" s="13">
        <f>SUM(AQ87:AQ89)</f>
        <v>210</v>
      </c>
      <c r="AR86" s="13">
        <f t="shared" ref="AR86:AS86" si="323">SUM(AR87:AR89)</f>
        <v>656.5</v>
      </c>
      <c r="AS86" s="13">
        <f t="shared" si="323"/>
        <v>599</v>
      </c>
      <c r="AT86" s="19">
        <f t="shared" si="236"/>
        <v>56.5</v>
      </c>
      <c r="AU86" s="20">
        <f t="shared" si="228"/>
        <v>1.0941666666666667</v>
      </c>
      <c r="AV86" s="19">
        <f t="shared" si="229"/>
        <v>389</v>
      </c>
      <c r="AW86" s="20">
        <f t="shared" si="230"/>
        <v>2.8523809523809525</v>
      </c>
      <c r="AX86" s="13">
        <f>SUM(AX87:AX89)</f>
        <v>0</v>
      </c>
      <c r="AY86" s="13">
        <f>SUM(AY87:AY89)</f>
        <v>0</v>
      </c>
      <c r="AZ86" s="13">
        <f>SUM(AZ87:AZ89)</f>
        <v>0</v>
      </c>
      <c r="BA86" s="13">
        <f t="shared" ref="BA86:BE86" si="324">SUM(BA87:BA89)</f>
        <v>0</v>
      </c>
      <c r="BB86" s="13">
        <f t="shared" si="324"/>
        <v>0</v>
      </c>
      <c r="BC86" s="13">
        <f t="shared" si="324"/>
        <v>0</v>
      </c>
      <c r="BD86" s="13">
        <f t="shared" si="324"/>
        <v>0</v>
      </c>
      <c r="BE86" s="13">
        <f t="shared" si="324"/>
        <v>0</v>
      </c>
      <c r="BF86" s="13"/>
      <c r="BG86" s="19">
        <f t="shared" si="265"/>
        <v>0</v>
      </c>
      <c r="BH86" s="20">
        <f t="shared" si="273"/>
        <v>0</v>
      </c>
      <c r="BI86" s="19"/>
      <c r="BJ86" s="20">
        <f t="shared" si="274"/>
        <v>0</v>
      </c>
      <c r="BK86" s="20">
        <f t="shared" si="275"/>
        <v>0</v>
      </c>
      <c r="BL86" s="13">
        <f>SUM(BL87:BL89)</f>
        <v>3000</v>
      </c>
      <c r="BM86" s="13">
        <f>SUM(BM87:BM89)</f>
        <v>600</v>
      </c>
      <c r="BN86" s="13">
        <f>SUM(BN87:BN89)</f>
        <v>210</v>
      </c>
      <c r="BO86" s="13">
        <f t="shared" ref="BO86:BT86" si="325">SUM(BO87:BO89)</f>
        <v>52.5</v>
      </c>
      <c r="BP86" s="13">
        <f t="shared" si="325"/>
        <v>105</v>
      </c>
      <c r="BQ86" s="13">
        <f t="shared" si="325"/>
        <v>157.5</v>
      </c>
      <c r="BR86" s="13">
        <f t="shared" si="325"/>
        <v>210</v>
      </c>
      <c r="BS86" s="13">
        <f t="shared" si="325"/>
        <v>656.5</v>
      </c>
      <c r="BT86" s="13">
        <f t="shared" si="325"/>
        <v>599</v>
      </c>
      <c r="BU86" s="19">
        <f t="shared" si="266"/>
        <v>56.5</v>
      </c>
      <c r="BV86" s="20">
        <f t="shared" si="276"/>
        <v>1.0941666666666667</v>
      </c>
      <c r="BW86" s="19">
        <f t="shared" si="319"/>
        <v>389</v>
      </c>
      <c r="BX86" s="20">
        <f t="shared" si="277"/>
        <v>2.8523809523809525</v>
      </c>
      <c r="BY86" s="20">
        <f t="shared" si="278"/>
        <v>2.8523809523809525</v>
      </c>
      <c r="BZ86" s="13">
        <f>SUM(BZ87:BZ89)</f>
        <v>0</v>
      </c>
      <c r="CA86" s="13">
        <f>SUM(CA87:CA89)</f>
        <v>0</v>
      </c>
      <c r="CB86" s="13">
        <f>SUM(CB87:CB89)</f>
        <v>0</v>
      </c>
      <c r="CC86" s="13">
        <f t="shared" ref="CC86:CH86" si="326">SUM(CC87:CC89)</f>
        <v>0</v>
      </c>
      <c r="CD86" s="13">
        <f t="shared" si="326"/>
        <v>0</v>
      </c>
      <c r="CE86" s="13">
        <f t="shared" si="326"/>
        <v>0</v>
      </c>
      <c r="CF86" s="13">
        <f t="shared" si="326"/>
        <v>0</v>
      </c>
      <c r="CG86" s="13">
        <f t="shared" si="326"/>
        <v>0</v>
      </c>
      <c r="CH86" s="13">
        <f t="shared" si="326"/>
        <v>0</v>
      </c>
      <c r="CI86" s="19">
        <f t="shared" si="279"/>
        <v>0</v>
      </c>
      <c r="CJ86" s="20">
        <f t="shared" si="280"/>
        <v>0</v>
      </c>
      <c r="CK86" s="19">
        <f t="shared" si="281"/>
        <v>0</v>
      </c>
      <c r="CL86" s="20">
        <f t="shared" si="282"/>
        <v>0</v>
      </c>
      <c r="CM86" s="20">
        <f t="shared" si="283"/>
        <v>0</v>
      </c>
      <c r="CN86" s="46"/>
      <c r="CO86" s="13">
        <f>SUM(CO87:CO89)</f>
        <v>0</v>
      </c>
      <c r="CP86" s="13">
        <f>SUM(CP87:CP89)</f>
        <v>0</v>
      </c>
      <c r="CQ86" s="13">
        <f t="shared" ref="CQ86:CT86" si="327">SUM(CQ87:CQ89)</f>
        <v>0</v>
      </c>
      <c r="CR86" s="13">
        <f t="shared" si="327"/>
        <v>0</v>
      </c>
      <c r="CS86" s="13">
        <f t="shared" si="327"/>
        <v>0</v>
      </c>
      <c r="CT86" s="13">
        <f t="shared" si="327"/>
        <v>0</v>
      </c>
      <c r="CU86" s="13"/>
      <c r="CV86" s="13"/>
      <c r="CW86" s="30">
        <f t="shared" si="231"/>
        <v>0</v>
      </c>
      <c r="CX86" s="20">
        <f t="shared" si="284"/>
        <v>0</v>
      </c>
      <c r="CY86" s="30"/>
      <c r="CZ86" s="20">
        <f t="shared" si="285"/>
        <v>0</v>
      </c>
      <c r="DA86" s="20">
        <f t="shared" si="286"/>
        <v>0</v>
      </c>
    </row>
    <row r="87" spans="1:105" ht="24.95" customHeight="1">
      <c r="A87" s="4" t="s">
        <v>10</v>
      </c>
      <c r="B87" s="9">
        <v>12090</v>
      </c>
      <c r="C87" s="5">
        <v>1</v>
      </c>
      <c r="D87" s="8" t="s">
        <v>113</v>
      </c>
      <c r="E87" s="45"/>
      <c r="F87" s="39"/>
      <c r="G87" s="39"/>
      <c r="H87" s="39">
        <f>+G87*0.25</f>
        <v>0</v>
      </c>
      <c r="I87" s="39">
        <f>+G87*0.5</f>
        <v>0</v>
      </c>
      <c r="J87" s="39">
        <f>+G87*0.75</f>
        <v>0</v>
      </c>
      <c r="K87" s="39">
        <f>+G87</f>
        <v>0</v>
      </c>
      <c r="L87" s="39">
        <v>0</v>
      </c>
      <c r="M87" s="39">
        <v>0</v>
      </c>
      <c r="N87" s="48">
        <f t="shared" si="263"/>
        <v>0</v>
      </c>
      <c r="O87" s="49">
        <f t="shared" si="267"/>
        <v>0</v>
      </c>
      <c r="P87" s="48"/>
      <c r="Q87" s="49">
        <f t="shared" si="268"/>
        <v>0</v>
      </c>
      <c r="R87" s="49">
        <f t="shared" si="269"/>
        <v>0</v>
      </c>
      <c r="S87" s="45"/>
      <c r="T87" s="39"/>
      <c r="U87" s="39"/>
      <c r="V87" s="39">
        <f>+U87*0.25</f>
        <v>0</v>
      </c>
      <c r="W87" s="39">
        <f>+U87*0.5</f>
        <v>0</v>
      </c>
      <c r="X87" s="39">
        <f>+U87*0.75</f>
        <v>0</v>
      </c>
      <c r="Y87" s="39">
        <f>+U87</f>
        <v>0</v>
      </c>
      <c r="Z87" s="39">
        <v>0</v>
      </c>
      <c r="AA87" s="39">
        <v>0</v>
      </c>
      <c r="AB87" s="48">
        <f t="shared" si="264"/>
        <v>0</v>
      </c>
      <c r="AC87" s="49">
        <f t="shared" si="270"/>
        <v>0</v>
      </c>
      <c r="AD87" s="48"/>
      <c r="AE87" s="49">
        <f t="shared" si="271"/>
        <v>0</v>
      </c>
      <c r="AF87" s="49">
        <f t="shared" si="272"/>
        <v>0</v>
      </c>
      <c r="AG87" s="45"/>
      <c r="AH87" s="39"/>
      <c r="AI87" s="39"/>
      <c r="AJ87" s="39">
        <v>0</v>
      </c>
      <c r="AK87" s="39">
        <v>0</v>
      </c>
      <c r="AL87" s="48">
        <f>+AJ87-AH87</f>
        <v>0</v>
      </c>
      <c r="AM87" s="49">
        <f>+IF(AH87&lt;=0,0,AJ87/AH87)</f>
        <v>0</v>
      </c>
      <c r="AN87" s="48"/>
      <c r="AO87" s="49">
        <f>+IF(AI87&lt;=0,0,AK87/AI87)</f>
        <v>0</v>
      </c>
      <c r="AP87" s="39">
        <f t="shared" ref="AP87:AQ89" si="328">+AY87+BM87+CA87+CO87</f>
        <v>103</v>
      </c>
      <c r="AQ87" s="39">
        <f t="shared" si="328"/>
        <v>83</v>
      </c>
      <c r="AR87" s="39">
        <f t="shared" ref="AR87:AS89" si="329">+BE87+BS87+CG87++CU87</f>
        <v>142</v>
      </c>
      <c r="AS87" s="39">
        <f t="shared" si="329"/>
        <v>102</v>
      </c>
      <c r="AT87" s="39">
        <f t="shared" si="236"/>
        <v>39</v>
      </c>
      <c r="AU87" s="17">
        <f t="shared" si="228"/>
        <v>1.3786407766990292</v>
      </c>
      <c r="AV87" s="39">
        <f t="shared" si="229"/>
        <v>19</v>
      </c>
      <c r="AW87" s="17">
        <f t="shared" si="230"/>
        <v>1.2289156626506024</v>
      </c>
      <c r="AX87" s="45"/>
      <c r="AY87" s="39"/>
      <c r="AZ87" s="39"/>
      <c r="BA87" s="39">
        <f>+AZ87*0.25</f>
        <v>0</v>
      </c>
      <c r="BB87" s="39">
        <f>+AZ87*0.5</f>
        <v>0</v>
      </c>
      <c r="BC87" s="39">
        <f>+AZ87*0.75</f>
        <v>0</v>
      </c>
      <c r="BD87" s="39">
        <f>+AZ87</f>
        <v>0</v>
      </c>
      <c r="BE87" s="39">
        <v>0</v>
      </c>
      <c r="BF87" s="39">
        <v>0</v>
      </c>
      <c r="BG87" s="48">
        <f t="shared" si="265"/>
        <v>0</v>
      </c>
      <c r="BH87" s="49">
        <f t="shared" si="273"/>
        <v>0</v>
      </c>
      <c r="BI87" s="48"/>
      <c r="BJ87" s="49">
        <f t="shared" si="274"/>
        <v>0</v>
      </c>
      <c r="BK87" s="49">
        <f t="shared" si="275"/>
        <v>0</v>
      </c>
      <c r="BL87" s="45">
        <v>1000</v>
      </c>
      <c r="BM87" s="39">
        <v>103</v>
      </c>
      <c r="BN87" s="39">
        <v>83</v>
      </c>
      <c r="BO87" s="39">
        <f>+BN87*0.25</f>
        <v>20.75</v>
      </c>
      <c r="BP87" s="39">
        <f>+BN87*0.5</f>
        <v>41.5</v>
      </c>
      <c r="BQ87" s="39">
        <f>+BN87*0.75</f>
        <v>62.25</v>
      </c>
      <c r="BR87" s="39">
        <f>+BN87</f>
        <v>83</v>
      </c>
      <c r="BS87" s="39">
        <v>142</v>
      </c>
      <c r="BT87" s="39">
        <v>102</v>
      </c>
      <c r="BU87" s="48">
        <f t="shared" si="266"/>
        <v>39</v>
      </c>
      <c r="BV87" s="49">
        <f t="shared" si="276"/>
        <v>1.3786407766990292</v>
      </c>
      <c r="BW87" s="48">
        <f t="shared" si="319"/>
        <v>19</v>
      </c>
      <c r="BX87" s="49">
        <f t="shared" si="277"/>
        <v>1.2289156626506024</v>
      </c>
      <c r="BY87" s="49">
        <f t="shared" si="278"/>
        <v>1.2289156626506024</v>
      </c>
      <c r="BZ87" s="45"/>
      <c r="CA87" s="39"/>
      <c r="CB87" s="39"/>
      <c r="CC87" s="39">
        <f>+CB87*0.25</f>
        <v>0</v>
      </c>
      <c r="CD87" s="39">
        <f>+CB87*0.5</f>
        <v>0</v>
      </c>
      <c r="CE87" s="39">
        <f>+CB87*0.75</f>
        <v>0</v>
      </c>
      <c r="CF87" s="39">
        <f>+CB87</f>
        <v>0</v>
      </c>
      <c r="CG87" s="39">
        <v>0</v>
      </c>
      <c r="CH87" s="39">
        <v>0</v>
      </c>
      <c r="CI87" s="51">
        <f t="shared" si="279"/>
        <v>0</v>
      </c>
      <c r="CJ87" s="49">
        <f t="shared" si="280"/>
        <v>0</v>
      </c>
      <c r="CK87" s="48">
        <f t="shared" si="281"/>
        <v>0</v>
      </c>
      <c r="CL87" s="49">
        <f t="shared" si="282"/>
        <v>0</v>
      </c>
      <c r="CM87" s="49">
        <f t="shared" si="283"/>
        <v>0</v>
      </c>
      <c r="CN87" s="45"/>
      <c r="CO87" s="39"/>
      <c r="CP87" s="39"/>
      <c r="CQ87" s="39"/>
      <c r="CR87" s="39"/>
      <c r="CS87" s="39"/>
      <c r="CT87" s="39"/>
      <c r="CU87" s="39"/>
      <c r="CV87" s="39"/>
      <c r="CW87" s="31">
        <f t="shared" si="231"/>
        <v>0</v>
      </c>
      <c r="CX87" s="17">
        <f t="shared" si="284"/>
        <v>0</v>
      </c>
      <c r="CY87" s="31"/>
      <c r="CZ87" s="49">
        <f t="shared" si="285"/>
        <v>0</v>
      </c>
      <c r="DA87" s="49">
        <f t="shared" si="286"/>
        <v>0</v>
      </c>
    </row>
    <row r="88" spans="1:105" ht="24.95" customHeight="1">
      <c r="A88" s="4" t="s">
        <v>12</v>
      </c>
      <c r="B88" s="9">
        <v>12091</v>
      </c>
      <c r="C88" s="5">
        <f t="shared" ref="C88:C89" si="330">+C87+1</f>
        <v>2</v>
      </c>
      <c r="D88" s="8" t="s">
        <v>114</v>
      </c>
      <c r="E88" s="45"/>
      <c r="F88" s="39"/>
      <c r="G88" s="39"/>
      <c r="H88" s="39">
        <f>+G88*0.25</f>
        <v>0</v>
      </c>
      <c r="I88" s="39">
        <f>+G88*0.5</f>
        <v>0</v>
      </c>
      <c r="J88" s="39">
        <f>+G88*0.75</f>
        <v>0</v>
      </c>
      <c r="K88" s="39">
        <f>+G88</f>
        <v>0</v>
      </c>
      <c r="L88" s="39">
        <v>0</v>
      </c>
      <c r="M88" s="39">
        <v>0</v>
      </c>
      <c r="N88" s="48">
        <f t="shared" si="263"/>
        <v>0</v>
      </c>
      <c r="O88" s="49">
        <f t="shared" si="267"/>
        <v>0</v>
      </c>
      <c r="P88" s="48"/>
      <c r="Q88" s="49">
        <f t="shared" si="268"/>
        <v>0</v>
      </c>
      <c r="R88" s="49">
        <f t="shared" si="269"/>
        <v>0</v>
      </c>
      <c r="S88" s="45"/>
      <c r="T88" s="39"/>
      <c r="U88" s="39"/>
      <c r="V88" s="39">
        <f>+U88*0.25</f>
        <v>0</v>
      </c>
      <c r="W88" s="39">
        <f>+U88*0.5</f>
        <v>0</v>
      </c>
      <c r="X88" s="39">
        <f>+U88*0.75</f>
        <v>0</v>
      </c>
      <c r="Y88" s="39">
        <f>+U88</f>
        <v>0</v>
      </c>
      <c r="Z88" s="39">
        <v>0</v>
      </c>
      <c r="AA88" s="39">
        <v>0</v>
      </c>
      <c r="AB88" s="48">
        <f t="shared" si="264"/>
        <v>0</v>
      </c>
      <c r="AC88" s="49">
        <f t="shared" si="270"/>
        <v>0</v>
      </c>
      <c r="AD88" s="48"/>
      <c r="AE88" s="49">
        <f t="shared" si="271"/>
        <v>0</v>
      </c>
      <c r="AF88" s="49">
        <f t="shared" si="272"/>
        <v>0</v>
      </c>
      <c r="AG88" s="45"/>
      <c r="AH88" s="39"/>
      <c r="AI88" s="39"/>
      <c r="AJ88" s="39">
        <v>0</v>
      </c>
      <c r="AK88" s="39">
        <v>0</v>
      </c>
      <c r="AL88" s="48">
        <f>+AJ88-AH88</f>
        <v>0</v>
      </c>
      <c r="AM88" s="49">
        <f>+IF(AH88&lt;=0,0,AJ88/AH88)</f>
        <v>0</v>
      </c>
      <c r="AN88" s="48"/>
      <c r="AO88" s="49">
        <f>+IF(AI88&lt;=0,0,AK88/AI88)</f>
        <v>0</v>
      </c>
      <c r="AP88" s="39">
        <f t="shared" si="328"/>
        <v>347</v>
      </c>
      <c r="AQ88" s="39">
        <f t="shared" si="328"/>
        <v>77</v>
      </c>
      <c r="AR88" s="39">
        <f t="shared" si="329"/>
        <v>350</v>
      </c>
      <c r="AS88" s="39">
        <f t="shared" si="329"/>
        <v>350</v>
      </c>
      <c r="AT88" s="39">
        <f t="shared" si="236"/>
        <v>3</v>
      </c>
      <c r="AU88" s="17">
        <f t="shared" si="228"/>
        <v>1.0086455331412103</v>
      </c>
      <c r="AV88" s="39">
        <f t="shared" si="229"/>
        <v>273</v>
      </c>
      <c r="AW88" s="17">
        <f t="shared" si="230"/>
        <v>4.5454545454545459</v>
      </c>
      <c r="AX88" s="45"/>
      <c r="AY88" s="39"/>
      <c r="AZ88" s="39"/>
      <c r="BA88" s="39">
        <f>+AZ88*0.25</f>
        <v>0</v>
      </c>
      <c r="BB88" s="39">
        <f>+AZ88*0.5</f>
        <v>0</v>
      </c>
      <c r="BC88" s="39">
        <f>+AZ88*0.75</f>
        <v>0</v>
      </c>
      <c r="BD88" s="39">
        <f>+AZ88</f>
        <v>0</v>
      </c>
      <c r="BE88" s="39">
        <v>0</v>
      </c>
      <c r="BF88" s="39">
        <v>0</v>
      </c>
      <c r="BG88" s="48">
        <f t="shared" si="265"/>
        <v>0</v>
      </c>
      <c r="BH88" s="49">
        <f t="shared" si="273"/>
        <v>0</v>
      </c>
      <c r="BI88" s="48"/>
      <c r="BJ88" s="49">
        <f t="shared" si="274"/>
        <v>0</v>
      </c>
      <c r="BK88" s="49">
        <f t="shared" si="275"/>
        <v>0</v>
      </c>
      <c r="BL88" s="45">
        <v>1000</v>
      </c>
      <c r="BM88" s="39">
        <v>347</v>
      </c>
      <c r="BN88" s="39">
        <v>77</v>
      </c>
      <c r="BO88" s="39">
        <f>+BN88*0.25</f>
        <v>19.25</v>
      </c>
      <c r="BP88" s="39">
        <f>+BN88*0.5</f>
        <v>38.5</v>
      </c>
      <c r="BQ88" s="39">
        <f>+BN88*0.75</f>
        <v>57.75</v>
      </c>
      <c r="BR88" s="39">
        <f>+BN88</f>
        <v>77</v>
      </c>
      <c r="BS88" s="39">
        <v>350</v>
      </c>
      <c r="BT88" s="39">
        <v>350</v>
      </c>
      <c r="BU88" s="48">
        <f t="shared" si="266"/>
        <v>3</v>
      </c>
      <c r="BV88" s="49">
        <f t="shared" si="276"/>
        <v>1.0086455331412103</v>
      </c>
      <c r="BW88" s="48">
        <f t="shared" si="319"/>
        <v>273</v>
      </c>
      <c r="BX88" s="49">
        <f t="shared" si="277"/>
        <v>4.5454545454545459</v>
      </c>
      <c r="BY88" s="49">
        <f t="shared" si="278"/>
        <v>4.5454545454545459</v>
      </c>
      <c r="BZ88" s="45"/>
      <c r="CA88" s="39"/>
      <c r="CB88" s="39"/>
      <c r="CC88" s="39">
        <f>+CB88*0.25</f>
        <v>0</v>
      </c>
      <c r="CD88" s="39">
        <f>+CB88*0.5</f>
        <v>0</v>
      </c>
      <c r="CE88" s="39">
        <f>+CB88*0.75</f>
        <v>0</v>
      </c>
      <c r="CF88" s="39">
        <f>+CB88</f>
        <v>0</v>
      </c>
      <c r="CG88" s="39">
        <v>0</v>
      </c>
      <c r="CH88" s="39">
        <v>0</v>
      </c>
      <c r="CI88" s="51">
        <f t="shared" si="279"/>
        <v>0</v>
      </c>
      <c r="CJ88" s="49">
        <f t="shared" si="280"/>
        <v>0</v>
      </c>
      <c r="CK88" s="48">
        <f t="shared" si="281"/>
        <v>0</v>
      </c>
      <c r="CL88" s="49">
        <f t="shared" si="282"/>
        <v>0</v>
      </c>
      <c r="CM88" s="49">
        <f t="shared" si="283"/>
        <v>0</v>
      </c>
      <c r="CN88" s="45"/>
      <c r="CO88" s="39"/>
      <c r="CP88" s="39"/>
      <c r="CQ88" s="39"/>
      <c r="CR88" s="39"/>
      <c r="CS88" s="39"/>
      <c r="CT88" s="39"/>
      <c r="CU88" s="39"/>
      <c r="CV88" s="39"/>
      <c r="CW88" s="31">
        <f t="shared" si="231"/>
        <v>0</v>
      </c>
      <c r="CX88" s="17">
        <f t="shared" si="284"/>
        <v>0</v>
      </c>
      <c r="CY88" s="31"/>
      <c r="CZ88" s="49">
        <f t="shared" si="285"/>
        <v>0</v>
      </c>
      <c r="DA88" s="49">
        <f t="shared" si="286"/>
        <v>0</v>
      </c>
    </row>
    <row r="89" spans="1:105" ht="24.95" customHeight="1">
      <c r="A89" s="4" t="s">
        <v>16</v>
      </c>
      <c r="B89" s="9">
        <v>12097</v>
      </c>
      <c r="C89" s="5">
        <f t="shared" si="330"/>
        <v>3</v>
      </c>
      <c r="D89" s="8" t="s">
        <v>115</v>
      </c>
      <c r="E89" s="45"/>
      <c r="F89" s="39"/>
      <c r="G89" s="39"/>
      <c r="H89" s="39">
        <f>+G89*0.25</f>
        <v>0</v>
      </c>
      <c r="I89" s="39">
        <f>+G89*0.5</f>
        <v>0</v>
      </c>
      <c r="J89" s="39">
        <f>+G89*0.75</f>
        <v>0</v>
      </c>
      <c r="K89" s="39">
        <f>+G89</f>
        <v>0</v>
      </c>
      <c r="L89" s="39">
        <v>0</v>
      </c>
      <c r="M89" s="39">
        <v>0</v>
      </c>
      <c r="N89" s="48">
        <f t="shared" si="263"/>
        <v>0</v>
      </c>
      <c r="O89" s="49">
        <f t="shared" si="267"/>
        <v>0</v>
      </c>
      <c r="P89" s="48"/>
      <c r="Q89" s="49">
        <f t="shared" si="268"/>
        <v>0</v>
      </c>
      <c r="R89" s="49">
        <f t="shared" si="269"/>
        <v>0</v>
      </c>
      <c r="S89" s="45"/>
      <c r="T89" s="39"/>
      <c r="U89" s="39"/>
      <c r="V89" s="39">
        <f>+U89*0.25</f>
        <v>0</v>
      </c>
      <c r="W89" s="39">
        <f>+U89*0.5</f>
        <v>0</v>
      </c>
      <c r="X89" s="39">
        <f>+U89*0.75</f>
        <v>0</v>
      </c>
      <c r="Y89" s="39">
        <f>+U89</f>
        <v>0</v>
      </c>
      <c r="Z89" s="39">
        <v>0</v>
      </c>
      <c r="AA89" s="39">
        <v>0</v>
      </c>
      <c r="AB89" s="48">
        <f t="shared" si="264"/>
        <v>0</v>
      </c>
      <c r="AC89" s="49">
        <f t="shared" si="270"/>
        <v>0</v>
      </c>
      <c r="AD89" s="48"/>
      <c r="AE89" s="49">
        <f t="shared" si="271"/>
        <v>0</v>
      </c>
      <c r="AF89" s="49">
        <f t="shared" si="272"/>
        <v>0</v>
      </c>
      <c r="AG89" s="45"/>
      <c r="AH89" s="39"/>
      <c r="AI89" s="39"/>
      <c r="AJ89" s="39">
        <v>0</v>
      </c>
      <c r="AK89" s="39">
        <v>0</v>
      </c>
      <c r="AL89" s="48">
        <f>+AJ89-AH89</f>
        <v>0</v>
      </c>
      <c r="AM89" s="49">
        <f>+IF(AH89&lt;=0,0,AJ89/AH89)</f>
        <v>0</v>
      </c>
      <c r="AN89" s="48"/>
      <c r="AO89" s="49">
        <f>+IF(AI89&lt;=0,0,AK89/AI89)</f>
        <v>0</v>
      </c>
      <c r="AP89" s="39">
        <f t="shared" si="328"/>
        <v>150</v>
      </c>
      <c r="AQ89" s="39">
        <f t="shared" si="328"/>
        <v>50</v>
      </c>
      <c r="AR89" s="39">
        <f t="shared" si="329"/>
        <v>164.5</v>
      </c>
      <c r="AS89" s="39">
        <f t="shared" si="329"/>
        <v>147</v>
      </c>
      <c r="AT89" s="39">
        <f t="shared" si="236"/>
        <v>14.5</v>
      </c>
      <c r="AU89" s="17">
        <f t="shared" si="228"/>
        <v>1.0966666666666667</v>
      </c>
      <c r="AV89" s="39">
        <f t="shared" si="229"/>
        <v>97</v>
      </c>
      <c r="AW89" s="17">
        <f t="shared" si="230"/>
        <v>2.94</v>
      </c>
      <c r="AX89" s="45"/>
      <c r="AY89" s="39"/>
      <c r="AZ89" s="39"/>
      <c r="BA89" s="39">
        <f>+AZ89*0.25</f>
        <v>0</v>
      </c>
      <c r="BB89" s="39">
        <f>+AZ89*0.5</f>
        <v>0</v>
      </c>
      <c r="BC89" s="39">
        <f>+AZ89*0.75</f>
        <v>0</v>
      </c>
      <c r="BD89" s="39">
        <f>+AZ89</f>
        <v>0</v>
      </c>
      <c r="BE89" s="39">
        <v>0</v>
      </c>
      <c r="BF89" s="39">
        <v>0</v>
      </c>
      <c r="BG89" s="48">
        <f t="shared" si="265"/>
        <v>0</v>
      </c>
      <c r="BH89" s="49">
        <f t="shared" si="273"/>
        <v>0</v>
      </c>
      <c r="BI89" s="48"/>
      <c r="BJ89" s="49">
        <f t="shared" si="274"/>
        <v>0</v>
      </c>
      <c r="BK89" s="49">
        <f t="shared" si="275"/>
        <v>0</v>
      </c>
      <c r="BL89" s="45">
        <v>1000</v>
      </c>
      <c r="BM89" s="39">
        <v>150</v>
      </c>
      <c r="BN89" s="39">
        <v>50</v>
      </c>
      <c r="BO89" s="39">
        <f>+BN89*0.25</f>
        <v>12.5</v>
      </c>
      <c r="BP89" s="39">
        <f>+BN89*0.5</f>
        <v>25</v>
      </c>
      <c r="BQ89" s="39">
        <f>+BN89*0.75</f>
        <v>37.5</v>
      </c>
      <c r="BR89" s="39">
        <f>+BN89</f>
        <v>50</v>
      </c>
      <c r="BS89" s="39">
        <v>164.5</v>
      </c>
      <c r="BT89" s="39">
        <v>147</v>
      </c>
      <c r="BU89" s="48">
        <f t="shared" si="266"/>
        <v>14.5</v>
      </c>
      <c r="BV89" s="49">
        <f t="shared" si="276"/>
        <v>1.0966666666666667</v>
      </c>
      <c r="BW89" s="48">
        <f t="shared" si="319"/>
        <v>97</v>
      </c>
      <c r="BX89" s="49">
        <f t="shared" si="277"/>
        <v>2.94</v>
      </c>
      <c r="BY89" s="49">
        <f t="shared" si="278"/>
        <v>2.94</v>
      </c>
      <c r="BZ89" s="45"/>
      <c r="CA89" s="39"/>
      <c r="CB89" s="39"/>
      <c r="CC89" s="39">
        <f>+CB89*0.25</f>
        <v>0</v>
      </c>
      <c r="CD89" s="39">
        <f>+CB89*0.5</f>
        <v>0</v>
      </c>
      <c r="CE89" s="39">
        <f>+CB89*0.75</f>
        <v>0</v>
      </c>
      <c r="CF89" s="39">
        <f>+CB89</f>
        <v>0</v>
      </c>
      <c r="CG89" s="39">
        <v>0</v>
      </c>
      <c r="CH89" s="39">
        <v>0</v>
      </c>
      <c r="CI89" s="51">
        <f t="shared" si="279"/>
        <v>0</v>
      </c>
      <c r="CJ89" s="49">
        <f t="shared" si="280"/>
        <v>0</v>
      </c>
      <c r="CK89" s="48">
        <f t="shared" si="281"/>
        <v>0</v>
      </c>
      <c r="CL89" s="49">
        <f t="shared" si="282"/>
        <v>0</v>
      </c>
      <c r="CM89" s="49">
        <f t="shared" si="283"/>
        <v>0</v>
      </c>
      <c r="CN89" s="45"/>
      <c r="CO89" s="39"/>
      <c r="CP89" s="39"/>
      <c r="CQ89" s="39"/>
      <c r="CR89" s="39"/>
      <c r="CS89" s="39"/>
      <c r="CT89" s="39"/>
      <c r="CU89" s="39"/>
      <c r="CV89" s="39"/>
      <c r="CW89" s="31">
        <f t="shared" si="231"/>
        <v>0</v>
      </c>
      <c r="CX89" s="17">
        <f t="shared" si="284"/>
        <v>0</v>
      </c>
      <c r="CY89" s="31"/>
      <c r="CZ89" s="49">
        <f t="shared" si="285"/>
        <v>0</v>
      </c>
      <c r="DA89" s="49">
        <f t="shared" si="286"/>
        <v>0</v>
      </c>
    </row>
    <row r="90" spans="1:105" s="26" customFormat="1" ht="24.95" customHeight="1">
      <c r="A90" s="25"/>
      <c r="B90" s="7"/>
      <c r="C90" s="6"/>
      <c r="D90" s="7" t="s">
        <v>30</v>
      </c>
      <c r="E90" s="13">
        <f>SUM(E91:E96)</f>
        <v>26500.000000000007</v>
      </c>
      <c r="F90" s="13">
        <f>SUM(F91:F96)</f>
        <v>4706.3987420315698</v>
      </c>
      <c r="G90" s="13">
        <f>SUM(G91:G96)</f>
        <v>1816.1150362129194</v>
      </c>
      <c r="H90" s="13">
        <f t="shared" ref="H90:M90" si="331">SUM(H91:H96)</f>
        <v>454.02875905322986</v>
      </c>
      <c r="I90" s="13">
        <f t="shared" si="331"/>
        <v>908.05751810645972</v>
      </c>
      <c r="J90" s="13">
        <f t="shared" si="331"/>
        <v>1362.0862771596899</v>
      </c>
      <c r="K90" s="13">
        <f t="shared" si="331"/>
        <v>1816.1150362129194</v>
      </c>
      <c r="L90" s="13">
        <f t="shared" si="331"/>
        <v>6210.83</v>
      </c>
      <c r="M90" s="13">
        <f t="shared" si="331"/>
        <v>2380</v>
      </c>
      <c r="N90" s="19">
        <f t="shared" si="263"/>
        <v>1504.4312579684301</v>
      </c>
      <c r="O90" s="20">
        <f t="shared" si="267"/>
        <v>1.3196565655461283</v>
      </c>
      <c r="P90" s="19">
        <f t="shared" ref="P90:P98" si="332">+M90-G90</f>
        <v>563.88496378708055</v>
      </c>
      <c r="Q90" s="20">
        <f t="shared" si="268"/>
        <v>1.3104896730346609</v>
      </c>
      <c r="R90" s="20">
        <f t="shared" si="269"/>
        <v>1.3104896730346609</v>
      </c>
      <c r="S90" s="13">
        <f>SUM(S91:S96)</f>
        <v>26500.000000000007</v>
      </c>
      <c r="T90" s="13">
        <f>SUM(T91:T96)</f>
        <v>4706.3987420315698</v>
      </c>
      <c r="U90" s="13">
        <f>SUM(U91:U96)</f>
        <v>1816.1150362129194</v>
      </c>
      <c r="V90" s="13">
        <f t="shared" ref="V90:AA90" si="333">SUM(V91:V96)</f>
        <v>454.02875905322986</v>
      </c>
      <c r="W90" s="13">
        <f t="shared" si="333"/>
        <v>908.05751810645972</v>
      </c>
      <c r="X90" s="13">
        <f t="shared" si="333"/>
        <v>1362.0862771596899</v>
      </c>
      <c r="Y90" s="13">
        <f t="shared" si="333"/>
        <v>1816.1150362129194</v>
      </c>
      <c r="Z90" s="13">
        <f t="shared" si="333"/>
        <v>6210.83</v>
      </c>
      <c r="AA90" s="13">
        <f t="shared" si="333"/>
        <v>2380</v>
      </c>
      <c r="AB90" s="19">
        <f t="shared" si="264"/>
        <v>1504.4312579684301</v>
      </c>
      <c r="AC90" s="20">
        <f t="shared" si="270"/>
        <v>1.3196565655461283</v>
      </c>
      <c r="AD90" s="19">
        <f t="shared" ref="AD90:AD98" si="334">+AA90-U90</f>
        <v>563.88496378708055</v>
      </c>
      <c r="AE90" s="20">
        <f t="shared" si="271"/>
        <v>1.3104896730346609</v>
      </c>
      <c r="AF90" s="20">
        <f t="shared" si="272"/>
        <v>1.3104896730346609</v>
      </c>
      <c r="AG90" s="13">
        <f>SUM(AG91:AG96)</f>
        <v>26500.000000000007</v>
      </c>
      <c r="AH90" s="13">
        <f>SUM(AH91:AH96)</f>
        <v>4706.3987420315698</v>
      </c>
      <c r="AI90" s="13">
        <f>SUM(AI91:AI96)</f>
        <v>1816.1150362129194</v>
      </c>
      <c r="AJ90" s="13">
        <f t="shared" ref="AJ90:AK90" si="335">SUM(AJ91:AJ96)</f>
        <v>6210.83</v>
      </c>
      <c r="AK90" s="13">
        <f t="shared" si="335"/>
        <v>2380</v>
      </c>
      <c r="AL90" s="19">
        <f>+AJ90-AH90</f>
        <v>1504.4312579684301</v>
      </c>
      <c r="AM90" s="20">
        <f>+IF(AH90&lt;=0,0,AJ90/AH90)</f>
        <v>1.3196565655461283</v>
      </c>
      <c r="AN90" s="19">
        <f>+AK90-AI90</f>
        <v>563.88496378708055</v>
      </c>
      <c r="AO90" s="20">
        <f>+IF(AI90&lt;=0,0,AK90/AI90)</f>
        <v>1.3104896730346609</v>
      </c>
      <c r="AP90" s="13">
        <f>SUM(AP91:AP96)</f>
        <v>13237.029737725285</v>
      </c>
      <c r="AQ90" s="13">
        <f>SUM(AQ91:AQ96)</f>
        <v>4845.9019923212782</v>
      </c>
      <c r="AR90" s="13">
        <f t="shared" ref="AR90:AS90" si="336">SUM(AR91:AR96)</f>
        <v>18505.959900000002</v>
      </c>
      <c r="AS90" s="13">
        <f t="shared" si="336"/>
        <v>7059.9706999999999</v>
      </c>
      <c r="AT90" s="19">
        <f t="shared" si="236"/>
        <v>5268.9301622747171</v>
      </c>
      <c r="AU90" s="20">
        <f t="shared" si="228"/>
        <v>1.3980447477018478</v>
      </c>
      <c r="AV90" s="19">
        <f t="shared" si="229"/>
        <v>2214.0687076787217</v>
      </c>
      <c r="AW90" s="20">
        <f t="shared" si="230"/>
        <v>1.4568950653948618</v>
      </c>
      <c r="AX90" s="13">
        <f>SUM(AX91:AX96)</f>
        <v>26500.000000000007</v>
      </c>
      <c r="AY90" s="13">
        <f>SUM(AY91:AY96)</f>
        <v>4706.3987420315698</v>
      </c>
      <c r="AZ90" s="13">
        <f>SUM(AZ91:AZ96)</f>
        <v>1816.1150362129194</v>
      </c>
      <c r="BA90" s="13">
        <f t="shared" ref="BA90:BF90" si="337">SUM(BA91:BA96)</f>
        <v>454.02875905322986</v>
      </c>
      <c r="BB90" s="13">
        <f t="shared" si="337"/>
        <v>908.05751810645972</v>
      </c>
      <c r="BC90" s="13">
        <f t="shared" si="337"/>
        <v>1362.0862771596899</v>
      </c>
      <c r="BD90" s="13">
        <f t="shared" si="337"/>
        <v>1816.1150362129194</v>
      </c>
      <c r="BE90" s="13">
        <f t="shared" si="337"/>
        <v>6210.83</v>
      </c>
      <c r="BF90" s="13">
        <f t="shared" si="337"/>
        <v>2380</v>
      </c>
      <c r="BG90" s="19">
        <f t="shared" si="265"/>
        <v>1504.4312579684301</v>
      </c>
      <c r="BH90" s="20">
        <f t="shared" si="273"/>
        <v>1.3196565655461283</v>
      </c>
      <c r="BI90" s="19">
        <f t="shared" ref="BI90:BI98" si="338">+BF90-AZ90</f>
        <v>563.88496378708055</v>
      </c>
      <c r="BJ90" s="20">
        <f t="shared" si="274"/>
        <v>1.3104896730346609</v>
      </c>
      <c r="BK90" s="20">
        <f t="shared" si="275"/>
        <v>1.3104896730346609</v>
      </c>
      <c r="BL90" s="13">
        <f>SUM(BL91:BL96)</f>
        <v>21999.999999999993</v>
      </c>
      <c r="BM90" s="13">
        <f>SUM(BM91:BM96)</f>
        <v>3916.3249009146107</v>
      </c>
      <c r="BN90" s="13">
        <f>SUM(BN91:BN96)</f>
        <v>1561.2789183957102</v>
      </c>
      <c r="BO90" s="13">
        <f t="shared" ref="BO90:BT90" si="339">SUM(BO91:BO96)</f>
        <v>390.31972959892755</v>
      </c>
      <c r="BP90" s="13">
        <f t="shared" si="339"/>
        <v>780.6394591978551</v>
      </c>
      <c r="BQ90" s="13">
        <f t="shared" si="339"/>
        <v>1170.9591887967827</v>
      </c>
      <c r="BR90" s="13">
        <f t="shared" si="339"/>
        <v>1561.2789183957102</v>
      </c>
      <c r="BS90" s="13">
        <f t="shared" si="339"/>
        <v>4704.6298999999999</v>
      </c>
      <c r="BT90" s="13">
        <f t="shared" si="339"/>
        <v>1827.4706999999999</v>
      </c>
      <c r="BU90" s="19">
        <f t="shared" si="266"/>
        <v>788.30499908538923</v>
      </c>
      <c r="BV90" s="20">
        <f t="shared" si="276"/>
        <v>1.2012869256330827</v>
      </c>
      <c r="BW90" s="19">
        <f t="shared" si="319"/>
        <v>266.19178160428964</v>
      </c>
      <c r="BX90" s="20">
        <f t="shared" si="277"/>
        <v>1.1704959815109874</v>
      </c>
      <c r="BY90" s="20">
        <f t="shared" si="278"/>
        <v>1.1704959815109874</v>
      </c>
      <c r="BZ90" s="13">
        <f>SUM(BZ91:BZ96)</f>
        <v>25920.917353264722</v>
      </c>
      <c r="CA90" s="13">
        <f>SUM(CA91:CA96)</f>
        <v>4614.3060947791037</v>
      </c>
      <c r="CB90" s="13">
        <f t="shared" ref="CB90:CH90" si="340">SUM(CB91:CB96)</f>
        <v>1468.5080377126487</v>
      </c>
      <c r="CC90" s="13">
        <f t="shared" si="340"/>
        <v>367.12700942816218</v>
      </c>
      <c r="CD90" s="13">
        <f t="shared" si="340"/>
        <v>734.25401885632436</v>
      </c>
      <c r="CE90" s="13">
        <f t="shared" si="340"/>
        <v>1101.3810282844865</v>
      </c>
      <c r="CF90" s="13">
        <f t="shared" si="340"/>
        <v>1468.5080377126487</v>
      </c>
      <c r="CG90" s="13">
        <f t="shared" si="340"/>
        <v>7590.5</v>
      </c>
      <c r="CH90" s="13">
        <f t="shared" si="340"/>
        <v>2852.5</v>
      </c>
      <c r="CI90" s="19">
        <f t="shared" si="279"/>
        <v>2976.1939052208963</v>
      </c>
      <c r="CJ90" s="20">
        <f t="shared" si="280"/>
        <v>1.6449927343546491</v>
      </c>
      <c r="CK90" s="30">
        <f t="shared" si="281"/>
        <v>1383.9919622873513</v>
      </c>
      <c r="CL90" s="20">
        <f t="shared" si="282"/>
        <v>1.9424476589471449</v>
      </c>
      <c r="CM90" s="20">
        <f t="shared" si="283"/>
        <v>1.9424476589471449</v>
      </c>
      <c r="CN90" s="46"/>
      <c r="CO90" s="13">
        <f>SUM(CO91:CO96)</f>
        <v>0</v>
      </c>
      <c r="CP90" s="13">
        <f>SUM(CP91:CP96)</f>
        <v>0</v>
      </c>
      <c r="CQ90" s="13">
        <f t="shared" ref="CQ90:CT90" si="341">SUM(CQ91:CQ96)</f>
        <v>0</v>
      </c>
      <c r="CR90" s="13">
        <f t="shared" si="341"/>
        <v>0</v>
      </c>
      <c r="CS90" s="13">
        <f t="shared" si="341"/>
        <v>0</v>
      </c>
      <c r="CT90" s="13">
        <f t="shared" si="341"/>
        <v>0</v>
      </c>
      <c r="CU90" s="13"/>
      <c r="CV90" s="13"/>
      <c r="CW90" s="30">
        <f t="shared" si="231"/>
        <v>0</v>
      </c>
      <c r="CX90" s="20">
        <f t="shared" si="284"/>
        <v>0</v>
      </c>
      <c r="CY90" s="30"/>
      <c r="CZ90" s="20">
        <f t="shared" si="285"/>
        <v>0</v>
      </c>
      <c r="DA90" s="20">
        <f t="shared" si="286"/>
        <v>0</v>
      </c>
    </row>
    <row r="91" spans="1:105" ht="24.95" customHeight="1">
      <c r="A91" s="4" t="s">
        <v>19</v>
      </c>
      <c r="B91" s="9">
        <v>11443</v>
      </c>
      <c r="C91" s="5">
        <v>1</v>
      </c>
      <c r="D91" s="8" t="s">
        <v>116</v>
      </c>
      <c r="E91" s="45">
        <v>4187.0000000000009</v>
      </c>
      <c r="F91" s="39">
        <v>743.61100124098812</v>
      </c>
      <c r="G91" s="39">
        <v>286.94617572164128</v>
      </c>
      <c r="H91" s="39">
        <f t="shared" ref="H91:H96" si="342">+G91*0.25</f>
        <v>71.736543930410321</v>
      </c>
      <c r="I91" s="39">
        <f t="shared" ref="I91:I96" si="343">+G91*0.5</f>
        <v>143.47308786082064</v>
      </c>
      <c r="J91" s="39">
        <f t="shared" ref="J91:J96" si="344">+G91*0.75</f>
        <v>215.20963179123095</v>
      </c>
      <c r="K91" s="39">
        <f t="shared" ref="K91:K96" si="345">+G91</f>
        <v>286.94617572164128</v>
      </c>
      <c r="L91" s="39">
        <v>962.48</v>
      </c>
      <c r="M91" s="39">
        <v>500</v>
      </c>
      <c r="N91" s="48">
        <f t="shared" si="263"/>
        <v>218.8689987590119</v>
      </c>
      <c r="O91" s="49">
        <f t="shared" si="267"/>
        <v>1.2943326529512724</v>
      </c>
      <c r="P91" s="48">
        <f t="shared" si="332"/>
        <v>213.05382427835872</v>
      </c>
      <c r="Q91" s="49">
        <f t="shared" si="268"/>
        <v>1.7424870665815615</v>
      </c>
      <c r="R91" s="49">
        <f t="shared" si="269"/>
        <v>1.7424870665815615</v>
      </c>
      <c r="S91" s="45">
        <v>4187.0000000000009</v>
      </c>
      <c r="T91" s="39">
        <v>743.61100124098812</v>
      </c>
      <c r="U91" s="39">
        <v>286.94617572164128</v>
      </c>
      <c r="V91" s="39">
        <f t="shared" ref="V91:V96" si="346">+U91*0.25</f>
        <v>71.736543930410321</v>
      </c>
      <c r="W91" s="39">
        <f t="shared" ref="W91:W96" si="347">+U91*0.5</f>
        <v>143.47308786082064</v>
      </c>
      <c r="X91" s="39">
        <f t="shared" ref="X91:X96" si="348">+U91*0.75</f>
        <v>215.20963179123095</v>
      </c>
      <c r="Y91" s="39">
        <f t="shared" ref="Y91:Y96" si="349">+U91</f>
        <v>286.94617572164128</v>
      </c>
      <c r="Z91" s="39">
        <v>962.48</v>
      </c>
      <c r="AA91" s="39">
        <v>500</v>
      </c>
      <c r="AB91" s="48">
        <f t="shared" si="264"/>
        <v>218.8689987590119</v>
      </c>
      <c r="AC91" s="49">
        <f t="shared" si="270"/>
        <v>1.2943326529512724</v>
      </c>
      <c r="AD91" s="48">
        <f t="shared" si="334"/>
        <v>213.05382427835872</v>
      </c>
      <c r="AE91" s="49">
        <f t="shared" si="271"/>
        <v>1.7424870665815615</v>
      </c>
      <c r="AF91" s="49">
        <f t="shared" si="272"/>
        <v>1.7424870665815615</v>
      </c>
      <c r="AG91" s="45">
        <v>4187.0000000000009</v>
      </c>
      <c r="AH91" s="39">
        <v>743.61100124098812</v>
      </c>
      <c r="AI91" s="39">
        <v>286.94617572164128</v>
      </c>
      <c r="AJ91" s="39">
        <v>962.48</v>
      </c>
      <c r="AK91" s="39">
        <v>500</v>
      </c>
      <c r="AL91" s="48">
        <f>+AJ91-AH91</f>
        <v>218.8689987590119</v>
      </c>
      <c r="AM91" s="49">
        <f>+IF(AH91&lt;=0,0,AJ91/AH91)</f>
        <v>1.2943326529512724</v>
      </c>
      <c r="AN91" s="48">
        <f>+AK91-AI91</f>
        <v>213.05382427835872</v>
      </c>
      <c r="AO91" s="49">
        <f>+IF(AI91&lt;=0,0,AK91/AI91)</f>
        <v>1.7424870665815615</v>
      </c>
      <c r="AP91" s="39">
        <f t="shared" ref="AP91:AQ96" si="350">+AY91+BM91+CA91+CO91</f>
        <v>2134.6207932247466</v>
      </c>
      <c r="AQ91" s="39">
        <f t="shared" si="350"/>
        <v>782.12061482161687</v>
      </c>
      <c r="AR91" s="39">
        <f t="shared" ref="AR91:AS96" si="351">+BE91+BS91+CG91++CU91</f>
        <v>3904.48</v>
      </c>
      <c r="AS91" s="39">
        <f t="shared" si="351"/>
        <v>1273</v>
      </c>
      <c r="AT91" s="39">
        <f t="shared" ref="AT91:AT96" si="352">+AR91-AP91</f>
        <v>1769.8592067752534</v>
      </c>
      <c r="AU91" s="17">
        <f t="shared" si="228"/>
        <v>1.8291211312064228</v>
      </c>
      <c r="AV91" s="39">
        <f t="shared" si="229"/>
        <v>490.87938517838313</v>
      </c>
      <c r="AW91" s="17">
        <f t="shared" si="230"/>
        <v>1.6276261945740185</v>
      </c>
      <c r="AX91" s="45">
        <v>4187.0000000000009</v>
      </c>
      <c r="AY91" s="39">
        <v>743.61100124098812</v>
      </c>
      <c r="AZ91" s="39">
        <v>286.94617572164128</v>
      </c>
      <c r="BA91" s="39">
        <f t="shared" ref="BA91:BA96" si="353">+AZ91*0.25</f>
        <v>71.736543930410321</v>
      </c>
      <c r="BB91" s="39">
        <f t="shared" ref="BB91:BB96" si="354">+AZ91*0.5</f>
        <v>143.47308786082064</v>
      </c>
      <c r="BC91" s="39">
        <f t="shared" ref="BC91:BC96" si="355">+AZ91*0.75</f>
        <v>215.20963179123095</v>
      </c>
      <c r="BD91" s="39">
        <f t="shared" ref="BD91:BD96" si="356">+AZ91</f>
        <v>286.94617572164128</v>
      </c>
      <c r="BE91" s="39">
        <v>962.48</v>
      </c>
      <c r="BF91" s="39">
        <v>500</v>
      </c>
      <c r="BG91" s="48">
        <f t="shared" si="265"/>
        <v>218.8689987590119</v>
      </c>
      <c r="BH91" s="49">
        <f t="shared" si="273"/>
        <v>1.2943326529512724</v>
      </c>
      <c r="BI91" s="48">
        <f t="shared" si="338"/>
        <v>213.05382427835872</v>
      </c>
      <c r="BJ91" s="49">
        <f t="shared" si="274"/>
        <v>1.7424870665815615</v>
      </c>
      <c r="BK91" s="49">
        <f t="shared" si="275"/>
        <v>1.7424870665815615</v>
      </c>
      <c r="BL91" s="45">
        <v>3666.6666666666661</v>
      </c>
      <c r="BM91" s="39">
        <v>652.72081681910174</v>
      </c>
      <c r="BN91" s="39">
        <v>260.2131530659517</v>
      </c>
      <c r="BO91" s="39">
        <f t="shared" ref="BO91:BO96" si="357">+BN91*0.25</f>
        <v>65.053288266487925</v>
      </c>
      <c r="BP91" s="39">
        <f t="shared" ref="BP91:BP96" si="358">+BN91*0.5</f>
        <v>130.10657653297585</v>
      </c>
      <c r="BQ91" s="39">
        <f t="shared" ref="BQ91:BQ96" si="359">+BN91*0.75</f>
        <v>195.15986479946378</v>
      </c>
      <c r="BR91" s="39">
        <f t="shared" ref="BR91:BR96" si="360">+BN91</f>
        <v>260.2131530659517</v>
      </c>
      <c r="BS91" s="39">
        <v>1122</v>
      </c>
      <c r="BT91" s="39">
        <v>473</v>
      </c>
      <c r="BU91" s="48">
        <f t="shared" si="266"/>
        <v>469.27918318089826</v>
      </c>
      <c r="BV91" s="49">
        <f t="shared" si="276"/>
        <v>1.7189585058246375</v>
      </c>
      <c r="BW91" s="48">
        <f t="shared" si="319"/>
        <v>212.7868469340483</v>
      </c>
      <c r="BX91" s="49">
        <f t="shared" si="277"/>
        <v>1.8177405501101511</v>
      </c>
      <c r="BY91" s="49">
        <f t="shared" si="278"/>
        <v>1.8177405501101511</v>
      </c>
      <c r="BZ91" s="45">
        <v>4086.6248211007292</v>
      </c>
      <c r="CA91" s="39">
        <v>738.28897516465668</v>
      </c>
      <c r="CB91" s="39">
        <v>234.96128603402383</v>
      </c>
      <c r="CC91" s="39">
        <f t="shared" ref="CC91:CC96" si="361">+CB91*0.25</f>
        <v>58.740321508505957</v>
      </c>
      <c r="CD91" s="39">
        <f t="shared" ref="CD91:CD96" si="362">+CB91*0.5</f>
        <v>117.48064301701191</v>
      </c>
      <c r="CE91" s="39">
        <f t="shared" ref="CE91:CE96" si="363">+CB91*0.75</f>
        <v>176.22096452551787</v>
      </c>
      <c r="CF91" s="39">
        <f t="shared" ref="CF91:CF96" si="364">+CB91</f>
        <v>234.96128603402383</v>
      </c>
      <c r="CG91" s="39">
        <v>1820</v>
      </c>
      <c r="CH91" s="39">
        <v>300</v>
      </c>
      <c r="CI91" s="51">
        <f t="shared" si="279"/>
        <v>1081.7110248353433</v>
      </c>
      <c r="CJ91" s="49">
        <f t="shared" si="280"/>
        <v>2.4651593904596707</v>
      </c>
      <c r="CK91" s="50">
        <f t="shared" si="281"/>
        <v>65.038713965976171</v>
      </c>
      <c r="CL91" s="49">
        <f t="shared" si="282"/>
        <v>1.2768060860739339</v>
      </c>
      <c r="CM91" s="49">
        <f t="shared" si="283"/>
        <v>1.2768060860739339</v>
      </c>
      <c r="CN91" s="45"/>
      <c r="CO91" s="39"/>
      <c r="CP91" s="39"/>
      <c r="CQ91" s="39"/>
      <c r="CR91" s="39"/>
      <c r="CS91" s="39"/>
      <c r="CT91" s="39"/>
      <c r="CU91" s="39"/>
      <c r="CV91" s="39"/>
      <c r="CW91" s="31">
        <f t="shared" si="231"/>
        <v>0</v>
      </c>
      <c r="CX91" s="17">
        <f t="shared" si="284"/>
        <v>0</v>
      </c>
      <c r="CY91" s="31"/>
      <c r="CZ91" s="49">
        <f t="shared" si="285"/>
        <v>0</v>
      </c>
      <c r="DA91" s="49">
        <f t="shared" si="286"/>
        <v>0</v>
      </c>
    </row>
    <row r="92" spans="1:105" ht="24.95" customHeight="1">
      <c r="A92" s="4" t="s">
        <v>18</v>
      </c>
      <c r="B92" s="9">
        <v>11444</v>
      </c>
      <c r="C92" s="5">
        <f t="shared" si="72"/>
        <v>2</v>
      </c>
      <c r="D92" s="8" t="s">
        <v>117</v>
      </c>
      <c r="E92" s="45">
        <v>4743.5000000000018</v>
      </c>
      <c r="F92" s="39">
        <v>842.44537482365081</v>
      </c>
      <c r="G92" s="39">
        <v>325.08459148211256</v>
      </c>
      <c r="H92" s="39">
        <f t="shared" si="342"/>
        <v>81.271147870528139</v>
      </c>
      <c r="I92" s="39">
        <f t="shared" si="343"/>
        <v>162.54229574105628</v>
      </c>
      <c r="J92" s="39">
        <f t="shared" si="344"/>
        <v>243.81344361158443</v>
      </c>
      <c r="K92" s="39">
        <f t="shared" si="345"/>
        <v>325.08459148211256</v>
      </c>
      <c r="L92" s="39">
        <v>796.37</v>
      </c>
      <c r="M92" s="39">
        <v>400</v>
      </c>
      <c r="N92" s="48">
        <f t="shared" si="263"/>
        <v>-46.075374823650805</v>
      </c>
      <c r="O92" s="49">
        <f t="shared" si="267"/>
        <v>0.94530758171318141</v>
      </c>
      <c r="P92" s="48">
        <f t="shared" si="332"/>
        <v>74.915408517887442</v>
      </c>
      <c r="Q92" s="49">
        <f t="shared" si="268"/>
        <v>1.2304489676866446</v>
      </c>
      <c r="R92" s="49">
        <f t="shared" si="269"/>
        <v>1.2304489676866446</v>
      </c>
      <c r="S92" s="45">
        <v>4743.5000000000018</v>
      </c>
      <c r="T92" s="39">
        <v>842.44537482365081</v>
      </c>
      <c r="U92" s="39">
        <v>325.08459148211256</v>
      </c>
      <c r="V92" s="39">
        <f t="shared" si="346"/>
        <v>81.271147870528139</v>
      </c>
      <c r="W92" s="39">
        <f t="shared" si="347"/>
        <v>162.54229574105628</v>
      </c>
      <c r="X92" s="39">
        <f t="shared" si="348"/>
        <v>243.81344361158443</v>
      </c>
      <c r="Y92" s="39">
        <f t="shared" si="349"/>
        <v>325.08459148211256</v>
      </c>
      <c r="Z92" s="39">
        <v>796.37</v>
      </c>
      <c r="AA92" s="39">
        <v>400</v>
      </c>
      <c r="AB92" s="48">
        <f t="shared" si="264"/>
        <v>-46.075374823650805</v>
      </c>
      <c r="AC92" s="49">
        <f t="shared" si="270"/>
        <v>0.94530758171318141</v>
      </c>
      <c r="AD92" s="48">
        <f t="shared" si="334"/>
        <v>74.915408517887442</v>
      </c>
      <c r="AE92" s="49">
        <f t="shared" si="271"/>
        <v>1.2304489676866446</v>
      </c>
      <c r="AF92" s="49">
        <f t="shared" si="272"/>
        <v>1.2304489676866446</v>
      </c>
      <c r="AG92" s="45">
        <v>4743.5000000000018</v>
      </c>
      <c r="AH92" s="39">
        <v>842.44537482365081</v>
      </c>
      <c r="AI92" s="39">
        <v>325.08459148211256</v>
      </c>
      <c r="AJ92" s="39">
        <v>796.37</v>
      </c>
      <c r="AK92" s="39">
        <v>400</v>
      </c>
      <c r="AL92" s="48">
        <f>+AJ92-AH92</f>
        <v>-46.075374823650805</v>
      </c>
      <c r="AM92" s="49">
        <f>+IF(AH92&lt;=0,0,AJ92/AH92)</f>
        <v>0.94530758171318141</v>
      </c>
      <c r="AN92" s="48">
        <f>+AK92-AI92</f>
        <v>74.915408517887442</v>
      </c>
      <c r="AO92" s="49">
        <f>+IF(AI92&lt;=0,0,AK92/AI92)</f>
        <v>1.2304489676866446</v>
      </c>
      <c r="AP92" s="39">
        <f t="shared" si="350"/>
        <v>2371.8843496507825</v>
      </c>
      <c r="AQ92" s="39">
        <f t="shared" si="350"/>
        <v>864.31427171346741</v>
      </c>
      <c r="AR92" s="39">
        <f t="shared" si="351"/>
        <v>2183.37</v>
      </c>
      <c r="AS92" s="39">
        <f t="shared" si="351"/>
        <v>1055</v>
      </c>
      <c r="AT92" s="39">
        <f t="shared" si="352"/>
        <v>-188.51434965078261</v>
      </c>
      <c r="AU92" s="17">
        <f t="shared" si="228"/>
        <v>0.92052127259976313</v>
      </c>
      <c r="AV92" s="39">
        <f t="shared" si="229"/>
        <v>190.68572828653259</v>
      </c>
      <c r="AW92" s="17">
        <f t="shared" si="230"/>
        <v>1.2206208256963129</v>
      </c>
      <c r="AX92" s="45">
        <v>4743.5000000000018</v>
      </c>
      <c r="AY92" s="39">
        <v>842.44537482365081</v>
      </c>
      <c r="AZ92" s="39">
        <v>325.08459148211256</v>
      </c>
      <c r="BA92" s="39">
        <f t="shared" si="353"/>
        <v>81.271147870528139</v>
      </c>
      <c r="BB92" s="39">
        <f t="shared" si="354"/>
        <v>162.54229574105628</v>
      </c>
      <c r="BC92" s="39">
        <f t="shared" si="355"/>
        <v>243.81344361158443</v>
      </c>
      <c r="BD92" s="39">
        <f t="shared" si="356"/>
        <v>325.08459148211256</v>
      </c>
      <c r="BE92" s="39">
        <v>796.37</v>
      </c>
      <c r="BF92" s="39">
        <v>400</v>
      </c>
      <c r="BG92" s="48">
        <f t="shared" si="265"/>
        <v>-46.075374823650805</v>
      </c>
      <c r="BH92" s="49">
        <f t="shared" si="273"/>
        <v>0.94530758171318141</v>
      </c>
      <c r="BI92" s="48">
        <f t="shared" si="338"/>
        <v>74.915408517887442</v>
      </c>
      <c r="BJ92" s="49">
        <f t="shared" si="274"/>
        <v>1.2304489676866446</v>
      </c>
      <c r="BK92" s="49">
        <f t="shared" si="275"/>
        <v>1.2304489676866446</v>
      </c>
      <c r="BL92" s="45">
        <v>3666.6666666666661</v>
      </c>
      <c r="BM92" s="39">
        <v>652.72081681910174</v>
      </c>
      <c r="BN92" s="39">
        <v>260.2131530659517</v>
      </c>
      <c r="BO92" s="39">
        <f t="shared" si="357"/>
        <v>65.053288266487925</v>
      </c>
      <c r="BP92" s="39">
        <f t="shared" si="358"/>
        <v>130.10657653297585</v>
      </c>
      <c r="BQ92" s="39">
        <f t="shared" si="359"/>
        <v>195.15986479946378</v>
      </c>
      <c r="BR92" s="39">
        <f t="shared" si="360"/>
        <v>260.2131530659517</v>
      </c>
      <c r="BS92" s="39">
        <v>757</v>
      </c>
      <c r="BT92" s="39">
        <v>275</v>
      </c>
      <c r="BU92" s="48">
        <f t="shared" si="266"/>
        <v>104.27918318089826</v>
      </c>
      <c r="BV92" s="49">
        <f t="shared" si="276"/>
        <v>1.159760774428922</v>
      </c>
      <c r="BW92" s="48">
        <f t="shared" si="319"/>
        <v>14.786846934048299</v>
      </c>
      <c r="BX92" s="49">
        <f t="shared" si="277"/>
        <v>1.056825901226832</v>
      </c>
      <c r="BY92" s="49">
        <f t="shared" si="278"/>
        <v>1.056825901226832</v>
      </c>
      <c r="BZ92" s="45">
        <v>4924.9742971202977</v>
      </c>
      <c r="CA92" s="39">
        <v>876.71815800802983</v>
      </c>
      <c r="CB92" s="39">
        <v>279.01652716540326</v>
      </c>
      <c r="CC92" s="39">
        <f t="shared" si="361"/>
        <v>69.754131791350815</v>
      </c>
      <c r="CD92" s="39">
        <f t="shared" si="362"/>
        <v>139.50826358270163</v>
      </c>
      <c r="CE92" s="39">
        <f t="shared" si="363"/>
        <v>209.26239537405246</v>
      </c>
      <c r="CF92" s="39">
        <f t="shared" si="364"/>
        <v>279.01652716540326</v>
      </c>
      <c r="CG92" s="39">
        <v>630</v>
      </c>
      <c r="CH92" s="39">
        <v>380</v>
      </c>
      <c r="CI92" s="51">
        <f t="shared" si="279"/>
        <v>-246.71815800802983</v>
      </c>
      <c r="CJ92" s="49">
        <f t="shared" si="280"/>
        <v>0.71858897211779871</v>
      </c>
      <c r="CK92" s="48">
        <f t="shared" si="281"/>
        <v>100.98347283459674</v>
      </c>
      <c r="CL92" s="49">
        <f t="shared" si="282"/>
        <v>1.3619264918121963</v>
      </c>
      <c r="CM92" s="49">
        <f t="shared" si="283"/>
        <v>1.3619264918121963</v>
      </c>
      <c r="CN92" s="45"/>
      <c r="CO92" s="39"/>
      <c r="CP92" s="39"/>
      <c r="CQ92" s="39"/>
      <c r="CR92" s="39"/>
      <c r="CS92" s="39"/>
      <c r="CT92" s="39"/>
      <c r="CU92" s="39"/>
      <c r="CV92" s="39"/>
      <c r="CW92" s="31">
        <f t="shared" si="231"/>
        <v>0</v>
      </c>
      <c r="CX92" s="17">
        <f t="shared" si="284"/>
        <v>0</v>
      </c>
      <c r="CY92" s="31"/>
      <c r="CZ92" s="49">
        <f t="shared" si="285"/>
        <v>0</v>
      </c>
      <c r="DA92" s="49">
        <f t="shared" si="286"/>
        <v>0</v>
      </c>
    </row>
    <row r="93" spans="1:105" ht="24.95" customHeight="1">
      <c r="A93" s="4" t="s">
        <v>28</v>
      </c>
      <c r="B93" s="9">
        <v>11445</v>
      </c>
      <c r="C93" s="5">
        <f t="shared" si="72"/>
        <v>3</v>
      </c>
      <c r="D93" s="8" t="s">
        <v>118</v>
      </c>
      <c r="E93" s="45">
        <v>4770.0000000000018</v>
      </c>
      <c r="F93" s="39">
        <v>847.15177356568256</v>
      </c>
      <c r="G93" s="39">
        <v>326.90070651832553</v>
      </c>
      <c r="H93" s="39">
        <f t="shared" si="342"/>
        <v>81.725176629581384</v>
      </c>
      <c r="I93" s="39">
        <f t="shared" si="343"/>
        <v>163.45035325916277</v>
      </c>
      <c r="J93" s="39">
        <f t="shared" si="344"/>
        <v>245.17552988874417</v>
      </c>
      <c r="K93" s="39">
        <f t="shared" si="345"/>
        <v>326.90070651832553</v>
      </c>
      <c r="L93" s="39">
        <v>1468.98</v>
      </c>
      <c r="M93" s="39">
        <v>395</v>
      </c>
      <c r="N93" s="48">
        <f t="shared" si="263"/>
        <v>621.82822643431746</v>
      </c>
      <c r="O93" s="49">
        <f t="shared" si="267"/>
        <v>1.7340222210915375</v>
      </c>
      <c r="P93" s="48">
        <f t="shared" si="332"/>
        <v>68.099293481674465</v>
      </c>
      <c r="Q93" s="49">
        <f t="shared" si="268"/>
        <v>1.2083179758372804</v>
      </c>
      <c r="R93" s="49">
        <f t="shared" si="269"/>
        <v>1.2083179758372804</v>
      </c>
      <c r="S93" s="45">
        <v>4770.0000000000018</v>
      </c>
      <c r="T93" s="39">
        <v>847.15177356568256</v>
      </c>
      <c r="U93" s="39">
        <v>326.90070651832553</v>
      </c>
      <c r="V93" s="39">
        <f t="shared" si="346"/>
        <v>81.725176629581384</v>
      </c>
      <c r="W93" s="39">
        <f t="shared" si="347"/>
        <v>163.45035325916277</v>
      </c>
      <c r="X93" s="39">
        <f t="shared" si="348"/>
        <v>245.17552988874417</v>
      </c>
      <c r="Y93" s="39">
        <f t="shared" si="349"/>
        <v>326.90070651832553</v>
      </c>
      <c r="Z93" s="39">
        <v>1468.98</v>
      </c>
      <c r="AA93" s="39">
        <v>395</v>
      </c>
      <c r="AB93" s="48">
        <f t="shared" si="264"/>
        <v>621.82822643431746</v>
      </c>
      <c r="AC93" s="49">
        <f t="shared" si="270"/>
        <v>1.7340222210915375</v>
      </c>
      <c r="AD93" s="48">
        <f t="shared" si="334"/>
        <v>68.099293481674465</v>
      </c>
      <c r="AE93" s="49">
        <f t="shared" si="271"/>
        <v>1.2083179758372804</v>
      </c>
      <c r="AF93" s="49">
        <f t="shared" si="272"/>
        <v>1.2083179758372804</v>
      </c>
      <c r="AG93" s="45">
        <v>4770.0000000000018</v>
      </c>
      <c r="AH93" s="39">
        <v>847.15177356568256</v>
      </c>
      <c r="AI93" s="39">
        <v>326.90070651832553</v>
      </c>
      <c r="AJ93" s="39">
        <v>1468.98</v>
      </c>
      <c r="AK93" s="39">
        <v>395</v>
      </c>
      <c r="AL93" s="48">
        <f>+AJ93-AH93</f>
        <v>621.82822643431746</v>
      </c>
      <c r="AM93" s="49">
        <f>+IF(AH93&lt;=0,0,AJ93/AH93)</f>
        <v>1.7340222210915375</v>
      </c>
      <c r="AN93" s="48">
        <f>+AK93-AI93</f>
        <v>68.099293481674465</v>
      </c>
      <c r="AO93" s="49">
        <f>+IF(AI93&lt;=0,0,AK93/AI93)</f>
        <v>1.2083179758372804</v>
      </c>
      <c r="AP93" s="39">
        <f t="shared" si="350"/>
        <v>2376.590748392814</v>
      </c>
      <c r="AQ93" s="39">
        <f t="shared" si="350"/>
        <v>866.13038674968038</v>
      </c>
      <c r="AR93" s="39">
        <f t="shared" si="351"/>
        <v>3705.6392000000001</v>
      </c>
      <c r="AS93" s="39">
        <f t="shared" si="351"/>
        <v>1428.5</v>
      </c>
      <c r="AT93" s="39">
        <f t="shared" si="352"/>
        <v>1329.0484516071861</v>
      </c>
      <c r="AU93" s="17">
        <f t="shared" si="228"/>
        <v>1.55922478554878</v>
      </c>
      <c r="AV93" s="39">
        <f t="shared" si="229"/>
        <v>562.36961325031962</v>
      </c>
      <c r="AW93" s="17">
        <f t="shared" si="230"/>
        <v>1.6492897857569908</v>
      </c>
      <c r="AX93" s="45">
        <v>4770.0000000000018</v>
      </c>
      <c r="AY93" s="39">
        <v>847.15177356568256</v>
      </c>
      <c r="AZ93" s="39">
        <v>326.90070651832553</v>
      </c>
      <c r="BA93" s="39">
        <f t="shared" si="353"/>
        <v>81.725176629581384</v>
      </c>
      <c r="BB93" s="39">
        <f t="shared" si="354"/>
        <v>163.45035325916277</v>
      </c>
      <c r="BC93" s="39">
        <f t="shared" si="355"/>
        <v>245.17552988874417</v>
      </c>
      <c r="BD93" s="39">
        <f t="shared" si="356"/>
        <v>326.90070651832553</v>
      </c>
      <c r="BE93" s="39">
        <v>1468.98</v>
      </c>
      <c r="BF93" s="39">
        <v>395</v>
      </c>
      <c r="BG93" s="48">
        <f t="shared" si="265"/>
        <v>621.82822643431746</v>
      </c>
      <c r="BH93" s="49">
        <f t="shared" si="273"/>
        <v>1.7340222210915375</v>
      </c>
      <c r="BI93" s="48">
        <f t="shared" si="338"/>
        <v>68.099293481674465</v>
      </c>
      <c r="BJ93" s="49">
        <f t="shared" si="274"/>
        <v>1.2083179758372804</v>
      </c>
      <c r="BK93" s="49">
        <f t="shared" si="275"/>
        <v>1.2083179758372804</v>
      </c>
      <c r="BL93" s="45">
        <v>3666.6666666666661</v>
      </c>
      <c r="BM93" s="39">
        <v>652.72081681910174</v>
      </c>
      <c r="BN93" s="39">
        <v>260.2131530659517</v>
      </c>
      <c r="BO93" s="39">
        <f t="shared" si="357"/>
        <v>65.053288266487925</v>
      </c>
      <c r="BP93" s="39">
        <f t="shared" si="358"/>
        <v>130.10657653297585</v>
      </c>
      <c r="BQ93" s="39">
        <f t="shared" si="359"/>
        <v>195.15986479946378</v>
      </c>
      <c r="BR93" s="39">
        <f t="shared" si="360"/>
        <v>260.2131530659517</v>
      </c>
      <c r="BS93" s="39">
        <v>839.15920000000006</v>
      </c>
      <c r="BT93" s="39">
        <v>386</v>
      </c>
      <c r="BU93" s="48">
        <f t="shared" si="266"/>
        <v>186.43838318089831</v>
      </c>
      <c r="BV93" s="49">
        <f t="shared" si="276"/>
        <v>1.2856326600543655</v>
      </c>
      <c r="BW93" s="48">
        <f t="shared" si="319"/>
        <v>125.7868469340483</v>
      </c>
      <c r="BX93" s="49">
        <f t="shared" si="277"/>
        <v>1.4833992649947534</v>
      </c>
      <c r="BY93" s="49">
        <f t="shared" si="278"/>
        <v>1.4833992649947534</v>
      </c>
      <c r="BZ93" s="45">
        <v>4924.9742971202977</v>
      </c>
      <c r="CA93" s="39">
        <v>876.71815800802983</v>
      </c>
      <c r="CB93" s="39">
        <v>279.01652716540326</v>
      </c>
      <c r="CC93" s="39">
        <f t="shared" si="361"/>
        <v>69.754131791350815</v>
      </c>
      <c r="CD93" s="39">
        <f t="shared" si="362"/>
        <v>139.50826358270163</v>
      </c>
      <c r="CE93" s="39">
        <f t="shared" si="363"/>
        <v>209.26239537405246</v>
      </c>
      <c r="CF93" s="39">
        <f t="shared" si="364"/>
        <v>279.01652716540326</v>
      </c>
      <c r="CG93" s="39">
        <v>1397.5</v>
      </c>
      <c r="CH93" s="39">
        <v>647.5</v>
      </c>
      <c r="CI93" s="51">
        <f t="shared" si="279"/>
        <v>520.78184199197017</v>
      </c>
      <c r="CJ93" s="49">
        <f t="shared" si="280"/>
        <v>1.5940128389438473</v>
      </c>
      <c r="CK93" s="48">
        <f t="shared" si="281"/>
        <v>368.48347283459674</v>
      </c>
      <c r="CL93" s="49">
        <f t="shared" si="282"/>
        <v>2.3206510617063079</v>
      </c>
      <c r="CM93" s="49">
        <f t="shared" si="283"/>
        <v>2.3206510617063079</v>
      </c>
      <c r="CN93" s="45"/>
      <c r="CO93" s="39"/>
      <c r="CP93" s="39"/>
      <c r="CQ93" s="39"/>
      <c r="CR93" s="39"/>
      <c r="CS93" s="39"/>
      <c r="CT93" s="39"/>
      <c r="CU93" s="39"/>
      <c r="CV93" s="39"/>
      <c r="CW93" s="31">
        <f t="shared" si="231"/>
        <v>0</v>
      </c>
      <c r="CX93" s="17">
        <f t="shared" si="284"/>
        <v>0</v>
      </c>
      <c r="CY93" s="31"/>
      <c r="CZ93" s="49">
        <f t="shared" si="285"/>
        <v>0</v>
      </c>
      <c r="DA93" s="49">
        <f t="shared" si="286"/>
        <v>0</v>
      </c>
    </row>
    <row r="94" spans="1:105" ht="24.95" customHeight="1">
      <c r="A94" s="4" t="s">
        <v>26</v>
      </c>
      <c r="B94" s="9">
        <v>11446</v>
      </c>
      <c r="C94" s="5">
        <f t="shared" si="72"/>
        <v>4</v>
      </c>
      <c r="D94" s="8" t="s">
        <v>119</v>
      </c>
      <c r="E94" s="45">
        <v>4770.0000000000018</v>
      </c>
      <c r="F94" s="39">
        <v>847.15177356568256</v>
      </c>
      <c r="G94" s="39">
        <v>326.90070651832553</v>
      </c>
      <c r="H94" s="39">
        <f t="shared" si="342"/>
        <v>81.725176629581384</v>
      </c>
      <c r="I94" s="39">
        <f t="shared" si="343"/>
        <v>163.45035325916277</v>
      </c>
      <c r="J94" s="39">
        <f t="shared" si="344"/>
        <v>245.17552988874417</v>
      </c>
      <c r="K94" s="39">
        <f t="shared" si="345"/>
        <v>326.90070651832553</v>
      </c>
      <c r="L94" s="39">
        <v>1251</v>
      </c>
      <c r="M94" s="39">
        <v>485</v>
      </c>
      <c r="N94" s="48">
        <f t="shared" si="263"/>
        <v>403.84822643431744</v>
      </c>
      <c r="O94" s="49">
        <f t="shared" si="267"/>
        <v>1.4767129563271884</v>
      </c>
      <c r="P94" s="48">
        <f t="shared" si="332"/>
        <v>158.09929348167447</v>
      </c>
      <c r="Q94" s="49">
        <f t="shared" si="268"/>
        <v>1.4836309323571673</v>
      </c>
      <c r="R94" s="49">
        <f t="shared" si="269"/>
        <v>1.4836309323571673</v>
      </c>
      <c r="S94" s="45">
        <v>4770.0000000000018</v>
      </c>
      <c r="T94" s="39">
        <v>847.15177356568256</v>
      </c>
      <c r="U94" s="39">
        <v>326.90070651832553</v>
      </c>
      <c r="V94" s="39">
        <f t="shared" si="346"/>
        <v>81.725176629581384</v>
      </c>
      <c r="W94" s="39">
        <f t="shared" si="347"/>
        <v>163.45035325916277</v>
      </c>
      <c r="X94" s="39">
        <f t="shared" si="348"/>
        <v>245.17552988874417</v>
      </c>
      <c r="Y94" s="39">
        <f t="shared" si="349"/>
        <v>326.90070651832553</v>
      </c>
      <c r="Z94" s="39">
        <v>1251</v>
      </c>
      <c r="AA94" s="39">
        <v>485</v>
      </c>
      <c r="AB94" s="48">
        <f t="shared" si="264"/>
        <v>403.84822643431744</v>
      </c>
      <c r="AC94" s="49">
        <f t="shared" si="270"/>
        <v>1.4767129563271884</v>
      </c>
      <c r="AD94" s="48">
        <f t="shared" si="334"/>
        <v>158.09929348167447</v>
      </c>
      <c r="AE94" s="49">
        <f t="shared" si="271"/>
        <v>1.4836309323571673</v>
      </c>
      <c r="AF94" s="49">
        <f t="shared" si="272"/>
        <v>1.4836309323571673</v>
      </c>
      <c r="AG94" s="45">
        <v>4770.0000000000018</v>
      </c>
      <c r="AH94" s="39">
        <v>847.15177356568256</v>
      </c>
      <c r="AI94" s="39">
        <v>326.90070651832553</v>
      </c>
      <c r="AJ94" s="39">
        <v>1251</v>
      </c>
      <c r="AK94" s="39">
        <v>485</v>
      </c>
      <c r="AL94" s="48">
        <f>+AJ94-AH94</f>
        <v>403.84822643431744</v>
      </c>
      <c r="AM94" s="49">
        <f>+IF(AH94&lt;=0,0,AJ94/AH94)</f>
        <v>1.4767129563271884</v>
      </c>
      <c r="AN94" s="48">
        <f>+AK94-AI94</f>
        <v>158.09929348167447</v>
      </c>
      <c r="AO94" s="49">
        <f>+IF(AI94&lt;=0,0,AK94/AI94)</f>
        <v>1.4836309323571673</v>
      </c>
      <c r="AP94" s="39">
        <f t="shared" si="350"/>
        <v>2376.590748392814</v>
      </c>
      <c r="AQ94" s="39">
        <f t="shared" si="350"/>
        <v>866.13038674968038</v>
      </c>
      <c r="AR94" s="39">
        <f t="shared" si="351"/>
        <v>3373.5445</v>
      </c>
      <c r="AS94" s="39">
        <f t="shared" si="351"/>
        <v>1361.5445</v>
      </c>
      <c r="AT94" s="39">
        <f t="shared" si="352"/>
        <v>996.95375160718595</v>
      </c>
      <c r="AU94" s="17">
        <f t="shared" si="228"/>
        <v>1.4194890316228752</v>
      </c>
      <c r="AV94" s="39">
        <f t="shared" si="229"/>
        <v>495.41411325031959</v>
      </c>
      <c r="AW94" s="17">
        <f t="shared" si="230"/>
        <v>1.5719856049727752</v>
      </c>
      <c r="AX94" s="45">
        <v>4770.0000000000018</v>
      </c>
      <c r="AY94" s="39">
        <v>847.15177356568256</v>
      </c>
      <c r="AZ94" s="39">
        <v>326.90070651832553</v>
      </c>
      <c r="BA94" s="39">
        <f t="shared" si="353"/>
        <v>81.725176629581384</v>
      </c>
      <c r="BB94" s="39">
        <f t="shared" si="354"/>
        <v>163.45035325916277</v>
      </c>
      <c r="BC94" s="39">
        <f t="shared" si="355"/>
        <v>245.17552988874417</v>
      </c>
      <c r="BD94" s="39">
        <f t="shared" si="356"/>
        <v>326.90070651832553</v>
      </c>
      <c r="BE94" s="39">
        <v>1251</v>
      </c>
      <c r="BF94" s="39">
        <v>485</v>
      </c>
      <c r="BG94" s="48">
        <f t="shared" si="265"/>
        <v>403.84822643431744</v>
      </c>
      <c r="BH94" s="49">
        <f t="shared" si="273"/>
        <v>1.4767129563271884</v>
      </c>
      <c r="BI94" s="48">
        <f t="shared" si="338"/>
        <v>158.09929348167447</v>
      </c>
      <c r="BJ94" s="49">
        <f t="shared" si="274"/>
        <v>1.4836309323571673</v>
      </c>
      <c r="BK94" s="49">
        <f t="shared" si="275"/>
        <v>1.4836309323571673</v>
      </c>
      <c r="BL94" s="45">
        <v>3666.6666666666661</v>
      </c>
      <c r="BM94" s="39">
        <v>652.72081681910174</v>
      </c>
      <c r="BN94" s="39">
        <v>260.2131530659517</v>
      </c>
      <c r="BO94" s="39">
        <f t="shared" si="357"/>
        <v>65.053288266487925</v>
      </c>
      <c r="BP94" s="39">
        <f t="shared" si="358"/>
        <v>130.10657653297585</v>
      </c>
      <c r="BQ94" s="39">
        <f t="shared" si="359"/>
        <v>195.15986479946378</v>
      </c>
      <c r="BR94" s="39">
        <f t="shared" si="360"/>
        <v>260.2131530659517</v>
      </c>
      <c r="BS94" s="39">
        <v>622.54449999999997</v>
      </c>
      <c r="BT94" s="39">
        <v>276.54450000000003</v>
      </c>
      <c r="BU94" s="48">
        <f t="shared" si="266"/>
        <v>-30.176316819101771</v>
      </c>
      <c r="BV94" s="49">
        <f t="shared" si="276"/>
        <v>0.95376841669282175</v>
      </c>
      <c r="BW94" s="48">
        <f t="shared" si="319"/>
        <v>16.331346934048327</v>
      </c>
      <c r="BX94" s="49">
        <f t="shared" si="277"/>
        <v>1.0627614197884498</v>
      </c>
      <c r="BY94" s="49">
        <f t="shared" si="278"/>
        <v>1.0627614197884498</v>
      </c>
      <c r="BZ94" s="45">
        <v>4894.1695392332149</v>
      </c>
      <c r="CA94" s="39">
        <v>876.71815800802983</v>
      </c>
      <c r="CB94" s="39">
        <v>279.01652716540326</v>
      </c>
      <c r="CC94" s="39">
        <f t="shared" si="361"/>
        <v>69.754131791350815</v>
      </c>
      <c r="CD94" s="39">
        <f t="shared" si="362"/>
        <v>139.50826358270163</v>
      </c>
      <c r="CE94" s="39">
        <f t="shared" si="363"/>
        <v>209.26239537405246</v>
      </c>
      <c r="CF94" s="39">
        <f t="shared" si="364"/>
        <v>279.01652716540326</v>
      </c>
      <c r="CG94" s="39">
        <v>1500</v>
      </c>
      <c r="CH94" s="39">
        <v>600</v>
      </c>
      <c r="CI94" s="51">
        <f t="shared" si="279"/>
        <v>623.28184199197017</v>
      </c>
      <c r="CJ94" s="49">
        <f t="shared" si="280"/>
        <v>1.7109261240899969</v>
      </c>
      <c r="CK94" s="48">
        <f t="shared" si="281"/>
        <v>320.98347283459674</v>
      </c>
      <c r="CL94" s="49">
        <f t="shared" si="282"/>
        <v>2.1504102502297835</v>
      </c>
      <c r="CM94" s="49">
        <f t="shared" si="283"/>
        <v>2.1504102502297835</v>
      </c>
      <c r="CN94" s="45"/>
      <c r="CO94" s="39"/>
      <c r="CP94" s="39"/>
      <c r="CQ94" s="39"/>
      <c r="CR94" s="39"/>
      <c r="CS94" s="39"/>
      <c r="CT94" s="39"/>
      <c r="CU94" s="39"/>
      <c r="CV94" s="39"/>
      <c r="CW94" s="31">
        <f t="shared" si="231"/>
        <v>0</v>
      </c>
      <c r="CX94" s="17">
        <f t="shared" si="284"/>
        <v>0</v>
      </c>
      <c r="CY94" s="31"/>
      <c r="CZ94" s="49">
        <f t="shared" si="285"/>
        <v>0</v>
      </c>
      <c r="DA94" s="49">
        <f t="shared" si="286"/>
        <v>0</v>
      </c>
    </row>
    <row r="95" spans="1:105" ht="24.95" customHeight="1">
      <c r="A95" s="4" t="s">
        <v>20</v>
      </c>
      <c r="B95" s="9">
        <v>11447</v>
      </c>
      <c r="C95" s="5">
        <f t="shared" si="72"/>
        <v>5</v>
      </c>
      <c r="D95" s="8" t="s">
        <v>120</v>
      </c>
      <c r="E95" s="45">
        <v>4187.0000000000009</v>
      </c>
      <c r="F95" s="39">
        <v>743.61100124098812</v>
      </c>
      <c r="G95" s="39">
        <v>286.94617572164128</v>
      </c>
      <c r="H95" s="39">
        <f t="shared" si="342"/>
        <v>71.736543930410321</v>
      </c>
      <c r="I95" s="39">
        <f t="shared" si="343"/>
        <v>143.47308786082064</v>
      </c>
      <c r="J95" s="39">
        <f t="shared" si="344"/>
        <v>215.20963179123095</v>
      </c>
      <c r="K95" s="39">
        <f t="shared" si="345"/>
        <v>286.94617572164128</v>
      </c>
      <c r="L95" s="39">
        <v>976</v>
      </c>
      <c r="M95" s="39">
        <v>200</v>
      </c>
      <c r="N95" s="48">
        <f t="shared" si="263"/>
        <v>232.38899875901188</v>
      </c>
      <c r="O95" s="49">
        <f t="shared" si="267"/>
        <v>1.3125142021449192</v>
      </c>
      <c r="P95" s="48">
        <f t="shared" si="332"/>
        <v>-86.946175721641282</v>
      </c>
      <c r="Q95" s="49">
        <f t="shared" si="268"/>
        <v>0.69699482663262458</v>
      </c>
      <c r="R95" s="49">
        <f t="shared" si="269"/>
        <v>0.69699482663262458</v>
      </c>
      <c r="S95" s="45">
        <v>4187.0000000000009</v>
      </c>
      <c r="T95" s="39">
        <v>743.61100124098812</v>
      </c>
      <c r="U95" s="39">
        <v>286.94617572164128</v>
      </c>
      <c r="V95" s="39">
        <f t="shared" si="346"/>
        <v>71.736543930410321</v>
      </c>
      <c r="W95" s="39">
        <f t="shared" si="347"/>
        <v>143.47308786082064</v>
      </c>
      <c r="X95" s="39">
        <f t="shared" si="348"/>
        <v>215.20963179123095</v>
      </c>
      <c r="Y95" s="39">
        <f t="shared" si="349"/>
        <v>286.94617572164128</v>
      </c>
      <c r="Z95" s="39">
        <v>976</v>
      </c>
      <c r="AA95" s="39">
        <v>200</v>
      </c>
      <c r="AB95" s="48">
        <f t="shared" si="264"/>
        <v>232.38899875901188</v>
      </c>
      <c r="AC95" s="49">
        <f t="shared" si="270"/>
        <v>1.3125142021449192</v>
      </c>
      <c r="AD95" s="48">
        <f t="shared" si="334"/>
        <v>-86.946175721641282</v>
      </c>
      <c r="AE95" s="49">
        <f t="shared" si="271"/>
        <v>0.69699482663262458</v>
      </c>
      <c r="AF95" s="49">
        <f t="shared" si="272"/>
        <v>0.69699482663262458</v>
      </c>
      <c r="AG95" s="45">
        <v>4187.0000000000009</v>
      </c>
      <c r="AH95" s="39">
        <v>743.61100124098812</v>
      </c>
      <c r="AI95" s="39">
        <v>286.94617572164128</v>
      </c>
      <c r="AJ95" s="39">
        <v>976</v>
      </c>
      <c r="AK95" s="39">
        <v>200</v>
      </c>
      <c r="AL95" s="48">
        <f>+AJ95-AH95</f>
        <v>232.38899875901188</v>
      </c>
      <c r="AM95" s="49">
        <f>+IF(AH95&lt;=0,0,AJ95/AH95)</f>
        <v>1.3125142021449192</v>
      </c>
      <c r="AN95" s="48">
        <f>+AK95-AI95</f>
        <v>-86.946175721641282</v>
      </c>
      <c r="AO95" s="49">
        <f>+IF(AI95&lt;=0,0,AK95/AI95)</f>
        <v>0.69699482663262458</v>
      </c>
      <c r="AP95" s="39">
        <f t="shared" si="350"/>
        <v>2134.6207932247466</v>
      </c>
      <c r="AQ95" s="39">
        <f t="shared" si="350"/>
        <v>782.12061482161687</v>
      </c>
      <c r="AR95" s="39">
        <f t="shared" si="351"/>
        <v>2927.9261999999999</v>
      </c>
      <c r="AS95" s="39">
        <f t="shared" si="351"/>
        <v>858.92619999999999</v>
      </c>
      <c r="AT95" s="39">
        <f t="shared" si="352"/>
        <v>793.30540677525323</v>
      </c>
      <c r="AU95" s="17">
        <f t="shared" si="228"/>
        <v>1.3716376272981095</v>
      </c>
      <c r="AV95" s="39">
        <f t="shared" si="229"/>
        <v>76.805585178383126</v>
      </c>
      <c r="AW95" s="17">
        <f t="shared" si="230"/>
        <v>1.0982017143172995</v>
      </c>
      <c r="AX95" s="45">
        <v>4187.0000000000009</v>
      </c>
      <c r="AY95" s="39">
        <v>743.61100124098812</v>
      </c>
      <c r="AZ95" s="39">
        <v>286.94617572164128</v>
      </c>
      <c r="BA95" s="39">
        <f t="shared" si="353"/>
        <v>71.736543930410321</v>
      </c>
      <c r="BB95" s="39">
        <f t="shared" si="354"/>
        <v>143.47308786082064</v>
      </c>
      <c r="BC95" s="39">
        <f t="shared" si="355"/>
        <v>215.20963179123095</v>
      </c>
      <c r="BD95" s="39">
        <f t="shared" si="356"/>
        <v>286.94617572164128</v>
      </c>
      <c r="BE95" s="39">
        <v>976</v>
      </c>
      <c r="BF95" s="39">
        <v>200</v>
      </c>
      <c r="BG95" s="48">
        <f t="shared" si="265"/>
        <v>232.38899875901188</v>
      </c>
      <c r="BH95" s="49">
        <f t="shared" si="273"/>
        <v>1.3125142021449192</v>
      </c>
      <c r="BI95" s="48">
        <f t="shared" si="338"/>
        <v>-86.946175721641282</v>
      </c>
      <c r="BJ95" s="49">
        <f t="shared" si="274"/>
        <v>0.69699482663262458</v>
      </c>
      <c r="BK95" s="49">
        <f t="shared" si="275"/>
        <v>0.69699482663262458</v>
      </c>
      <c r="BL95" s="45">
        <v>3666.6666666666661</v>
      </c>
      <c r="BM95" s="39">
        <v>652.72081681910174</v>
      </c>
      <c r="BN95" s="39">
        <v>260.2131530659517</v>
      </c>
      <c r="BO95" s="39">
        <f t="shared" si="357"/>
        <v>65.053288266487925</v>
      </c>
      <c r="BP95" s="39">
        <f t="shared" si="358"/>
        <v>130.10657653297585</v>
      </c>
      <c r="BQ95" s="39">
        <f t="shared" si="359"/>
        <v>195.15986479946378</v>
      </c>
      <c r="BR95" s="39">
        <f t="shared" si="360"/>
        <v>260.2131530659517</v>
      </c>
      <c r="BS95" s="39">
        <v>691.92619999999999</v>
      </c>
      <c r="BT95" s="39">
        <v>158.92619999999999</v>
      </c>
      <c r="BU95" s="48">
        <f t="shared" si="266"/>
        <v>39.205383180898252</v>
      </c>
      <c r="BV95" s="49">
        <f t="shared" si="276"/>
        <v>1.0600645515979672</v>
      </c>
      <c r="BW95" s="48">
        <f t="shared" si="319"/>
        <v>-101.28695306595171</v>
      </c>
      <c r="BX95" s="49">
        <f t="shared" si="277"/>
        <v>0.6107539074311118</v>
      </c>
      <c r="BY95" s="49">
        <f t="shared" si="278"/>
        <v>0.6107539074311118</v>
      </c>
      <c r="BZ95" s="45">
        <v>4095.9310482777269</v>
      </c>
      <c r="CA95" s="39">
        <v>738.28897516465668</v>
      </c>
      <c r="CB95" s="39">
        <v>234.9612860340238</v>
      </c>
      <c r="CC95" s="39">
        <f t="shared" si="361"/>
        <v>58.74032150850595</v>
      </c>
      <c r="CD95" s="39">
        <f t="shared" si="362"/>
        <v>117.4806430170119</v>
      </c>
      <c r="CE95" s="39">
        <f t="shared" si="363"/>
        <v>176.22096452551784</v>
      </c>
      <c r="CF95" s="39">
        <f t="shared" si="364"/>
        <v>234.9612860340238</v>
      </c>
      <c r="CG95" s="39">
        <v>1260</v>
      </c>
      <c r="CH95" s="39">
        <v>500</v>
      </c>
      <c r="CI95" s="51">
        <f t="shared" si="279"/>
        <v>521.71102483534332</v>
      </c>
      <c r="CJ95" s="49">
        <f t="shared" si="280"/>
        <v>1.706648808779772</v>
      </c>
      <c r="CK95" s="48">
        <f t="shared" si="281"/>
        <v>265.03871396597617</v>
      </c>
      <c r="CL95" s="49">
        <f t="shared" si="282"/>
        <v>2.1280101434565566</v>
      </c>
      <c r="CM95" s="49">
        <f t="shared" si="283"/>
        <v>2.1280101434565566</v>
      </c>
      <c r="CN95" s="45"/>
      <c r="CO95" s="39"/>
      <c r="CP95" s="39"/>
      <c r="CQ95" s="39"/>
      <c r="CR95" s="39"/>
      <c r="CS95" s="39"/>
      <c r="CT95" s="39"/>
      <c r="CU95" s="39"/>
      <c r="CV95" s="39"/>
      <c r="CW95" s="31">
        <f t="shared" si="231"/>
        <v>0</v>
      </c>
      <c r="CX95" s="17">
        <f t="shared" si="284"/>
        <v>0</v>
      </c>
      <c r="CY95" s="31"/>
      <c r="CZ95" s="49">
        <f t="shared" si="285"/>
        <v>0</v>
      </c>
      <c r="DA95" s="49">
        <f t="shared" si="286"/>
        <v>0</v>
      </c>
    </row>
    <row r="96" spans="1:105" ht="24.95" customHeight="1">
      <c r="A96" s="4" t="s">
        <v>8</v>
      </c>
      <c r="B96" s="9">
        <v>11448</v>
      </c>
      <c r="C96" s="5">
        <f t="shared" si="72"/>
        <v>6</v>
      </c>
      <c r="D96" s="8" t="s">
        <v>121</v>
      </c>
      <c r="E96" s="45">
        <v>3842.5000000000009</v>
      </c>
      <c r="F96" s="39">
        <v>682.42781759457762</v>
      </c>
      <c r="G96" s="39">
        <v>263.33668025087337</v>
      </c>
      <c r="H96" s="39">
        <f t="shared" si="342"/>
        <v>65.834170062718343</v>
      </c>
      <c r="I96" s="39">
        <f t="shared" si="343"/>
        <v>131.66834012543669</v>
      </c>
      <c r="J96" s="39">
        <f t="shared" si="344"/>
        <v>197.50251018815504</v>
      </c>
      <c r="K96" s="39">
        <f t="shared" si="345"/>
        <v>263.33668025087337</v>
      </c>
      <c r="L96" s="39">
        <v>756</v>
      </c>
      <c r="M96" s="39">
        <v>400</v>
      </c>
      <c r="N96" s="48">
        <f t="shared" si="263"/>
        <v>73.572182405422382</v>
      </c>
      <c r="O96" s="49">
        <f t="shared" si="267"/>
        <v>1.1078094715786202</v>
      </c>
      <c r="P96" s="48">
        <f t="shared" si="332"/>
        <v>136.66331974912663</v>
      </c>
      <c r="Q96" s="49">
        <f t="shared" si="268"/>
        <v>1.5189680359717885</v>
      </c>
      <c r="R96" s="49">
        <f t="shared" si="269"/>
        <v>1.5189680359717885</v>
      </c>
      <c r="S96" s="45">
        <v>3842.5000000000009</v>
      </c>
      <c r="T96" s="39">
        <v>682.42781759457762</v>
      </c>
      <c r="U96" s="39">
        <v>263.33668025087337</v>
      </c>
      <c r="V96" s="39">
        <f t="shared" si="346"/>
        <v>65.834170062718343</v>
      </c>
      <c r="W96" s="39">
        <f t="shared" si="347"/>
        <v>131.66834012543669</v>
      </c>
      <c r="X96" s="39">
        <f t="shared" si="348"/>
        <v>197.50251018815504</v>
      </c>
      <c r="Y96" s="39">
        <f t="shared" si="349"/>
        <v>263.33668025087337</v>
      </c>
      <c r="Z96" s="39">
        <v>756</v>
      </c>
      <c r="AA96" s="39">
        <v>400</v>
      </c>
      <c r="AB96" s="48">
        <f t="shared" si="264"/>
        <v>73.572182405422382</v>
      </c>
      <c r="AC96" s="49">
        <f t="shared" si="270"/>
        <v>1.1078094715786202</v>
      </c>
      <c r="AD96" s="48">
        <f t="shared" si="334"/>
        <v>136.66331974912663</v>
      </c>
      <c r="AE96" s="49">
        <f t="shared" si="271"/>
        <v>1.5189680359717885</v>
      </c>
      <c r="AF96" s="49">
        <f t="shared" si="272"/>
        <v>1.5189680359717885</v>
      </c>
      <c r="AG96" s="45">
        <v>3842.5000000000009</v>
      </c>
      <c r="AH96" s="39">
        <v>682.42781759457762</v>
      </c>
      <c r="AI96" s="39">
        <v>263.33668025087337</v>
      </c>
      <c r="AJ96" s="39">
        <v>756</v>
      </c>
      <c r="AK96" s="39">
        <v>400</v>
      </c>
      <c r="AL96" s="48">
        <f>+AJ96-AH96</f>
        <v>73.572182405422382</v>
      </c>
      <c r="AM96" s="49">
        <f>+IF(AH96&lt;=0,0,AJ96/AH96)</f>
        <v>1.1078094715786202</v>
      </c>
      <c r="AN96" s="48">
        <f>+AK96-AI96</f>
        <v>136.66331974912663</v>
      </c>
      <c r="AO96" s="49">
        <f>+IF(AI96&lt;=0,0,AK96/AI96)</f>
        <v>1.5189680359717885</v>
      </c>
      <c r="AP96" s="39">
        <f t="shared" si="350"/>
        <v>1842.722304839381</v>
      </c>
      <c r="AQ96" s="39">
        <f t="shared" si="350"/>
        <v>685.08571746521648</v>
      </c>
      <c r="AR96" s="39">
        <f t="shared" si="351"/>
        <v>2411</v>
      </c>
      <c r="AS96" s="39">
        <f t="shared" si="351"/>
        <v>1083</v>
      </c>
      <c r="AT96" s="39">
        <f t="shared" si="352"/>
        <v>568.27769516061903</v>
      </c>
      <c r="AU96" s="17">
        <f t="shared" si="228"/>
        <v>1.3083903058362081</v>
      </c>
      <c r="AV96" s="39">
        <f t="shared" si="229"/>
        <v>397.91428253478352</v>
      </c>
      <c r="AW96" s="17">
        <f t="shared" si="230"/>
        <v>1.5808240814113697</v>
      </c>
      <c r="AX96" s="45">
        <v>3842.5000000000009</v>
      </c>
      <c r="AY96" s="39">
        <v>682.42781759457762</v>
      </c>
      <c r="AZ96" s="39">
        <v>263.33668025087337</v>
      </c>
      <c r="BA96" s="39">
        <f t="shared" si="353"/>
        <v>65.834170062718343</v>
      </c>
      <c r="BB96" s="39">
        <f t="shared" si="354"/>
        <v>131.66834012543669</v>
      </c>
      <c r="BC96" s="39">
        <f t="shared" si="355"/>
        <v>197.50251018815504</v>
      </c>
      <c r="BD96" s="39">
        <f t="shared" si="356"/>
        <v>263.33668025087337</v>
      </c>
      <c r="BE96" s="39">
        <v>756</v>
      </c>
      <c r="BF96" s="39">
        <v>400</v>
      </c>
      <c r="BG96" s="48">
        <f t="shared" si="265"/>
        <v>73.572182405422382</v>
      </c>
      <c r="BH96" s="49">
        <f t="shared" si="273"/>
        <v>1.1078094715786202</v>
      </c>
      <c r="BI96" s="48">
        <f t="shared" si="338"/>
        <v>136.66331974912663</v>
      </c>
      <c r="BJ96" s="49">
        <f t="shared" si="274"/>
        <v>1.5189680359717885</v>
      </c>
      <c r="BK96" s="49">
        <f t="shared" si="275"/>
        <v>1.5189680359717885</v>
      </c>
      <c r="BL96" s="45">
        <v>3666.6666666666661</v>
      </c>
      <c r="BM96" s="39">
        <v>652.72081681910174</v>
      </c>
      <c r="BN96" s="39">
        <v>260.2131530659517</v>
      </c>
      <c r="BO96" s="39">
        <f t="shared" si="357"/>
        <v>65.053288266487925</v>
      </c>
      <c r="BP96" s="39">
        <f t="shared" si="358"/>
        <v>130.10657653297585</v>
      </c>
      <c r="BQ96" s="39">
        <f t="shared" si="359"/>
        <v>195.15986479946378</v>
      </c>
      <c r="BR96" s="39">
        <f t="shared" si="360"/>
        <v>260.2131530659517</v>
      </c>
      <c r="BS96" s="39">
        <v>672</v>
      </c>
      <c r="BT96" s="39">
        <v>258</v>
      </c>
      <c r="BU96" s="48">
        <f t="shared" si="266"/>
        <v>19.279183180898258</v>
      </c>
      <c r="BV96" s="49">
        <f t="shared" si="276"/>
        <v>1.0295366451997829</v>
      </c>
      <c r="BW96" s="48">
        <f t="shared" si="319"/>
        <v>-2.2131530659517011</v>
      </c>
      <c r="BX96" s="49">
        <f t="shared" si="277"/>
        <v>0.99149484551462785</v>
      </c>
      <c r="BY96" s="49">
        <f t="shared" si="278"/>
        <v>0.99149484551462785</v>
      </c>
      <c r="BZ96" s="45">
        <v>2994.2433504124569</v>
      </c>
      <c r="CA96" s="39">
        <v>507.57367042570166</v>
      </c>
      <c r="CB96" s="39">
        <v>161.53588414839143</v>
      </c>
      <c r="CC96" s="39">
        <f t="shared" si="361"/>
        <v>40.383971037097858</v>
      </c>
      <c r="CD96" s="39">
        <f t="shared" si="362"/>
        <v>80.767942074195716</v>
      </c>
      <c r="CE96" s="39">
        <f t="shared" si="363"/>
        <v>121.15191311129357</v>
      </c>
      <c r="CF96" s="39">
        <f t="shared" si="364"/>
        <v>161.53588414839143</v>
      </c>
      <c r="CG96" s="39">
        <v>983</v>
      </c>
      <c r="CH96" s="39">
        <v>425</v>
      </c>
      <c r="CI96" s="51">
        <f t="shared" si="279"/>
        <v>475.42632957429834</v>
      </c>
      <c r="CJ96" s="49">
        <f t="shared" si="280"/>
        <v>1.9366646799775067</v>
      </c>
      <c r="CK96" s="48">
        <f t="shared" si="281"/>
        <v>263.46411585160854</v>
      </c>
      <c r="CL96" s="49">
        <f t="shared" si="282"/>
        <v>2.6309943591826506</v>
      </c>
      <c r="CM96" s="49">
        <f t="shared" si="283"/>
        <v>2.6309943591826506</v>
      </c>
      <c r="CN96" s="45"/>
      <c r="CO96" s="39"/>
      <c r="CP96" s="39"/>
      <c r="CQ96" s="39"/>
      <c r="CR96" s="39"/>
      <c r="CS96" s="39"/>
      <c r="CT96" s="39"/>
      <c r="CU96" s="39"/>
      <c r="CV96" s="39"/>
      <c r="CW96" s="31">
        <f t="shared" si="231"/>
        <v>0</v>
      </c>
      <c r="CX96" s="17">
        <f t="shared" si="284"/>
        <v>0</v>
      </c>
      <c r="CY96" s="31"/>
      <c r="CZ96" s="49">
        <f t="shared" si="285"/>
        <v>0</v>
      </c>
      <c r="DA96" s="49">
        <f t="shared" si="286"/>
        <v>0</v>
      </c>
    </row>
    <row r="97" spans="1:105" ht="24.95" customHeight="1">
      <c r="B97" s="7"/>
      <c r="C97" s="6"/>
      <c r="D97" s="7" t="s">
        <v>33</v>
      </c>
      <c r="E97" s="13">
        <f>SUM(E98:E98)</f>
        <v>12000</v>
      </c>
      <c r="F97" s="13">
        <f>SUM(F98:F98)</f>
        <v>2600</v>
      </c>
      <c r="G97" s="13">
        <f>SUM(G98:G98)</f>
        <v>1000</v>
      </c>
      <c r="H97" s="13">
        <f t="shared" ref="H97:M97" si="365">SUM(H98:H98)</f>
        <v>250</v>
      </c>
      <c r="I97" s="13">
        <f t="shared" si="365"/>
        <v>500</v>
      </c>
      <c r="J97" s="13">
        <f t="shared" si="365"/>
        <v>750</v>
      </c>
      <c r="K97" s="13">
        <f t="shared" si="365"/>
        <v>1000</v>
      </c>
      <c r="L97" s="13">
        <f t="shared" si="365"/>
        <v>4045.3904000000002</v>
      </c>
      <c r="M97" s="13">
        <f t="shared" si="365"/>
        <v>1058</v>
      </c>
      <c r="N97" s="19">
        <f t="shared" si="263"/>
        <v>1445.3904000000002</v>
      </c>
      <c r="O97" s="20">
        <f t="shared" si="267"/>
        <v>1.5559193846153847</v>
      </c>
      <c r="P97" s="19">
        <f t="shared" si="332"/>
        <v>58</v>
      </c>
      <c r="Q97" s="20">
        <f t="shared" si="268"/>
        <v>1.0580000000000001</v>
      </c>
      <c r="R97" s="20">
        <f t="shared" si="269"/>
        <v>1.0580000000000001</v>
      </c>
      <c r="S97" s="13">
        <f>SUM(S98:S98)</f>
        <v>12000</v>
      </c>
      <c r="T97" s="13">
        <f>SUM(T98:T98)</f>
        <v>2600</v>
      </c>
      <c r="U97" s="13">
        <f>SUM(U98:U98)</f>
        <v>1000</v>
      </c>
      <c r="V97" s="13">
        <f t="shared" ref="V97:AA97" si="366">SUM(V98:V98)</f>
        <v>250</v>
      </c>
      <c r="W97" s="13">
        <f t="shared" si="366"/>
        <v>500</v>
      </c>
      <c r="X97" s="13">
        <f t="shared" si="366"/>
        <v>750</v>
      </c>
      <c r="Y97" s="13">
        <f t="shared" si="366"/>
        <v>1000</v>
      </c>
      <c r="Z97" s="13">
        <f t="shared" si="366"/>
        <v>4045.3904000000002</v>
      </c>
      <c r="AA97" s="13">
        <f t="shared" si="366"/>
        <v>1058</v>
      </c>
      <c r="AB97" s="19">
        <f t="shared" si="264"/>
        <v>1445.3904000000002</v>
      </c>
      <c r="AC97" s="20">
        <f t="shared" si="270"/>
        <v>1.5559193846153847</v>
      </c>
      <c r="AD97" s="19">
        <f t="shared" si="334"/>
        <v>58</v>
      </c>
      <c r="AE97" s="20">
        <f t="shared" si="271"/>
        <v>1.0580000000000001</v>
      </c>
      <c r="AF97" s="20">
        <f t="shared" si="272"/>
        <v>1.0580000000000001</v>
      </c>
      <c r="AG97" s="13">
        <f>SUM(AG98:AG98)</f>
        <v>12000</v>
      </c>
      <c r="AH97" s="13">
        <f>SUM(AH98:AH98)</f>
        <v>2600</v>
      </c>
      <c r="AI97" s="13">
        <f>SUM(AI98:AI98)</f>
        <v>1000</v>
      </c>
      <c r="AJ97" s="13">
        <f t="shared" ref="AJ97:AK97" si="367">SUM(AJ98:AJ98)</f>
        <v>4045.3904000000002</v>
      </c>
      <c r="AK97" s="13">
        <f t="shared" si="367"/>
        <v>1058</v>
      </c>
      <c r="AL97" s="19">
        <f>+AJ97-AH97</f>
        <v>1445.3904000000002</v>
      </c>
      <c r="AM97" s="20">
        <f>+IF(AH97&lt;=0,0,AJ97/AH97)</f>
        <v>1.5559193846153847</v>
      </c>
      <c r="AN97" s="19">
        <f>+AK97-AI97</f>
        <v>58</v>
      </c>
      <c r="AO97" s="20">
        <f>+IF(AI97&lt;=0,0,AK97/AI97)</f>
        <v>1.0580000000000001</v>
      </c>
      <c r="AP97" s="13">
        <f>SUM(AP98:AP98)</f>
        <v>9550</v>
      </c>
      <c r="AQ97" s="13">
        <f>SUM(AQ98:AQ98)</f>
        <v>3216.6666666666661</v>
      </c>
      <c r="AR97" s="13">
        <f t="shared" ref="AR97:AS97" si="368">SUM(AR98:AR98)</f>
        <v>9620.4904000000006</v>
      </c>
      <c r="AS97" s="13">
        <f t="shared" si="368"/>
        <v>3388.5</v>
      </c>
      <c r="AT97" s="19">
        <f t="shared" si="236"/>
        <v>70.490400000000591</v>
      </c>
      <c r="AU97" s="20">
        <f t="shared" si="228"/>
        <v>1.0073811937172776</v>
      </c>
      <c r="AV97" s="19">
        <f t="shared" si="229"/>
        <v>171.83333333333394</v>
      </c>
      <c r="AW97" s="20">
        <f t="shared" si="230"/>
        <v>1.0534196891191712</v>
      </c>
      <c r="AX97" s="13">
        <f>SUM(AX98:AX98)</f>
        <v>12000</v>
      </c>
      <c r="AY97" s="13">
        <f>SUM(AY98:AY98)</f>
        <v>2600</v>
      </c>
      <c r="AZ97" s="13">
        <f>SUM(AZ98:AZ98)</f>
        <v>1000</v>
      </c>
      <c r="BA97" s="13">
        <f t="shared" ref="BA97:BF97" si="369">SUM(BA98:BA98)</f>
        <v>250</v>
      </c>
      <c r="BB97" s="13">
        <f t="shared" si="369"/>
        <v>500</v>
      </c>
      <c r="BC97" s="13">
        <f t="shared" si="369"/>
        <v>750</v>
      </c>
      <c r="BD97" s="13">
        <f t="shared" si="369"/>
        <v>1000</v>
      </c>
      <c r="BE97" s="13">
        <f t="shared" si="369"/>
        <v>4045.3904000000002</v>
      </c>
      <c r="BF97" s="13">
        <f t="shared" si="369"/>
        <v>1058</v>
      </c>
      <c r="BG97" s="19">
        <f t="shared" si="265"/>
        <v>1445.3904000000002</v>
      </c>
      <c r="BH97" s="20">
        <f t="shared" si="273"/>
        <v>1.5559193846153847</v>
      </c>
      <c r="BI97" s="19">
        <f t="shared" si="338"/>
        <v>58</v>
      </c>
      <c r="BJ97" s="20">
        <f t="shared" si="274"/>
        <v>1.0580000000000001</v>
      </c>
      <c r="BK97" s="20">
        <f t="shared" si="275"/>
        <v>1.0580000000000001</v>
      </c>
      <c r="BL97" s="13">
        <f>SUM(BL98:BL98)</f>
        <v>4999.9999999999991</v>
      </c>
      <c r="BM97" s="13">
        <f>SUM(BM98:BM98)</f>
        <v>1250</v>
      </c>
      <c r="BN97" s="13">
        <f>SUM(BN98:BN98)</f>
        <v>416.66666666666663</v>
      </c>
      <c r="BO97" s="13">
        <f t="shared" ref="BO97:BT97" si="370">SUM(BO98:BO98)</f>
        <v>104.16666666666666</v>
      </c>
      <c r="BP97" s="13">
        <f t="shared" si="370"/>
        <v>208.33333333333331</v>
      </c>
      <c r="BQ97" s="13">
        <f t="shared" si="370"/>
        <v>312.5</v>
      </c>
      <c r="BR97" s="13">
        <f t="shared" si="370"/>
        <v>416.66666666666663</v>
      </c>
      <c r="BS97" s="13">
        <f t="shared" si="370"/>
        <v>1597.1</v>
      </c>
      <c r="BT97" s="13">
        <f t="shared" si="370"/>
        <v>470.5</v>
      </c>
      <c r="BU97" s="19">
        <f t="shared" si="266"/>
        <v>347.09999999999991</v>
      </c>
      <c r="BV97" s="20">
        <f t="shared" si="276"/>
        <v>1.2776799999999999</v>
      </c>
      <c r="BW97" s="19">
        <f t="shared" si="319"/>
        <v>53.833333333333371</v>
      </c>
      <c r="BX97" s="20">
        <f t="shared" si="277"/>
        <v>1.1292000000000002</v>
      </c>
      <c r="BY97" s="20">
        <f t="shared" si="278"/>
        <v>1.1292000000000002</v>
      </c>
      <c r="BZ97" s="13">
        <f>SUM(BZ98:BZ98)</f>
        <v>30000</v>
      </c>
      <c r="CA97" s="13">
        <f>SUM(CA98:CA98)</f>
        <v>5700</v>
      </c>
      <c r="CB97" s="13">
        <f>SUM(CB98:CB98)</f>
        <v>1799.9999999999995</v>
      </c>
      <c r="CC97" s="13">
        <f t="shared" ref="CC97:CF97" si="371">SUM(CC98:CC98)</f>
        <v>449.99999999999989</v>
      </c>
      <c r="CD97" s="13">
        <f t="shared" si="371"/>
        <v>899.99999999999977</v>
      </c>
      <c r="CE97" s="13">
        <f t="shared" si="371"/>
        <v>1349.9999999999995</v>
      </c>
      <c r="CF97" s="13">
        <f t="shared" si="371"/>
        <v>1799.9999999999995</v>
      </c>
      <c r="CG97" s="13">
        <f t="shared" ref="CG97:CH97" si="372">SUM(CG98:CG98)</f>
        <v>3978</v>
      </c>
      <c r="CH97" s="13">
        <f t="shared" si="372"/>
        <v>1860</v>
      </c>
      <c r="CI97" s="13">
        <f t="shared" si="279"/>
        <v>-1722</v>
      </c>
      <c r="CJ97" s="20">
        <f t="shared" si="280"/>
        <v>0.69789473684210523</v>
      </c>
      <c r="CK97" s="19">
        <f t="shared" si="281"/>
        <v>60.000000000000455</v>
      </c>
      <c r="CL97" s="20">
        <f t="shared" si="282"/>
        <v>1.0333333333333337</v>
      </c>
      <c r="CM97" s="20">
        <f t="shared" si="283"/>
        <v>1.0333333333333337</v>
      </c>
      <c r="CN97" s="46"/>
      <c r="CO97" s="13">
        <f>SUM(CO98:CO98)</f>
        <v>0</v>
      </c>
      <c r="CP97" s="13">
        <f>SUM(CP98:CP98)</f>
        <v>0</v>
      </c>
      <c r="CQ97" s="13">
        <f t="shared" ref="CQ97:CT97" si="373">SUM(CQ98:CQ98)</f>
        <v>0</v>
      </c>
      <c r="CR97" s="13">
        <f t="shared" si="373"/>
        <v>0</v>
      </c>
      <c r="CS97" s="13">
        <f t="shared" si="373"/>
        <v>0</v>
      </c>
      <c r="CT97" s="13">
        <f t="shared" si="373"/>
        <v>0</v>
      </c>
      <c r="CU97" s="13"/>
      <c r="CV97" s="13"/>
      <c r="CW97" s="30">
        <f t="shared" si="231"/>
        <v>0</v>
      </c>
      <c r="CX97" s="20">
        <f t="shared" si="284"/>
        <v>0</v>
      </c>
      <c r="CY97" s="30"/>
      <c r="CZ97" s="20">
        <f t="shared" si="285"/>
        <v>0</v>
      </c>
      <c r="DA97" s="20">
        <f t="shared" si="286"/>
        <v>0</v>
      </c>
    </row>
    <row r="98" spans="1:105" ht="24.95" customHeight="1">
      <c r="A98" s="4" t="s">
        <v>53</v>
      </c>
      <c r="B98" s="9" t="s">
        <v>49</v>
      </c>
      <c r="C98" s="5">
        <f>+C97+1</f>
        <v>1</v>
      </c>
      <c r="D98" s="8" t="s">
        <v>122</v>
      </c>
      <c r="E98" s="45">
        <v>12000</v>
      </c>
      <c r="F98" s="39">
        <v>2600</v>
      </c>
      <c r="G98" s="39">
        <v>1000</v>
      </c>
      <c r="H98" s="39">
        <f>+G98*0.25</f>
        <v>250</v>
      </c>
      <c r="I98" s="39">
        <f>+G98*0.5</f>
        <v>500</v>
      </c>
      <c r="J98" s="39">
        <f>+G98*0.75</f>
        <v>750</v>
      </c>
      <c r="K98" s="39">
        <f>+G98</f>
        <v>1000</v>
      </c>
      <c r="L98" s="39">
        <v>4045.3904000000002</v>
      </c>
      <c r="M98" s="39">
        <v>1058</v>
      </c>
      <c r="N98" s="48">
        <f t="shared" si="263"/>
        <v>1445.3904000000002</v>
      </c>
      <c r="O98" s="49">
        <f t="shared" si="267"/>
        <v>1.5559193846153847</v>
      </c>
      <c r="P98" s="48">
        <f t="shared" si="332"/>
        <v>58</v>
      </c>
      <c r="Q98" s="49">
        <f t="shared" si="268"/>
        <v>1.0580000000000001</v>
      </c>
      <c r="R98" s="49">
        <f t="shared" si="269"/>
        <v>1.0580000000000001</v>
      </c>
      <c r="S98" s="45">
        <v>12000</v>
      </c>
      <c r="T98" s="39">
        <v>2600</v>
      </c>
      <c r="U98" s="39">
        <v>1000</v>
      </c>
      <c r="V98" s="39">
        <f>+U98*0.25</f>
        <v>250</v>
      </c>
      <c r="W98" s="39">
        <f>+U98*0.5</f>
        <v>500</v>
      </c>
      <c r="X98" s="39">
        <f>+U98*0.75</f>
        <v>750</v>
      </c>
      <c r="Y98" s="39">
        <f>+U98</f>
        <v>1000</v>
      </c>
      <c r="Z98" s="39">
        <v>4045.3904000000002</v>
      </c>
      <c r="AA98" s="39">
        <v>1058</v>
      </c>
      <c r="AB98" s="48">
        <f t="shared" si="264"/>
        <v>1445.3904000000002</v>
      </c>
      <c r="AC98" s="49">
        <f t="shared" si="270"/>
        <v>1.5559193846153847</v>
      </c>
      <c r="AD98" s="48">
        <f t="shared" si="334"/>
        <v>58</v>
      </c>
      <c r="AE98" s="49">
        <f t="shared" si="271"/>
        <v>1.0580000000000001</v>
      </c>
      <c r="AF98" s="49">
        <f t="shared" si="272"/>
        <v>1.0580000000000001</v>
      </c>
      <c r="AG98" s="45">
        <v>12000</v>
      </c>
      <c r="AH98" s="39">
        <v>2600</v>
      </c>
      <c r="AI98" s="39">
        <v>1000</v>
      </c>
      <c r="AJ98" s="39">
        <v>4045.3904000000002</v>
      </c>
      <c r="AK98" s="39">
        <v>1058</v>
      </c>
      <c r="AL98" s="48">
        <f>+AJ98-AH98</f>
        <v>1445.3904000000002</v>
      </c>
      <c r="AM98" s="49">
        <f>+IF(AH98&lt;=0,0,AJ98/AH98)</f>
        <v>1.5559193846153847</v>
      </c>
      <c r="AN98" s="48">
        <f>+AK98-AI98</f>
        <v>58</v>
      </c>
      <c r="AO98" s="49">
        <f>+IF(AI98&lt;=0,0,AK98/AI98)</f>
        <v>1.0580000000000001</v>
      </c>
      <c r="AP98" s="39">
        <f>+AY98+BM98+CA98+CO98</f>
        <v>9550</v>
      </c>
      <c r="AQ98" s="39">
        <f>+AZ98+BN98+CB98+CP98</f>
        <v>3216.6666666666661</v>
      </c>
      <c r="AR98" s="39">
        <f>+BE98+BS98+CG98++CU98</f>
        <v>9620.4904000000006</v>
      </c>
      <c r="AS98" s="39">
        <f>+BF98+BT98+CH98++CV98</f>
        <v>3388.5</v>
      </c>
      <c r="AT98" s="39">
        <f t="shared" si="236"/>
        <v>70.490400000000591</v>
      </c>
      <c r="AU98" s="17">
        <f t="shared" si="228"/>
        <v>1.0073811937172776</v>
      </c>
      <c r="AV98" s="39">
        <f t="shared" si="229"/>
        <v>171.83333333333394</v>
      </c>
      <c r="AW98" s="17">
        <f t="shared" si="230"/>
        <v>1.0534196891191712</v>
      </c>
      <c r="AX98" s="45">
        <v>12000</v>
      </c>
      <c r="AY98" s="39">
        <v>2600</v>
      </c>
      <c r="AZ98" s="39">
        <v>1000</v>
      </c>
      <c r="BA98" s="39">
        <f>+AZ98*0.25</f>
        <v>250</v>
      </c>
      <c r="BB98" s="39">
        <f>+AZ98*0.5</f>
        <v>500</v>
      </c>
      <c r="BC98" s="39">
        <f>+AZ98*0.75</f>
        <v>750</v>
      </c>
      <c r="BD98" s="39">
        <f>+AZ98</f>
        <v>1000</v>
      </c>
      <c r="BE98" s="39">
        <v>4045.3904000000002</v>
      </c>
      <c r="BF98" s="39">
        <v>1058</v>
      </c>
      <c r="BG98" s="48">
        <f t="shared" si="265"/>
        <v>1445.3904000000002</v>
      </c>
      <c r="BH98" s="49">
        <f t="shared" si="273"/>
        <v>1.5559193846153847</v>
      </c>
      <c r="BI98" s="48">
        <f t="shared" si="338"/>
        <v>58</v>
      </c>
      <c r="BJ98" s="49">
        <f t="shared" si="274"/>
        <v>1.0580000000000001</v>
      </c>
      <c r="BK98" s="49">
        <f t="shared" si="275"/>
        <v>1.0580000000000001</v>
      </c>
      <c r="BL98" s="45">
        <v>4999.9999999999991</v>
      </c>
      <c r="BM98" s="39">
        <v>1250</v>
      </c>
      <c r="BN98" s="39">
        <v>416.66666666666663</v>
      </c>
      <c r="BO98" s="39">
        <f>+BN98*0.25</f>
        <v>104.16666666666666</v>
      </c>
      <c r="BP98" s="39">
        <f>+BN98*0.5</f>
        <v>208.33333333333331</v>
      </c>
      <c r="BQ98" s="39">
        <f>+BN98*0.75</f>
        <v>312.5</v>
      </c>
      <c r="BR98" s="39">
        <f>+BN98</f>
        <v>416.66666666666663</v>
      </c>
      <c r="BS98" s="39">
        <v>1597.1</v>
      </c>
      <c r="BT98" s="39">
        <v>470.5</v>
      </c>
      <c r="BU98" s="48">
        <f t="shared" si="266"/>
        <v>347.09999999999991</v>
      </c>
      <c r="BV98" s="49">
        <f t="shared" si="276"/>
        <v>1.2776799999999999</v>
      </c>
      <c r="BW98" s="48">
        <f t="shared" si="319"/>
        <v>53.833333333333371</v>
      </c>
      <c r="BX98" s="49">
        <f t="shared" si="277"/>
        <v>1.1292000000000002</v>
      </c>
      <c r="BY98" s="49">
        <f t="shared" si="278"/>
        <v>1.1292000000000002</v>
      </c>
      <c r="BZ98" s="45">
        <v>30000</v>
      </c>
      <c r="CA98" s="39">
        <v>5700</v>
      </c>
      <c r="CB98" s="39">
        <v>1799.9999999999995</v>
      </c>
      <c r="CC98" s="39">
        <f>+CB98*0.25</f>
        <v>449.99999999999989</v>
      </c>
      <c r="CD98" s="39">
        <f>+CB98*0.5</f>
        <v>899.99999999999977</v>
      </c>
      <c r="CE98" s="39">
        <f>+CB98*0.75</f>
        <v>1349.9999999999995</v>
      </c>
      <c r="CF98" s="39">
        <f>+CB98</f>
        <v>1799.9999999999995</v>
      </c>
      <c r="CG98" s="39">
        <v>3978</v>
      </c>
      <c r="CH98" s="39">
        <v>1860</v>
      </c>
      <c r="CI98" s="51">
        <f t="shared" si="279"/>
        <v>-1722</v>
      </c>
      <c r="CJ98" s="49">
        <f t="shared" si="280"/>
        <v>0.69789473684210523</v>
      </c>
      <c r="CK98" s="48">
        <f t="shared" si="281"/>
        <v>60.000000000000455</v>
      </c>
      <c r="CL98" s="49">
        <f t="shared" si="282"/>
        <v>1.0333333333333337</v>
      </c>
      <c r="CM98" s="49">
        <f t="shared" si="283"/>
        <v>1.0333333333333337</v>
      </c>
      <c r="CN98" s="45"/>
      <c r="CO98" s="39"/>
      <c r="CP98" s="39"/>
      <c r="CQ98" s="39"/>
      <c r="CR98" s="39"/>
      <c r="CS98" s="39"/>
      <c r="CT98" s="39"/>
      <c r="CU98" s="39"/>
      <c r="CV98" s="39"/>
      <c r="CW98" s="31">
        <f t="shared" si="231"/>
        <v>0</v>
      </c>
      <c r="CX98" s="17">
        <f t="shared" si="284"/>
        <v>0</v>
      </c>
      <c r="CY98" s="31"/>
      <c r="CZ98" s="49">
        <f t="shared" si="285"/>
        <v>0</v>
      </c>
      <c r="DA98" s="49">
        <f t="shared" si="286"/>
        <v>0</v>
      </c>
    </row>
    <row r="99" spans="1:105" ht="24.95" customHeight="1">
      <c r="B99" s="7"/>
      <c r="C99" s="6"/>
      <c r="D99" s="7" t="s">
        <v>32</v>
      </c>
      <c r="E99" s="13">
        <f>SUM(E100:E100)</f>
        <v>2500</v>
      </c>
      <c r="F99" s="13">
        <f>SUM(F100:F100)</f>
        <v>250</v>
      </c>
      <c r="G99" s="13">
        <f>SUM(G100:G100)</f>
        <v>250</v>
      </c>
      <c r="H99" s="13">
        <f t="shared" ref="H99:M99" si="374">SUM(H100:H100)</f>
        <v>62.5</v>
      </c>
      <c r="I99" s="13">
        <f t="shared" si="374"/>
        <v>125</v>
      </c>
      <c r="J99" s="13">
        <f t="shared" si="374"/>
        <v>187.5</v>
      </c>
      <c r="K99" s="13">
        <f t="shared" si="374"/>
        <v>250</v>
      </c>
      <c r="L99" s="13">
        <f t="shared" si="374"/>
        <v>400</v>
      </c>
      <c r="M99" s="13">
        <f t="shared" si="374"/>
        <v>300</v>
      </c>
      <c r="N99" s="19">
        <f t="shared" si="263"/>
        <v>150</v>
      </c>
      <c r="O99" s="20">
        <f t="shared" si="267"/>
        <v>1.6</v>
      </c>
      <c r="P99" s="19"/>
      <c r="Q99" s="20">
        <f t="shared" si="268"/>
        <v>1.2</v>
      </c>
      <c r="R99" s="20">
        <f t="shared" si="269"/>
        <v>1.2</v>
      </c>
      <c r="S99" s="13">
        <f>SUM(S100:S100)</f>
        <v>2500</v>
      </c>
      <c r="T99" s="13">
        <f>SUM(T100:T100)</f>
        <v>250</v>
      </c>
      <c r="U99" s="13">
        <f>SUM(U100:U100)</f>
        <v>250</v>
      </c>
      <c r="V99" s="13">
        <f t="shared" ref="V99:AA99" si="375">SUM(V100:V100)</f>
        <v>62.5</v>
      </c>
      <c r="W99" s="13">
        <f t="shared" si="375"/>
        <v>125</v>
      </c>
      <c r="X99" s="13">
        <f t="shared" si="375"/>
        <v>187.5</v>
      </c>
      <c r="Y99" s="13">
        <f t="shared" si="375"/>
        <v>250</v>
      </c>
      <c r="Z99" s="13">
        <f t="shared" si="375"/>
        <v>400</v>
      </c>
      <c r="AA99" s="13">
        <f t="shared" si="375"/>
        <v>300</v>
      </c>
      <c r="AB99" s="19">
        <f t="shared" si="264"/>
        <v>150</v>
      </c>
      <c r="AC99" s="20">
        <f t="shared" si="270"/>
        <v>1.6</v>
      </c>
      <c r="AD99" s="19"/>
      <c r="AE99" s="20">
        <f t="shared" si="271"/>
        <v>1.2</v>
      </c>
      <c r="AF99" s="20">
        <f t="shared" si="272"/>
        <v>1.2</v>
      </c>
      <c r="AG99" s="13">
        <f>SUM(AG100:AG100)</f>
        <v>2500</v>
      </c>
      <c r="AH99" s="13">
        <f>SUM(AH100:AH100)</f>
        <v>250</v>
      </c>
      <c r="AI99" s="13">
        <f>SUM(AI100:AI100)</f>
        <v>250</v>
      </c>
      <c r="AJ99" s="13">
        <f t="shared" ref="AJ99:AK99" si="376">SUM(AJ100:AJ100)</f>
        <v>400</v>
      </c>
      <c r="AK99" s="13">
        <f t="shared" si="376"/>
        <v>300</v>
      </c>
      <c r="AL99" s="19">
        <f>+AJ99-AH99</f>
        <v>150</v>
      </c>
      <c r="AM99" s="20">
        <f>+IF(AH99&lt;=0,0,AJ99/AH99)</f>
        <v>1.6</v>
      </c>
      <c r="AN99" s="19"/>
      <c r="AO99" s="20">
        <f>+IF(AI99&lt;=0,0,AK99/AI99)</f>
        <v>1.2</v>
      </c>
      <c r="AP99" s="13">
        <f>SUM(AP100:AP100)</f>
        <v>1650</v>
      </c>
      <c r="AQ99" s="13">
        <f>SUM(AQ100:AQ100)</f>
        <v>950</v>
      </c>
      <c r="AR99" s="13">
        <f>SUM(AR100:AR100)</f>
        <v>583</v>
      </c>
      <c r="AS99" s="13">
        <f>SUM(AS100:AS100)</f>
        <v>300</v>
      </c>
      <c r="AT99" s="19">
        <f t="shared" ref="AT99:AT101" si="377">+AR99-AP99</f>
        <v>-1067</v>
      </c>
      <c r="AU99" s="20">
        <f t="shared" ref="AU99:AU103" si="378">+AR99/AP99</f>
        <v>0.35333333333333333</v>
      </c>
      <c r="AV99" s="19">
        <f t="shared" ref="AV99:AV103" si="379">+AS99-AQ99</f>
        <v>-650</v>
      </c>
      <c r="AW99" s="20">
        <f t="shared" ref="AW99:AW103" si="380">+AS99/AQ99</f>
        <v>0.31578947368421051</v>
      </c>
      <c r="AX99" s="13">
        <f>SUM(AX100:AX100)</f>
        <v>2500</v>
      </c>
      <c r="AY99" s="13">
        <f>SUM(AY100:AY100)</f>
        <v>250</v>
      </c>
      <c r="AZ99" s="13">
        <f>SUM(AZ100:AZ100)</f>
        <v>250</v>
      </c>
      <c r="BA99" s="13">
        <f t="shared" ref="BA99:BF99" si="381">SUM(BA100:BA100)</f>
        <v>62.5</v>
      </c>
      <c r="BB99" s="13">
        <f t="shared" si="381"/>
        <v>125</v>
      </c>
      <c r="BC99" s="13">
        <f t="shared" si="381"/>
        <v>187.5</v>
      </c>
      <c r="BD99" s="13">
        <f t="shared" si="381"/>
        <v>250</v>
      </c>
      <c r="BE99" s="13">
        <f t="shared" si="381"/>
        <v>400</v>
      </c>
      <c r="BF99" s="13">
        <f t="shared" si="381"/>
        <v>300</v>
      </c>
      <c r="BG99" s="19">
        <f t="shared" si="265"/>
        <v>150</v>
      </c>
      <c r="BH99" s="20">
        <f t="shared" si="273"/>
        <v>1.6</v>
      </c>
      <c r="BI99" s="19"/>
      <c r="BJ99" s="20">
        <f t="shared" si="274"/>
        <v>1.2</v>
      </c>
      <c r="BK99" s="20">
        <f t="shared" si="275"/>
        <v>1.2</v>
      </c>
      <c r="BL99" s="13">
        <f>SUM(BL100:BL100)</f>
        <v>7100</v>
      </c>
      <c r="BM99" s="13">
        <f>SUM(BM100:BM100)</f>
        <v>1400</v>
      </c>
      <c r="BN99" s="13">
        <f>SUM(BN100:BN100)</f>
        <v>700</v>
      </c>
      <c r="BO99" s="13">
        <f t="shared" ref="BO99:BT99" si="382">SUM(BO100:BO100)</f>
        <v>175</v>
      </c>
      <c r="BP99" s="13">
        <f t="shared" si="382"/>
        <v>350</v>
      </c>
      <c r="BQ99" s="13">
        <f t="shared" si="382"/>
        <v>525</v>
      </c>
      <c r="BR99" s="13">
        <f t="shared" si="382"/>
        <v>700</v>
      </c>
      <c r="BS99" s="13">
        <f t="shared" si="382"/>
        <v>183</v>
      </c>
      <c r="BT99" s="13">
        <f t="shared" si="382"/>
        <v>0</v>
      </c>
      <c r="BU99" s="19">
        <f t="shared" si="266"/>
        <v>-1217</v>
      </c>
      <c r="BV99" s="20">
        <f t="shared" si="276"/>
        <v>0.13071428571428573</v>
      </c>
      <c r="BW99" s="19">
        <f t="shared" si="319"/>
        <v>-700</v>
      </c>
      <c r="BX99" s="20">
        <f t="shared" si="277"/>
        <v>0</v>
      </c>
      <c r="BY99" s="20">
        <f t="shared" si="278"/>
        <v>0</v>
      </c>
      <c r="BZ99" s="13">
        <f>SUM(BZ100:BZ100)</f>
        <v>0</v>
      </c>
      <c r="CA99" s="13">
        <f>SUM(CA100:CA100)</f>
        <v>0</v>
      </c>
      <c r="CB99" s="13">
        <f>SUM(CB100:CB100)</f>
        <v>0</v>
      </c>
      <c r="CC99" s="13">
        <f t="shared" ref="CC99:CH99" si="383">SUM(CC100:CC100)</f>
        <v>0</v>
      </c>
      <c r="CD99" s="13">
        <f t="shared" si="383"/>
        <v>0</v>
      </c>
      <c r="CE99" s="13">
        <f t="shared" si="383"/>
        <v>0</v>
      </c>
      <c r="CF99" s="13">
        <f t="shared" si="383"/>
        <v>0</v>
      </c>
      <c r="CG99" s="13">
        <f t="shared" si="383"/>
        <v>0</v>
      </c>
      <c r="CH99" s="13">
        <f t="shared" si="383"/>
        <v>0</v>
      </c>
      <c r="CI99" s="13">
        <f t="shared" si="279"/>
        <v>0</v>
      </c>
      <c r="CJ99" s="20">
        <f t="shared" si="280"/>
        <v>0</v>
      </c>
      <c r="CK99" s="19">
        <f t="shared" si="281"/>
        <v>0</v>
      </c>
      <c r="CL99" s="20">
        <f t="shared" si="282"/>
        <v>0</v>
      </c>
      <c r="CM99" s="20">
        <f t="shared" si="283"/>
        <v>0</v>
      </c>
      <c r="CN99" s="46"/>
      <c r="CO99" s="13">
        <f>SUM(CO100:CO100)</f>
        <v>0</v>
      </c>
      <c r="CP99" s="13">
        <f>SUM(CP100:CP100)</f>
        <v>0</v>
      </c>
      <c r="CQ99" s="13">
        <f t="shared" ref="CQ99:CT99" si="384">SUM(CQ100:CQ100)</f>
        <v>0</v>
      </c>
      <c r="CR99" s="13">
        <f t="shared" si="384"/>
        <v>0</v>
      </c>
      <c r="CS99" s="13">
        <f t="shared" si="384"/>
        <v>0</v>
      </c>
      <c r="CT99" s="13">
        <f t="shared" si="384"/>
        <v>0</v>
      </c>
      <c r="CU99" s="13"/>
      <c r="CV99" s="13"/>
      <c r="CW99" s="30">
        <f t="shared" ref="CW99:CW103" si="385">+CU99-CO99</f>
        <v>0</v>
      </c>
      <c r="CX99" s="20">
        <f t="shared" si="284"/>
        <v>0</v>
      </c>
      <c r="CY99" s="30"/>
      <c r="CZ99" s="20">
        <f t="shared" si="285"/>
        <v>0</v>
      </c>
      <c r="DA99" s="20">
        <f t="shared" si="286"/>
        <v>0</v>
      </c>
    </row>
    <row r="100" spans="1:105" ht="24.95" customHeight="1">
      <c r="A100" s="4" t="s">
        <v>12</v>
      </c>
      <c r="B100" s="11">
        <v>11853</v>
      </c>
      <c r="C100" s="5">
        <v>1</v>
      </c>
      <c r="D100" s="8" t="s">
        <v>128</v>
      </c>
      <c r="E100" s="45">
        <v>2500</v>
      </c>
      <c r="F100" s="39">
        <v>250</v>
      </c>
      <c r="G100" s="39">
        <v>250</v>
      </c>
      <c r="H100" s="39">
        <f>+G100*0.25</f>
        <v>62.5</v>
      </c>
      <c r="I100" s="39">
        <f>+G100*0.5</f>
        <v>125</v>
      </c>
      <c r="J100" s="39">
        <f>+G100*0.75</f>
        <v>187.5</v>
      </c>
      <c r="K100" s="39">
        <f>+G100</f>
        <v>250</v>
      </c>
      <c r="L100" s="39">
        <v>400</v>
      </c>
      <c r="M100" s="39">
        <v>300</v>
      </c>
      <c r="N100" s="48">
        <f t="shared" si="263"/>
        <v>150</v>
      </c>
      <c r="O100" s="49">
        <f t="shared" si="267"/>
        <v>1.6</v>
      </c>
      <c r="P100" s="48"/>
      <c r="Q100" s="49">
        <f t="shared" si="268"/>
        <v>1.2</v>
      </c>
      <c r="R100" s="49">
        <f t="shared" si="269"/>
        <v>1.2</v>
      </c>
      <c r="S100" s="45">
        <v>2500</v>
      </c>
      <c r="T100" s="39">
        <v>250</v>
      </c>
      <c r="U100" s="39">
        <v>250</v>
      </c>
      <c r="V100" s="39">
        <f>+U100*0.25</f>
        <v>62.5</v>
      </c>
      <c r="W100" s="39">
        <f>+U100*0.5</f>
        <v>125</v>
      </c>
      <c r="X100" s="39">
        <f>+U100*0.75</f>
        <v>187.5</v>
      </c>
      <c r="Y100" s="39">
        <f>+U100</f>
        <v>250</v>
      </c>
      <c r="Z100" s="39">
        <v>400</v>
      </c>
      <c r="AA100" s="39">
        <v>300</v>
      </c>
      <c r="AB100" s="48">
        <f t="shared" si="264"/>
        <v>150</v>
      </c>
      <c r="AC100" s="49">
        <f t="shared" si="270"/>
        <v>1.6</v>
      </c>
      <c r="AD100" s="48"/>
      <c r="AE100" s="49">
        <f t="shared" si="271"/>
        <v>1.2</v>
      </c>
      <c r="AF100" s="49">
        <f t="shared" si="272"/>
        <v>1.2</v>
      </c>
      <c r="AG100" s="45">
        <v>2500</v>
      </c>
      <c r="AH100" s="39">
        <v>250</v>
      </c>
      <c r="AI100" s="39">
        <v>250</v>
      </c>
      <c r="AJ100" s="39">
        <v>400</v>
      </c>
      <c r="AK100" s="39">
        <v>300</v>
      </c>
      <c r="AL100" s="48">
        <f>+AJ100-AH100</f>
        <v>150</v>
      </c>
      <c r="AM100" s="49">
        <f>+IF(AH100&lt;=0,0,AJ100/AH100)</f>
        <v>1.6</v>
      </c>
      <c r="AN100" s="48"/>
      <c r="AO100" s="49">
        <f>+IF(AI100&lt;=0,0,AK100/AI100)</f>
        <v>1.2</v>
      </c>
      <c r="AP100" s="39">
        <f>+AY100+BM100+CA100+CO100</f>
        <v>1650</v>
      </c>
      <c r="AQ100" s="39">
        <f>+AZ100+BN100+CB100+CP100</f>
        <v>950</v>
      </c>
      <c r="AR100" s="39">
        <f>+BE100+BS100+CG100++CU100</f>
        <v>583</v>
      </c>
      <c r="AS100" s="39">
        <f>+BF100+BT100+CH100++CV100</f>
        <v>300</v>
      </c>
      <c r="AT100" s="39">
        <f t="shared" si="377"/>
        <v>-1067</v>
      </c>
      <c r="AU100" s="17">
        <f t="shared" si="378"/>
        <v>0.35333333333333333</v>
      </c>
      <c r="AV100" s="39">
        <f t="shared" si="379"/>
        <v>-650</v>
      </c>
      <c r="AW100" s="17">
        <f t="shared" si="380"/>
        <v>0.31578947368421051</v>
      </c>
      <c r="AX100" s="45">
        <v>2500</v>
      </c>
      <c r="AY100" s="39">
        <v>250</v>
      </c>
      <c r="AZ100" s="39">
        <v>250</v>
      </c>
      <c r="BA100" s="39">
        <f>+AZ100*0.25</f>
        <v>62.5</v>
      </c>
      <c r="BB100" s="39">
        <f>+AZ100*0.5</f>
        <v>125</v>
      </c>
      <c r="BC100" s="39">
        <f>+AZ100*0.75</f>
        <v>187.5</v>
      </c>
      <c r="BD100" s="39">
        <f>+AZ100</f>
        <v>250</v>
      </c>
      <c r="BE100" s="39">
        <v>400</v>
      </c>
      <c r="BF100" s="39">
        <v>300</v>
      </c>
      <c r="BG100" s="48">
        <f t="shared" si="265"/>
        <v>150</v>
      </c>
      <c r="BH100" s="49">
        <f t="shared" si="273"/>
        <v>1.6</v>
      </c>
      <c r="BI100" s="48"/>
      <c r="BJ100" s="49">
        <f t="shared" si="274"/>
        <v>1.2</v>
      </c>
      <c r="BK100" s="49">
        <f t="shared" si="275"/>
        <v>1.2</v>
      </c>
      <c r="BL100" s="45">
        <v>7100</v>
      </c>
      <c r="BM100" s="39">
        <v>1400</v>
      </c>
      <c r="BN100" s="39">
        <v>700</v>
      </c>
      <c r="BO100" s="39">
        <f>+BN100*0.25</f>
        <v>175</v>
      </c>
      <c r="BP100" s="39">
        <f>+BN100*0.5</f>
        <v>350</v>
      </c>
      <c r="BQ100" s="39">
        <f>+BN100*0.75</f>
        <v>525</v>
      </c>
      <c r="BR100" s="39">
        <f>+BN100</f>
        <v>700</v>
      </c>
      <c r="BS100" s="39">
        <v>183</v>
      </c>
      <c r="BT100" s="39">
        <v>0</v>
      </c>
      <c r="BU100" s="48">
        <f t="shared" si="266"/>
        <v>-1217</v>
      </c>
      <c r="BV100" s="49">
        <f t="shared" si="276"/>
        <v>0.13071428571428573</v>
      </c>
      <c r="BW100" s="48">
        <f t="shared" si="319"/>
        <v>-700</v>
      </c>
      <c r="BX100" s="49">
        <f t="shared" si="277"/>
        <v>0</v>
      </c>
      <c r="BY100" s="49">
        <f t="shared" si="278"/>
        <v>0</v>
      </c>
      <c r="BZ100" s="45"/>
      <c r="CA100" s="39"/>
      <c r="CB100" s="39"/>
      <c r="CC100" s="39">
        <f>+CB100*0.25</f>
        <v>0</v>
      </c>
      <c r="CD100" s="39">
        <f>+CB100*0.5</f>
        <v>0</v>
      </c>
      <c r="CE100" s="39">
        <f>+CB100*0.75</f>
        <v>0</v>
      </c>
      <c r="CF100" s="39">
        <f>+CB100</f>
        <v>0</v>
      </c>
      <c r="CG100" s="39">
        <v>0</v>
      </c>
      <c r="CH100" s="39">
        <v>0</v>
      </c>
      <c r="CI100" s="51">
        <f t="shared" si="279"/>
        <v>0</v>
      </c>
      <c r="CJ100" s="49">
        <f t="shared" si="280"/>
        <v>0</v>
      </c>
      <c r="CK100" s="48">
        <f t="shared" si="281"/>
        <v>0</v>
      </c>
      <c r="CL100" s="49">
        <f t="shared" si="282"/>
        <v>0</v>
      </c>
      <c r="CM100" s="49">
        <f t="shared" si="283"/>
        <v>0</v>
      </c>
      <c r="CN100" s="45"/>
      <c r="CO100" s="39"/>
      <c r="CP100" s="39"/>
      <c r="CQ100" s="39"/>
      <c r="CR100" s="39"/>
      <c r="CS100" s="39"/>
      <c r="CT100" s="39"/>
      <c r="CU100" s="39"/>
      <c r="CV100" s="39"/>
      <c r="CW100" s="31">
        <f t="shared" si="385"/>
        <v>0</v>
      </c>
      <c r="CX100" s="17">
        <f t="shared" si="284"/>
        <v>0</v>
      </c>
      <c r="CY100" s="31"/>
      <c r="CZ100" s="49">
        <f t="shared" si="285"/>
        <v>0</v>
      </c>
      <c r="DA100" s="49">
        <f t="shared" si="286"/>
        <v>0</v>
      </c>
    </row>
    <row r="101" spans="1:105" ht="24.95" customHeight="1">
      <c r="B101" s="7"/>
      <c r="C101" s="6"/>
      <c r="D101" s="7" t="s">
        <v>31</v>
      </c>
      <c r="E101" s="13">
        <f>SUM(E102:E103)</f>
        <v>11000</v>
      </c>
      <c r="F101" s="13">
        <f>SUM(F102:F103)</f>
        <v>2400</v>
      </c>
      <c r="G101" s="13">
        <f>SUM(G102:G103)</f>
        <v>1000</v>
      </c>
      <c r="H101" s="13">
        <f t="shared" ref="H101:M101" si="386">SUM(H102:H103)</f>
        <v>250</v>
      </c>
      <c r="I101" s="13">
        <f t="shared" si="386"/>
        <v>500</v>
      </c>
      <c r="J101" s="13">
        <f t="shared" si="386"/>
        <v>750</v>
      </c>
      <c r="K101" s="13">
        <f t="shared" si="386"/>
        <v>1000</v>
      </c>
      <c r="L101" s="13">
        <f t="shared" si="386"/>
        <v>1264.6388999999999</v>
      </c>
      <c r="M101" s="13">
        <f t="shared" si="386"/>
        <v>435.31139999999999</v>
      </c>
      <c r="N101" s="19">
        <f t="shared" si="263"/>
        <v>-1135.3611000000001</v>
      </c>
      <c r="O101" s="20">
        <f t="shared" si="267"/>
        <v>0.52693287499999997</v>
      </c>
      <c r="P101" s="19">
        <f>+M101-G101</f>
        <v>-564.68859999999995</v>
      </c>
      <c r="Q101" s="20">
        <f t="shared" si="268"/>
        <v>0.43531140000000001</v>
      </c>
      <c r="R101" s="20">
        <f t="shared" si="269"/>
        <v>0.43531140000000001</v>
      </c>
      <c r="S101" s="13">
        <f>SUM(S102:S103)</f>
        <v>11000</v>
      </c>
      <c r="T101" s="13">
        <f>SUM(T102:T103)</f>
        <v>2400</v>
      </c>
      <c r="U101" s="13">
        <f>SUM(U102:U103)</f>
        <v>1000</v>
      </c>
      <c r="V101" s="13">
        <f t="shared" ref="V101:AA101" si="387">SUM(V102:V103)</f>
        <v>250</v>
      </c>
      <c r="W101" s="13">
        <f t="shared" si="387"/>
        <v>500</v>
      </c>
      <c r="X101" s="13">
        <f t="shared" si="387"/>
        <v>750</v>
      </c>
      <c r="Y101" s="13">
        <f t="shared" si="387"/>
        <v>1000</v>
      </c>
      <c r="Z101" s="13">
        <f t="shared" si="387"/>
        <v>1264.6388999999999</v>
      </c>
      <c r="AA101" s="13">
        <f t="shared" si="387"/>
        <v>435.31139999999999</v>
      </c>
      <c r="AB101" s="19">
        <f t="shared" si="264"/>
        <v>-1135.3611000000001</v>
      </c>
      <c r="AC101" s="20">
        <f t="shared" si="270"/>
        <v>0.52693287499999997</v>
      </c>
      <c r="AD101" s="19">
        <f>+AA101-U101</f>
        <v>-564.68859999999995</v>
      </c>
      <c r="AE101" s="20">
        <f t="shared" si="271"/>
        <v>0.43531140000000001</v>
      </c>
      <c r="AF101" s="20">
        <f t="shared" si="272"/>
        <v>0.43531140000000001</v>
      </c>
      <c r="AG101" s="13">
        <f>SUM(AG102:AG103)</f>
        <v>11000</v>
      </c>
      <c r="AH101" s="13">
        <f>SUM(AH102:AH103)</f>
        <v>2400</v>
      </c>
      <c r="AI101" s="13">
        <f>SUM(AI102:AI103)</f>
        <v>1000</v>
      </c>
      <c r="AJ101" s="13">
        <f t="shared" ref="AJ101:AK101" si="388">SUM(AJ102:AJ103)</f>
        <v>1264.6388999999999</v>
      </c>
      <c r="AK101" s="13">
        <f t="shared" si="388"/>
        <v>435.31139999999999</v>
      </c>
      <c r="AL101" s="19">
        <f>+AJ101-AH101</f>
        <v>-1135.3611000000001</v>
      </c>
      <c r="AM101" s="20">
        <f>+IF(AH101&lt;=0,0,AJ101/AH101)</f>
        <v>0.52693287499999997</v>
      </c>
      <c r="AN101" s="19">
        <f>+AK101-AI101</f>
        <v>-564.68859999999995</v>
      </c>
      <c r="AO101" s="20">
        <f>+IF(AI101&lt;=0,0,AK101/AI101)</f>
        <v>0.43531140000000001</v>
      </c>
      <c r="AP101" s="13">
        <f>SUM(AP102:AP103)</f>
        <v>13616.666666666668</v>
      </c>
      <c r="AQ101" s="13">
        <f>SUM(AQ102:AQ103)</f>
        <v>5083.3333333333339</v>
      </c>
      <c r="AR101" s="13">
        <f t="shared" ref="AR101:AS101" si="389">SUM(AR102:AR103)</f>
        <v>6522.60995</v>
      </c>
      <c r="AS101" s="13">
        <f t="shared" si="389"/>
        <v>4563.9648999999999</v>
      </c>
      <c r="AT101" s="19">
        <f t="shared" si="377"/>
        <v>-7094.0567166666679</v>
      </c>
      <c r="AU101" s="20">
        <f t="shared" si="378"/>
        <v>0.47901664259485921</v>
      </c>
      <c r="AV101" s="19">
        <f t="shared" si="379"/>
        <v>-519.368433333334</v>
      </c>
      <c r="AW101" s="20">
        <f t="shared" si="380"/>
        <v>0.89782916065573759</v>
      </c>
      <c r="AX101" s="13">
        <f>SUM(AX102:AX103)</f>
        <v>11000</v>
      </c>
      <c r="AY101" s="13">
        <f>SUM(AY102:AY103)</f>
        <v>2400</v>
      </c>
      <c r="AZ101" s="13">
        <f>SUM(AZ102:AZ103)</f>
        <v>1000</v>
      </c>
      <c r="BA101" s="13">
        <f t="shared" ref="BA101:BF101" si="390">SUM(BA102:BA103)</f>
        <v>250</v>
      </c>
      <c r="BB101" s="13">
        <f t="shared" si="390"/>
        <v>500</v>
      </c>
      <c r="BC101" s="13">
        <f t="shared" si="390"/>
        <v>750</v>
      </c>
      <c r="BD101" s="13">
        <f t="shared" si="390"/>
        <v>1000</v>
      </c>
      <c r="BE101" s="13">
        <f t="shared" si="390"/>
        <v>1264.6388999999999</v>
      </c>
      <c r="BF101" s="13">
        <f t="shared" si="390"/>
        <v>435.31139999999999</v>
      </c>
      <c r="BG101" s="19">
        <f t="shared" si="265"/>
        <v>-1135.3611000000001</v>
      </c>
      <c r="BH101" s="20">
        <f t="shared" si="273"/>
        <v>0.52693287499999997</v>
      </c>
      <c r="BI101" s="19">
        <f>+BF101-AZ101</f>
        <v>-564.68859999999995</v>
      </c>
      <c r="BJ101" s="20">
        <f t="shared" si="274"/>
        <v>0.43531140000000001</v>
      </c>
      <c r="BK101" s="20">
        <f t="shared" si="275"/>
        <v>0.43531140000000001</v>
      </c>
      <c r="BL101" s="13">
        <f>SUM(BL102:BL103)</f>
        <v>9000</v>
      </c>
      <c r="BM101" s="13">
        <f>SUM(BM102:BM103)</f>
        <v>1550</v>
      </c>
      <c r="BN101" s="13">
        <f>SUM(BN102:BN103)</f>
        <v>750</v>
      </c>
      <c r="BO101" s="13">
        <f t="shared" ref="BO101:BR101" si="391">SUM(BO102:BO103)</f>
        <v>187.5</v>
      </c>
      <c r="BP101" s="13">
        <f t="shared" si="391"/>
        <v>375</v>
      </c>
      <c r="BQ101" s="13">
        <f t="shared" si="391"/>
        <v>562.5</v>
      </c>
      <c r="BR101" s="13">
        <f t="shared" si="391"/>
        <v>750</v>
      </c>
      <c r="BS101" s="13">
        <f>SUM(BS102:BS103)</f>
        <v>915</v>
      </c>
      <c r="BT101" s="13">
        <f>SUM(BT102:BT103)</f>
        <v>455</v>
      </c>
      <c r="BU101" s="19">
        <f t="shared" si="266"/>
        <v>-635</v>
      </c>
      <c r="BV101" s="20">
        <f t="shared" si="276"/>
        <v>0.5903225806451613</v>
      </c>
      <c r="BW101" s="19">
        <f t="shared" si="319"/>
        <v>-295</v>
      </c>
      <c r="BX101" s="20">
        <f t="shared" si="277"/>
        <v>0.60666666666666669</v>
      </c>
      <c r="BY101" s="20">
        <f t="shared" si="278"/>
        <v>0.60666666666666669</v>
      </c>
      <c r="BZ101" s="13">
        <f>SUM(BZ102:BZ103)</f>
        <v>40000</v>
      </c>
      <c r="CA101" s="13">
        <f>SUM(CA102:CA103)</f>
        <v>9666.6666666666679</v>
      </c>
      <c r="CB101" s="13">
        <f>SUM(CB102:CB103)</f>
        <v>3333.3333333333335</v>
      </c>
      <c r="CC101" s="13">
        <f t="shared" ref="CC101:CF101" si="392">SUM(CC102:CC103)</f>
        <v>833.33333333333337</v>
      </c>
      <c r="CD101" s="13">
        <f t="shared" si="392"/>
        <v>1666.6666666666667</v>
      </c>
      <c r="CE101" s="13">
        <f t="shared" si="392"/>
        <v>2500</v>
      </c>
      <c r="CF101" s="13">
        <f t="shared" si="392"/>
        <v>3333.3333333333335</v>
      </c>
      <c r="CG101" s="13">
        <f>SUM(CG102:CG103)</f>
        <v>4342.9710500000001</v>
      </c>
      <c r="CH101" s="13">
        <f>SUM(CH102:CH103)</f>
        <v>3673.6534999999999</v>
      </c>
      <c r="CI101" s="13">
        <f t="shared" si="279"/>
        <v>-5323.6956166666678</v>
      </c>
      <c r="CJ101" s="20">
        <f t="shared" si="280"/>
        <v>0.44927286724137927</v>
      </c>
      <c r="CK101" s="19">
        <f t="shared" si="281"/>
        <v>340.32016666666641</v>
      </c>
      <c r="CL101" s="20">
        <f t="shared" si="282"/>
        <v>1.1020960499999999</v>
      </c>
      <c r="CM101" s="20">
        <f t="shared" si="283"/>
        <v>1.1020960499999999</v>
      </c>
      <c r="CN101" s="46"/>
      <c r="CO101" s="13">
        <f>SUM(CO102:CO103)</f>
        <v>0</v>
      </c>
      <c r="CP101" s="13">
        <f>SUM(CP102:CP103)</f>
        <v>0</v>
      </c>
      <c r="CQ101" s="13">
        <f t="shared" ref="CQ101:CT101" si="393">SUM(CQ102:CQ103)</f>
        <v>0</v>
      </c>
      <c r="CR101" s="13">
        <f t="shared" si="393"/>
        <v>0</v>
      </c>
      <c r="CS101" s="13">
        <f t="shared" si="393"/>
        <v>0</v>
      </c>
      <c r="CT101" s="13">
        <f t="shared" si="393"/>
        <v>0</v>
      </c>
      <c r="CU101" s="13"/>
      <c r="CV101" s="13"/>
      <c r="CW101" s="30">
        <f t="shared" si="385"/>
        <v>0</v>
      </c>
      <c r="CX101" s="20">
        <f t="shared" si="284"/>
        <v>0</v>
      </c>
      <c r="CY101" s="30"/>
      <c r="CZ101" s="20">
        <f t="shared" si="285"/>
        <v>0</v>
      </c>
      <c r="DA101" s="20">
        <f t="shared" si="286"/>
        <v>0</v>
      </c>
    </row>
    <row r="102" spans="1:105" ht="24.95" customHeight="1">
      <c r="A102" s="4" t="s">
        <v>16</v>
      </c>
      <c r="B102" s="9" t="s">
        <v>47</v>
      </c>
      <c r="C102" s="5">
        <f t="shared" si="72"/>
        <v>1</v>
      </c>
      <c r="D102" s="8" t="s">
        <v>129</v>
      </c>
      <c r="E102" s="45">
        <v>5500</v>
      </c>
      <c r="F102" s="39">
        <v>1200</v>
      </c>
      <c r="G102" s="39">
        <v>500</v>
      </c>
      <c r="H102" s="39">
        <f>+G102*0.25</f>
        <v>125</v>
      </c>
      <c r="I102" s="39">
        <f>+G102*0.5</f>
        <v>250</v>
      </c>
      <c r="J102" s="39">
        <f>+G102*0.75</f>
        <v>375</v>
      </c>
      <c r="K102" s="39">
        <f>+G102</f>
        <v>500</v>
      </c>
      <c r="L102" s="39">
        <v>957.05</v>
      </c>
      <c r="M102" s="39">
        <v>300</v>
      </c>
      <c r="N102" s="48">
        <f t="shared" si="263"/>
        <v>-242.95000000000005</v>
      </c>
      <c r="O102" s="49">
        <f t="shared" si="267"/>
        <v>0.79754166666666659</v>
      </c>
      <c r="P102" s="48">
        <f>+M102-G102</f>
        <v>-200</v>
      </c>
      <c r="Q102" s="49">
        <f t="shared" si="268"/>
        <v>0.6</v>
      </c>
      <c r="R102" s="49">
        <f t="shared" si="269"/>
        <v>0.6</v>
      </c>
      <c r="S102" s="45">
        <v>5500</v>
      </c>
      <c r="T102" s="39">
        <v>1200</v>
      </c>
      <c r="U102" s="39">
        <v>500</v>
      </c>
      <c r="V102" s="39">
        <f>+U102*0.25</f>
        <v>125</v>
      </c>
      <c r="W102" s="39">
        <f>+U102*0.5</f>
        <v>250</v>
      </c>
      <c r="X102" s="39">
        <f>+U102*0.75</f>
        <v>375</v>
      </c>
      <c r="Y102" s="39">
        <f>+U102</f>
        <v>500</v>
      </c>
      <c r="Z102" s="39">
        <v>957.05</v>
      </c>
      <c r="AA102" s="39">
        <v>300</v>
      </c>
      <c r="AB102" s="48">
        <f t="shared" si="264"/>
        <v>-242.95000000000005</v>
      </c>
      <c r="AC102" s="49">
        <f t="shared" si="270"/>
        <v>0.79754166666666659</v>
      </c>
      <c r="AD102" s="48">
        <f>+AA102-U102</f>
        <v>-200</v>
      </c>
      <c r="AE102" s="49">
        <f t="shared" si="271"/>
        <v>0.6</v>
      </c>
      <c r="AF102" s="49">
        <f t="shared" si="272"/>
        <v>0.6</v>
      </c>
      <c r="AG102" s="45">
        <v>5500</v>
      </c>
      <c r="AH102" s="39">
        <v>1200</v>
      </c>
      <c r="AI102" s="39">
        <v>500</v>
      </c>
      <c r="AJ102" s="39">
        <v>957.05</v>
      </c>
      <c r="AK102" s="39">
        <v>300</v>
      </c>
      <c r="AL102" s="48">
        <f>+AJ102-AH102</f>
        <v>-242.95000000000005</v>
      </c>
      <c r="AM102" s="49">
        <f>+IF(AH102&lt;=0,0,AJ102/AH102)</f>
        <v>0.79754166666666659</v>
      </c>
      <c r="AN102" s="48">
        <f>+AK102-AI102</f>
        <v>-200</v>
      </c>
      <c r="AO102" s="49">
        <f>+IF(AI102&lt;=0,0,AK102/AI102)</f>
        <v>0.6</v>
      </c>
      <c r="AP102" s="39">
        <f>+AY102+BM102+CA102+CO102</f>
        <v>6675</v>
      </c>
      <c r="AQ102" s="39">
        <f>+AZ102+BN102+CB102+CP102</f>
        <v>2475</v>
      </c>
      <c r="AR102" s="39">
        <f>+BE102+BS102+CG102++CU102</f>
        <v>2966.0434999999998</v>
      </c>
      <c r="AS102" s="39">
        <f>+BF102+BT102+CH102++CV102</f>
        <v>2008.9935</v>
      </c>
      <c r="AT102" s="39">
        <f t="shared" ref="AT102:AT103" si="394">+AR102-AP102</f>
        <v>-3708.9565000000002</v>
      </c>
      <c r="AU102" s="17">
        <f t="shared" si="378"/>
        <v>0.44435108614232205</v>
      </c>
      <c r="AV102" s="39">
        <f t="shared" si="379"/>
        <v>-466.00649999999996</v>
      </c>
      <c r="AW102" s="17">
        <f t="shared" si="380"/>
        <v>0.81171454545454547</v>
      </c>
      <c r="AX102" s="45">
        <v>5500</v>
      </c>
      <c r="AY102" s="39">
        <v>1200</v>
      </c>
      <c r="AZ102" s="39">
        <v>500</v>
      </c>
      <c r="BA102" s="39">
        <f>+AZ102*0.25</f>
        <v>125</v>
      </c>
      <c r="BB102" s="39">
        <f>+AZ102*0.5</f>
        <v>250</v>
      </c>
      <c r="BC102" s="39">
        <f>+AZ102*0.75</f>
        <v>375</v>
      </c>
      <c r="BD102" s="39">
        <f>+AZ102</f>
        <v>500</v>
      </c>
      <c r="BE102" s="39">
        <v>957.05</v>
      </c>
      <c r="BF102" s="39">
        <v>300</v>
      </c>
      <c r="BG102" s="48">
        <f t="shared" si="265"/>
        <v>-242.95000000000005</v>
      </c>
      <c r="BH102" s="49">
        <f t="shared" si="273"/>
        <v>0.79754166666666659</v>
      </c>
      <c r="BI102" s="48">
        <f>+BF102-AZ102</f>
        <v>-200</v>
      </c>
      <c r="BJ102" s="49">
        <f t="shared" si="274"/>
        <v>0.6</v>
      </c>
      <c r="BK102" s="49">
        <f t="shared" si="275"/>
        <v>0.6</v>
      </c>
      <c r="BL102" s="45">
        <v>4500</v>
      </c>
      <c r="BM102" s="39">
        <v>775</v>
      </c>
      <c r="BN102" s="39">
        <v>375</v>
      </c>
      <c r="BO102" s="39">
        <f>+BN102*0.25</f>
        <v>93.75</v>
      </c>
      <c r="BP102" s="39">
        <f>+BN102*0.5</f>
        <v>187.5</v>
      </c>
      <c r="BQ102" s="39">
        <f>+BN102*0.75</f>
        <v>281.25</v>
      </c>
      <c r="BR102" s="39">
        <f>+BN102</f>
        <v>375</v>
      </c>
      <c r="BS102" s="39">
        <v>400</v>
      </c>
      <c r="BT102" s="39">
        <v>100</v>
      </c>
      <c r="BU102" s="48">
        <f t="shared" si="266"/>
        <v>-375</v>
      </c>
      <c r="BV102" s="49">
        <f t="shared" si="276"/>
        <v>0.5161290322580645</v>
      </c>
      <c r="BW102" s="48">
        <f t="shared" si="319"/>
        <v>-275</v>
      </c>
      <c r="BX102" s="49">
        <f t="shared" si="277"/>
        <v>0.26666666666666666</v>
      </c>
      <c r="BY102" s="49">
        <f t="shared" si="278"/>
        <v>0.26666666666666666</v>
      </c>
      <c r="BZ102" s="45">
        <v>20000</v>
      </c>
      <c r="CA102" s="39">
        <v>4700</v>
      </c>
      <c r="CB102" s="39">
        <v>1600</v>
      </c>
      <c r="CC102" s="39">
        <f>+CB102*0.25</f>
        <v>400</v>
      </c>
      <c r="CD102" s="39">
        <f t="shared" ref="CD102:CD104" si="395">+CB102*0.5</f>
        <v>800</v>
      </c>
      <c r="CE102" s="39">
        <f t="shared" ref="CE102:CE104" si="396">+CB102*0.75</f>
        <v>1200</v>
      </c>
      <c r="CF102" s="39">
        <f t="shared" ref="CF102:CF104" si="397">+CB102</f>
        <v>1600</v>
      </c>
      <c r="CG102" s="39">
        <v>1608.9935</v>
      </c>
      <c r="CH102" s="39">
        <v>1608.9935</v>
      </c>
      <c r="CI102" s="51">
        <f t="shared" si="279"/>
        <v>-3091.0065</v>
      </c>
      <c r="CJ102" s="49">
        <f t="shared" si="280"/>
        <v>0.34233904255319147</v>
      </c>
      <c r="CK102" s="48">
        <f t="shared" si="281"/>
        <v>8.99350000000004</v>
      </c>
      <c r="CL102" s="49">
        <f t="shared" si="282"/>
        <v>1.0056209375</v>
      </c>
      <c r="CM102" s="49">
        <f t="shared" si="283"/>
        <v>1.0056209375</v>
      </c>
      <c r="CN102" s="45"/>
      <c r="CO102" s="39"/>
      <c r="CP102" s="39"/>
      <c r="CQ102" s="39"/>
      <c r="CR102" s="39"/>
      <c r="CS102" s="39"/>
      <c r="CT102" s="39"/>
      <c r="CU102" s="39"/>
      <c r="CV102" s="39"/>
      <c r="CW102" s="31">
        <f t="shared" si="385"/>
        <v>0</v>
      </c>
      <c r="CX102" s="17">
        <f t="shared" si="284"/>
        <v>0</v>
      </c>
      <c r="CY102" s="31"/>
      <c r="CZ102" s="49">
        <f t="shared" si="285"/>
        <v>0</v>
      </c>
      <c r="DA102" s="49">
        <f t="shared" si="286"/>
        <v>0</v>
      </c>
    </row>
    <row r="103" spans="1:105" ht="24.95" customHeight="1">
      <c r="A103" s="4" t="s">
        <v>12</v>
      </c>
      <c r="B103" s="9" t="s">
        <v>48</v>
      </c>
      <c r="C103" s="5">
        <f>+C102+1</f>
        <v>2</v>
      </c>
      <c r="D103" s="8" t="s">
        <v>130</v>
      </c>
      <c r="E103" s="45">
        <v>5500</v>
      </c>
      <c r="F103" s="39">
        <v>1200</v>
      </c>
      <c r="G103" s="39">
        <v>500</v>
      </c>
      <c r="H103" s="39">
        <f>+G103*0.25</f>
        <v>125</v>
      </c>
      <c r="I103" s="39">
        <f>+G103*0.5</f>
        <v>250</v>
      </c>
      <c r="J103" s="39">
        <f>+G103*0.75</f>
        <v>375</v>
      </c>
      <c r="K103" s="39">
        <f>+G103</f>
        <v>500</v>
      </c>
      <c r="L103" s="39">
        <v>307.58890000000002</v>
      </c>
      <c r="M103" s="39">
        <v>135.31139999999999</v>
      </c>
      <c r="N103" s="48">
        <f t="shared" si="263"/>
        <v>-892.41110000000003</v>
      </c>
      <c r="O103" s="49">
        <f t="shared" si="267"/>
        <v>0.25632408333333334</v>
      </c>
      <c r="P103" s="48">
        <f>+M103-G103</f>
        <v>-364.68860000000001</v>
      </c>
      <c r="Q103" s="49">
        <f t="shared" si="268"/>
        <v>0.2706228</v>
      </c>
      <c r="R103" s="49">
        <f t="shared" si="269"/>
        <v>0.2706228</v>
      </c>
      <c r="S103" s="45">
        <v>5500</v>
      </c>
      <c r="T103" s="39">
        <v>1200</v>
      </c>
      <c r="U103" s="39">
        <v>500</v>
      </c>
      <c r="V103" s="39">
        <f>+U103*0.25</f>
        <v>125</v>
      </c>
      <c r="W103" s="39">
        <f>+U103*0.5</f>
        <v>250</v>
      </c>
      <c r="X103" s="39">
        <f>+U103*0.75</f>
        <v>375</v>
      </c>
      <c r="Y103" s="39">
        <f>+U103</f>
        <v>500</v>
      </c>
      <c r="Z103" s="39">
        <v>307.58890000000002</v>
      </c>
      <c r="AA103" s="39">
        <v>135.31139999999999</v>
      </c>
      <c r="AB103" s="48">
        <f t="shared" si="264"/>
        <v>-892.41110000000003</v>
      </c>
      <c r="AC103" s="49">
        <f t="shared" si="270"/>
        <v>0.25632408333333334</v>
      </c>
      <c r="AD103" s="48">
        <f>+AA103-U103</f>
        <v>-364.68860000000001</v>
      </c>
      <c r="AE103" s="49">
        <f t="shared" si="271"/>
        <v>0.2706228</v>
      </c>
      <c r="AF103" s="49">
        <f t="shared" si="272"/>
        <v>0.2706228</v>
      </c>
      <c r="AG103" s="45">
        <v>5500</v>
      </c>
      <c r="AH103" s="39">
        <v>1200</v>
      </c>
      <c r="AI103" s="39">
        <v>500</v>
      </c>
      <c r="AJ103" s="39">
        <v>307.58890000000002</v>
      </c>
      <c r="AK103" s="39">
        <v>135.31139999999999</v>
      </c>
      <c r="AL103" s="48">
        <f>+AJ103-AH103</f>
        <v>-892.41110000000003</v>
      </c>
      <c r="AM103" s="49">
        <f>+IF(AH103&lt;=0,0,AJ103/AH103)</f>
        <v>0.25632408333333334</v>
      </c>
      <c r="AN103" s="48">
        <f>+AK103-AI103</f>
        <v>-364.68860000000001</v>
      </c>
      <c r="AO103" s="49">
        <f>+IF(AI103&lt;=0,0,AK103/AI103)</f>
        <v>0.2706228</v>
      </c>
      <c r="AP103" s="39">
        <f>+AY103+BM103+CA103+CO103</f>
        <v>6941.666666666667</v>
      </c>
      <c r="AQ103" s="39">
        <f>+AZ103+BN103+CB103+CP103</f>
        <v>2608.3333333333335</v>
      </c>
      <c r="AR103" s="39">
        <f>+BE103+BS103+CG103++CU103</f>
        <v>3556.5664500000003</v>
      </c>
      <c r="AS103" s="39">
        <f>+BF103+BT103+CH103++CV103</f>
        <v>2554.9713999999999</v>
      </c>
      <c r="AT103" s="39">
        <f t="shared" si="394"/>
        <v>-3385.1002166666667</v>
      </c>
      <c r="AU103" s="17">
        <f t="shared" si="378"/>
        <v>0.51235050900360146</v>
      </c>
      <c r="AV103" s="39">
        <f t="shared" si="379"/>
        <v>-53.361933333333582</v>
      </c>
      <c r="AW103" s="17">
        <f t="shared" si="380"/>
        <v>0.97954175079872197</v>
      </c>
      <c r="AX103" s="45">
        <v>5500</v>
      </c>
      <c r="AY103" s="39">
        <v>1200</v>
      </c>
      <c r="AZ103" s="39">
        <v>500</v>
      </c>
      <c r="BA103" s="39">
        <f>+AZ103*0.25</f>
        <v>125</v>
      </c>
      <c r="BB103" s="39">
        <f>+AZ103*0.5</f>
        <v>250</v>
      </c>
      <c r="BC103" s="39">
        <f>+AZ103*0.75</f>
        <v>375</v>
      </c>
      <c r="BD103" s="39">
        <f>+AZ103</f>
        <v>500</v>
      </c>
      <c r="BE103" s="39">
        <v>307.58890000000002</v>
      </c>
      <c r="BF103" s="39">
        <v>135.31139999999999</v>
      </c>
      <c r="BG103" s="48">
        <f t="shared" si="265"/>
        <v>-892.41110000000003</v>
      </c>
      <c r="BH103" s="49">
        <f t="shared" si="273"/>
        <v>0.25632408333333334</v>
      </c>
      <c r="BI103" s="48">
        <f>+BF103-AZ103</f>
        <v>-364.68860000000001</v>
      </c>
      <c r="BJ103" s="49">
        <f t="shared" si="274"/>
        <v>0.2706228</v>
      </c>
      <c r="BK103" s="49">
        <f t="shared" si="275"/>
        <v>0.2706228</v>
      </c>
      <c r="BL103" s="45">
        <v>4500</v>
      </c>
      <c r="BM103" s="39">
        <v>775</v>
      </c>
      <c r="BN103" s="39">
        <v>375</v>
      </c>
      <c r="BO103" s="39">
        <f>+BN103*0.25</f>
        <v>93.75</v>
      </c>
      <c r="BP103" s="39">
        <f>+BN103*0.5</f>
        <v>187.5</v>
      </c>
      <c r="BQ103" s="39">
        <f>+BN103*0.75</f>
        <v>281.25</v>
      </c>
      <c r="BR103" s="39">
        <f>+BN103</f>
        <v>375</v>
      </c>
      <c r="BS103" s="39">
        <v>515</v>
      </c>
      <c r="BT103" s="39">
        <v>355</v>
      </c>
      <c r="BU103" s="48">
        <f t="shared" si="266"/>
        <v>-260</v>
      </c>
      <c r="BV103" s="49">
        <f t="shared" si="276"/>
        <v>0.6645161290322581</v>
      </c>
      <c r="BW103" s="48">
        <f t="shared" si="319"/>
        <v>-20</v>
      </c>
      <c r="BX103" s="49">
        <f t="shared" si="277"/>
        <v>0.94666666666666666</v>
      </c>
      <c r="BY103" s="49">
        <f t="shared" si="278"/>
        <v>0.94666666666666666</v>
      </c>
      <c r="BZ103" s="45">
        <v>20000</v>
      </c>
      <c r="CA103" s="39">
        <v>4966.666666666667</v>
      </c>
      <c r="CB103" s="39">
        <v>1733.3333333333335</v>
      </c>
      <c r="CC103" s="39">
        <f>+CB103*0.25</f>
        <v>433.33333333333337</v>
      </c>
      <c r="CD103" s="39">
        <f t="shared" si="395"/>
        <v>866.66666666666674</v>
      </c>
      <c r="CE103" s="39">
        <f t="shared" si="396"/>
        <v>1300</v>
      </c>
      <c r="CF103" s="39">
        <f t="shared" si="397"/>
        <v>1733.3333333333335</v>
      </c>
      <c r="CG103" s="39">
        <v>2733.9775500000001</v>
      </c>
      <c r="CH103" s="39">
        <v>2064.66</v>
      </c>
      <c r="CI103" s="51">
        <f t="shared" si="279"/>
        <v>-2232.6891166666669</v>
      </c>
      <c r="CJ103" s="49">
        <f t="shared" si="280"/>
        <v>0.55046527852348992</v>
      </c>
      <c r="CK103" s="53">
        <f t="shared" si="281"/>
        <v>331.32666666666637</v>
      </c>
      <c r="CL103" s="49">
        <f t="shared" si="282"/>
        <v>1.1911499999999997</v>
      </c>
      <c r="CM103" s="49">
        <f t="shared" si="283"/>
        <v>1.1911499999999997</v>
      </c>
      <c r="CN103" s="45"/>
      <c r="CO103" s="39"/>
      <c r="CP103" s="39"/>
      <c r="CQ103" s="39"/>
      <c r="CR103" s="39"/>
      <c r="CS103" s="39"/>
      <c r="CT103" s="39"/>
      <c r="CU103" s="39"/>
      <c r="CV103" s="39"/>
      <c r="CW103" s="31">
        <f t="shared" si="385"/>
        <v>0</v>
      </c>
      <c r="CX103" s="17">
        <f t="shared" si="284"/>
        <v>0</v>
      </c>
      <c r="CY103" s="31"/>
      <c r="CZ103" s="49">
        <f t="shared" si="285"/>
        <v>0</v>
      </c>
      <c r="DA103" s="49">
        <f t="shared" si="286"/>
        <v>0</v>
      </c>
    </row>
    <row r="104" spans="1:105" ht="24.95" customHeight="1">
      <c r="B104" s="9"/>
      <c r="C104" s="5"/>
      <c r="D104" s="8" t="s">
        <v>147</v>
      </c>
      <c r="E104" s="45">
        <v>3000</v>
      </c>
      <c r="F104" s="39">
        <v>750</v>
      </c>
      <c r="G104" s="39">
        <v>250</v>
      </c>
      <c r="H104" s="39">
        <f>+G104*0.25</f>
        <v>62.5</v>
      </c>
      <c r="I104" s="39">
        <f>+G104*0.5</f>
        <v>125</v>
      </c>
      <c r="J104" s="39">
        <f>+G104*0.75</f>
        <v>187.5</v>
      </c>
      <c r="K104" s="39">
        <f>+G104</f>
        <v>250</v>
      </c>
      <c r="L104" s="39"/>
      <c r="M104" s="39"/>
      <c r="N104" s="39"/>
      <c r="O104" s="17"/>
      <c r="P104" s="39"/>
      <c r="Q104" s="17"/>
      <c r="R104" s="17"/>
      <c r="S104" s="45">
        <v>3000</v>
      </c>
      <c r="T104" s="39">
        <v>750</v>
      </c>
      <c r="U104" s="39">
        <v>250</v>
      </c>
      <c r="V104" s="39">
        <f>+U104*0.25</f>
        <v>62.5</v>
      </c>
      <c r="W104" s="39">
        <f>+U104*0.5</f>
        <v>125</v>
      </c>
      <c r="X104" s="39">
        <f>+U104*0.75</f>
        <v>187.5</v>
      </c>
      <c r="Y104" s="39">
        <f>+U104</f>
        <v>250</v>
      </c>
      <c r="Z104" s="39"/>
      <c r="AA104" s="39"/>
      <c r="AB104" s="39"/>
      <c r="AC104" s="17"/>
      <c r="AD104" s="39"/>
      <c r="AE104" s="17"/>
      <c r="AF104" s="17"/>
      <c r="AG104" s="45">
        <v>3000</v>
      </c>
      <c r="AH104" s="39">
        <v>750</v>
      </c>
      <c r="AI104" s="39">
        <v>250</v>
      </c>
      <c r="AJ104" s="39"/>
      <c r="AK104" s="39"/>
      <c r="AL104" s="39"/>
      <c r="AM104" s="17"/>
      <c r="AN104" s="39"/>
      <c r="AO104" s="17"/>
      <c r="AP104" s="16"/>
      <c r="AQ104" s="16"/>
      <c r="AR104" s="16"/>
      <c r="AS104" s="16"/>
      <c r="AT104" s="16"/>
      <c r="AU104" s="17"/>
      <c r="AV104" s="16"/>
      <c r="AW104" s="17"/>
      <c r="AX104" s="45">
        <v>3000</v>
      </c>
      <c r="AY104" s="16">
        <v>750</v>
      </c>
      <c r="AZ104" s="16">
        <v>250</v>
      </c>
      <c r="BA104" s="39">
        <f>+AZ104*0.25</f>
        <v>62.5</v>
      </c>
      <c r="BB104" s="39">
        <f>+AZ104*0.5</f>
        <v>125</v>
      </c>
      <c r="BC104" s="39">
        <f>+AZ104*0.75</f>
        <v>187.5</v>
      </c>
      <c r="BD104" s="39">
        <f>+AZ104</f>
        <v>250</v>
      </c>
      <c r="BE104" s="39"/>
      <c r="BF104" s="39"/>
      <c r="BG104" s="16"/>
      <c r="BH104" s="17"/>
      <c r="BI104" s="16"/>
      <c r="BJ104" s="17"/>
      <c r="BK104" s="17"/>
      <c r="BL104" s="45">
        <v>6600</v>
      </c>
      <c r="BM104" s="16">
        <v>1650</v>
      </c>
      <c r="BN104" s="16">
        <v>550</v>
      </c>
      <c r="BO104" s="39">
        <f>+BN104*0.25</f>
        <v>137.5</v>
      </c>
      <c r="BP104" s="39">
        <f t="shared" ref="BP104:BP105" si="398">+BN104*0.5</f>
        <v>275</v>
      </c>
      <c r="BQ104" s="39">
        <f t="shared" ref="BQ104:BQ105" si="399">+BN104*0.75</f>
        <v>412.5</v>
      </c>
      <c r="BR104" s="39">
        <f t="shared" ref="BR104:BR105" si="400">+BN104</f>
        <v>550</v>
      </c>
      <c r="BS104" s="39"/>
      <c r="BT104" s="39"/>
      <c r="BU104" s="16"/>
      <c r="BV104" s="17"/>
      <c r="BW104" s="16"/>
      <c r="BX104" s="17"/>
      <c r="BY104" s="17"/>
      <c r="BZ104" s="45">
        <v>134000</v>
      </c>
      <c r="CA104" s="16">
        <v>18000</v>
      </c>
      <c r="CB104" s="16">
        <v>6000</v>
      </c>
      <c r="CC104" s="39">
        <f>+CB104*0.25</f>
        <v>1500</v>
      </c>
      <c r="CD104" s="39">
        <f t="shared" si="395"/>
        <v>3000</v>
      </c>
      <c r="CE104" s="39">
        <f t="shared" si="396"/>
        <v>4500</v>
      </c>
      <c r="CF104" s="39">
        <f t="shared" si="397"/>
        <v>6000</v>
      </c>
      <c r="CG104" s="39"/>
      <c r="CH104" s="39"/>
      <c r="CI104" s="24"/>
      <c r="CJ104" s="23"/>
      <c r="CK104" s="22"/>
      <c r="CL104" s="23"/>
      <c r="CM104" s="23"/>
      <c r="CN104" s="45"/>
      <c r="CO104" s="16"/>
      <c r="CP104" s="16"/>
      <c r="CQ104" s="39"/>
      <c r="CR104" s="39"/>
      <c r="CS104" s="39"/>
      <c r="CT104" s="39"/>
      <c r="CU104" s="16"/>
      <c r="CV104" s="16"/>
      <c r="CW104" s="31"/>
      <c r="CX104" s="32"/>
      <c r="CY104" s="31"/>
      <c r="CZ104" s="32"/>
      <c r="DA104" s="47"/>
    </row>
    <row r="105" spans="1:105" ht="24.95" customHeight="1">
      <c r="B105" s="9"/>
      <c r="C105" s="5"/>
      <c r="D105" s="8" t="s">
        <v>149</v>
      </c>
      <c r="E105" s="45">
        <v>650.00000000000011</v>
      </c>
      <c r="F105" s="39">
        <v>150</v>
      </c>
      <c r="G105" s="39">
        <v>50</v>
      </c>
      <c r="H105" s="39">
        <f>+G105*0.25</f>
        <v>12.5</v>
      </c>
      <c r="I105" s="39">
        <f>+G105*0.5</f>
        <v>25</v>
      </c>
      <c r="J105" s="39">
        <f>+G105*0.75</f>
        <v>37.5</v>
      </c>
      <c r="K105" s="39">
        <f t="shared" ref="K105" si="401">+G105</f>
        <v>50</v>
      </c>
      <c r="L105" s="39"/>
      <c r="M105" s="39"/>
      <c r="N105" s="39"/>
      <c r="O105" s="17"/>
      <c r="P105" s="39"/>
      <c r="Q105" s="17"/>
      <c r="R105" s="17"/>
      <c r="S105" s="45">
        <v>650.00000000000011</v>
      </c>
      <c r="T105" s="39">
        <v>150</v>
      </c>
      <c r="U105" s="39">
        <v>50</v>
      </c>
      <c r="V105" s="39">
        <f>+U105*0.25</f>
        <v>12.5</v>
      </c>
      <c r="W105" s="39">
        <f>+U105*0.5</f>
        <v>25</v>
      </c>
      <c r="X105" s="39">
        <f>+U105*0.75</f>
        <v>37.5</v>
      </c>
      <c r="Y105" s="39">
        <f t="shared" ref="Y105" si="402">+U105</f>
        <v>50</v>
      </c>
      <c r="Z105" s="39"/>
      <c r="AA105" s="39"/>
      <c r="AB105" s="39"/>
      <c r="AC105" s="17"/>
      <c r="AD105" s="39"/>
      <c r="AE105" s="17"/>
      <c r="AF105" s="17"/>
      <c r="AG105" s="45">
        <v>650.00000000000011</v>
      </c>
      <c r="AH105" s="39">
        <v>150</v>
      </c>
      <c r="AI105" s="39">
        <v>50</v>
      </c>
      <c r="AJ105" s="39"/>
      <c r="AK105" s="39"/>
      <c r="AL105" s="39"/>
      <c r="AM105" s="17"/>
      <c r="AN105" s="39"/>
      <c r="AO105" s="17"/>
      <c r="AP105" s="39"/>
      <c r="AQ105" s="39"/>
      <c r="AR105" s="39"/>
      <c r="AS105" s="39"/>
      <c r="AT105" s="39"/>
      <c r="AU105" s="17"/>
      <c r="AV105" s="39"/>
      <c r="AW105" s="17"/>
      <c r="AX105" s="45">
        <v>650.00000000000011</v>
      </c>
      <c r="AY105" s="39">
        <v>150</v>
      </c>
      <c r="AZ105" s="39">
        <v>50</v>
      </c>
      <c r="BA105" s="39">
        <f>+AZ105*0.25</f>
        <v>12.5</v>
      </c>
      <c r="BB105" s="39">
        <f>+AZ105*0.5</f>
        <v>25</v>
      </c>
      <c r="BC105" s="39">
        <f>+AZ105*0.75</f>
        <v>37.5</v>
      </c>
      <c r="BD105" s="39">
        <f t="shared" ref="BD105" si="403">+AZ105</f>
        <v>50</v>
      </c>
      <c r="BE105" s="39"/>
      <c r="BF105" s="39"/>
      <c r="BG105" s="39"/>
      <c r="BH105" s="17"/>
      <c r="BI105" s="39"/>
      <c r="BJ105" s="17"/>
      <c r="BK105" s="17"/>
      <c r="BL105" s="45"/>
      <c r="BM105" s="39"/>
      <c r="BN105" s="39"/>
      <c r="BO105" s="39">
        <f>+BN105*0.25</f>
        <v>0</v>
      </c>
      <c r="BP105" s="39">
        <f t="shared" si="398"/>
        <v>0</v>
      </c>
      <c r="BQ105" s="39">
        <f t="shared" si="399"/>
        <v>0</v>
      </c>
      <c r="BR105" s="39">
        <f t="shared" si="400"/>
        <v>0</v>
      </c>
      <c r="BS105" s="39"/>
      <c r="BT105" s="39"/>
      <c r="BU105" s="39"/>
      <c r="BV105" s="17"/>
      <c r="BW105" s="39"/>
      <c r="BX105" s="17"/>
      <c r="BY105" s="17"/>
      <c r="BZ105" s="45"/>
      <c r="CA105" s="39"/>
      <c r="CB105" s="39"/>
      <c r="CC105" s="39"/>
      <c r="CD105" s="39"/>
      <c r="CE105" s="39"/>
      <c r="CF105" s="39"/>
      <c r="CG105" s="39"/>
      <c r="CH105" s="39"/>
      <c r="CI105" s="24"/>
      <c r="CJ105" s="23"/>
      <c r="CK105" s="22"/>
      <c r="CL105" s="23"/>
      <c r="CM105" s="23"/>
      <c r="CN105" s="45"/>
      <c r="CO105" s="39"/>
      <c r="CP105" s="39"/>
      <c r="CQ105" s="39"/>
      <c r="CR105" s="39"/>
      <c r="CS105" s="39"/>
      <c r="CT105" s="39"/>
      <c r="CU105" s="39"/>
      <c r="CV105" s="39"/>
      <c r="CW105" s="31"/>
      <c r="CX105" s="32"/>
      <c r="CY105" s="31"/>
      <c r="CZ105" s="32"/>
      <c r="DA105" s="47"/>
    </row>
    <row r="107" spans="1:105">
      <c r="E107" s="4">
        <f>+E7+E105</f>
        <v>390799.99699999997</v>
      </c>
      <c r="F107" s="4">
        <f t="shared" ref="F107:G107" si="404">+F7+F105</f>
        <v>58601.753764176217</v>
      </c>
      <c r="G107" s="4">
        <f t="shared" si="404"/>
        <v>27099.571942631603</v>
      </c>
      <c r="S107" s="4">
        <f>+S7+S105</f>
        <v>390799.99699999997</v>
      </c>
      <c r="T107" s="4">
        <f t="shared" ref="T107:U107" si="405">+T7+T105</f>
        <v>58601.753764176217</v>
      </c>
      <c r="U107" s="4">
        <f t="shared" si="405"/>
        <v>27099.571942631603</v>
      </c>
      <c r="AG107" s="4">
        <f>+AG7+AG105</f>
        <v>390799.99699999997</v>
      </c>
      <c r="AH107" s="4">
        <f t="shared" ref="AH107:AI107" si="406">+AH7+AH105</f>
        <v>58601.753764176217</v>
      </c>
      <c r="AI107" s="4">
        <f t="shared" si="406"/>
        <v>27099.571942631603</v>
      </c>
      <c r="AX107" s="4">
        <f>+AX7+AX105</f>
        <v>390799.99699999997</v>
      </c>
      <c r="AY107" s="4">
        <f t="shared" ref="AY107:AZ107" si="407">+AY7+AY105</f>
        <v>58601.753764176217</v>
      </c>
      <c r="AZ107" s="4">
        <f t="shared" si="407"/>
        <v>27099.571942631603</v>
      </c>
    </row>
  </sheetData>
  <autoFilter ref="A8:DP8" xr:uid="{D61F50AE-5081-4B12-8FC8-DCCBAC8E2FD3}"/>
  <mergeCells count="70">
    <mergeCell ref="AG3:AO3"/>
    <mergeCell ref="AG4:AG5"/>
    <mergeCell ref="AJ4:AJ5"/>
    <mergeCell ref="AL4:AM5"/>
    <mergeCell ref="AN4:AO4"/>
    <mergeCell ref="AN5:AO5"/>
    <mergeCell ref="L4:L5"/>
    <mergeCell ref="N4:O5"/>
    <mergeCell ref="P4:Q4"/>
    <mergeCell ref="R4:R5"/>
    <mergeCell ref="P5:Q5"/>
    <mergeCell ref="B3:B5"/>
    <mergeCell ref="BG4:BH5"/>
    <mergeCell ref="CO4:CO5"/>
    <mergeCell ref="AR4:AR5"/>
    <mergeCell ref="AT4:AU5"/>
    <mergeCell ref="D3:D6"/>
    <mergeCell ref="C3:C6"/>
    <mergeCell ref="AV4:AW4"/>
    <mergeCell ref="AV5:AW5"/>
    <mergeCell ref="BM4:BM5"/>
    <mergeCell ref="BS4:BS5"/>
    <mergeCell ref="BU4:BV5"/>
    <mergeCell ref="CN3:DA3"/>
    <mergeCell ref="DA4:DA5"/>
    <mergeCell ref="AP3:AW3"/>
    <mergeCell ref="AP4:AP5"/>
    <mergeCell ref="C1:BY1"/>
    <mergeCell ref="BZ1:DA1"/>
    <mergeCell ref="CB4:CF4"/>
    <mergeCell ref="CP4:CT4"/>
    <mergeCell ref="CY4:CZ4"/>
    <mergeCell ref="CY2:DA2"/>
    <mergeCell ref="CW4:CX5"/>
    <mergeCell ref="CA4:CA5"/>
    <mergeCell ref="CG4:CG5"/>
    <mergeCell ref="CI4:CJ5"/>
    <mergeCell ref="CK4:CL4"/>
    <mergeCell ref="CU4:CU5"/>
    <mergeCell ref="CK5:CL5"/>
    <mergeCell ref="CN4:CN5"/>
    <mergeCell ref="CY5:CZ5"/>
    <mergeCell ref="S3:AF3"/>
    <mergeCell ref="BZ4:BZ5"/>
    <mergeCell ref="AX3:BK3"/>
    <mergeCell ref="BK4:BK5"/>
    <mergeCell ref="BL3:BY3"/>
    <mergeCell ref="BY4:BY5"/>
    <mergeCell ref="BZ3:CM3"/>
    <mergeCell ref="CM4:CM5"/>
    <mergeCell ref="BW4:BX4"/>
    <mergeCell ref="BW5:BX5"/>
    <mergeCell ref="AZ4:BD4"/>
    <mergeCell ref="BN4:BR4"/>
    <mergeCell ref="AX4:AX5"/>
    <mergeCell ref="BL4:BL5"/>
    <mergeCell ref="BE4:BE5"/>
    <mergeCell ref="C7:D7"/>
    <mergeCell ref="BI4:BJ4"/>
    <mergeCell ref="BI5:BJ5"/>
    <mergeCell ref="S4:S5"/>
    <mergeCell ref="U4:Y4"/>
    <mergeCell ref="Z4:Z5"/>
    <mergeCell ref="AB4:AC5"/>
    <mergeCell ref="AD4:AE4"/>
    <mergeCell ref="AF4:AF5"/>
    <mergeCell ref="AD5:AE5"/>
    <mergeCell ref="E3:R3"/>
    <mergeCell ref="E4:E5"/>
    <mergeCell ref="G4:K4"/>
  </mergeCells>
  <conditionalFormatting sqref="AT7:AT105">
    <cfRule type="cellIs" dxfId="49" priority="93" operator="lessThan">
      <formula>0</formula>
    </cfRule>
  </conditionalFormatting>
  <conditionalFormatting sqref="AU8:AU105">
    <cfRule type="cellIs" dxfId="48" priority="92" operator="lessThan">
      <formula>1</formula>
    </cfRule>
  </conditionalFormatting>
  <conditionalFormatting sqref="AV7:AV105">
    <cfRule type="cellIs" dxfId="47" priority="91" operator="lessThan">
      <formula>0</formula>
    </cfRule>
  </conditionalFormatting>
  <conditionalFormatting sqref="AW8 AW9:AX15 AW16 AW17:AX24 AW25 AW26:AX36 AW37 AW38:AX45 AW46 AW47:AX65 AW66 AW67:AX72 AW73 AW74:AX77 AW78 AW79:AX79 AW80 AW81:AX85 AW86 AW87:AX89 AW90 AW91:AX96 AW97 AW98:AX98 AW99 AW100:AX100 AW101">
    <cfRule type="cellIs" dxfId="46" priority="114" operator="lessThan">
      <formula>1</formula>
    </cfRule>
  </conditionalFormatting>
  <conditionalFormatting sqref="AW102:AX105">
    <cfRule type="cellIs" dxfId="45" priority="90" operator="lessThan">
      <formula>1</formula>
    </cfRule>
  </conditionalFormatting>
  <conditionalFormatting sqref="BG7:BG105">
    <cfRule type="cellIs" dxfId="44" priority="46" operator="lessThan">
      <formula>0</formula>
    </cfRule>
  </conditionalFormatting>
  <conditionalFormatting sqref="BH7:BH105">
    <cfRule type="cellIs" dxfId="43" priority="45" operator="lessThan">
      <formula>1</formula>
    </cfRule>
  </conditionalFormatting>
  <conditionalFormatting sqref="BI7:BI105">
    <cfRule type="cellIs" dxfId="42" priority="44" operator="lessThan">
      <formula>0</formula>
    </cfRule>
  </conditionalFormatting>
  <conditionalFormatting sqref="BJ7:BK103">
    <cfRule type="cellIs" dxfId="41" priority="42" operator="lessThan">
      <formula>1</formula>
    </cfRule>
  </conditionalFormatting>
  <conditionalFormatting sqref="BJ104:BL105">
    <cfRule type="cellIs" dxfId="40" priority="81" operator="lessThan">
      <formula>1</formula>
    </cfRule>
  </conditionalFormatting>
  <conditionalFormatting sqref="BU2 CW2">
    <cfRule type="cellIs" dxfId="39" priority="112" operator="lessThan">
      <formula>0</formula>
    </cfRule>
  </conditionalFormatting>
  <conditionalFormatting sqref="BU4:BU1048576">
    <cfRule type="cellIs" dxfId="38" priority="41" operator="lessThan">
      <formula>0</formula>
    </cfRule>
  </conditionalFormatting>
  <conditionalFormatting sqref="BV2 CX2:CY2">
    <cfRule type="cellIs" dxfId="37" priority="113" operator="lessThan">
      <formula>1</formula>
    </cfRule>
  </conditionalFormatting>
  <conditionalFormatting sqref="BV4:BV1048576">
    <cfRule type="cellIs" dxfId="36" priority="40" operator="lessThan">
      <formula>1</formula>
    </cfRule>
  </conditionalFormatting>
  <conditionalFormatting sqref="BW7:BW105">
    <cfRule type="cellIs" dxfId="35" priority="39" operator="lessThan">
      <formula>0</formula>
    </cfRule>
  </conditionalFormatting>
  <conditionalFormatting sqref="BX7:BY103">
    <cfRule type="cellIs" dxfId="34" priority="28" operator="lessThan">
      <formula>1</formula>
    </cfRule>
  </conditionalFormatting>
  <conditionalFormatting sqref="BX104:BZ105">
    <cfRule type="cellIs" dxfId="33" priority="80" operator="lessThan">
      <formula>1</formula>
    </cfRule>
  </conditionalFormatting>
  <conditionalFormatting sqref="CI7:CI105">
    <cfRule type="cellIs" dxfId="32" priority="36" operator="lessThan">
      <formula>0</formula>
    </cfRule>
  </conditionalFormatting>
  <conditionalFormatting sqref="CJ7:CJ105">
    <cfRule type="cellIs" dxfId="31" priority="35" operator="lessThan">
      <formula>1</formula>
    </cfRule>
  </conditionalFormatting>
  <conditionalFormatting sqref="CK2">
    <cfRule type="cellIs" dxfId="30" priority="136" operator="lessThan">
      <formula>0</formula>
    </cfRule>
  </conditionalFormatting>
  <conditionalFormatting sqref="CK4:CK1048576">
    <cfRule type="cellIs" dxfId="29" priority="25" operator="lessThan">
      <formula>0</formula>
    </cfRule>
  </conditionalFormatting>
  <conditionalFormatting sqref="CL4:CL103 CL104:CM1048576">
    <cfRule type="cellIs" dxfId="28" priority="33" operator="lessThan">
      <formula>1</formula>
    </cfRule>
  </conditionalFormatting>
  <conditionalFormatting sqref="CL2:CM2">
    <cfRule type="cellIs" dxfId="27" priority="106" operator="lessThan">
      <formula>1</formula>
    </cfRule>
  </conditionalFormatting>
  <conditionalFormatting sqref="CM7:CM103">
    <cfRule type="cellIs" dxfId="26" priority="27" operator="lessThan">
      <formula>1</formula>
    </cfRule>
  </conditionalFormatting>
  <conditionalFormatting sqref="CN104:CN105">
    <cfRule type="cellIs" dxfId="25" priority="79" operator="lessThan">
      <formula>1</formula>
    </cfRule>
  </conditionalFormatting>
  <conditionalFormatting sqref="CW4:CW66">
    <cfRule type="cellIs" dxfId="24" priority="32" operator="lessThan">
      <formula>0</formula>
    </cfRule>
  </conditionalFormatting>
  <conditionalFormatting sqref="CW104:CW1048576">
    <cfRule type="cellIs" dxfId="23" priority="88" operator="lessThan">
      <formula>0</formula>
    </cfRule>
  </conditionalFormatting>
  <conditionalFormatting sqref="CX4:CX1048576">
    <cfRule type="cellIs" dxfId="22" priority="31" operator="lessThan">
      <formula>1</formula>
    </cfRule>
  </conditionalFormatting>
  <conditionalFormatting sqref="CY7:CY65">
    <cfRule type="cellIs" dxfId="21" priority="30" operator="lessThan">
      <formula>0</formula>
    </cfRule>
  </conditionalFormatting>
  <conditionalFormatting sqref="CY104:CY105">
    <cfRule type="cellIs" dxfId="20" priority="85" operator="lessThan">
      <formula>0</formula>
    </cfRule>
  </conditionalFormatting>
  <conditionalFormatting sqref="CZ7:DA105">
    <cfRule type="cellIs" dxfId="19" priority="26" operator="lessThan">
      <formula>1</formula>
    </cfRule>
  </conditionalFormatting>
  <conditionalFormatting sqref="S9:S15 S17:S24 S26:S36 S38:S45 S47:S65 S67:S72 S74:S77 S79 S81:S85 S87:S89 S91:S96 S98 S100">
    <cfRule type="cellIs" dxfId="18" priority="19" operator="lessThan">
      <formula>1</formula>
    </cfRule>
  </conditionalFormatting>
  <conditionalFormatting sqref="S102:S105">
    <cfRule type="cellIs" dxfId="17" priority="18" operator="lessThan">
      <formula>1</formula>
    </cfRule>
  </conditionalFormatting>
  <conditionalFormatting sqref="AB7:AB105">
    <cfRule type="cellIs" dxfId="16" priority="16" operator="lessThan">
      <formula>0</formula>
    </cfRule>
  </conditionalFormatting>
  <conditionalFormatting sqref="AC7:AC105">
    <cfRule type="cellIs" dxfId="15" priority="15" operator="lessThan">
      <formula>1</formula>
    </cfRule>
  </conditionalFormatting>
  <conditionalFormatting sqref="AD7:AD105">
    <cfRule type="cellIs" dxfId="14" priority="14" operator="lessThan">
      <formula>0</formula>
    </cfRule>
  </conditionalFormatting>
  <conditionalFormatting sqref="AE7:AF103 AO7:AO103">
    <cfRule type="cellIs" dxfId="13" priority="13" operator="lessThan">
      <formula>1</formula>
    </cfRule>
  </conditionalFormatting>
  <conditionalFormatting sqref="AE104:AF105 AO104:AO105">
    <cfRule type="cellIs" dxfId="12" priority="17" operator="lessThan">
      <formula>1</formula>
    </cfRule>
  </conditionalFormatting>
  <conditionalFormatting sqref="E9:E15 E17:E24 E26:E36 E38:E45 E47:E65 E67:E72 E74:E77 E79 E81:E85 E87:E89 E91:E96 E98 E100">
    <cfRule type="cellIs" dxfId="11" priority="12" operator="lessThan">
      <formula>1</formula>
    </cfRule>
  </conditionalFormatting>
  <conditionalFormatting sqref="E102:E105">
    <cfRule type="cellIs" dxfId="10" priority="11" operator="lessThan">
      <formula>1</formula>
    </cfRule>
  </conditionalFormatting>
  <conditionalFormatting sqref="N7:N105">
    <cfRule type="cellIs" dxfId="9" priority="9" operator="lessThan">
      <formula>0</formula>
    </cfRule>
  </conditionalFormatting>
  <conditionalFormatting sqref="O7:O105">
    <cfRule type="cellIs" dxfId="8" priority="8" operator="lessThan">
      <formula>1</formula>
    </cfRule>
  </conditionalFormatting>
  <conditionalFormatting sqref="P7:P105">
    <cfRule type="cellIs" dxfId="7" priority="7" operator="lessThan">
      <formula>0</formula>
    </cfRule>
  </conditionalFormatting>
  <conditionalFormatting sqref="Q7:R103">
    <cfRule type="cellIs" dxfId="6" priority="6" operator="lessThan">
      <formula>1</formula>
    </cfRule>
  </conditionalFormatting>
  <conditionalFormatting sqref="Q104:R105">
    <cfRule type="cellIs" dxfId="5" priority="10" operator="lessThan">
      <formula>1</formula>
    </cfRule>
  </conditionalFormatting>
  <conditionalFormatting sqref="AG9:AG15 AG17:AG24 AG26:AG36 AG38:AG45 AG47:AG65 AG67:AG72 AG74:AG77 AG79 AG81:AG85 AG87:AG89 AG91:AG96 AG98 AG100">
    <cfRule type="cellIs" dxfId="4" priority="5" operator="lessThan">
      <formula>1</formula>
    </cfRule>
  </conditionalFormatting>
  <conditionalFormatting sqref="AG102:AG105">
    <cfRule type="cellIs" dxfId="3" priority="4" operator="lessThan">
      <formula>1</formula>
    </cfRule>
  </conditionalFormatting>
  <conditionalFormatting sqref="AL7:AL105">
    <cfRule type="cellIs" dxfId="2" priority="3" operator="lessThan">
      <formula>0</formula>
    </cfRule>
  </conditionalFormatting>
  <conditionalFormatting sqref="AM7:AM105">
    <cfRule type="cellIs" dxfId="1" priority="2" operator="lessThan">
      <formula>1</formula>
    </cfRule>
  </conditionalFormatting>
  <conditionalFormatting sqref="AN7:AN105">
    <cfRule type="cellIs" dxfId="0" priority="1" operator="lessThan">
      <formula>0</formula>
    </cfRule>
  </conditionalFormatting>
  <printOptions horizontalCentered="1"/>
  <pageMargins left="0.19685039370078741" right="0.19685039370078741" top="0.39370078740157483" bottom="0.19685039370078741" header="0" footer="0"/>
  <pageSetup paperSize="8" scale="54" fitToWidth="2" fitToHeight="100" orientation="landscape" r:id="rId1"/>
  <headerFooter alignWithMargins="0"/>
  <colBreaks count="1" manualBreakCount="1">
    <brk id="77" max="10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Филиал</vt:lpstr>
      <vt:lpstr>Филиал!Заголовки_для_печати</vt:lpstr>
      <vt:lpstr>Филиал!Область_печати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CBUser</dc:creator>
  <cp:lastModifiedBy>CBuser</cp:lastModifiedBy>
  <cp:lastPrinted>2026-03-27T14:55:09Z</cp:lastPrinted>
  <dcterms:created xsi:type="dcterms:W3CDTF">2017-12-21T11:54:16Z</dcterms:created>
  <dcterms:modified xsi:type="dcterms:W3CDTF">2026-04-06T11:16:41Z</dcterms:modified>
</cp:coreProperties>
</file>