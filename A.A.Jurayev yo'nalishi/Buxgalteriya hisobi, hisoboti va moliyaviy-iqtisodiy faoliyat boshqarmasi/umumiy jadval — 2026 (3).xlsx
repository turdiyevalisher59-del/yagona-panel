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Бухгалтерия\Қўшимча топшириқ\Презентация\"/>
    </mc:Choice>
  </mc:AlternateContent>
  <bookViews>
    <workbookView xWindow="-105" yWindow="-105" windowWidth="19425" windowHeight="11505" firstSheet="1" activeTab="1"/>
  </bookViews>
  <sheets>
    <sheet name="даромад харажат" sheetId="1" r:id="rId1"/>
    <sheet name="Выслуга 2026" sheetId="10" r:id="rId2"/>
    <sheet name="Таътил" sheetId="6" r:id="rId3"/>
    <sheet name="50-60 ёш" sheetId="7" r:id="rId4"/>
    <sheet name="Больничный" sheetId="8" r:id="rId5"/>
    <sheet name="пенсионер" sheetId="13" r:id="rId6"/>
    <sheet name="Дафн" sheetId="11" r:id="rId7"/>
    <sheet name="шартномалар" sheetId="5" r:id="rId8"/>
    <sheet name="омбор чиким" sheetId="9" r:id="rId9"/>
    <sheet name="Асосий восита" sheetId="12" r:id="rId10"/>
  </sheets>
  <definedNames>
    <definedName name="_xlnm._FilterDatabase" localSheetId="4" hidden="1">Больничный!$A$3:$F$106</definedName>
    <definedName name="_xlnm._FilterDatabase" localSheetId="1" hidden="1">'Выслуга 2026'!$A$3:$J$120</definedName>
    <definedName name="_xlnm._FilterDatabase" localSheetId="0" hidden="1">'даромад харажат'!$L$1:$L$16</definedName>
    <definedName name="_xlnm._FilterDatabase" localSheetId="6" hidden="1">Дафн!$A$3:$D$5</definedName>
    <definedName name="_xlnm._FilterDatabase" localSheetId="8" hidden="1">'омбор чиким'!$A$6:$H$797</definedName>
    <definedName name="_xlnm._FilterDatabase" localSheetId="5" hidden="1">пенсионер!$A$4:$J$30</definedName>
    <definedName name="_xlnm._FilterDatabase" localSheetId="2" hidden="1">Таътил!$A$4:$K$162</definedName>
    <definedName name="_xlnm._FilterDatabase" localSheetId="7" hidden="1">шартномалар!$A$6:$M$85</definedName>
    <definedName name="_xlnm.Print_Titles" localSheetId="7">шартномалар!$4:$5</definedName>
    <definedName name="_xlnm.Print_Area" localSheetId="5">пенсионер!$A$1:$I$30</definedName>
    <definedName name="_xlnm.Print_Area" localSheetId="7">шартномалар!$A$1:$L$85</definedName>
  </definedName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0" i="10" l="1"/>
  <c r="G119" i="10"/>
  <c r="G118" i="10"/>
  <c r="G117" i="10"/>
  <c r="G116" i="10"/>
  <c r="G115" i="10"/>
  <c r="G114" i="10"/>
  <c r="G113" i="10"/>
  <c r="G112" i="10"/>
  <c r="G111" i="10"/>
  <c r="G110" i="10"/>
  <c r="G109" i="10"/>
  <c r="G108" i="10"/>
  <c r="G107" i="10"/>
  <c r="G106" i="10"/>
  <c r="G105" i="10"/>
  <c r="G104" i="10"/>
  <c r="G103" i="10"/>
  <c r="G102" i="10"/>
  <c r="G101" i="10"/>
  <c r="G100" i="10"/>
  <c r="G99" i="10"/>
  <c r="G98" i="10"/>
  <c r="G97" i="10"/>
  <c r="G96" i="10"/>
  <c r="G95" i="10"/>
  <c r="G94" i="10"/>
  <c r="G93" i="10"/>
  <c r="G92" i="10"/>
  <c r="G91" i="10"/>
  <c r="G90" i="10"/>
  <c r="G89" i="10"/>
  <c r="G88" i="10"/>
  <c r="G87" i="10"/>
  <c r="G86" i="10"/>
  <c r="G85" i="10"/>
  <c r="G84" i="10"/>
  <c r="G83" i="10"/>
  <c r="G82" i="10"/>
  <c r="G81" i="10"/>
  <c r="G80" i="10"/>
  <c r="G79" i="10"/>
  <c r="G78" i="10"/>
  <c r="G77" i="10"/>
  <c r="G76" i="10"/>
  <c r="G75" i="10"/>
  <c r="G74" i="10"/>
  <c r="G73" i="10"/>
  <c r="G72" i="10"/>
  <c r="G71" i="10"/>
  <c r="G70" i="10"/>
  <c r="G69" i="10"/>
  <c r="G68" i="10"/>
  <c r="G67" i="10"/>
  <c r="G66" i="10"/>
  <c r="G65" i="10"/>
  <c r="G64" i="10"/>
  <c r="G63" i="10"/>
  <c r="G62" i="10"/>
  <c r="G61" i="10"/>
  <c r="G60" i="10"/>
  <c r="G59" i="10"/>
  <c r="G58" i="10"/>
  <c r="G57" i="10"/>
  <c r="G56" i="10"/>
  <c r="G55" i="10"/>
  <c r="G54" i="10"/>
  <c r="G53" i="10"/>
  <c r="G52" i="10"/>
  <c r="G51" i="10"/>
  <c r="G50" i="10"/>
  <c r="G49" i="10"/>
  <c r="G48" i="10"/>
  <c r="G47" i="10"/>
  <c r="G46" i="10"/>
  <c r="G45" i="10"/>
  <c r="G44" i="10"/>
  <c r="G43" i="10"/>
  <c r="G42" i="10"/>
  <c r="G41" i="10"/>
  <c r="G40" i="10"/>
  <c r="G39" i="10"/>
  <c r="G38" i="10"/>
  <c r="G37" i="10"/>
  <c r="G36" i="10"/>
  <c r="G35" i="10"/>
  <c r="G34" i="10"/>
  <c r="G33" i="10"/>
  <c r="G32" i="10"/>
  <c r="G31" i="10"/>
  <c r="G30" i="10"/>
  <c r="G29" i="10"/>
  <c r="G28" i="10"/>
  <c r="G27" i="10"/>
  <c r="G26" i="10"/>
  <c r="G25" i="10"/>
  <c r="G24" i="10"/>
  <c r="G23" i="10"/>
  <c r="G22" i="10"/>
  <c r="G21" i="10"/>
  <c r="G20" i="10"/>
  <c r="G19" i="10"/>
  <c r="G18" i="10"/>
  <c r="G17" i="10"/>
  <c r="G16" i="10"/>
  <c r="G15" i="10"/>
  <c r="G14" i="10"/>
  <c r="G13" i="10"/>
  <c r="G12" i="10"/>
  <c r="G11" i="10"/>
  <c r="G10" i="10"/>
  <c r="G9" i="10"/>
  <c r="G8" i="10"/>
  <c r="G7" i="10"/>
  <c r="G6" i="10"/>
  <c r="G5" i="10"/>
  <c r="G4" i="10"/>
  <c r="C4" i="12" l="1"/>
  <c r="G9" i="12"/>
  <c r="G8" i="12" l="1"/>
  <c r="G7" i="12"/>
  <c r="G6" i="12"/>
  <c r="L5" i="5" l="1"/>
  <c r="I4" i="13" l="1"/>
  <c r="A30" i="13"/>
  <c r="J30" i="13"/>
  <c r="J29" i="13"/>
  <c r="A29" i="13"/>
  <c r="J28" i="13"/>
  <c r="A28" i="13"/>
  <c r="J27" i="13"/>
  <c r="A27" i="13"/>
  <c r="J26" i="13"/>
  <c r="A26" i="13"/>
  <c r="J25" i="13"/>
  <c r="A25" i="13"/>
  <c r="J24" i="13"/>
  <c r="A24" i="13"/>
  <c r="J23" i="13"/>
  <c r="A23" i="13"/>
  <c r="J22" i="13"/>
  <c r="A22" i="13"/>
  <c r="J21" i="13"/>
  <c r="A21" i="13"/>
  <c r="J20" i="13"/>
  <c r="A20" i="13"/>
  <c r="J19" i="13"/>
  <c r="A19" i="13"/>
  <c r="J18" i="13"/>
  <c r="A18" i="13"/>
  <c r="J17" i="13"/>
  <c r="A17" i="13"/>
  <c r="J16" i="13"/>
  <c r="A16" i="13"/>
  <c r="J15" i="13"/>
  <c r="A15" i="13"/>
  <c r="J14" i="13"/>
  <c r="A14" i="13"/>
  <c r="J13" i="13"/>
  <c r="A13" i="13"/>
  <c r="J12" i="13"/>
  <c r="A12" i="13"/>
  <c r="J11" i="13"/>
  <c r="A11" i="13"/>
  <c r="J10" i="13"/>
  <c r="A10" i="13"/>
  <c r="J9" i="13"/>
  <c r="A9" i="13"/>
  <c r="J8" i="13"/>
  <c r="A8" i="13"/>
  <c r="J7" i="13"/>
  <c r="A7" i="13"/>
  <c r="J6" i="13"/>
  <c r="A6" i="13"/>
  <c r="J5" i="13"/>
  <c r="A5" i="13"/>
  <c r="A9" i="12" l="1"/>
  <c r="A8" i="12"/>
  <c r="A7" i="12"/>
  <c r="A6" i="12"/>
  <c r="D4" i="12"/>
  <c r="E4" i="12" s="1"/>
  <c r="F4" i="12" s="1"/>
  <c r="G4" i="12" s="1"/>
  <c r="H797" i="9"/>
  <c r="H796" i="9"/>
  <c r="H795" i="9"/>
  <c r="H794" i="9"/>
  <c r="H793" i="9"/>
  <c r="H792" i="9"/>
  <c r="H791" i="9"/>
  <c r="H790" i="9"/>
  <c r="H789" i="9"/>
  <c r="H788" i="9"/>
  <c r="H787" i="9"/>
  <c r="H786" i="9"/>
  <c r="H785" i="9"/>
  <c r="H784" i="9"/>
  <c r="H783" i="9"/>
  <c r="H782" i="9"/>
  <c r="H781" i="9"/>
  <c r="H780" i="9"/>
  <c r="H779" i="9"/>
  <c r="H778" i="9"/>
  <c r="H777" i="9"/>
  <c r="H776" i="9"/>
  <c r="H775" i="9"/>
  <c r="H774" i="9"/>
  <c r="H773" i="9"/>
  <c r="H772" i="9"/>
  <c r="H771" i="9"/>
  <c r="H770" i="9"/>
  <c r="H769" i="9"/>
  <c r="H768" i="9"/>
  <c r="H767" i="9"/>
  <c r="H766" i="9"/>
  <c r="H765" i="9"/>
  <c r="H764" i="9"/>
  <c r="H763" i="9"/>
  <c r="H762" i="9"/>
  <c r="H761" i="9"/>
  <c r="H760" i="9"/>
  <c r="H759" i="9"/>
  <c r="H758" i="9"/>
  <c r="H757" i="9"/>
  <c r="H756" i="9"/>
  <c r="H755" i="9"/>
  <c r="H754" i="9"/>
  <c r="H753" i="9"/>
  <c r="H752" i="9"/>
  <c r="H751" i="9"/>
  <c r="H750" i="9"/>
  <c r="H749" i="9"/>
  <c r="H748" i="9"/>
  <c r="H747" i="9"/>
  <c r="H746" i="9"/>
  <c r="H745" i="9"/>
  <c r="H744" i="9"/>
  <c r="H743" i="9"/>
  <c r="H742" i="9"/>
  <c r="H741" i="9"/>
  <c r="H740" i="9"/>
  <c r="H739" i="9"/>
  <c r="H738" i="9"/>
  <c r="H737" i="9"/>
  <c r="H736" i="9"/>
  <c r="H735" i="9"/>
  <c r="H734" i="9"/>
  <c r="H733" i="9"/>
  <c r="H732" i="9"/>
  <c r="H731" i="9"/>
  <c r="H730" i="9"/>
  <c r="H729" i="9"/>
  <c r="H728" i="9"/>
  <c r="H727" i="9"/>
  <c r="H726" i="9"/>
  <c r="H725" i="9"/>
  <c r="H724" i="9"/>
  <c r="H723" i="9"/>
  <c r="H722" i="9"/>
  <c r="H721" i="9"/>
  <c r="H720" i="9"/>
  <c r="H719" i="9"/>
  <c r="H718" i="9"/>
  <c r="H717" i="9"/>
  <c r="H716" i="9"/>
  <c r="H715" i="9"/>
  <c r="H714" i="9"/>
  <c r="H713" i="9"/>
  <c r="H712" i="9"/>
  <c r="H711" i="9"/>
  <c r="H710" i="9"/>
  <c r="H709" i="9"/>
  <c r="H708" i="9"/>
  <c r="H707" i="9"/>
  <c r="H706" i="9"/>
  <c r="H705" i="9"/>
  <c r="H704" i="9"/>
  <c r="H703" i="9"/>
  <c r="H702" i="9"/>
  <c r="H701" i="9"/>
  <c r="H700" i="9"/>
  <c r="H699" i="9"/>
  <c r="H698" i="9"/>
  <c r="H697" i="9"/>
  <c r="H696" i="9"/>
  <c r="H695" i="9"/>
  <c r="H694" i="9"/>
  <c r="H693" i="9"/>
  <c r="H692" i="9"/>
  <c r="H691" i="9"/>
  <c r="H690" i="9"/>
  <c r="H689" i="9"/>
  <c r="H688" i="9"/>
  <c r="H687" i="9"/>
  <c r="H686" i="9"/>
  <c r="H685" i="9"/>
  <c r="H684" i="9"/>
  <c r="H683" i="9"/>
  <c r="H682" i="9"/>
  <c r="H681" i="9"/>
  <c r="H680" i="9"/>
  <c r="H679" i="9"/>
  <c r="H678" i="9"/>
  <c r="H677" i="9"/>
  <c r="H676" i="9"/>
  <c r="H675" i="9"/>
  <c r="H674" i="9"/>
  <c r="H673" i="9"/>
  <c r="H672" i="9"/>
  <c r="H671" i="9"/>
  <c r="H670" i="9"/>
  <c r="H669" i="9"/>
  <c r="H668" i="9"/>
  <c r="H667" i="9"/>
  <c r="H666" i="9"/>
  <c r="H665" i="9"/>
  <c r="H664" i="9"/>
  <c r="H663" i="9"/>
  <c r="H662" i="9"/>
  <c r="H661" i="9"/>
  <c r="H660" i="9"/>
  <c r="H659" i="9"/>
  <c r="H658" i="9"/>
  <c r="H657" i="9"/>
  <c r="H656" i="9"/>
  <c r="H655" i="9"/>
  <c r="H654" i="9"/>
  <c r="H653" i="9"/>
  <c r="H652" i="9"/>
  <c r="H651" i="9"/>
  <c r="H650" i="9"/>
  <c r="H649" i="9"/>
  <c r="H648" i="9"/>
  <c r="H647" i="9"/>
  <c r="H646" i="9"/>
  <c r="H645" i="9"/>
  <c r="H644" i="9"/>
  <c r="H643" i="9"/>
  <c r="H642" i="9"/>
  <c r="H641" i="9"/>
  <c r="H640" i="9"/>
  <c r="H639" i="9"/>
  <c r="H638" i="9"/>
  <c r="H637" i="9"/>
  <c r="H636" i="9"/>
  <c r="H635" i="9"/>
  <c r="H634" i="9"/>
  <c r="H633" i="9"/>
  <c r="H632" i="9"/>
  <c r="H631" i="9"/>
  <c r="H630" i="9"/>
  <c r="H629" i="9"/>
  <c r="H628" i="9"/>
  <c r="H627" i="9"/>
  <c r="H626" i="9"/>
  <c r="H625" i="9"/>
  <c r="H624" i="9"/>
  <c r="H623" i="9"/>
  <c r="H622" i="9"/>
  <c r="H621" i="9"/>
  <c r="H620" i="9"/>
  <c r="H619" i="9"/>
  <c r="H618" i="9"/>
  <c r="H617" i="9"/>
  <c r="H616" i="9"/>
  <c r="H615" i="9"/>
  <c r="H614" i="9"/>
  <c r="H613" i="9"/>
  <c r="H612" i="9"/>
  <c r="H611" i="9"/>
  <c r="H610" i="9"/>
  <c r="H609" i="9"/>
  <c r="H608" i="9"/>
  <c r="H607" i="9"/>
  <c r="H606" i="9"/>
  <c r="H605" i="9"/>
  <c r="H604" i="9"/>
  <c r="H603" i="9"/>
  <c r="H602" i="9"/>
  <c r="H601" i="9"/>
  <c r="H600" i="9"/>
  <c r="H599" i="9"/>
  <c r="H598" i="9"/>
  <c r="H597" i="9"/>
  <c r="H596" i="9"/>
  <c r="H595" i="9"/>
  <c r="H594" i="9"/>
  <c r="H593" i="9"/>
  <c r="H592" i="9"/>
  <c r="H591" i="9"/>
  <c r="H590" i="9"/>
  <c r="H589" i="9"/>
  <c r="H588" i="9"/>
  <c r="H587" i="9"/>
  <c r="H586" i="9"/>
  <c r="H585" i="9"/>
  <c r="H584" i="9"/>
  <c r="H583" i="9"/>
  <c r="H582" i="9"/>
  <c r="H581" i="9"/>
  <c r="H580" i="9"/>
  <c r="H579" i="9"/>
  <c r="H578" i="9"/>
  <c r="H577" i="9"/>
  <c r="H576" i="9"/>
  <c r="H575" i="9"/>
  <c r="H574" i="9"/>
  <c r="H573" i="9"/>
  <c r="H572" i="9"/>
  <c r="H571" i="9"/>
  <c r="H570" i="9"/>
  <c r="H569" i="9"/>
  <c r="H568" i="9"/>
  <c r="H567" i="9"/>
  <c r="H566" i="9"/>
  <c r="H565" i="9"/>
  <c r="H564" i="9"/>
  <c r="H563" i="9"/>
  <c r="H562" i="9"/>
  <c r="H561" i="9"/>
  <c r="H560" i="9"/>
  <c r="H559" i="9"/>
  <c r="H558" i="9"/>
  <c r="H557" i="9"/>
  <c r="H556" i="9"/>
  <c r="H555" i="9"/>
  <c r="H554" i="9"/>
  <c r="H553" i="9"/>
  <c r="H552" i="9"/>
  <c r="H551" i="9"/>
  <c r="H550" i="9"/>
  <c r="H549" i="9"/>
  <c r="H548" i="9"/>
  <c r="H547" i="9"/>
  <c r="H546" i="9"/>
  <c r="H545" i="9"/>
  <c r="H544" i="9"/>
  <c r="H543" i="9"/>
  <c r="H542" i="9"/>
  <c r="H541" i="9"/>
  <c r="H540" i="9"/>
  <c r="H539" i="9"/>
  <c r="H538" i="9"/>
  <c r="H537" i="9"/>
  <c r="H536" i="9"/>
  <c r="H535" i="9"/>
  <c r="H534" i="9"/>
  <c r="H533" i="9"/>
  <c r="H532" i="9"/>
  <c r="H531" i="9"/>
  <c r="H530" i="9"/>
  <c r="H529" i="9"/>
  <c r="H528" i="9"/>
  <c r="H527" i="9"/>
  <c r="H526" i="9"/>
  <c r="H525" i="9"/>
  <c r="H524" i="9"/>
  <c r="H523" i="9"/>
  <c r="H522" i="9"/>
  <c r="H521" i="9"/>
  <c r="H520" i="9"/>
  <c r="H519" i="9"/>
  <c r="H518" i="9"/>
  <c r="H517" i="9"/>
  <c r="H516" i="9"/>
  <c r="H515" i="9"/>
  <c r="H514" i="9"/>
  <c r="H513" i="9"/>
  <c r="H512" i="9"/>
  <c r="H511" i="9"/>
  <c r="H510" i="9"/>
  <c r="H509" i="9"/>
  <c r="H508" i="9"/>
  <c r="H507" i="9"/>
  <c r="H506" i="9"/>
  <c r="H505" i="9"/>
  <c r="H504" i="9"/>
  <c r="H503" i="9"/>
  <c r="H502" i="9"/>
  <c r="H501" i="9"/>
  <c r="H500" i="9"/>
  <c r="H499" i="9"/>
  <c r="H498" i="9"/>
  <c r="H497" i="9"/>
  <c r="H496" i="9"/>
  <c r="H495" i="9"/>
  <c r="H494" i="9"/>
  <c r="H493" i="9"/>
  <c r="H492" i="9"/>
  <c r="H491" i="9"/>
  <c r="H490" i="9"/>
  <c r="H489" i="9"/>
  <c r="H488" i="9"/>
  <c r="H487" i="9"/>
  <c r="H486" i="9"/>
  <c r="H485" i="9"/>
  <c r="H484" i="9"/>
  <c r="H483" i="9"/>
  <c r="H482" i="9"/>
  <c r="H481" i="9"/>
  <c r="H480" i="9"/>
  <c r="H479" i="9"/>
  <c r="H478" i="9"/>
  <c r="H477" i="9"/>
  <c r="H476" i="9"/>
  <c r="H475" i="9"/>
  <c r="H474" i="9"/>
  <c r="H473" i="9"/>
  <c r="H472" i="9"/>
  <c r="H471" i="9"/>
  <c r="H470" i="9"/>
  <c r="H469" i="9"/>
  <c r="H468" i="9"/>
  <c r="H467" i="9"/>
  <c r="H466" i="9"/>
  <c r="H465" i="9"/>
  <c r="H464" i="9"/>
  <c r="H463" i="9"/>
  <c r="H462" i="9"/>
  <c r="H461" i="9"/>
  <c r="H460" i="9"/>
  <c r="H459" i="9"/>
  <c r="H458" i="9"/>
  <c r="H457" i="9"/>
  <c r="H456" i="9"/>
  <c r="H455" i="9"/>
  <c r="H454" i="9"/>
  <c r="H453" i="9"/>
  <c r="H452" i="9"/>
  <c r="H451" i="9"/>
  <c r="H450" i="9"/>
  <c r="H449" i="9"/>
  <c r="H448" i="9"/>
  <c r="H447" i="9"/>
  <c r="H446" i="9"/>
  <c r="H445" i="9"/>
  <c r="H444" i="9"/>
  <c r="H443" i="9"/>
  <c r="H442" i="9"/>
  <c r="H441" i="9"/>
  <c r="H440" i="9"/>
  <c r="H439" i="9"/>
  <c r="H438" i="9"/>
  <c r="H437" i="9"/>
  <c r="H436" i="9"/>
  <c r="H435" i="9"/>
  <c r="H434" i="9"/>
  <c r="H433" i="9"/>
  <c r="H432" i="9"/>
  <c r="H431" i="9"/>
  <c r="H430" i="9"/>
  <c r="H429" i="9"/>
  <c r="H428" i="9"/>
  <c r="H427" i="9"/>
  <c r="H426" i="9"/>
  <c r="H425" i="9"/>
  <c r="H424" i="9"/>
  <c r="H423" i="9"/>
  <c r="H422" i="9"/>
  <c r="H421" i="9"/>
  <c r="H420" i="9"/>
  <c r="H419" i="9"/>
  <c r="H418" i="9"/>
  <c r="H417" i="9"/>
  <c r="H416" i="9"/>
  <c r="H415" i="9"/>
  <c r="H414" i="9"/>
  <c r="H413" i="9"/>
  <c r="H412" i="9"/>
  <c r="H411" i="9"/>
  <c r="H410" i="9"/>
  <c r="H409" i="9"/>
  <c r="H408" i="9"/>
  <c r="H407" i="9"/>
  <c r="H406" i="9"/>
  <c r="H405" i="9"/>
  <c r="H404" i="9"/>
  <c r="H403" i="9"/>
  <c r="H402" i="9"/>
  <c r="H401" i="9"/>
  <c r="H400" i="9"/>
  <c r="H399" i="9"/>
  <c r="H398" i="9"/>
  <c r="H397" i="9"/>
  <c r="H396" i="9"/>
  <c r="H395" i="9"/>
  <c r="H394" i="9"/>
  <c r="H393" i="9"/>
  <c r="H392" i="9"/>
  <c r="H391" i="9"/>
  <c r="H390" i="9"/>
  <c r="H389" i="9"/>
  <c r="H388" i="9"/>
  <c r="H387" i="9"/>
  <c r="H386" i="9"/>
  <c r="H385" i="9"/>
  <c r="H384" i="9"/>
  <c r="H383" i="9"/>
  <c r="H382" i="9"/>
  <c r="H381" i="9"/>
  <c r="H380" i="9"/>
  <c r="H379" i="9"/>
  <c r="H378" i="9"/>
  <c r="H377" i="9"/>
  <c r="H376" i="9"/>
  <c r="H375" i="9"/>
  <c r="H374" i="9"/>
  <c r="H373" i="9"/>
  <c r="H372" i="9"/>
  <c r="H371" i="9"/>
  <c r="H370" i="9"/>
  <c r="H369" i="9"/>
  <c r="H368" i="9"/>
  <c r="H367" i="9"/>
  <c r="H366" i="9"/>
  <c r="H365" i="9"/>
  <c r="H364" i="9"/>
  <c r="H363" i="9"/>
  <c r="H362" i="9"/>
  <c r="H361" i="9"/>
  <c r="H360" i="9"/>
  <c r="H359" i="9"/>
  <c r="H358" i="9"/>
  <c r="H357" i="9"/>
  <c r="H356" i="9"/>
  <c r="H355" i="9"/>
  <c r="H354" i="9"/>
  <c r="H353" i="9"/>
  <c r="H352" i="9"/>
  <c r="H351" i="9"/>
  <c r="H350" i="9"/>
  <c r="H349" i="9"/>
  <c r="H348" i="9"/>
  <c r="H347" i="9"/>
  <c r="H346" i="9"/>
  <c r="H345" i="9"/>
  <c r="H344" i="9"/>
  <c r="H343" i="9"/>
  <c r="H342" i="9"/>
  <c r="H341" i="9"/>
  <c r="H340" i="9"/>
  <c r="H339" i="9"/>
  <c r="H338" i="9"/>
  <c r="H337" i="9"/>
  <c r="H336" i="9"/>
  <c r="H335" i="9"/>
  <c r="H334" i="9"/>
  <c r="H333" i="9"/>
  <c r="H332" i="9"/>
  <c r="H331" i="9"/>
  <c r="H330" i="9"/>
  <c r="H329" i="9"/>
  <c r="H328" i="9"/>
  <c r="H327" i="9"/>
  <c r="H326" i="9"/>
  <c r="H325" i="9"/>
  <c r="H324" i="9"/>
  <c r="H323" i="9"/>
  <c r="H322" i="9"/>
  <c r="H321" i="9"/>
  <c r="H320" i="9"/>
  <c r="H319" i="9"/>
  <c r="H318" i="9"/>
  <c r="H317" i="9"/>
  <c r="H316" i="9"/>
  <c r="H315" i="9"/>
  <c r="H314" i="9"/>
  <c r="H313" i="9"/>
  <c r="H312" i="9"/>
  <c r="H311" i="9"/>
  <c r="H310" i="9"/>
  <c r="H309" i="9"/>
  <c r="H308" i="9"/>
  <c r="H307" i="9"/>
  <c r="H306" i="9"/>
  <c r="H305" i="9"/>
  <c r="H304" i="9"/>
  <c r="H303" i="9"/>
  <c r="H302" i="9"/>
  <c r="H301" i="9"/>
  <c r="H300" i="9"/>
  <c r="H299" i="9"/>
  <c r="H298" i="9"/>
  <c r="H297" i="9"/>
  <c r="H296" i="9"/>
  <c r="H295" i="9"/>
  <c r="H294" i="9"/>
  <c r="H293" i="9"/>
  <c r="H292" i="9"/>
  <c r="H291" i="9"/>
  <c r="H290" i="9"/>
  <c r="H289" i="9"/>
  <c r="H288" i="9"/>
  <c r="H287" i="9"/>
  <c r="H286" i="9"/>
  <c r="H285" i="9"/>
  <c r="H284" i="9"/>
  <c r="H283" i="9"/>
  <c r="H282" i="9"/>
  <c r="H281" i="9"/>
  <c r="H280" i="9"/>
  <c r="H279" i="9"/>
  <c r="H278" i="9"/>
  <c r="H277" i="9"/>
  <c r="H276" i="9"/>
  <c r="H275" i="9"/>
  <c r="H274" i="9"/>
  <c r="H273" i="9"/>
  <c r="H272" i="9"/>
  <c r="H271" i="9"/>
  <c r="H270" i="9"/>
  <c r="H269" i="9"/>
  <c r="H268" i="9"/>
  <c r="H267" i="9"/>
  <c r="H266" i="9"/>
  <c r="H265" i="9"/>
  <c r="H264" i="9"/>
  <c r="H263" i="9"/>
  <c r="H262" i="9"/>
  <c r="H261" i="9"/>
  <c r="H260" i="9"/>
  <c r="H259" i="9"/>
  <c r="H258" i="9"/>
  <c r="H257" i="9"/>
  <c r="H256" i="9"/>
  <c r="H255" i="9"/>
  <c r="H254" i="9"/>
  <c r="H253" i="9"/>
  <c r="H252" i="9"/>
  <c r="H251" i="9"/>
  <c r="H250" i="9"/>
  <c r="H249" i="9"/>
  <c r="H248" i="9"/>
  <c r="H247" i="9"/>
  <c r="H246" i="9"/>
  <c r="H245" i="9"/>
  <c r="H244" i="9"/>
  <c r="H243" i="9"/>
  <c r="H242" i="9"/>
  <c r="H241" i="9"/>
  <c r="H240" i="9"/>
  <c r="H239" i="9"/>
  <c r="H238" i="9"/>
  <c r="H237" i="9"/>
  <c r="H236" i="9"/>
  <c r="H235" i="9"/>
  <c r="H234" i="9"/>
  <c r="H233" i="9"/>
  <c r="H232" i="9"/>
  <c r="H231" i="9"/>
  <c r="H230" i="9"/>
  <c r="H229" i="9"/>
  <c r="H228" i="9"/>
  <c r="H227" i="9"/>
  <c r="H226" i="9"/>
  <c r="H225" i="9"/>
  <c r="H224" i="9"/>
  <c r="H223" i="9"/>
  <c r="H222" i="9"/>
  <c r="H221" i="9"/>
  <c r="H220" i="9"/>
  <c r="H219" i="9"/>
  <c r="H218" i="9"/>
  <c r="H217" i="9"/>
  <c r="H216" i="9"/>
  <c r="H215" i="9"/>
  <c r="H214" i="9"/>
  <c r="H213" i="9"/>
  <c r="H212" i="9"/>
  <c r="H211" i="9"/>
  <c r="H210" i="9"/>
  <c r="H209" i="9"/>
  <c r="H208" i="9"/>
  <c r="H207" i="9"/>
  <c r="H206" i="9"/>
  <c r="H205" i="9"/>
  <c r="H204" i="9"/>
  <c r="H203" i="9"/>
  <c r="H202" i="9"/>
  <c r="H201" i="9"/>
  <c r="H200" i="9"/>
  <c r="H199" i="9"/>
  <c r="H198" i="9"/>
  <c r="H197" i="9"/>
  <c r="H196" i="9"/>
  <c r="H195" i="9"/>
  <c r="H194" i="9"/>
  <c r="H193" i="9"/>
  <c r="H192" i="9"/>
  <c r="H191" i="9"/>
  <c r="H190" i="9"/>
  <c r="H189" i="9"/>
  <c r="H188" i="9"/>
  <c r="H187" i="9"/>
  <c r="H186" i="9"/>
  <c r="H185" i="9"/>
  <c r="H184" i="9"/>
  <c r="H183" i="9"/>
  <c r="H182" i="9"/>
  <c r="H181" i="9"/>
  <c r="H180" i="9"/>
  <c r="H179" i="9"/>
  <c r="H178" i="9"/>
  <c r="H177" i="9"/>
  <c r="H176" i="9"/>
  <c r="H175" i="9"/>
  <c r="H174" i="9"/>
  <c r="H173" i="9"/>
  <c r="H172" i="9"/>
  <c r="H171" i="9"/>
  <c r="H170" i="9"/>
  <c r="H169" i="9"/>
  <c r="H168" i="9"/>
  <c r="H167" i="9"/>
  <c r="H166" i="9"/>
  <c r="H165" i="9"/>
  <c r="H164" i="9"/>
  <c r="H163" i="9"/>
  <c r="H162" i="9"/>
  <c r="H161" i="9"/>
  <c r="H160" i="9"/>
  <c r="H159" i="9"/>
  <c r="H158" i="9"/>
  <c r="H157" i="9"/>
  <c r="H156" i="9"/>
  <c r="H155" i="9"/>
  <c r="H154" i="9"/>
  <c r="H153" i="9"/>
  <c r="H152" i="9"/>
  <c r="H151" i="9"/>
  <c r="H150" i="9"/>
  <c r="H149" i="9"/>
  <c r="H148" i="9"/>
  <c r="H147" i="9"/>
  <c r="H146" i="9"/>
  <c r="H145" i="9"/>
  <c r="H144" i="9"/>
  <c r="H143" i="9"/>
  <c r="H142" i="9"/>
  <c r="H141" i="9"/>
  <c r="H140" i="9"/>
  <c r="H139" i="9"/>
  <c r="H138" i="9"/>
  <c r="H137" i="9"/>
  <c r="H136" i="9"/>
  <c r="H135" i="9"/>
  <c r="H134" i="9"/>
  <c r="H133" i="9"/>
  <c r="H132" i="9"/>
  <c r="H131" i="9"/>
  <c r="H130" i="9"/>
  <c r="H129" i="9"/>
  <c r="H128" i="9"/>
  <c r="H127" i="9"/>
  <c r="H126" i="9"/>
  <c r="H125" i="9"/>
  <c r="H124" i="9"/>
  <c r="H123" i="9"/>
  <c r="H122" i="9"/>
  <c r="H121" i="9"/>
  <c r="H120" i="9"/>
  <c r="H119" i="9"/>
  <c r="H118" i="9"/>
  <c r="H117" i="9"/>
  <c r="H116" i="9"/>
  <c r="H115" i="9"/>
  <c r="H114" i="9"/>
  <c r="H113" i="9"/>
  <c r="H112" i="9"/>
  <c r="H111" i="9"/>
  <c r="H110" i="9"/>
  <c r="H109" i="9"/>
  <c r="H108" i="9"/>
  <c r="H107" i="9"/>
  <c r="H106" i="9"/>
  <c r="H105" i="9"/>
  <c r="H104" i="9"/>
  <c r="H103" i="9"/>
  <c r="H102" i="9"/>
  <c r="H101" i="9"/>
  <c r="H100" i="9"/>
  <c r="H99" i="9"/>
  <c r="H98" i="9"/>
  <c r="H97" i="9"/>
  <c r="H96" i="9"/>
  <c r="H95" i="9"/>
  <c r="H94" i="9"/>
  <c r="H93" i="9"/>
  <c r="H92" i="9"/>
  <c r="H91" i="9"/>
  <c r="H90" i="9"/>
  <c r="H89" i="9"/>
  <c r="H88" i="9"/>
  <c r="H87" i="9"/>
  <c r="H86" i="9"/>
  <c r="H85" i="9"/>
  <c r="H84" i="9"/>
  <c r="H83" i="9"/>
  <c r="H82" i="9"/>
  <c r="H81" i="9"/>
  <c r="H80" i="9"/>
  <c r="H79" i="9"/>
  <c r="H78" i="9"/>
  <c r="H77" i="9"/>
  <c r="H76" i="9"/>
  <c r="H75" i="9"/>
  <c r="H74" i="9"/>
  <c r="H73" i="9"/>
  <c r="H72" i="9"/>
  <c r="H71" i="9"/>
  <c r="H70" i="9"/>
  <c r="H69" i="9"/>
  <c r="H68" i="9"/>
  <c r="H67" i="9"/>
  <c r="H66" i="9"/>
  <c r="H65" i="9"/>
  <c r="H64" i="9"/>
  <c r="H63" i="9"/>
  <c r="H62" i="9"/>
  <c r="H61" i="9"/>
  <c r="H60" i="9"/>
  <c r="H59" i="9"/>
  <c r="H58" i="9"/>
  <c r="H57" i="9"/>
  <c r="H56" i="9"/>
  <c r="H55" i="9"/>
  <c r="H54" i="9"/>
  <c r="H53" i="9"/>
  <c r="H52" i="9"/>
  <c r="H51" i="9"/>
  <c r="H50" i="9"/>
  <c r="H49" i="9"/>
  <c r="H48" i="9"/>
  <c r="H47" i="9"/>
  <c r="H46" i="9"/>
  <c r="H45" i="9"/>
  <c r="H44" i="9"/>
  <c r="H43" i="9"/>
  <c r="H42" i="9"/>
  <c r="H41" i="9"/>
  <c r="H40" i="9"/>
  <c r="H39" i="9"/>
  <c r="H38" i="9"/>
  <c r="H37" i="9"/>
  <c r="H36" i="9"/>
  <c r="H35" i="9"/>
  <c r="H34" i="9"/>
  <c r="H33" i="9"/>
  <c r="H32" i="9"/>
  <c r="H31" i="9"/>
  <c r="H30" i="9"/>
  <c r="H29" i="9"/>
  <c r="H28" i="9"/>
  <c r="H27" i="9"/>
  <c r="H26" i="9"/>
  <c r="H25" i="9"/>
  <c r="H24" i="9"/>
  <c r="H23" i="9"/>
  <c r="H22" i="9"/>
  <c r="H21" i="9"/>
  <c r="H20" i="9"/>
  <c r="H19" i="9"/>
  <c r="H18" i="9"/>
  <c r="H17" i="9"/>
  <c r="H16" i="9"/>
  <c r="H15" i="9"/>
  <c r="H14" i="9"/>
  <c r="H13" i="9"/>
  <c r="H12" i="9"/>
  <c r="H11" i="9"/>
  <c r="H10" i="9"/>
  <c r="H9" i="9"/>
  <c r="H8" i="9"/>
  <c r="H7" i="9"/>
  <c r="G5" i="12" l="1"/>
  <c r="D120" i="10" l="1"/>
  <c r="E120" i="10" s="1"/>
  <c r="D119" i="10"/>
  <c r="E119" i="10" s="1"/>
  <c r="D118" i="10"/>
  <c r="E118" i="10" s="1"/>
  <c r="D117" i="10"/>
  <c r="E117" i="10" s="1"/>
  <c r="D116" i="10"/>
  <c r="E116" i="10" s="1"/>
  <c r="D115" i="10"/>
  <c r="E115" i="10" s="1"/>
  <c r="D114" i="10"/>
  <c r="E114" i="10" s="1"/>
  <c r="D113" i="10"/>
  <c r="E113" i="10" s="1"/>
  <c r="D112" i="10"/>
  <c r="E112" i="10" s="1"/>
  <c r="D111" i="10"/>
  <c r="E111" i="10" s="1"/>
  <c r="D110" i="10"/>
  <c r="E110" i="10" s="1"/>
  <c r="D109" i="10"/>
  <c r="E109" i="10" s="1"/>
  <c r="D108" i="10"/>
  <c r="E108" i="10" s="1"/>
  <c r="D107" i="10"/>
  <c r="E107" i="10" s="1"/>
  <c r="D106" i="10"/>
  <c r="E106" i="10" s="1"/>
  <c r="D105" i="10"/>
  <c r="E105" i="10" s="1"/>
  <c r="D104" i="10"/>
  <c r="E104" i="10" s="1"/>
  <c r="D103" i="10"/>
  <c r="E103" i="10" s="1"/>
  <c r="D102" i="10"/>
  <c r="E102" i="10" s="1"/>
  <c r="D101" i="10"/>
  <c r="E101" i="10" s="1"/>
  <c r="D100" i="10"/>
  <c r="E100" i="10" s="1"/>
  <c r="D99" i="10"/>
  <c r="E99" i="10" s="1"/>
  <c r="D98" i="10"/>
  <c r="E98" i="10" s="1"/>
  <c r="D97" i="10"/>
  <c r="E97" i="10" s="1"/>
  <c r="D96" i="10"/>
  <c r="E96" i="10" s="1"/>
  <c r="D95" i="10"/>
  <c r="E95" i="10" s="1"/>
  <c r="D94" i="10"/>
  <c r="E94" i="10" s="1"/>
  <c r="D93" i="10"/>
  <c r="E93" i="10" s="1"/>
  <c r="D92" i="10"/>
  <c r="E92" i="10" s="1"/>
  <c r="D91" i="10"/>
  <c r="E91" i="10" s="1"/>
  <c r="D90" i="10"/>
  <c r="E90" i="10" s="1"/>
  <c r="D89" i="10"/>
  <c r="E89" i="10" s="1"/>
  <c r="D88" i="10"/>
  <c r="E88" i="10" s="1"/>
  <c r="D87" i="10"/>
  <c r="E87" i="10" s="1"/>
  <c r="D86" i="10"/>
  <c r="E86" i="10" s="1"/>
  <c r="D85" i="10"/>
  <c r="E85" i="10" s="1"/>
  <c r="D84" i="10"/>
  <c r="E84" i="10" s="1"/>
  <c r="D83" i="10"/>
  <c r="E83" i="10" s="1"/>
  <c r="D82" i="10"/>
  <c r="E82" i="10" s="1"/>
  <c r="D81" i="10"/>
  <c r="E81" i="10" s="1"/>
  <c r="D80" i="10"/>
  <c r="E80" i="10" s="1"/>
  <c r="D79" i="10"/>
  <c r="E79" i="10" s="1"/>
  <c r="D78" i="10"/>
  <c r="E78" i="10" s="1"/>
  <c r="D77" i="10"/>
  <c r="E77" i="10" s="1"/>
  <c r="D76" i="10"/>
  <c r="E76" i="10" s="1"/>
  <c r="D75" i="10"/>
  <c r="E75" i="10" s="1"/>
  <c r="D74" i="10"/>
  <c r="E74" i="10" s="1"/>
  <c r="D73" i="10"/>
  <c r="E73" i="10" s="1"/>
  <c r="D72" i="10"/>
  <c r="E72" i="10" s="1"/>
  <c r="D71" i="10"/>
  <c r="E71" i="10" s="1"/>
  <c r="D70" i="10"/>
  <c r="E70" i="10" s="1"/>
  <c r="D69" i="10"/>
  <c r="E69" i="10" s="1"/>
  <c r="D68" i="10"/>
  <c r="E68" i="10" s="1"/>
  <c r="D67" i="10"/>
  <c r="E67" i="10" s="1"/>
  <c r="D66" i="10"/>
  <c r="E66" i="10" s="1"/>
  <c r="D65" i="10"/>
  <c r="E65" i="10" s="1"/>
  <c r="D64" i="10"/>
  <c r="E64" i="10" s="1"/>
  <c r="D63" i="10"/>
  <c r="E63" i="10" s="1"/>
  <c r="D62" i="10"/>
  <c r="E62" i="10" s="1"/>
  <c r="D61" i="10"/>
  <c r="E61" i="10" s="1"/>
  <c r="D60" i="10"/>
  <c r="E60" i="10" s="1"/>
  <c r="D59" i="10"/>
  <c r="E59" i="10" s="1"/>
  <c r="D58" i="10"/>
  <c r="E58" i="10" s="1"/>
  <c r="D57" i="10"/>
  <c r="E57" i="10" s="1"/>
  <c r="D56" i="10"/>
  <c r="E56" i="10" s="1"/>
  <c r="D55" i="10"/>
  <c r="E55" i="10" s="1"/>
  <c r="D54" i="10"/>
  <c r="E54" i="10" s="1"/>
  <c r="D53" i="10"/>
  <c r="E53" i="10" s="1"/>
  <c r="D52" i="10"/>
  <c r="E52" i="10" s="1"/>
  <c r="D51" i="10"/>
  <c r="E51" i="10" s="1"/>
  <c r="D50" i="10"/>
  <c r="E50" i="10" s="1"/>
  <c r="D49" i="10"/>
  <c r="E49" i="10" s="1"/>
  <c r="D48" i="10"/>
  <c r="E48" i="10" s="1"/>
  <c r="D47" i="10"/>
  <c r="E47" i="10" s="1"/>
  <c r="D46" i="10"/>
  <c r="E46" i="10" s="1"/>
  <c r="D45" i="10"/>
  <c r="E45" i="10" s="1"/>
  <c r="D44" i="10"/>
  <c r="E44" i="10" s="1"/>
  <c r="D43" i="10"/>
  <c r="E43" i="10" s="1"/>
  <c r="D42" i="10"/>
  <c r="E42" i="10" s="1"/>
  <c r="D41" i="10"/>
  <c r="E41" i="10" s="1"/>
  <c r="D40" i="10"/>
  <c r="E40" i="10" s="1"/>
  <c r="D39" i="10"/>
  <c r="E39" i="10" s="1"/>
  <c r="D38" i="10"/>
  <c r="E38" i="10" s="1"/>
  <c r="D37" i="10"/>
  <c r="E37" i="10" s="1"/>
  <c r="D36" i="10"/>
  <c r="E36" i="10" s="1"/>
  <c r="D35" i="10"/>
  <c r="E35" i="10" s="1"/>
  <c r="D34" i="10"/>
  <c r="E34" i="10" s="1"/>
  <c r="D33" i="10"/>
  <c r="E33" i="10" s="1"/>
  <c r="D32" i="10"/>
  <c r="E32" i="10" s="1"/>
  <c r="D31" i="10"/>
  <c r="E31" i="10" s="1"/>
  <c r="D30" i="10"/>
  <c r="E30" i="10" s="1"/>
  <c r="D29" i="10"/>
  <c r="E29" i="10" s="1"/>
  <c r="D28" i="10"/>
  <c r="E28" i="10" s="1"/>
  <c r="D27" i="10"/>
  <c r="E27" i="10" s="1"/>
  <c r="D26" i="10"/>
  <c r="E26" i="10" s="1"/>
  <c r="D25" i="10"/>
  <c r="E25" i="10" s="1"/>
  <c r="D24" i="10"/>
  <c r="E24" i="10" s="1"/>
  <c r="D23" i="10"/>
  <c r="E23" i="10" s="1"/>
  <c r="D22" i="10"/>
  <c r="E22" i="10" s="1"/>
  <c r="D21" i="10"/>
  <c r="E21" i="10" s="1"/>
  <c r="D20" i="10"/>
  <c r="E20" i="10" s="1"/>
  <c r="D19" i="10"/>
  <c r="E19" i="10" s="1"/>
  <c r="D18" i="10"/>
  <c r="E18" i="10" s="1"/>
  <c r="D17" i="10"/>
  <c r="E17" i="10" s="1"/>
  <c r="D16" i="10"/>
  <c r="E16" i="10" s="1"/>
  <c r="D15" i="10"/>
  <c r="E15" i="10" s="1"/>
  <c r="D14" i="10"/>
  <c r="E14" i="10" s="1"/>
  <c r="D13" i="10"/>
  <c r="E13" i="10" s="1"/>
  <c r="D12" i="10"/>
  <c r="E12" i="10" s="1"/>
  <c r="D11" i="10"/>
  <c r="E11" i="10" s="1"/>
  <c r="D10" i="10"/>
  <c r="E10" i="10" s="1"/>
  <c r="D9" i="10"/>
  <c r="E9" i="10" s="1"/>
  <c r="D8" i="10"/>
  <c r="E8" i="10" s="1"/>
  <c r="D7" i="10"/>
  <c r="E7" i="10" s="1"/>
  <c r="D6" i="10"/>
  <c r="E6" i="10" s="1"/>
  <c r="D5" i="10"/>
  <c r="E5" i="10" s="1"/>
  <c r="D4" i="10"/>
  <c r="E4" i="10" s="1"/>
  <c r="A120" i="10"/>
  <c r="A119" i="10"/>
  <c r="A118" i="10"/>
  <c r="A117" i="10"/>
  <c r="A116" i="10"/>
  <c r="A115" i="10"/>
  <c r="A114" i="10"/>
  <c r="A113" i="10"/>
  <c r="A112" i="10"/>
  <c r="A111" i="10"/>
  <c r="A110" i="10"/>
  <c r="A109" i="10"/>
  <c r="A108" i="10"/>
  <c r="A107" i="10"/>
  <c r="A106" i="10"/>
  <c r="A105" i="10"/>
  <c r="A104" i="10"/>
  <c r="A103" i="10"/>
  <c r="A102" i="10"/>
  <c r="A101" i="10"/>
  <c r="A100" i="10"/>
  <c r="A99" i="10"/>
  <c r="A98" i="10"/>
  <c r="A97" i="10"/>
  <c r="A96" i="10"/>
  <c r="A95" i="10"/>
  <c r="A94" i="10"/>
  <c r="A93" i="10"/>
  <c r="A92" i="10"/>
  <c r="A91" i="10"/>
  <c r="A90" i="10"/>
  <c r="A89" i="10"/>
  <c r="A88" i="10"/>
  <c r="A87" i="10"/>
  <c r="A86" i="10"/>
  <c r="A85" i="10"/>
  <c r="A84" i="10"/>
  <c r="A83" i="10"/>
  <c r="A82" i="10"/>
  <c r="A81" i="10"/>
  <c r="A80" i="10"/>
  <c r="A79" i="10"/>
  <c r="A78" i="10"/>
  <c r="A77" i="10"/>
  <c r="A76" i="10"/>
  <c r="A75" i="10"/>
  <c r="A74" i="10"/>
  <c r="A73" i="10"/>
  <c r="A72" i="10"/>
  <c r="A71" i="10"/>
  <c r="A70" i="10"/>
  <c r="A69" i="10"/>
  <c r="A68" i="10"/>
  <c r="A67" i="10"/>
  <c r="A66" i="10"/>
  <c r="A65" i="10"/>
  <c r="A64" i="10"/>
  <c r="A63" i="10"/>
  <c r="A62" i="10"/>
  <c r="A61" i="10"/>
  <c r="A60" i="10"/>
  <c r="A59" i="10"/>
  <c r="A58" i="10"/>
  <c r="A57" i="10"/>
  <c r="A56" i="10"/>
  <c r="A55" i="10"/>
  <c r="A54" i="10"/>
  <c r="A53" i="10"/>
  <c r="A52" i="10"/>
  <c r="A51" i="10"/>
  <c r="A50" i="10"/>
  <c r="A49" i="10"/>
  <c r="A48" i="10"/>
  <c r="A47" i="10"/>
  <c r="A46" i="10"/>
  <c r="A45" i="10"/>
  <c r="A44" i="10"/>
  <c r="A43" i="10"/>
  <c r="A42" i="10"/>
  <c r="A41" i="10"/>
  <c r="A40" i="10"/>
  <c r="A39" i="10"/>
  <c r="A38" i="10"/>
  <c r="A37" i="10"/>
  <c r="A36" i="10"/>
  <c r="A35" i="10"/>
  <c r="A34" i="10"/>
  <c r="A33" i="10"/>
  <c r="A32" i="10"/>
  <c r="A31" i="10"/>
  <c r="A30" i="10"/>
  <c r="A29" i="10"/>
  <c r="A28" i="10"/>
  <c r="A27" i="10"/>
  <c r="A26" i="10"/>
  <c r="A25" i="10"/>
  <c r="A24" i="10"/>
  <c r="A23" i="10"/>
  <c r="A22" i="10"/>
  <c r="A21" i="10"/>
  <c r="A20" i="10"/>
  <c r="A19" i="10"/>
  <c r="A18" i="10"/>
  <c r="A17" i="10"/>
  <c r="A16" i="10"/>
  <c r="A15" i="10"/>
  <c r="A14" i="10"/>
  <c r="A13" i="10"/>
  <c r="A12" i="10"/>
  <c r="A11" i="10"/>
  <c r="A10" i="10"/>
  <c r="A9" i="10"/>
  <c r="A8" i="10"/>
  <c r="A7" i="10"/>
  <c r="A6" i="10"/>
  <c r="A5" i="10"/>
  <c r="A4" i="10"/>
  <c r="F86" i="10" l="1"/>
  <c r="F13" i="10"/>
  <c r="F25" i="10"/>
  <c r="F37" i="10"/>
  <c r="F49" i="10"/>
  <c r="F61" i="10"/>
  <c r="F73" i="10"/>
  <c r="F85" i="10"/>
  <c r="F97" i="10"/>
  <c r="F109" i="10"/>
  <c r="F110" i="10"/>
  <c r="F15" i="10"/>
  <c r="F27" i="10"/>
  <c r="F39" i="10"/>
  <c r="F51" i="10"/>
  <c r="F63" i="10"/>
  <c r="F75" i="10"/>
  <c r="F87" i="10"/>
  <c r="F99" i="10"/>
  <c r="F111" i="10"/>
  <c r="F16" i="10"/>
  <c r="F28" i="10"/>
  <c r="F40" i="10"/>
  <c r="F52" i="10"/>
  <c r="F64" i="10"/>
  <c r="F76" i="10"/>
  <c r="F88" i="10"/>
  <c r="F100" i="10"/>
  <c r="F112" i="10"/>
  <c r="F62" i="10"/>
  <c r="F5" i="10"/>
  <c r="F17" i="10"/>
  <c r="F29" i="10"/>
  <c r="F41" i="10"/>
  <c r="F53" i="10"/>
  <c r="F65" i="10"/>
  <c r="F77" i="10"/>
  <c r="F89" i="10"/>
  <c r="F101" i="10"/>
  <c r="F113" i="10"/>
  <c r="F98" i="10"/>
  <c r="F6" i="10"/>
  <c r="F18" i="10"/>
  <c r="F30" i="10"/>
  <c r="F42" i="10"/>
  <c r="F54" i="10"/>
  <c r="F66" i="10"/>
  <c r="F78" i="10"/>
  <c r="F90" i="10"/>
  <c r="F102" i="10"/>
  <c r="F114" i="10"/>
  <c r="F50" i="10"/>
  <c r="F7" i="10"/>
  <c r="F19" i="10"/>
  <c r="F31" i="10"/>
  <c r="F43" i="10"/>
  <c r="F55" i="10"/>
  <c r="F67" i="10"/>
  <c r="F79" i="10"/>
  <c r="F91" i="10"/>
  <c r="F103" i="10"/>
  <c r="F115" i="10"/>
  <c r="F8" i="10"/>
  <c r="F20" i="10"/>
  <c r="F32" i="10"/>
  <c r="F44" i="10"/>
  <c r="F56" i="10"/>
  <c r="F68" i="10"/>
  <c r="F80" i="10"/>
  <c r="F92" i="10"/>
  <c r="F104" i="10"/>
  <c r="F116" i="10"/>
  <c r="F74" i="10"/>
  <c r="F9" i="10"/>
  <c r="F21" i="10"/>
  <c r="F33" i="10"/>
  <c r="F45" i="10"/>
  <c r="F57" i="10"/>
  <c r="F69" i="10"/>
  <c r="F81" i="10"/>
  <c r="F93" i="10"/>
  <c r="F105" i="10"/>
  <c r="F117" i="10"/>
  <c r="F38" i="10"/>
  <c r="F10" i="10"/>
  <c r="F22" i="10"/>
  <c r="F34" i="10"/>
  <c r="F46" i="10"/>
  <c r="F58" i="10"/>
  <c r="F70" i="10"/>
  <c r="F82" i="10"/>
  <c r="F94" i="10"/>
  <c r="F106" i="10"/>
  <c r="F118" i="10"/>
  <c r="F14" i="10"/>
  <c r="F11" i="10"/>
  <c r="F23" i="10"/>
  <c r="F35" i="10"/>
  <c r="F47" i="10"/>
  <c r="F59" i="10"/>
  <c r="F71" i="10"/>
  <c r="F83" i="10"/>
  <c r="F95" i="10"/>
  <c r="F107" i="10"/>
  <c r="F119" i="10"/>
  <c r="F26" i="10"/>
  <c r="F12" i="10"/>
  <c r="F24" i="10"/>
  <c r="F36" i="10"/>
  <c r="F48" i="10"/>
  <c r="F60" i="10"/>
  <c r="F72" i="10"/>
  <c r="F84" i="10"/>
  <c r="F96" i="10"/>
  <c r="F108" i="10"/>
  <c r="F120" i="10"/>
  <c r="F4" i="10"/>
  <c r="E5" i="5"/>
  <c r="F5" i="5" s="1"/>
  <c r="A5" i="11" l="1"/>
  <c r="A4" i="11"/>
  <c r="A5" i="8" l="1"/>
  <c r="F5" i="8"/>
  <c r="A106" i="8"/>
  <c r="A105" i="8"/>
  <c r="A104" i="8"/>
  <c r="A103" i="8"/>
  <c r="A102" i="8"/>
  <c r="A101" i="8"/>
  <c r="A100" i="8"/>
  <c r="A99" i="8"/>
  <c r="A98" i="8"/>
  <c r="A97" i="8"/>
  <c r="A96" i="8"/>
  <c r="A95" i="8"/>
  <c r="A94" i="8"/>
  <c r="A93" i="8"/>
  <c r="A92" i="8"/>
  <c r="A91" i="8"/>
  <c r="A90" i="8"/>
  <c r="A89" i="8"/>
  <c r="A88" i="8"/>
  <c r="A87" i="8"/>
  <c r="A86" i="8"/>
  <c r="A85" i="8"/>
  <c r="A84" i="8"/>
  <c r="A83" i="8"/>
  <c r="A82" i="8"/>
  <c r="A81" i="8"/>
  <c r="A80" i="8"/>
  <c r="A79" i="8"/>
  <c r="A78" i="8"/>
  <c r="A77" i="8"/>
  <c r="A76" i="8"/>
  <c r="A75" i="8"/>
  <c r="A74" i="8"/>
  <c r="A73" i="8"/>
  <c r="A72" i="8"/>
  <c r="A71" i="8"/>
  <c r="A70" i="8"/>
  <c r="A69" i="8"/>
  <c r="A68" i="8"/>
  <c r="A67" i="8"/>
  <c r="A66" i="8"/>
  <c r="A65" i="8"/>
  <c r="A64" i="8"/>
  <c r="A63" i="8"/>
  <c r="A62" i="8"/>
  <c r="A61" i="8"/>
  <c r="A60" i="8"/>
  <c r="A59" i="8"/>
  <c r="A58" i="8"/>
  <c r="A57" i="8"/>
  <c r="A56" i="8"/>
  <c r="A55" i="8"/>
  <c r="A54" i="8"/>
  <c r="A53" i="8"/>
  <c r="A52" i="8"/>
  <c r="A51" i="8"/>
  <c r="A50" i="8"/>
  <c r="A49" i="8"/>
  <c r="A48" i="8"/>
  <c r="A47" i="8"/>
  <c r="A46" i="8"/>
  <c r="A45" i="8"/>
  <c r="A44" i="8"/>
  <c r="A43" i="8"/>
  <c r="A42" i="8"/>
  <c r="A41" i="8"/>
  <c r="A40" i="8"/>
  <c r="A39" i="8"/>
  <c r="A38" i="8"/>
  <c r="A37" i="8"/>
  <c r="A36" i="8"/>
  <c r="A35" i="8"/>
  <c r="A34" i="8"/>
  <c r="A33" i="8"/>
  <c r="A32" i="8"/>
  <c r="A31" i="8"/>
  <c r="A30" i="8"/>
  <c r="A29" i="8"/>
  <c r="A28" i="8"/>
  <c r="A27" i="8"/>
  <c r="A26" i="8"/>
  <c r="A25" i="8"/>
  <c r="A24" i="8"/>
  <c r="A23" i="8"/>
  <c r="A22" i="8"/>
  <c r="A21" i="8"/>
  <c r="A20" i="8"/>
  <c r="A19" i="8"/>
  <c r="A18" i="8"/>
  <c r="A17" i="8"/>
  <c r="A16" i="8"/>
  <c r="A15" i="8"/>
  <c r="A14" i="8"/>
  <c r="A13" i="8"/>
  <c r="A12" i="8"/>
  <c r="A11" i="8"/>
  <c r="A10" i="8"/>
  <c r="A9" i="8"/>
  <c r="A8" i="8"/>
  <c r="A7" i="8"/>
  <c r="A6" i="8"/>
  <c r="A4" i="8"/>
  <c r="A162" i="6"/>
  <c r="A161" i="6"/>
  <c r="A160" i="6"/>
  <c r="A159" i="6"/>
  <c r="A158" i="6"/>
  <c r="A157" i="6"/>
  <c r="A156" i="6"/>
  <c r="A155" i="6"/>
  <c r="A154" i="6"/>
  <c r="A153" i="6"/>
  <c r="A152" i="6"/>
  <c r="A151" i="6"/>
  <c r="A150" i="6"/>
  <c r="A149" i="6"/>
  <c r="A148" i="6"/>
  <c r="A147" i="6"/>
  <c r="A146" i="6"/>
  <c r="A145" i="6"/>
  <c r="A144" i="6"/>
  <c r="A143" i="6"/>
  <c r="A142" i="6"/>
  <c r="A141" i="6"/>
  <c r="A140" i="6"/>
  <c r="A139" i="6"/>
  <c r="A138" i="6"/>
  <c r="A137" i="6"/>
  <c r="A136" i="6"/>
  <c r="A135" i="6"/>
  <c r="A134" i="6"/>
  <c r="A133" i="6"/>
  <c r="A132" i="6"/>
  <c r="A131" i="6"/>
  <c r="A130" i="6"/>
  <c r="A129" i="6"/>
  <c r="A128" i="6"/>
  <c r="A127" i="6"/>
  <c r="A126" i="6"/>
  <c r="A125" i="6"/>
  <c r="A124" i="6"/>
  <c r="A123" i="6"/>
  <c r="A122" i="6"/>
  <c r="A121" i="6"/>
  <c r="A120" i="6"/>
  <c r="A119" i="6"/>
  <c r="A118" i="6"/>
  <c r="A117" i="6"/>
  <c r="A116" i="6"/>
  <c r="A115" i="6"/>
  <c r="A114" i="6"/>
  <c r="A113" i="6"/>
  <c r="A112" i="6"/>
  <c r="A111" i="6"/>
  <c r="A110" i="6"/>
  <c r="A109" i="6"/>
  <c r="A108" i="6"/>
  <c r="A107" i="6"/>
  <c r="A106" i="6"/>
  <c r="A105" i="6"/>
  <c r="A104" i="6"/>
  <c r="A103" i="6"/>
  <c r="A102" i="6"/>
  <c r="A101" i="6"/>
  <c r="A100" i="6"/>
  <c r="A99" i="6"/>
  <c r="A98" i="6"/>
  <c r="A97" i="6"/>
  <c r="A96" i="6"/>
  <c r="A95" i="6"/>
  <c r="A94" i="6"/>
  <c r="A93" i="6"/>
  <c r="A92" i="6"/>
  <c r="A91" i="6"/>
  <c r="A90" i="6"/>
  <c r="A89" i="6"/>
  <c r="A88" i="6"/>
  <c r="A87" i="6"/>
  <c r="A86" i="6"/>
  <c r="A85" i="6"/>
  <c r="A84" i="6"/>
  <c r="A83" i="6"/>
  <c r="A82" i="6"/>
  <c r="A81" i="6"/>
  <c r="A80" i="6"/>
  <c r="A79" i="6"/>
  <c r="A78" i="6"/>
  <c r="A77" i="6"/>
  <c r="A76" i="6"/>
  <c r="A75" i="6"/>
  <c r="A74" i="6"/>
  <c r="A73" i="6"/>
  <c r="A72" i="6"/>
  <c r="A71" i="6"/>
  <c r="A70" i="6"/>
  <c r="A69" i="6"/>
  <c r="A68" i="6"/>
  <c r="A67" i="6"/>
  <c r="A66" i="6"/>
  <c r="A65" i="6"/>
  <c r="A64" i="6"/>
  <c r="A63" i="6"/>
  <c r="A62" i="6"/>
  <c r="A61" i="6"/>
  <c r="A60" i="6"/>
  <c r="A59" i="6"/>
  <c r="A58" i="6"/>
  <c r="A57" i="6"/>
  <c r="A56" i="6"/>
  <c r="A55" i="6"/>
  <c r="A54" i="6"/>
  <c r="A53" i="6"/>
  <c r="A52" i="6"/>
  <c r="A51" i="6"/>
  <c r="A50" i="6"/>
  <c r="A49" i="6"/>
  <c r="A48" i="6"/>
  <c r="A47" i="6"/>
  <c r="A46" i="6"/>
  <c r="A45" i="6"/>
  <c r="A44" i="6"/>
  <c r="A43" i="6"/>
  <c r="A42" i="6"/>
  <c r="A41" i="6"/>
  <c r="A40" i="6"/>
  <c r="A39" i="6"/>
  <c r="A38" i="6"/>
  <c r="A37" i="6"/>
  <c r="A36" i="6"/>
  <c r="A35" i="6"/>
  <c r="A34" i="6"/>
  <c r="A33" i="6"/>
  <c r="A32" i="6"/>
  <c r="A31" i="6"/>
  <c r="A30" i="6"/>
  <c r="A29" i="6"/>
  <c r="A28" i="6"/>
  <c r="A27" i="6"/>
  <c r="A26" i="6"/>
  <c r="A25" i="6"/>
  <c r="A24" i="6"/>
  <c r="A23" i="6"/>
  <c r="A22" i="6"/>
  <c r="A21" i="6"/>
  <c r="A20" i="6"/>
  <c r="A19" i="6"/>
  <c r="A18" i="6"/>
  <c r="A17" i="6"/>
  <c r="A16" i="6"/>
  <c r="A15" i="6"/>
  <c r="A14" i="6"/>
  <c r="A13" i="6"/>
  <c r="A12" i="6"/>
  <c r="A11" i="6"/>
  <c r="A10" i="6"/>
  <c r="A9" i="6"/>
  <c r="A8" i="6"/>
  <c r="A7" i="6"/>
  <c r="A6" i="6"/>
  <c r="A5" i="6"/>
  <c r="A85" i="5"/>
  <c r="A84" i="5"/>
  <c r="A83" i="5"/>
  <c r="A82" i="5"/>
  <c r="A81" i="5"/>
  <c r="A80" i="5"/>
  <c r="A79" i="5"/>
  <c r="A78" i="5"/>
  <c r="A77" i="5"/>
  <c r="A76" i="5"/>
  <c r="A75" i="5"/>
  <c r="A74" i="5"/>
  <c r="A73" i="5"/>
  <c r="A72" i="5"/>
  <c r="A71" i="5"/>
  <c r="A70" i="5"/>
  <c r="A69" i="5"/>
  <c r="A68" i="5"/>
  <c r="A67" i="5"/>
  <c r="A66" i="5"/>
  <c r="A65" i="5"/>
  <c r="A64" i="5"/>
  <c r="A63" i="5"/>
  <c r="A62" i="5"/>
  <c r="A61" i="5"/>
  <c r="A60" i="5"/>
  <c r="A59" i="5"/>
  <c r="A58" i="5"/>
  <c r="A57" i="5"/>
  <c r="A56" i="5"/>
  <c r="A55" i="5"/>
  <c r="A54" i="5"/>
  <c r="A53" i="5"/>
  <c r="A52" i="5"/>
  <c r="A51" i="5"/>
  <c r="A50" i="5"/>
  <c r="A49" i="5"/>
  <c r="A48" i="5"/>
  <c r="A47" i="5"/>
  <c r="A46" i="5"/>
  <c r="A45" i="5"/>
  <c r="A44" i="5"/>
  <c r="A43" i="5"/>
  <c r="A42" i="5"/>
  <c r="A41" i="5"/>
  <c r="A40" i="5"/>
  <c r="A39" i="5"/>
  <c r="A38" i="5"/>
  <c r="A37" i="5"/>
  <c r="A36" i="5"/>
  <c r="A35" i="5"/>
  <c r="A34" i="5"/>
  <c r="A33" i="5"/>
  <c r="A32" i="5"/>
  <c r="A31" i="5"/>
  <c r="A30" i="5"/>
  <c r="A29" i="5"/>
  <c r="A28" i="5"/>
  <c r="A27" i="5"/>
  <c r="A26" i="5"/>
  <c r="A25" i="5"/>
  <c r="A24" i="5"/>
  <c r="A23" i="5"/>
  <c r="A22" i="5"/>
  <c r="A21" i="5"/>
  <c r="A20" i="5"/>
  <c r="A19" i="5"/>
  <c r="A18" i="5"/>
  <c r="A17" i="5"/>
  <c r="A16" i="5"/>
  <c r="A15" i="5"/>
  <c r="A14" i="5"/>
  <c r="A13" i="5"/>
  <c r="A12" i="5"/>
  <c r="A11" i="5"/>
  <c r="A10" i="5"/>
  <c r="A9" i="5"/>
  <c r="A8" i="5"/>
  <c r="A7" i="5"/>
  <c r="A797" i="9" l="1"/>
  <c r="A796" i="9"/>
  <c r="A795" i="9"/>
  <c r="A794" i="9"/>
  <c r="A793" i="9"/>
  <c r="A792" i="9"/>
  <c r="A791" i="9"/>
  <c r="A790" i="9"/>
  <c r="A789" i="9"/>
  <c r="A788" i="9"/>
  <c r="A787" i="9"/>
  <c r="A786" i="9"/>
  <c r="A785" i="9"/>
  <c r="A784" i="9"/>
  <c r="A783" i="9"/>
  <c r="A782" i="9"/>
  <c r="A781" i="9"/>
  <c r="A780" i="9"/>
  <c r="A779" i="9"/>
  <c r="A778" i="9"/>
  <c r="A777" i="9"/>
  <c r="A776" i="9"/>
  <c r="A775" i="9"/>
  <c r="A774" i="9"/>
  <c r="A773" i="9"/>
  <c r="A772" i="9"/>
  <c r="A771" i="9"/>
  <c r="A770" i="9"/>
  <c r="A769" i="9"/>
  <c r="A768" i="9"/>
  <c r="A767" i="9"/>
  <c r="A766" i="9"/>
  <c r="A765" i="9"/>
  <c r="A764" i="9"/>
  <c r="A763" i="9"/>
  <c r="A762" i="9"/>
  <c r="A761" i="9"/>
  <c r="A760" i="9"/>
  <c r="A759" i="9"/>
  <c r="A758" i="9"/>
  <c r="A757" i="9"/>
  <c r="A756" i="9"/>
  <c r="A755" i="9"/>
  <c r="A754" i="9"/>
  <c r="A753" i="9"/>
  <c r="A752" i="9"/>
  <c r="A751" i="9"/>
  <c r="A750" i="9"/>
  <c r="A749" i="9"/>
  <c r="A748" i="9"/>
  <c r="A747" i="9"/>
  <c r="A746" i="9"/>
  <c r="A745" i="9"/>
  <c r="A744" i="9"/>
  <c r="A743" i="9"/>
  <c r="A742" i="9"/>
  <c r="A741" i="9"/>
  <c r="A740" i="9"/>
  <c r="A739" i="9"/>
  <c r="A738" i="9"/>
  <c r="A737" i="9"/>
  <c r="A736" i="9"/>
  <c r="A735" i="9"/>
  <c r="A734" i="9"/>
  <c r="A733" i="9"/>
  <c r="A732" i="9"/>
  <c r="A731" i="9"/>
  <c r="A730" i="9"/>
  <c r="A729" i="9"/>
  <c r="A728" i="9"/>
  <c r="A727" i="9"/>
  <c r="A726" i="9"/>
  <c r="A725" i="9"/>
  <c r="A724" i="9"/>
  <c r="A723" i="9"/>
  <c r="A722" i="9"/>
  <c r="A721" i="9"/>
  <c r="A720" i="9"/>
  <c r="A719" i="9"/>
  <c r="A718" i="9"/>
  <c r="A717" i="9"/>
  <c r="A716" i="9"/>
  <c r="A715" i="9"/>
  <c r="A714" i="9"/>
  <c r="A713" i="9"/>
  <c r="A712" i="9"/>
  <c r="A711" i="9"/>
  <c r="A710" i="9"/>
  <c r="A709" i="9"/>
  <c r="A708" i="9"/>
  <c r="A707" i="9"/>
  <c r="A706" i="9"/>
  <c r="A705" i="9"/>
  <c r="A704" i="9"/>
  <c r="A703" i="9"/>
  <c r="A702" i="9"/>
  <c r="A701" i="9"/>
  <c r="A700" i="9"/>
  <c r="A699" i="9"/>
  <c r="A698" i="9"/>
  <c r="A697" i="9"/>
  <c r="A696" i="9"/>
  <c r="A695" i="9"/>
  <c r="A694" i="9"/>
  <c r="A693" i="9"/>
  <c r="A692" i="9"/>
  <c r="A691" i="9"/>
  <c r="A690" i="9"/>
  <c r="A689" i="9"/>
  <c r="A688" i="9"/>
  <c r="A687" i="9"/>
  <c r="A686" i="9"/>
  <c r="A685" i="9"/>
  <c r="A684" i="9"/>
  <c r="A683" i="9"/>
  <c r="A682" i="9"/>
  <c r="A681" i="9"/>
  <c r="A680" i="9"/>
  <c r="A679" i="9"/>
  <c r="A678" i="9"/>
  <c r="A677" i="9"/>
  <c r="A676" i="9"/>
  <c r="A675" i="9"/>
  <c r="A674" i="9"/>
  <c r="A673" i="9"/>
  <c r="A672" i="9"/>
  <c r="A671" i="9"/>
  <c r="A670" i="9"/>
  <c r="A669" i="9"/>
  <c r="A668" i="9"/>
  <c r="A667" i="9"/>
  <c r="A666" i="9"/>
  <c r="A665" i="9"/>
  <c r="A664" i="9"/>
  <c r="A663" i="9"/>
  <c r="A662" i="9"/>
  <c r="A661" i="9"/>
  <c r="A660" i="9"/>
  <c r="A659" i="9"/>
  <c r="A658" i="9"/>
  <c r="A657" i="9"/>
  <c r="A656" i="9"/>
  <c r="A655" i="9"/>
  <c r="A654" i="9"/>
  <c r="A653" i="9"/>
  <c r="A652" i="9"/>
  <c r="A651" i="9"/>
  <c r="A650" i="9"/>
  <c r="A649" i="9"/>
  <c r="A648" i="9"/>
  <c r="A647" i="9"/>
  <c r="A646" i="9"/>
  <c r="A645" i="9"/>
  <c r="A644" i="9"/>
  <c r="A643" i="9"/>
  <c r="A642" i="9"/>
  <c r="A641" i="9"/>
  <c r="A640" i="9"/>
  <c r="A639" i="9"/>
  <c r="A638" i="9"/>
  <c r="A637" i="9"/>
  <c r="A636" i="9"/>
  <c r="A635" i="9"/>
  <c r="A634" i="9"/>
  <c r="A633" i="9"/>
  <c r="A632" i="9"/>
  <c r="A631" i="9"/>
  <c r="A630" i="9"/>
  <c r="A629" i="9"/>
  <c r="A628" i="9"/>
  <c r="A627" i="9"/>
  <c r="A626" i="9"/>
  <c r="A625" i="9"/>
  <c r="A624" i="9"/>
  <c r="A623" i="9"/>
  <c r="A622" i="9"/>
  <c r="A621" i="9"/>
  <c r="A620" i="9"/>
  <c r="A619" i="9"/>
  <c r="A618" i="9"/>
  <c r="A617" i="9"/>
  <c r="A616" i="9"/>
  <c r="A615" i="9"/>
  <c r="A614" i="9"/>
  <c r="A613" i="9"/>
  <c r="A612" i="9"/>
  <c r="A611" i="9"/>
  <c r="A610" i="9"/>
  <c r="A609" i="9"/>
  <c r="A608" i="9"/>
  <c r="A607" i="9"/>
  <c r="A606" i="9"/>
  <c r="A605" i="9"/>
  <c r="A604" i="9"/>
  <c r="A603" i="9"/>
  <c r="A602" i="9"/>
  <c r="A601" i="9"/>
  <c r="A600" i="9"/>
  <c r="A599" i="9"/>
  <c r="A598" i="9"/>
  <c r="A597" i="9"/>
  <c r="A596" i="9"/>
  <c r="A595" i="9"/>
  <c r="A594" i="9"/>
  <c r="A593" i="9"/>
  <c r="A592" i="9"/>
  <c r="A591" i="9"/>
  <c r="A590" i="9"/>
  <c r="A589" i="9"/>
  <c r="A588" i="9"/>
  <c r="A587" i="9"/>
  <c r="A586" i="9"/>
  <c r="A585" i="9"/>
  <c r="A584" i="9"/>
  <c r="A583" i="9"/>
  <c r="A582" i="9"/>
  <c r="A581" i="9"/>
  <c r="A580" i="9"/>
  <c r="A579" i="9"/>
  <c r="A578" i="9"/>
  <c r="A577" i="9"/>
  <c r="A576" i="9"/>
  <c r="A575" i="9"/>
  <c r="A574" i="9"/>
  <c r="A573" i="9"/>
  <c r="A572" i="9"/>
  <c r="A571" i="9"/>
  <c r="A570" i="9"/>
  <c r="A569" i="9"/>
  <c r="A568" i="9"/>
  <c r="A567" i="9"/>
  <c r="A566" i="9"/>
  <c r="A565" i="9"/>
  <c r="A564" i="9"/>
  <c r="A563" i="9"/>
  <c r="A562" i="9"/>
  <c r="A561" i="9"/>
  <c r="A560" i="9"/>
  <c r="A559" i="9"/>
  <c r="A558" i="9"/>
  <c r="A557" i="9"/>
  <c r="A556" i="9"/>
  <c r="A555" i="9"/>
  <c r="A554" i="9"/>
  <c r="A553" i="9"/>
  <c r="A552" i="9"/>
  <c r="A551" i="9"/>
  <c r="A550" i="9"/>
  <c r="A549" i="9"/>
  <c r="A548" i="9"/>
  <c r="A547" i="9"/>
  <c r="A546" i="9"/>
  <c r="A545" i="9"/>
  <c r="A544" i="9"/>
  <c r="A543" i="9"/>
  <c r="A542" i="9"/>
  <c r="A541" i="9"/>
  <c r="A540" i="9"/>
  <c r="A539" i="9"/>
  <c r="A538" i="9"/>
  <c r="A537" i="9"/>
  <c r="A536" i="9"/>
  <c r="A535" i="9"/>
  <c r="A534" i="9"/>
  <c r="A533" i="9"/>
  <c r="A532" i="9"/>
  <c r="A531" i="9"/>
  <c r="A530" i="9"/>
  <c r="A529" i="9"/>
  <c r="A528" i="9"/>
  <c r="A527" i="9"/>
  <c r="A526" i="9"/>
  <c r="A525" i="9"/>
  <c r="A524" i="9"/>
  <c r="A523" i="9"/>
  <c r="A522" i="9"/>
  <c r="A521" i="9"/>
  <c r="A520" i="9"/>
  <c r="A519" i="9"/>
  <c r="A518" i="9"/>
  <c r="A517" i="9"/>
  <c r="A516" i="9"/>
  <c r="A515" i="9"/>
  <c r="A514" i="9"/>
  <c r="A513" i="9"/>
  <c r="A512" i="9"/>
  <c r="A511" i="9"/>
  <c r="A510" i="9"/>
  <c r="A509" i="9"/>
  <c r="A508" i="9"/>
  <c r="A507" i="9"/>
  <c r="A506" i="9"/>
  <c r="A505" i="9"/>
  <c r="A504" i="9"/>
  <c r="A503" i="9"/>
  <c r="A502" i="9"/>
  <c r="A501" i="9"/>
  <c r="A500" i="9"/>
  <c r="A499" i="9"/>
  <c r="A498" i="9"/>
  <c r="A497" i="9"/>
  <c r="A496" i="9"/>
  <c r="A495" i="9"/>
  <c r="A494" i="9"/>
  <c r="A493" i="9"/>
  <c r="A492" i="9"/>
  <c r="A491" i="9"/>
  <c r="A490" i="9"/>
  <c r="A489" i="9"/>
  <c r="A488" i="9"/>
  <c r="A487" i="9"/>
  <c r="A486" i="9"/>
  <c r="A485" i="9"/>
  <c r="A484" i="9"/>
  <c r="A483" i="9"/>
  <c r="A482" i="9"/>
  <c r="A481" i="9"/>
  <c r="A480" i="9"/>
  <c r="A479" i="9"/>
  <c r="A478" i="9"/>
  <c r="A477" i="9"/>
  <c r="A476" i="9"/>
  <c r="A475" i="9"/>
  <c r="A474" i="9"/>
  <c r="A473" i="9"/>
  <c r="A472" i="9"/>
  <c r="A471" i="9"/>
  <c r="A470" i="9"/>
  <c r="A469" i="9"/>
  <c r="A468" i="9"/>
  <c r="A467" i="9"/>
  <c r="A466" i="9"/>
  <c r="A465" i="9"/>
  <c r="A464" i="9"/>
  <c r="A463" i="9"/>
  <c r="A462" i="9"/>
  <c r="A461" i="9"/>
  <c r="A460" i="9"/>
  <c r="A459" i="9"/>
  <c r="A458" i="9"/>
  <c r="A457" i="9"/>
  <c r="A456" i="9"/>
  <c r="A455" i="9"/>
  <c r="A454" i="9"/>
  <c r="A453" i="9"/>
  <c r="A452" i="9"/>
  <c r="A451" i="9"/>
  <c r="A450" i="9"/>
  <c r="A449" i="9"/>
  <c r="A448" i="9"/>
  <c r="A447" i="9"/>
  <c r="A446" i="9"/>
  <c r="A445" i="9"/>
  <c r="A444" i="9"/>
  <c r="A443" i="9"/>
  <c r="A442" i="9"/>
  <c r="A441" i="9"/>
  <c r="A440" i="9"/>
  <c r="A439" i="9"/>
  <c r="A438" i="9"/>
  <c r="A437" i="9"/>
  <c r="A436" i="9"/>
  <c r="A435" i="9"/>
  <c r="A434" i="9"/>
  <c r="A433" i="9"/>
  <c r="A432" i="9"/>
  <c r="A431" i="9"/>
  <c r="A430" i="9"/>
  <c r="A429" i="9"/>
  <c r="A428" i="9"/>
  <c r="A427" i="9"/>
  <c r="A426" i="9"/>
  <c r="A425" i="9"/>
  <c r="A424" i="9"/>
  <c r="A423" i="9"/>
  <c r="A422" i="9"/>
  <c r="A421" i="9"/>
  <c r="A420" i="9"/>
  <c r="A419" i="9"/>
  <c r="A418" i="9"/>
  <c r="A417" i="9"/>
  <c r="A416" i="9"/>
  <c r="A415" i="9"/>
  <c r="A414" i="9"/>
  <c r="A413" i="9"/>
  <c r="A412" i="9"/>
  <c r="A411" i="9"/>
  <c r="A410" i="9"/>
  <c r="A409" i="9"/>
  <c r="A408" i="9"/>
  <c r="A407" i="9"/>
  <c r="A406" i="9"/>
  <c r="A405" i="9"/>
  <c r="A404" i="9"/>
  <c r="A403" i="9"/>
  <c r="A402" i="9"/>
  <c r="A401" i="9"/>
  <c r="A400" i="9"/>
  <c r="A399" i="9"/>
  <c r="A398" i="9"/>
  <c r="A397" i="9"/>
  <c r="A396" i="9"/>
  <c r="A395" i="9"/>
  <c r="A394" i="9"/>
  <c r="A393" i="9"/>
  <c r="A392" i="9"/>
  <c r="A391" i="9"/>
  <c r="A390" i="9"/>
  <c r="A389" i="9"/>
  <c r="A388" i="9"/>
  <c r="A387" i="9"/>
  <c r="A386" i="9"/>
  <c r="A385" i="9"/>
  <c r="A384" i="9"/>
  <c r="A383" i="9"/>
  <c r="A382" i="9"/>
  <c r="A381" i="9"/>
  <c r="A380" i="9"/>
  <c r="A379" i="9"/>
  <c r="A378" i="9"/>
  <c r="A377" i="9"/>
  <c r="A376" i="9"/>
  <c r="A375" i="9"/>
  <c r="A374" i="9"/>
  <c r="A373" i="9"/>
  <c r="A372" i="9"/>
  <c r="A371" i="9"/>
  <c r="A370" i="9"/>
  <c r="A369" i="9"/>
  <c r="A368" i="9"/>
  <c r="A367" i="9"/>
  <c r="A366" i="9"/>
  <c r="A365" i="9"/>
  <c r="A364" i="9"/>
  <c r="A363" i="9"/>
  <c r="A362" i="9"/>
  <c r="A361" i="9"/>
  <c r="A360" i="9"/>
  <c r="A359" i="9"/>
  <c r="A358" i="9"/>
  <c r="A357" i="9"/>
  <c r="A356" i="9"/>
  <c r="A355" i="9"/>
  <c r="A354" i="9"/>
  <c r="A353" i="9"/>
  <c r="A352" i="9"/>
  <c r="A351" i="9"/>
  <c r="A350" i="9"/>
  <c r="A349" i="9"/>
  <c r="A348" i="9"/>
  <c r="A347" i="9"/>
  <c r="A346" i="9"/>
  <c r="A345" i="9"/>
  <c r="A344" i="9"/>
  <c r="A343" i="9"/>
  <c r="A342" i="9"/>
  <c r="A341" i="9"/>
  <c r="A340" i="9"/>
  <c r="A339" i="9"/>
  <c r="A338" i="9"/>
  <c r="A337" i="9"/>
  <c r="A336" i="9"/>
  <c r="A335" i="9"/>
  <c r="A334" i="9"/>
  <c r="A333" i="9"/>
  <c r="A332" i="9"/>
  <c r="A331" i="9"/>
  <c r="A330" i="9"/>
  <c r="A329" i="9"/>
  <c r="A328" i="9"/>
  <c r="A327" i="9"/>
  <c r="A326" i="9"/>
  <c r="A325" i="9"/>
  <c r="A324" i="9"/>
  <c r="A323" i="9"/>
  <c r="A322" i="9"/>
  <c r="A321" i="9"/>
  <c r="A320" i="9"/>
  <c r="A319" i="9"/>
  <c r="A318" i="9"/>
  <c r="A317" i="9"/>
  <c r="A316" i="9"/>
  <c r="A315" i="9"/>
  <c r="A314" i="9"/>
  <c r="A313" i="9"/>
  <c r="A312" i="9"/>
  <c r="A311" i="9"/>
  <c r="A310" i="9"/>
  <c r="A309" i="9"/>
  <c r="A308" i="9"/>
  <c r="A307" i="9"/>
  <c r="A306" i="9"/>
  <c r="A305" i="9"/>
  <c r="A304" i="9"/>
  <c r="A303" i="9"/>
  <c r="A302" i="9"/>
  <c r="A301" i="9"/>
  <c r="A300" i="9"/>
  <c r="A299" i="9"/>
  <c r="A298" i="9"/>
  <c r="A297" i="9"/>
  <c r="A296" i="9"/>
  <c r="A295" i="9"/>
  <c r="A294" i="9"/>
  <c r="A293" i="9"/>
  <c r="A292" i="9"/>
  <c r="A291" i="9"/>
  <c r="A290" i="9"/>
  <c r="A289" i="9"/>
  <c r="A288" i="9"/>
  <c r="A287" i="9"/>
  <c r="A286" i="9"/>
  <c r="A285" i="9"/>
  <c r="A284" i="9"/>
  <c r="A283" i="9"/>
  <c r="A282" i="9"/>
  <c r="A281" i="9"/>
  <c r="A280" i="9"/>
  <c r="A279" i="9"/>
  <c r="A278" i="9"/>
  <c r="A277" i="9"/>
  <c r="A276" i="9"/>
  <c r="A275" i="9"/>
  <c r="A274" i="9"/>
  <c r="A273" i="9"/>
  <c r="A272" i="9"/>
  <c r="A271" i="9"/>
  <c r="A270" i="9"/>
  <c r="A269" i="9"/>
  <c r="A268" i="9"/>
  <c r="A267" i="9"/>
  <c r="A266" i="9"/>
  <c r="A265" i="9"/>
  <c r="A264" i="9"/>
  <c r="A263" i="9"/>
  <c r="A262" i="9"/>
  <c r="A261" i="9"/>
  <c r="A260" i="9"/>
  <c r="A259" i="9"/>
  <c r="A258" i="9"/>
  <c r="A257" i="9"/>
  <c r="A256" i="9"/>
  <c r="A255" i="9"/>
  <c r="A254" i="9"/>
  <c r="A253" i="9"/>
  <c r="A252" i="9"/>
  <c r="A251" i="9"/>
  <c r="A250" i="9"/>
  <c r="A249" i="9"/>
  <c r="A248" i="9"/>
  <c r="A247" i="9"/>
  <c r="A246" i="9"/>
  <c r="A245" i="9"/>
  <c r="A244" i="9"/>
  <c r="A243" i="9"/>
  <c r="A242" i="9"/>
  <c r="A241" i="9"/>
  <c r="A240" i="9"/>
  <c r="A239" i="9"/>
  <c r="A238" i="9"/>
  <c r="A237" i="9"/>
  <c r="A236" i="9"/>
  <c r="A235" i="9"/>
  <c r="A234" i="9"/>
  <c r="A233" i="9"/>
  <c r="A232" i="9"/>
  <c r="A231" i="9"/>
  <c r="A230" i="9"/>
  <c r="A229" i="9"/>
  <c r="A228" i="9"/>
  <c r="A227" i="9"/>
  <c r="A226" i="9"/>
  <c r="A225" i="9"/>
  <c r="A224" i="9"/>
  <c r="A223" i="9"/>
  <c r="A222" i="9"/>
  <c r="A221" i="9"/>
  <c r="A220" i="9"/>
  <c r="A219" i="9"/>
  <c r="A218" i="9"/>
  <c r="A217" i="9"/>
  <c r="A216" i="9"/>
  <c r="A215" i="9"/>
  <c r="A214" i="9"/>
  <c r="A213" i="9"/>
  <c r="A212" i="9"/>
  <c r="A211" i="9"/>
  <c r="A210" i="9"/>
  <c r="A209" i="9"/>
  <c r="A208" i="9"/>
  <c r="A207" i="9"/>
  <c r="A206" i="9"/>
  <c r="A205" i="9"/>
  <c r="A204" i="9"/>
  <c r="A203" i="9"/>
  <c r="A202" i="9"/>
  <c r="A201" i="9"/>
  <c r="A200" i="9"/>
  <c r="A199" i="9"/>
  <c r="A198" i="9"/>
  <c r="A197" i="9"/>
  <c r="A196" i="9"/>
  <c r="A195" i="9"/>
  <c r="A194" i="9"/>
  <c r="A193" i="9"/>
  <c r="A192" i="9"/>
  <c r="A191" i="9"/>
  <c r="A190" i="9"/>
  <c r="A189" i="9"/>
  <c r="A188" i="9"/>
  <c r="A187" i="9"/>
  <c r="A186" i="9"/>
  <c r="A185" i="9"/>
  <c r="A184" i="9"/>
  <c r="A183" i="9"/>
  <c r="A182" i="9"/>
  <c r="A181" i="9"/>
  <c r="A180" i="9"/>
  <c r="A179" i="9"/>
  <c r="A178" i="9"/>
  <c r="A177" i="9"/>
  <c r="A176" i="9"/>
  <c r="A175" i="9"/>
  <c r="A174" i="9"/>
  <c r="A173" i="9"/>
  <c r="A172" i="9"/>
  <c r="A171" i="9"/>
  <c r="A170" i="9"/>
  <c r="A169" i="9"/>
  <c r="A168" i="9"/>
  <c r="A167" i="9"/>
  <c r="A166" i="9"/>
  <c r="A165" i="9"/>
  <c r="A164" i="9"/>
  <c r="A163" i="9"/>
  <c r="A162" i="9"/>
  <c r="A161" i="9"/>
  <c r="A160" i="9"/>
  <c r="A159" i="9"/>
  <c r="A158" i="9"/>
  <c r="A157" i="9"/>
  <c r="A156" i="9"/>
  <c r="A155" i="9"/>
  <c r="A154" i="9"/>
  <c r="A153" i="9"/>
  <c r="A152" i="9"/>
  <c r="A151" i="9"/>
  <c r="A150" i="9"/>
  <c r="A149" i="9"/>
  <c r="A148" i="9"/>
  <c r="A147" i="9"/>
  <c r="A146" i="9"/>
  <c r="A145" i="9"/>
  <c r="A144" i="9"/>
  <c r="A143" i="9"/>
  <c r="A142" i="9"/>
  <c r="A141" i="9"/>
  <c r="A140" i="9"/>
  <c r="A139" i="9"/>
  <c r="A138" i="9"/>
  <c r="A137" i="9"/>
  <c r="A136" i="9"/>
  <c r="A135" i="9"/>
  <c r="A134" i="9"/>
  <c r="A133" i="9"/>
  <c r="A132" i="9"/>
  <c r="A131" i="9"/>
  <c r="A130" i="9"/>
  <c r="A129" i="9"/>
  <c r="A128" i="9"/>
  <c r="A127" i="9"/>
  <c r="A126" i="9"/>
  <c r="A125" i="9"/>
  <c r="A124" i="9"/>
  <c r="A123" i="9"/>
  <c r="A122" i="9"/>
  <c r="A121" i="9"/>
  <c r="A120" i="9"/>
  <c r="A119" i="9"/>
  <c r="A118" i="9"/>
  <c r="A117" i="9"/>
  <c r="A116" i="9"/>
  <c r="A115" i="9"/>
  <c r="A114" i="9"/>
  <c r="A113" i="9"/>
  <c r="A112" i="9"/>
  <c r="A111" i="9"/>
  <c r="A110" i="9"/>
  <c r="A109" i="9"/>
  <c r="A108" i="9"/>
  <c r="A107" i="9"/>
  <c r="A106" i="9"/>
  <c r="A105" i="9"/>
  <c r="A104" i="9"/>
  <c r="A103" i="9"/>
  <c r="A102" i="9"/>
  <c r="A101" i="9"/>
  <c r="A100" i="9"/>
  <c r="A99" i="9"/>
  <c r="A98" i="9"/>
  <c r="A97" i="9"/>
  <c r="A96" i="9"/>
  <c r="A95" i="9"/>
  <c r="A94" i="9"/>
  <c r="A93" i="9"/>
  <c r="A92" i="9"/>
  <c r="A91" i="9"/>
  <c r="A90" i="9"/>
  <c r="A89" i="9"/>
  <c r="A88" i="9"/>
  <c r="A87" i="9"/>
  <c r="A86" i="9"/>
  <c r="A85" i="9"/>
  <c r="A84" i="9"/>
  <c r="A83" i="9"/>
  <c r="A82" i="9"/>
  <c r="A81" i="9"/>
  <c r="A80" i="9"/>
  <c r="A79" i="9"/>
  <c r="A78" i="9"/>
  <c r="A77" i="9"/>
  <c r="A76" i="9"/>
  <c r="A75" i="9"/>
  <c r="A74" i="9"/>
  <c r="A73" i="9"/>
  <c r="A72" i="9"/>
  <c r="A71" i="9"/>
  <c r="A70" i="9"/>
  <c r="A69" i="9"/>
  <c r="A68" i="9"/>
  <c r="A67" i="9"/>
  <c r="A66" i="9"/>
  <c r="A65" i="9"/>
  <c r="A64" i="9"/>
  <c r="A63" i="9"/>
  <c r="A62" i="9"/>
  <c r="A61" i="9"/>
  <c r="A60" i="9"/>
  <c r="A59" i="9"/>
  <c r="A58" i="9"/>
  <c r="A57" i="9"/>
  <c r="A56" i="9"/>
  <c r="A55" i="9"/>
  <c r="A54" i="9"/>
  <c r="A53" i="9"/>
  <c r="A52" i="9"/>
  <c r="A51" i="9"/>
  <c r="A50" i="9"/>
  <c r="A49" i="9"/>
  <c r="A48" i="9"/>
  <c r="A47" i="9"/>
  <c r="A46" i="9"/>
  <c r="A45" i="9"/>
  <c r="A44" i="9"/>
  <c r="A43" i="9"/>
  <c r="A42" i="9"/>
  <c r="A41" i="9"/>
  <c r="A40" i="9"/>
  <c r="A39" i="9"/>
  <c r="A38" i="9"/>
  <c r="A37" i="9"/>
  <c r="A36" i="9"/>
  <c r="A35" i="9"/>
  <c r="A34" i="9"/>
  <c r="A33" i="9"/>
  <c r="A32" i="9"/>
  <c r="A31" i="9"/>
  <c r="A30" i="9"/>
  <c r="A29" i="9"/>
  <c r="A28" i="9"/>
  <c r="A27" i="9"/>
  <c r="A26" i="9"/>
  <c r="A25" i="9"/>
  <c r="A24" i="9"/>
  <c r="A23" i="9"/>
  <c r="A22" i="9"/>
  <c r="A21" i="9"/>
  <c r="A20" i="9"/>
  <c r="A19" i="9"/>
  <c r="A18" i="9"/>
  <c r="A17" i="9"/>
  <c r="A16" i="9"/>
  <c r="A15" i="9"/>
  <c r="A14" i="9"/>
  <c r="A13" i="9"/>
  <c r="A12" i="9"/>
  <c r="A11" i="9"/>
  <c r="A10" i="9"/>
  <c r="A9" i="9"/>
  <c r="A8" i="9"/>
  <c r="A7" i="9"/>
  <c r="G5" i="9"/>
  <c r="F5" i="9"/>
  <c r="C4" i="9"/>
  <c r="D4" i="9" s="1"/>
  <c r="E4" i="9" s="1"/>
  <c r="F4" i="9" s="1"/>
  <c r="G4" i="9" s="1"/>
  <c r="H4" i="9" s="1"/>
  <c r="H5" i="9" l="1"/>
  <c r="J5" i="9" s="1"/>
  <c r="K4" i="9" s="1"/>
  <c r="F106" i="8" l="1"/>
  <c r="F105" i="8"/>
  <c r="F104" i="8"/>
  <c r="F103" i="8"/>
  <c r="F102" i="8"/>
  <c r="F101" i="8"/>
  <c r="F100" i="8"/>
  <c r="F99" i="8"/>
  <c r="F98" i="8"/>
  <c r="F97" i="8"/>
  <c r="F96" i="8"/>
  <c r="F95" i="8"/>
  <c r="F94" i="8"/>
  <c r="F93" i="8"/>
  <c r="F92" i="8"/>
  <c r="F91" i="8"/>
  <c r="F90" i="8"/>
  <c r="F89" i="8"/>
  <c r="F88" i="8"/>
  <c r="F87" i="8"/>
  <c r="F86" i="8"/>
  <c r="F85" i="8"/>
  <c r="F84" i="8"/>
  <c r="F83" i="8"/>
  <c r="F82" i="8"/>
  <c r="F81" i="8"/>
  <c r="F80" i="8"/>
  <c r="F79" i="8"/>
  <c r="F78" i="8"/>
  <c r="F77" i="8"/>
  <c r="F76" i="8"/>
  <c r="F75" i="8"/>
  <c r="F74" i="8"/>
  <c r="F73" i="8"/>
  <c r="F72" i="8"/>
  <c r="F71" i="8"/>
  <c r="F70" i="8"/>
  <c r="F69" i="8"/>
  <c r="F68" i="8"/>
  <c r="F67" i="8"/>
  <c r="F66" i="8"/>
  <c r="F65" i="8"/>
  <c r="F64" i="8"/>
  <c r="F63" i="8"/>
  <c r="F62" i="8"/>
  <c r="F61" i="8"/>
  <c r="F60" i="8"/>
  <c r="F59" i="8"/>
  <c r="F58" i="8"/>
  <c r="F57" i="8"/>
  <c r="F56" i="8"/>
  <c r="F55" i="8"/>
  <c r="F54" i="8"/>
  <c r="F53" i="8"/>
  <c r="F52" i="8"/>
  <c r="F51" i="8"/>
  <c r="F50" i="8"/>
  <c r="F49" i="8"/>
  <c r="F48" i="8"/>
  <c r="F47" i="8"/>
  <c r="F46" i="8"/>
  <c r="F45" i="8"/>
  <c r="F44" i="8"/>
  <c r="F43" i="8"/>
  <c r="F42" i="8"/>
  <c r="F41" i="8"/>
  <c r="F40" i="8"/>
  <c r="F39" i="8"/>
  <c r="F38" i="8"/>
  <c r="F37" i="8"/>
  <c r="F36" i="8"/>
  <c r="F35" i="8"/>
  <c r="F34" i="8"/>
  <c r="F33" i="8"/>
  <c r="F32" i="8"/>
  <c r="F31" i="8"/>
  <c r="F30" i="8"/>
  <c r="F29" i="8"/>
  <c r="F28" i="8"/>
  <c r="F27" i="8"/>
  <c r="F26" i="8"/>
  <c r="F25" i="8"/>
  <c r="F24" i="8"/>
  <c r="F23" i="8"/>
  <c r="F22" i="8"/>
  <c r="F21" i="8"/>
  <c r="F20" i="8"/>
  <c r="F19" i="8"/>
  <c r="F18" i="8"/>
  <c r="F17" i="8"/>
  <c r="F16" i="8"/>
  <c r="F15" i="8"/>
  <c r="F14" i="8"/>
  <c r="F13" i="8"/>
  <c r="F12" i="8"/>
  <c r="F11" i="8"/>
  <c r="F10" i="8"/>
  <c r="F9" i="8"/>
  <c r="F8" i="8"/>
  <c r="F7" i="8"/>
  <c r="F6" i="8"/>
  <c r="F4" i="8"/>
  <c r="A5" i="7"/>
  <c r="A6" i="7" s="1"/>
  <c r="A7" i="7" s="1"/>
  <c r="K6" i="5" l="1"/>
  <c r="C5" i="5"/>
  <c r="D5" i="5" s="1"/>
  <c r="G5" i="5" s="1"/>
  <c r="H5" i="5" s="1"/>
  <c r="I5" i="5" s="1"/>
  <c r="J5" i="5" s="1"/>
  <c r="K5" i="5" s="1"/>
  <c r="BP4" i="1" l="1"/>
  <c r="BO4" i="1"/>
  <c r="BQ4" i="1"/>
  <c r="BR4" i="1"/>
  <c r="BS4" i="1"/>
  <c r="BT4" i="1"/>
  <c r="BK4" i="1" l="1"/>
  <c r="BE4" i="1"/>
  <c r="BC4" i="1"/>
  <c r="AY4" i="1"/>
  <c r="AW4" i="1"/>
  <c r="BM4" i="1"/>
  <c r="BL4" i="1"/>
  <c r="BJ4" i="1"/>
  <c r="BI4" i="1"/>
  <c r="BH4" i="1"/>
  <c r="BG4" i="1"/>
  <c r="BF4" i="1"/>
  <c r="BD4" i="1"/>
  <c r="BB4" i="1"/>
  <c r="BA4" i="1"/>
  <c r="AZ4" i="1"/>
  <c r="AX4" i="1"/>
  <c r="AV4" i="1"/>
  <c r="AU4" i="1"/>
  <c r="AT4" i="1"/>
  <c r="AS4" i="1"/>
  <c r="AR4" i="1"/>
  <c r="AQ4" i="1"/>
  <c r="AP4" i="1"/>
  <c r="AO4" i="1"/>
  <c r="AN4" i="1"/>
  <c r="AM4" i="1"/>
  <c r="AL4" i="1"/>
  <c r="AK4" i="1"/>
  <c r="AJ4" i="1"/>
  <c r="AI4" i="1"/>
  <c r="AH4" i="1"/>
  <c r="AG4" i="1"/>
  <c r="AF4" i="1"/>
  <c r="AE4" i="1"/>
  <c r="AD4" i="1"/>
  <c r="AC4" i="1"/>
  <c r="AB4" i="1"/>
  <c r="AA4" i="1"/>
  <c r="Z4" i="1"/>
  <c r="Y4" i="1"/>
  <c r="X4" i="1"/>
  <c r="W4" i="1"/>
  <c r="V4" i="1"/>
  <c r="U4" i="1"/>
  <c r="T4" i="1"/>
  <c r="S4" i="1"/>
  <c r="R4" i="1"/>
  <c r="Q4" i="1"/>
  <c r="P4" i="1"/>
  <c r="O4" i="1"/>
  <c r="N4" i="1"/>
  <c r="M4" i="1"/>
  <c r="L4" i="1"/>
  <c r="K4" i="1"/>
  <c r="J4" i="1"/>
  <c r="I4" i="1"/>
  <c r="H4" i="1"/>
  <c r="G4" i="1"/>
  <c r="F4" i="1"/>
  <c r="E4" i="1"/>
  <c r="C4" i="1" l="1"/>
  <c r="D4" i="1"/>
</calcChain>
</file>

<file path=xl/sharedStrings.xml><?xml version="1.0" encoding="utf-8"?>
<sst xmlns="http://schemas.openxmlformats.org/spreadsheetml/2006/main" count="1445" uniqueCount="627">
  <si>
    <t>56026000300000025001</t>
  </si>
  <si>
    <t>56102000900000025001</t>
  </si>
  <si>
    <t>56102000900000025002</t>
  </si>
  <si>
    <t>56102000200000025003</t>
  </si>
  <si>
    <t>56102000600000025005</t>
  </si>
  <si>
    <t>56102000800000025006</t>
  </si>
  <si>
    <t>56102000000000025007</t>
  </si>
  <si>
    <t>56102000100000025008</t>
  </si>
  <si>
    <t>56106000900000025001</t>
  </si>
  <si>
    <t>56106000900000025002</t>
  </si>
  <si>
    <t>56106000200000025003</t>
  </si>
  <si>
    <t>56106000400000025004</t>
  </si>
  <si>
    <t>56114000400000025001</t>
  </si>
  <si>
    <t>56116000200000025001</t>
  </si>
  <si>
    <t>56195000000000025001</t>
  </si>
  <si>
    <t>56195000100000025002</t>
  </si>
  <si>
    <t>56195000700000025005</t>
  </si>
  <si>
    <t>56195000900000025006</t>
  </si>
  <si>
    <t>56206000300000025001</t>
  </si>
  <si>
    <t>56206000500000025002</t>
  </si>
  <si>
    <t>56206000700000025003</t>
  </si>
  <si>
    <t>56206000900000025004</t>
  </si>
  <si>
    <t>56210000100000025001</t>
  </si>
  <si>
    <t>56210000500000025003</t>
  </si>
  <si>
    <t>56214000000000025002</t>
  </si>
  <si>
    <t>56214000300000025004</t>
  </si>
  <si>
    <t>56218000400000025001</t>
  </si>
  <si>
    <t>56302000800000025001</t>
  </si>
  <si>
    <t>56302000000000025002</t>
  </si>
  <si>
    <t>56302000300000025004</t>
  </si>
  <si>
    <t>56306000800000025001</t>
  </si>
  <si>
    <t>56314000100000025001</t>
  </si>
  <si>
    <t>56406000200000025001</t>
  </si>
  <si>
    <t>56406000400000025002</t>
  </si>
  <si>
    <t>56406000600000025003</t>
  </si>
  <si>
    <t>56406000800000025004</t>
  </si>
  <si>
    <t>56406000000000025005</t>
  </si>
  <si>
    <t>56406000500000025008</t>
  </si>
  <si>
    <t>56410000900000025001</t>
  </si>
  <si>
    <t>56410000000000025007</t>
  </si>
  <si>
    <t>56410000400000025018</t>
  </si>
  <si>
    <t>56410000500000025019</t>
  </si>
  <si>
    <t>56410000700000025020</t>
  </si>
  <si>
    <t>56410000700000025021</t>
  </si>
  <si>
    <t>56410000700000025022</t>
  </si>
  <si>
    <t>56410000700000025028</t>
  </si>
  <si>
    <t>56414000500000025001</t>
  </si>
  <si>
    <t>56418000100000025001</t>
  </si>
  <si>
    <t>56602000100000025001</t>
  </si>
  <si>
    <t>56602000300000025002</t>
  </si>
  <si>
    <t>56602000500000025003</t>
  </si>
  <si>
    <t>56602000700000025004</t>
  </si>
  <si>
    <t>56614000200000025001</t>
  </si>
  <si>
    <t>56614000400000025002</t>
  </si>
  <si>
    <t>56614000600000025003</t>
  </si>
  <si>
    <t>56614000100000025006</t>
  </si>
  <si>
    <t>56614000300000025007</t>
  </si>
  <si>
    <t>56614000500000025008</t>
  </si>
  <si>
    <t>56614000700000025009</t>
  </si>
  <si>
    <t>56614000900000025010</t>
  </si>
  <si>
    <t>56614000600000025100</t>
  </si>
  <si>
    <t>56795000800000025001</t>
  </si>
  <si>
    <t>56795000000000025002</t>
  </si>
  <si>
    <t>45294000000000025001</t>
  </si>
  <si>
    <t>45294000100000025002</t>
  </si>
  <si>
    <t>45294000300000025003</t>
  </si>
  <si>
    <t>45994000200000025002</t>
  </si>
  <si>
    <t>45994000000000025006</t>
  </si>
  <si>
    <t>45994000300000025008</t>
  </si>
  <si>
    <t>№</t>
  </si>
  <si>
    <t>Yanvar</t>
  </si>
  <si>
    <t>Fevral</t>
  </si>
  <si>
    <t>Mart</t>
  </si>
  <si>
    <t>Aprel</t>
  </si>
  <si>
    <t>May</t>
  </si>
  <si>
    <t>Iyun</t>
  </si>
  <si>
    <t>Iyul</t>
  </si>
  <si>
    <t>Avgust</t>
  </si>
  <si>
    <t>Noyabr</t>
  </si>
  <si>
    <t>Dekabr</t>
  </si>
  <si>
    <t>Jami</t>
  </si>
  <si>
    <t>Shartnoma sanasi</t>
  </si>
  <si>
    <t>Mahsulot (ish, xizmat) yetkazib beruvchi nomi</t>
  </si>
  <si>
    <t>STIRi</t>
  </si>
  <si>
    <t>Shartnoma raqami</t>
  </si>
  <si>
    <t>Mahsulot (ish, xizmat) nomi</t>
  </si>
  <si>
    <t>Mahsulot (ish, xizmat) soni</t>
  </si>
  <si>
    <t>Oʻlchov birligi</t>
  </si>
  <si>
    <t>Shartnoma summasi</t>
  </si>
  <si>
    <t>Izoh</t>
  </si>
  <si>
    <t>A</t>
  </si>
  <si>
    <t>Ish haqi</t>
  </si>
  <si>
    <t>Kommunal</t>
  </si>
  <si>
    <t>Maʼmuriy xarajatlar</t>
  </si>
  <si>
    <t>Qoʻriqlash</t>
  </si>
  <si>
    <t>Xizmat safari</t>
  </si>
  <si>
    <t>Avtomobil xizmati</t>
  </si>
  <si>
    <t>Aloqa</t>
  </si>
  <si>
    <t>Marka</t>
  </si>
  <si>
    <t>Obuna</t>
  </si>
  <si>
    <t>Eskirish</t>
  </si>
  <si>
    <t>Boshqa xarajatlar</t>
  </si>
  <si>
    <t>Banknotalarni tashish xarajatlari</t>
  </si>
  <si>
    <t>Hisoblangan ish haqi</t>
  </si>
  <si>
    <t>Ustama ish haqi</t>
  </si>
  <si>
    <t>Koʻp yillik ish staji uchun xarajatlari</t>
  </si>
  <si>
    <t>Mehnat taʼtili</t>
  </si>
  <si>
    <t>Oʻquv taʼtili</t>
  </si>
  <si>
    <t>Foydalanilmagan mehnat taʼtili uchun toʻlanadigan badal</t>
  </si>
  <si>
    <t>Mehnat taʼtiliga qoʻshimcha toʻlov</t>
  </si>
  <si>
    <t>Bank xizmatchilari uchun</t>
  </si>
  <si>
    <t>Bayram mukofoti</t>
  </si>
  <si>
    <t>Yubiley sanalari munosabati bilan mukofot</t>
  </si>
  <si>
    <t>Pensiyaga kuzatish munosabati bilan mukofot</t>
  </si>
  <si>
    <t>Ijtimoiy soliq 12%</t>
  </si>
  <si>
    <t>Xodimlarni oʻqitish va qayta tayerlash xarajatlari</t>
  </si>
  <si>
    <t>Vaqtincha mehnatga layoqatsizlik nafaqasi</t>
  </si>
  <si>
    <t>Onalarga bolani ikki yoshga toʻlguncha parvarishlash uchun nafaqa</t>
  </si>
  <si>
    <t>Dafn marosimini oʻtkazish uchun moddiy yordam</t>
  </si>
  <si>
    <t>Qishloq xoʻjaligi mahsulotlarini sotib olish uchun moddiy yordam</t>
  </si>
  <si>
    <t>Ichimlik suv uchun xarajatlar</t>
  </si>
  <si>
    <t>Oqava suv uchun (kanalizatsiya) xarajatlar</t>
  </si>
  <si>
    <t>Chiqindilarni olib ketish uchun xarajatlar</t>
  </si>
  <si>
    <t>Dezinfeksiya xarajatlari</t>
  </si>
  <si>
    <t>Tabiiy gaz uchun xarajatlari</t>
  </si>
  <si>
    <t>Elektr energiya xarajatlari</t>
  </si>
  <si>
    <t>Asosiy vositalarga davriy tex. xizmat koʻrsatish xarajatlari</t>
  </si>
  <si>
    <t>Asosiy vositalar, jihoz va uskunalarni joriy taʼmirlash xarajatlari</t>
  </si>
  <si>
    <t>Bank binosini qoʻriqlash xarajatlari</t>
  </si>
  <si>
    <t>Transport xarajatlari (Aviabilet)</t>
  </si>
  <si>
    <t>Mehmonxona xarajatlari</t>
  </si>
  <si>
    <t>Transport xarajatlari (passtrans)</t>
  </si>
  <si>
    <t>Kunlik xarajatlari soʻmda</t>
  </si>
  <si>
    <t>Devonxona buyumlari xarajatlari</t>
  </si>
  <si>
    <t>Xoʻjalik mollari uchun qilingan xarajatlari</t>
  </si>
  <si>
    <t>Banderol, shpagat, plomba, nakladka, polietil. paket</t>
  </si>
  <si>
    <t>KYUTEB kompyuterga va hisob tex. xarajati</t>
  </si>
  <si>
    <t>Blanklar, broshyura va boshqalar uchun qilingan xarajatlari</t>
  </si>
  <si>
    <t>Dori-darmonlar sotib olish xarajatlari</t>
  </si>
  <si>
    <t>Telefon soʻzlashuv xarajatlari</t>
  </si>
  <si>
    <t>Telefon (Perfektum mobil)</t>
  </si>
  <si>
    <t>E-ijro xizmati xarajatlari</t>
  </si>
  <si>
    <t>Hukumat aloqasi xizmati</t>
  </si>
  <si>
    <t>Maxsus aloqa 1-boʻlim</t>
  </si>
  <si>
    <t>Pochta xarajatlari</t>
  </si>
  <si>
    <t>IP televideniye xarajatlari</t>
  </si>
  <si>
    <t>Internet aloqa xizmati uchun</t>
  </si>
  <si>
    <t>Hujjat markalari uchun xarajatlar</t>
  </si>
  <si>
    <t>Kitob, jurnal va davriy nashrlar boʻyicha xarajatlar</t>
  </si>
  <si>
    <t>Bino va boshqa imoratlarni eskirish xarajatlari</t>
  </si>
  <si>
    <t>Qozonxonaning yigʻilgan eskirish xarajatlari</t>
  </si>
  <si>
    <t>1-KPPning yigʻilgan eskirish xarajatlari</t>
  </si>
  <si>
    <t>2-KPPning yigʻilgan eskirish xarajatlari</t>
  </si>
  <si>
    <t>Asosiy vositalarning eskirish xarajatlari</t>
  </si>
  <si>
    <t>Kompyuter texnikalarining eskirish xarajatlari</t>
  </si>
  <si>
    <t>Mebel jihozlarining eskirish xarajatlari</t>
  </si>
  <si>
    <t>M.M.Xashimov javobgarligidagi moslama va jihozlar eskirish xararajatlari</t>
  </si>
  <si>
    <t>X.D.Sharipov javobgarligidagi moslama va jihozlar (qurilish) eskirish xarajatlari</t>
  </si>
  <si>
    <t>Aloqa vositalari J.Gapurov javobgarligidagi a/v eskirish xarajatlari</t>
  </si>
  <si>
    <t>Yongʻin xavfsizligi moslamalar A.Abdullayev javobgarligidagi a/v eskirish xarajatlari</t>
  </si>
  <si>
    <t>R.R.Maripov javobgarligidagi tashvish xabari moslamalari eskirish xarajat</t>
  </si>
  <si>
    <t>Axborot texnologiyalari uskunalarining eskirish summasi</t>
  </si>
  <si>
    <t>Korporativ elektron savdolarda ishtirok etishda qilingan xarajat (Birja va broker x-ti)</t>
  </si>
  <si>
    <t>Debet aylanmadan olingan daromad</t>
  </si>
  <si>
    <t>Boshqa koʻrsatilgan xizmatlar</t>
  </si>
  <si>
    <t>Bankomat daromadi</t>
  </si>
  <si>
    <t>Chek daftarchasi uchun toʻlov</t>
  </si>
  <si>
    <t>Boshqa foizsiz daromadlar (kassa ortiqcha pullar)</t>
  </si>
  <si>
    <t>Boshqa foizsiz daromadlar</t>
  </si>
  <si>
    <t>Oktabr</t>
  </si>
  <si>
    <t>Sentabr</t>
  </si>
  <si>
    <t>F.I.O</t>
  </si>
  <si>
    <t>Tarkibiy boʻlinma nomi</t>
  </si>
  <si>
    <t>Taʼtilga chiqish haqidagi buyruq</t>
  </si>
  <si>
    <t>Taʼtil turi</t>
  </si>
  <si>
    <t>Taʼtil muddati</t>
  </si>
  <si>
    <t>Taʼtil davriyligi</t>
  </si>
  <si>
    <t>sanasi</t>
  </si>
  <si>
    <t>raqami</t>
  </si>
  <si>
    <t>Zaxidova Shaxlo Xusanovna</t>
  </si>
  <si>
    <t>Hisob-kitob kassa markazi</t>
  </si>
  <si>
    <t>oʻquv</t>
  </si>
  <si>
    <t>Gapurov Jasur Taxirovich</t>
  </si>
  <si>
    <t>mehnat</t>
  </si>
  <si>
    <t>toʻliq</t>
  </si>
  <si>
    <t>Soliyev Jaxongir Rashidjon oʻgʻli</t>
  </si>
  <si>
    <t>Kadirov Laziz Shuxrat oʻgʻli</t>
  </si>
  <si>
    <t>Mirxodjayeva Irodaxon Anvarbek qizi</t>
  </si>
  <si>
    <t>Ijro apparati</t>
  </si>
  <si>
    <t>Xatamova Guzal Faritovna</t>
  </si>
  <si>
    <t>Xakimova Sevara Nasirdjanovna</t>
  </si>
  <si>
    <t>Maxammadiyev Xurram Xaydarovich</t>
  </si>
  <si>
    <t>pullik kompensatsiya</t>
  </si>
  <si>
    <t>Alimatova Mavsilya Vinerovna</t>
  </si>
  <si>
    <t>Buxgalteriya hisobi, hisoboti va moliyaviy-iqtisodiy faoliyat boshqarmasi</t>
  </si>
  <si>
    <t>Sultanxodjayev Xikmatilla Tillaxodjayevich</t>
  </si>
  <si>
    <t>Abduvaliyev Erali Umarali oʻgʻli</t>
  </si>
  <si>
    <t>Tadbirkorlikni qoʻllab-quvvatlash va aholi bandligini taʼminlash boʻlimi</t>
  </si>
  <si>
    <t>1-yarmi</t>
  </si>
  <si>
    <t>Mamasoliyeva Kamola Baxtiyarovna</t>
  </si>
  <si>
    <t>Xudayberdiyev Axmadjon Raximberdiyevich</t>
  </si>
  <si>
    <t>Jurayev Jaxongir Xikmatulloyevich</t>
  </si>
  <si>
    <t>Kredit tashkilotlarini inspeksiya qilish boshqarmasi</t>
  </si>
  <si>
    <t>Baxramova Gulchexra Kaxarxodjayevna</t>
  </si>
  <si>
    <t>Urmanov Ravshan Rixsibayevich</t>
  </si>
  <si>
    <t>Abduvaliyev Xusniddin Furqatovich</t>
  </si>
  <si>
    <t>Axatjanov Abduraxmon Qudratullayevich</t>
  </si>
  <si>
    <t>Kamalov Xabibulla Maxamadovich</t>
  </si>
  <si>
    <t>Latipova Nargiza Mirshamirovna</t>
  </si>
  <si>
    <t>Xashimov Mirzoxid Mirkamilovich</t>
  </si>
  <si>
    <t>Bekmurodov Farxod Amrillayevich</t>
  </si>
  <si>
    <t>Raximov Xurshid Voxidjon oʻgʻli</t>
  </si>
  <si>
    <t>Rasulova Munisa Bositxujayevna</t>
  </si>
  <si>
    <t>Samigova Shahodat Nasirjonovna</t>
  </si>
  <si>
    <t>Yoʻldoshxonov Akmalxon Abdullaxonovich</t>
  </si>
  <si>
    <t>Aliyev Jamshidjon Gafurdjanovich</t>
  </si>
  <si>
    <t>Karayev Xikmatillo Karshiyevich</t>
  </si>
  <si>
    <t>Sharipov Xasan Djurayevich</t>
  </si>
  <si>
    <t>Tulyakov Faxriddin Yuldashboyevich</t>
  </si>
  <si>
    <t>Tursunov Normumin Abduxamidovich</t>
  </si>
  <si>
    <t>Tijorat banklarida davlat maqsadli dasturlari ijrosini monitoring qilish boshqarmasi</t>
  </si>
  <si>
    <t>Alimxadjayeva Dilafruz Maxsutovna</t>
  </si>
  <si>
    <t>Irgashev Sherzod Rabimovich</t>
  </si>
  <si>
    <t>Karimov Alisher Saydumarovich</t>
  </si>
  <si>
    <t>Karimov Sherzod Alaskarovich</t>
  </si>
  <si>
    <t>Matboboyev Utkirjon Rustamovich</t>
  </si>
  <si>
    <t>Mirzaraximova Zuxra Gafurjanovna</t>
  </si>
  <si>
    <t>Obidova Nodira Akrom qizi</t>
  </si>
  <si>
    <t>Xakimov Bobur Erkin oʻgʻli</t>
  </si>
  <si>
    <t>Sobirov Sobitxon Saidburxon oʻgʻli</t>
  </si>
  <si>
    <t>Yarmatov Abrorjon Elmurodovich</t>
  </si>
  <si>
    <t>Abdiqodirov Sherzod Sobir oʻgʻli</t>
  </si>
  <si>
    <t>Maripov Rixsixodja Raxmatovich</t>
  </si>
  <si>
    <t>Xalmuxamedov Doniyor Mulabayevich</t>
  </si>
  <si>
    <t>Jumayeva Hilola Nusratullayevna</t>
  </si>
  <si>
    <t>Umarov Mirzoxid Mirxilolovich</t>
  </si>
  <si>
    <t>Yunusova Maqbula Sabitovna</t>
  </si>
  <si>
    <t>Raxmanova Dildora Sabitovna</t>
  </si>
  <si>
    <t>Sarikulova Dilafruz Islomovna</t>
  </si>
  <si>
    <t>Xusomiddinov Kamoliddin Saloxiddinovich</t>
  </si>
  <si>
    <t>Yusupov Murod Abduraxmonovich</t>
  </si>
  <si>
    <t>Axrorov Shaxobiddin Ravshanovich</t>
  </si>
  <si>
    <t>Tangirov Xasan Davlatboyevich</t>
  </si>
  <si>
    <t>Qodirjonova Feruza Shuhratovna</t>
  </si>
  <si>
    <t>Davronbekov Javlon Kamol oʻgʻli</t>
  </si>
  <si>
    <t>Berdiyarov Jamshid Abdurazzakovich</t>
  </si>
  <si>
    <t>Boltayev Shavkat Xasanovich</t>
  </si>
  <si>
    <t>Alayev Rustam Xayriddinovich</t>
  </si>
  <si>
    <t>Abbosov Samariddin Ravshanovich</t>
  </si>
  <si>
    <t>Mirsabitova Dildora Xusnitdinovna</t>
  </si>
  <si>
    <t>Toshniyazov Ilhomjon Roʻziyevich</t>
  </si>
  <si>
    <t>Shomirov Abdulaziz Abdurashidovich</t>
  </si>
  <si>
    <t>Karshibayev Ulugʻbek Baxodir oʻgʻli</t>
  </si>
  <si>
    <t>Nishanaliyev Islombek Valisherovich</t>
  </si>
  <si>
    <t>Abduxalikov Toyirjon Abdurasilovich</t>
  </si>
  <si>
    <t>Mansurov Adxam Axmadovich</t>
  </si>
  <si>
    <t>Kadirova Shaxnoza Akbarovna</t>
  </si>
  <si>
    <t>Azimberdiyev Ulugʻbek Egamberdiyevich</t>
  </si>
  <si>
    <t>Otaxonov Axyorxon Abrorovich</t>
  </si>
  <si>
    <t>Abdullayev Abral Akmalovich</t>
  </si>
  <si>
    <t>Raxmatov Sharifxoʻja Joʻra oʻgʻli</t>
  </si>
  <si>
    <t>Zaitova Dilfuza Tursunboy qizi</t>
  </si>
  <si>
    <t>Fayzullayev Qodirbek Baxtiyor oʻgʻli</t>
  </si>
  <si>
    <t>Joʻrayev Anvar Abdumurotovich</t>
  </si>
  <si>
    <t>Akmalova Nilufar Abdufataxovna</t>
  </si>
  <si>
    <t>Sanakulov Abdurasul Rizokulovich</t>
  </si>
  <si>
    <t>Fayzullaxoʻjayev Jasur Xakimovich</t>
  </si>
  <si>
    <t>Yubiley yoshi</t>
  </si>
  <si>
    <t>Kasallik varaqasi boʻyicha toʻlov qilingan oy</t>
  </si>
  <si>
    <t>Ikramova Dilnoza Baxritdinovna</t>
  </si>
  <si>
    <t>Markaziy bank Toshkent viloyati bosh boshqarmasi tarkibiy boʻlinmalari tomonidan ombordan olingan kam baholi tez eskiruvchi buyumlar toʻgʻrisida maʼlumot</t>
  </si>
  <si>
    <t>Sana</t>
  </si>
  <si>
    <t>Mahsulot nomi</t>
  </si>
  <si>
    <t>Soni</t>
  </si>
  <si>
    <t>Narxi</t>
  </si>
  <si>
    <t>Summasi</t>
  </si>
  <si>
    <t>Talabnoma yozgan boʻlim nomi</t>
  </si>
  <si>
    <t>Markaziy bank Toshkent viloyati bosh boshqarmasida faoliyat yuritayotgan xodimlarning mehnat staji boʻyicha maʼlumot</t>
  </si>
  <si>
    <t>Xodimning F.I.O</t>
  </si>
  <si>
    <t>Ish boshlagan yili</t>
  </si>
  <si>
    <t>Bank tizimidagi ish staji</t>
  </si>
  <si>
    <t>Bank tizimidagi staji yili</t>
  </si>
  <si>
    <t>Ish staji uchun qoʻshimcha toʻlov miqdori foizda</t>
  </si>
  <si>
    <t>Nuraliyev Bekzod Fazliddinovich</t>
  </si>
  <si>
    <t>Mirsobitova Dildora Xusnitdinovna</t>
  </si>
  <si>
    <t>Turdiyev Alisher Turgʻunjon oʻgʻli</t>
  </si>
  <si>
    <t>Ashiraliyev Boburmirzo Botirjon oʻgʻli</t>
  </si>
  <si>
    <t>Ortikov Maxammadjon Adxamjon oʻgʻli</t>
  </si>
  <si>
    <t>Eshmuratova Nilufar Djurabayevna</t>
  </si>
  <si>
    <t>Alimxodjayeva Dilafruz Maxsutovna</t>
  </si>
  <si>
    <t>Moddiy yordam berilgan oy</t>
  </si>
  <si>
    <t>Ombor/xizmat</t>
  </si>
  <si>
    <t>KMTEB (Kam baholi tez eskiruvchan buyumlar) xarajati</t>
  </si>
  <si>
    <t>Daromadlar</t>
  </si>
  <si>
    <t>Ishga chiqish sanasi</t>
  </si>
  <si>
    <t>Kasallik varag‘i davriyligi</t>
  </si>
  <si>
    <t>Markaziy bank Toshkent viloyati bosh boshqarmasi xodimlarining 2026-yil yanvar-mart oylari davomida vaqtinchalik mehnatga layoqatsizlik taʼtilga chiqqanligi toʻgʻrisida maʼlumot</t>
  </si>
  <si>
    <t>01.04.2026-yil holatiga</t>
  </si>
  <si>
    <t>Markaziy bank Toshkent viloyati bosh boshqarmasining 2026-yil yanvar-mart oylarida yubiley sanalarini nishonlagan xodimlari toʻgʻrisida maʼlumot</t>
  </si>
  <si>
    <t>Ahrorov Oybek Ulug‘bek o‘g‘li</t>
  </si>
  <si>
    <t>Taʼtil boshlanish vaqti</t>
  </si>
  <si>
    <t>06.09.2025-05.09.2026</t>
  </si>
  <si>
    <t>02.04.2025-01.04.2026</t>
  </si>
  <si>
    <t>Markaziy bank Toshkent viloyati bosh boshqarmasi xodimlarining 2026-yil yanvar-mart oylari davomida taʼtilga chiqqanligi toʻgʻrisida maʼlumot</t>
  </si>
  <si>
    <t>Ma'muriy xizmat</t>
  </si>
  <si>
    <t>Hisob-kitob kassa markazi kassa operatsiyalari bo'limi</t>
  </si>
  <si>
    <t>Gafurova Muqaddas Махmudjоnоvnа</t>
  </si>
  <si>
    <t>02.06.2025-01.06.2026</t>
  </si>
  <si>
    <t>29.09.2025-28.09.2026</t>
  </si>
  <si>
    <t>Alimаtоvа Nina Sergeyevna</t>
  </si>
  <si>
    <t>14.07.2025-13.07.2026</t>
  </si>
  <si>
    <t>Maxammadiyev Хurrаm Xaydarovich</t>
  </si>
  <si>
    <t>ljro apparati</t>
  </si>
  <si>
    <t>05.07.2025-04.07.2026</t>
  </si>
  <si>
    <t>04.04.2025-03.04.2026</t>
  </si>
  <si>
    <t>lsrailova Dilafruz Rustambayevna</t>
  </si>
  <si>
    <t>28.03.2025-27.03.2026</t>
  </si>
  <si>
    <t>Raqamli texnologiyalar vositasida sodir etiladigan huquqbuzarliklarga qarshi
kurashish hamda kibertahdidlardan himoya qilish shu'basi</t>
  </si>
  <si>
    <t>26.07.2025-25.07.2026</t>
  </si>
  <si>
    <t>Abdullayeva Muxabbat lmomovna</t>
  </si>
  <si>
    <t>O‘z hisobidan ta’til</t>
  </si>
  <si>
    <t>4 kun</t>
  </si>
  <si>
    <t>31 kun</t>
  </si>
  <si>
    <t>14 kun</t>
  </si>
  <si>
    <t>Тursunоv Normumin Abduxamidovich</t>
  </si>
  <si>
    <t>6 kun</t>
  </si>
  <si>
    <t>33 kun</t>
  </si>
  <si>
    <t>35 kun</t>
  </si>
  <si>
    <t>1 kun</t>
  </si>
  <si>
    <t>Mirxodjayeva lrodaxon Anvarbek qizi</t>
  </si>
  <si>
    <t>Amirov Abduvosid Xusniddin o'g'li</t>
  </si>
  <si>
    <t>24.12.2025-23.12.2026</t>
  </si>
  <si>
    <t>21 kun</t>
  </si>
  <si>
    <t>20.01.2025-19.01.2026</t>
  </si>
  <si>
    <t>Rahbariyat qoshida bosh mutaxassis</t>
  </si>
  <si>
    <t>Buyruq</t>
  </si>
  <si>
    <t>04.03.2025-03.03.2026</t>
  </si>
  <si>
    <t>Sandibayev Zafarion Shuxratjonovich</t>
  </si>
  <si>
    <t>28.08.2025-27.08.2026</t>
  </si>
  <si>
    <t>22 kun</t>
  </si>
  <si>
    <t>24.07.2025-23.07.2026</t>
  </si>
  <si>
    <t>Ro'ziyeva Dilfuza Shavkatovna</t>
  </si>
  <si>
    <t>05.04.2025-04.04.2026</t>
  </si>
  <si>
    <t>3 kun</t>
  </si>
  <si>
    <t>Qimmatliklarni tashishni tashkil qilish bo'limi</t>
  </si>
  <si>
    <t>20.02.2025-19.02.2026</t>
  </si>
  <si>
    <t>2 kun</t>
  </si>
  <si>
    <t>13.06.2025-12.06.2026</t>
  </si>
  <si>
    <t>Soliyev Jaxongir Rashidjon o'g'li</t>
  </si>
  <si>
    <t>29 kun</t>
  </si>
  <si>
    <t>11.06.2025-10.06.2026</t>
  </si>
  <si>
    <t>01.05.2025-30.04.2026</t>
  </si>
  <si>
    <t>Zakirova Shaxnoza Alimxodiayevna</t>
  </si>
  <si>
    <t>23.04.2025-22.04.2026</t>
  </si>
  <si>
    <t>9 kun</t>
  </si>
  <si>
    <t>Nаrхlаr va iqtisodiy kutilmalarni o'rganish bo'limi</t>
  </si>
  <si>
    <t>15.01.2025-14.01.2026</t>
  </si>
  <si>
    <t>Eshmuratova Nilufаr Djurabayevna</t>
  </si>
  <si>
    <t>Kredit tashkilotlarida moliyaviy monitoringni muvofiqlashtirish va valyuta nazorati bo'limi</t>
  </si>
  <si>
    <t>30.04.2025-29.04.2026</t>
  </si>
  <si>
    <t>Rahbariyat qoshidagi Safarbar etish ishlari va fuqaroIarni himoyalash bo'yicha muhandis</t>
  </si>
  <si>
    <t>18.07.2025-17.07.2026</t>
  </si>
  <si>
    <t>Markaziy bank Toshkent viloyati bosh boshqarmasi tomonidan 2026-yil yanvar-mart oylari davomida tuzilgan xoʻjalik shartnomalari toʻgʻrisida maʼlumot</t>
  </si>
  <si>
    <t>Markaziy bank Toshkent viloyati bosh boshqarmasi xodimlarining  2026-yil yanvar-mart oylari davomida yaqinlari vafot etganligi boʻyicha toʻlangan moddiy yordam toʻgʻrisida maʼlumot</t>
  </si>
  <si>
    <t>Musaxodjayeva Dildora Kaxarxodjayevna</t>
  </si>
  <si>
    <t>Ishankulova Dilfuza Abdufattoxovna</t>
  </si>
  <si>
    <t>Gafurova Mukaddas Maxmudjonovna</t>
  </si>
  <si>
    <t>Samigova Shaxodat Nasirjanovna</t>
  </si>
  <si>
    <t>Zakirova Shaxnoza Alimxodjayevna</t>
  </si>
  <si>
    <t>Rasuleva Nargisa Anvarovna</t>
  </si>
  <si>
    <t>Sandibayev Zafarjon Shuxratjonovich</t>
  </si>
  <si>
    <t>Amirov Abduvosit Xusniddin oʻgʻli</t>
  </si>
  <si>
    <t>Asamitdinov Xusnitdin Sayfitdinovich</t>
  </si>
  <si>
    <t>Abduraxmonov Maxmudbek Magʻsudovich</t>
  </si>
  <si>
    <t>Ubayeva Dono Gʻaniyevna</t>
  </si>
  <si>
    <t>Xatamov Aʼlamxon Akbarovich</t>
  </si>
  <si>
    <t>Xaitov Muzaffar Akbarovich</t>
  </si>
  <si>
    <t>Karimov Ilxomjon Ismoilovich</t>
  </si>
  <si>
    <t>Ibragimov Jamoliddin Shaxobovich</t>
  </si>
  <si>
    <t>Axmedova Xurshidaxon Rashadovna</t>
  </si>
  <si>
    <t>Yusupova Viloyat Lutpidinovna</t>
  </si>
  <si>
    <t>Yaminova Gulnoza Tairovna</t>
  </si>
  <si>
    <t>Irdjanova Malika Xusnutdinovna</t>
  </si>
  <si>
    <t>Kadirshayeva Malika Alijanovna</t>
  </si>
  <si>
    <t>Alimatova Nina Sergeyevna</t>
  </si>
  <si>
    <t>Ibragimova Patigul Turdi qizi</t>
  </si>
  <si>
    <t>Abdullayeva Muxabbat Imomovna</t>
  </si>
  <si>
    <t>Tosheva Soxiba Suyarovna</t>
  </si>
  <si>
    <t>Gulyamova Nargiza Lutfullayevna</t>
  </si>
  <si>
    <t>Aripova Nargiza Yuldashevna</t>
  </si>
  <si>
    <t>Roʻziyeva Dilfuza Shavkatovna</t>
  </si>
  <si>
    <t>Latipova Gulchehra Abrorjonovna</t>
  </si>
  <si>
    <t>Israilova Dilafruz Rustambayevna</t>
  </si>
  <si>
    <t>Ismailov Rustam Egamberdiyevich</t>
  </si>
  <si>
    <t>Tagayeva Raʼno Xasanovna</t>
  </si>
  <si>
    <t>Mirzakasimov Shavkat Farxatjanovich</t>
  </si>
  <si>
    <t>Shaubayev Rixsulla Xabibullayevich</t>
  </si>
  <si>
    <t>Umardjanov Xotam Xasanovich</t>
  </si>
  <si>
    <t>Xakimov Qosimjon Alisher oʻgʻli</t>
  </si>
  <si>
    <t>yanvar</t>
  </si>
  <si>
    <t>09.01.2026-12.01.2026</t>
  </si>
  <si>
    <t>08.01.2026-12.01.2026</t>
  </si>
  <si>
    <t>Kredit tashkilotlarida moliyaviy, monitoringni muvofiqlashtigish va valyuta nazorati boʻlimi</t>
  </si>
  <si>
    <t>Maʼmuriy xizmat</t>
  </si>
  <si>
    <t>24.12.2025-30.12.2025</t>
  </si>
  <si>
    <t>05.01.2026-09.01.2026</t>
  </si>
  <si>
    <t>09.01.2026-17.01.2026</t>
  </si>
  <si>
    <t>05.01.2026-17.01.2026</t>
  </si>
  <si>
    <t>12.01.2026-17.01.2026</t>
  </si>
  <si>
    <t>09.02.2026-13.02.2026</t>
  </si>
  <si>
    <t>fevral</t>
  </si>
  <si>
    <t>21.01.2026-14.02.2026</t>
  </si>
  <si>
    <t>18.02.2026-22.02.2026</t>
  </si>
  <si>
    <t>10.02.2026-24.02.2026</t>
  </si>
  <si>
    <t>Yaminova Gulnoza Toirovna</t>
  </si>
  <si>
    <t>05.01.2026-29.01.2026</t>
  </si>
  <si>
    <t>30.01.2026-11.02.2026</t>
  </si>
  <si>
    <t>mart</t>
  </si>
  <si>
    <t>26.02.2026-12.03.2026</t>
  </si>
  <si>
    <t>13.01.2026-06.02.2026</t>
  </si>
  <si>
    <t>09.02.2026-23.02.2026</t>
  </si>
  <si>
    <t>02.02.2026-11.02.2026</t>
  </si>
  <si>
    <t>16.02.2026-12.03.2026</t>
  </si>
  <si>
    <t>Bosh boshqarma boshlig‘i o‘rinbosari</t>
  </si>
  <si>
    <t>16.03.2026-20.03.2026</t>
  </si>
  <si>
    <t>04.03.2026-13.03.2026</t>
  </si>
  <si>
    <t>10.03.2026-19.03.2026</t>
  </si>
  <si>
    <t>02.02.2026-06.03.2026</t>
  </si>
  <si>
    <t>05.03.2026-10.03.2026</t>
  </si>
  <si>
    <t>02.03.2026-06.03.2026</t>
  </si>
  <si>
    <t>16.03.2026-19.03.2026</t>
  </si>
  <si>
    <t>HKKM buxgalteriya</t>
  </si>
  <si>
    <t>Maʼmuriy xizmat (rahbariyat)</t>
  </si>
  <si>
    <t>Toʻlov tizimlari infratuzilmalari va axborot texnologiyalari boʻlimi</t>
  </si>
  <si>
    <t>HKKM kassa</t>
  </si>
  <si>
    <t>Maxsus bo‘lim</t>
  </si>
  <si>
    <t>Qimmatliklarni tashishni tashkil qilish bo‘limi</t>
  </si>
  <si>
    <t>Кабель сотилган</t>
  </si>
  <si>
    <t>Naqd pul muomalasini tashkil etish boshqarmasi</t>
  </si>
  <si>
    <t>Kadr</t>
  </si>
  <si>
    <t>Факт</t>
  </si>
  <si>
    <t>Фарқ</t>
  </si>
  <si>
    <t>Havo tozalagich</t>
  </si>
  <si>
    <t>Tikmajild (Skorosshivatel)</t>
  </si>
  <si>
    <t>Kanop ip (Nit shpagat)</t>
  </si>
  <si>
    <t>Tutqich (Skoba 24/6)</t>
  </si>
  <si>
    <t>Stepler uchun tutqich</t>
  </si>
  <si>
    <t>Qisqich (Skrepki 29mm)</t>
  </si>
  <si>
    <t>210 mm o‘lchamdagi rulon qog‘oz</t>
  </si>
  <si>
    <t>300 mm o‘lchamdagi rulon qog‘oz</t>
  </si>
  <si>
    <t>Qog‘oz (A4 format)</t>
  </si>
  <si>
    <t>Ish jurnali</t>
  </si>
  <si>
    <t>Ruchka (Offix1.0mm(sn)link)</t>
  </si>
  <si>
    <t>Chizg‘ich (Lineyka chertejnaya)</t>
  </si>
  <si>
    <t>Papka</t>
  </si>
  <si>
    <t>Ruchka gelli</t>
  </si>
  <si>
    <t>Hojatxona qog‘ozi  (Elma 6sht v  upakovke)</t>
  </si>
  <si>
    <t>Firma blankasi</t>
  </si>
  <si>
    <t>Xo‘jalik sovuni</t>
  </si>
  <si>
    <t>Hojatxona uchun suyuq sovun</t>
  </si>
  <si>
    <t>Kir yuvish kukuni</t>
  </si>
  <si>
    <t>Xo‘jalik rezina qo‘lqopi</t>
  </si>
  <si>
    <t>Batareya (AA)</t>
  </si>
  <si>
    <t>Tozalash vositasi (chistol)</t>
  </si>
  <si>
    <t>Matoli qo‘lqop</t>
  </si>
  <si>
    <t>Oq bo‘z</t>
  </si>
  <si>
    <t>Banderol 100 000 so‘mlik</t>
  </si>
  <si>
    <t>Banderol 200 000 so‘mlik</t>
  </si>
  <si>
    <t>Banderol 20 000 so‘mlik</t>
  </si>
  <si>
    <t>Banderol 50 000 so‘mlik</t>
  </si>
  <si>
    <t>Nakladka 200 000 so‘mlik</t>
  </si>
  <si>
    <t>Nakladka 10 000 so‘mlik</t>
  </si>
  <si>
    <t>Nakladka 5 000 so‘mlik</t>
  </si>
  <si>
    <t>Polietilen qop</t>
  </si>
  <si>
    <t>Qora qalam (HBDeli E38029)</t>
  </si>
  <si>
    <t>Stiker</t>
  </si>
  <si>
    <t xml:space="preserve">Qog‘oz (A3 format) Svetocopy </t>
  </si>
  <si>
    <t>Buyruq blankasi (№000 001-001 000 [zak.№153-OK (2023)]</t>
  </si>
  <si>
    <t>Tozalash vositasi</t>
  </si>
  <si>
    <t>Qog‘oz sochiq (ELMA)</t>
  </si>
  <si>
    <t>Laminat va parket yuvish vositasi (1l)</t>
  </si>
  <si>
    <t>Batareya (AAA)</t>
  </si>
  <si>
    <t>Qog‘oz salfetka (Elma)</t>
  </si>
  <si>
    <t>Qog‘oz (A3 format)</t>
  </si>
  <si>
    <t>Kley (PVA)</t>
  </si>
  <si>
    <t>Nakladka 1 000 so‘mlik</t>
  </si>
  <si>
    <t>Plomba</t>
  </si>
  <si>
    <t>Surguch</t>
  </si>
  <si>
    <t>Teflon lentasi</t>
  </si>
  <si>
    <t>Shtamp yostiqchasi uchun siyoh (28g Trodat)</t>
  </si>
  <si>
    <t>Oq doska uchun marker 2 mm (qizil Deli)</t>
  </si>
  <si>
    <t>Latta (YSK Black King)</t>
  </si>
  <si>
    <t>Mramor uchun choʻtka (Щetka dlya uborki(mramora))</t>
  </si>
  <si>
    <t>Printer uchun Kartridj (SLC- CRG 070H)</t>
  </si>
  <si>
    <t>Farmoyish blankasi (№0000001-0001000)</t>
  </si>
  <si>
    <t>Supurgi</t>
  </si>
  <si>
    <t>Polyuvgich (Shvabra Marka MEGA Plastik)</t>
  </si>
  <si>
    <t>Ruchka (sharikli)</t>
  </si>
  <si>
    <t>Banderol 2 000 so‘mlik</t>
  </si>
  <si>
    <t>Banderol 5 000 so‘mlik</t>
  </si>
  <si>
    <t>Pulni qadoqlash uchun nakladka</t>
  </si>
  <si>
    <t>Kassa kitobi (155-kitob, 41b, 171-kitob)</t>
  </si>
  <si>
    <t>Marker (Schneider)</t>
  </si>
  <si>
    <t>Idish yuvish vositasi</t>
  </si>
  <si>
    <t>Supurgi (venik-metla)</t>
  </si>
  <si>
    <t>Yuzalarni tozalash lattasi (Tryapka dlya ochistki poverxnostex)</t>
  </si>
  <si>
    <t>Printer uchun kartridj(Canon C-EXV 49 komp(C.M.Y.K))</t>
  </si>
  <si>
    <t>dona</t>
  </si>
  <si>
    <t>kg</t>
  </si>
  <si>
    <t>komp</t>
  </si>
  <si>
    <t>metr</t>
  </si>
  <si>
    <t>juft</t>
  </si>
  <si>
    <t>pachka</t>
  </si>
  <si>
    <t>o‘ram</t>
  </si>
  <si>
    <t>Markaziy bank Toshkent viloyati bosh boshqarmasida mehnat qilib pensiyaga chiqqan ishlamaydigan mehnat faxriylariga 2026-yil yanvar-mart oylari davomida to‘langan moddiy yordam to‘g‘risida  ma’lumot</t>
  </si>
  <si>
    <t>Pensioner F.I.O</t>
  </si>
  <si>
    <t>Moddiy yordam olish bo‘yicha murojaat qilgan sana</t>
  </si>
  <si>
    <t>Respublika Markaziy bankiga bosh boshqarma tomonidan yozilgan ruxsat xati</t>
  </si>
  <si>
    <t>Respublika Markaziy bankining bergan ruxsat xati</t>
  </si>
  <si>
    <t>Moddiy yordam berilgan</t>
  </si>
  <si>
    <t>Raqami</t>
  </si>
  <si>
    <t>Maxmudova Gulnara Djurayevna</t>
  </si>
  <si>
    <t>Karimova Raxila Turgunbayevna</t>
  </si>
  <si>
    <t>Raxmanov Shuxrat Rafikovich</t>
  </si>
  <si>
    <t>10-02/9</t>
  </si>
  <si>
    <t>09-15/1-43</t>
  </si>
  <si>
    <t>10-02/11</t>
  </si>
  <si>
    <t>09-15/1-50</t>
  </si>
  <si>
    <t>10-02/69</t>
  </si>
  <si>
    <t>09-15/1-167</t>
  </si>
  <si>
    <t>Shartnoma turi</t>
  </si>
  <si>
    <t>UNICON-SOFT MCHJ</t>
  </si>
  <si>
    <t>Toʻgʻridan-toʻgʻri</t>
  </si>
  <si>
    <t>xizmat</t>
  </si>
  <si>
    <t>2741-2026/IJRO</t>
  </si>
  <si>
    <t>“Ijro.gov.uz” ijro intizomi idoralararo yagona elektron tizimi uchun oylik abonent toʻlovi</t>
  </si>
  <si>
    <t>Oʻzbekiston pochtasi AJ</t>
  </si>
  <si>
    <t>Pochta jo‘natmalarini jo‘natish uchun</t>
  </si>
  <si>
    <t>Toshkent shahar lchki ishlar bosh boshqarmasi huzuridagi Qo'riqlash xizmati</t>
  </si>
  <si>
    <t>Qo‘riqlash xizmati uchun</t>
  </si>
  <si>
    <t>"ALIHON FAYZ SERVIS" MChJ</t>
  </si>
  <si>
    <t>mehmonxona xizmati</t>
  </si>
  <si>
    <t>IT WORKS MCHJ</t>
  </si>
  <si>
    <t>306579176</t>
  </si>
  <si>
    <t>Elektron doʻkon</t>
  </si>
  <si>
    <t>Cloude AI Max sun’iy intellekt dasturiga litsenziya olish</t>
  </si>
  <si>
    <t>Gamma Pro sun’iy intellekt dasturiga litsenziya olish</t>
  </si>
  <si>
    <t>Canva Pro sun’iy intellekt dasturiga litsenziya olish</t>
  </si>
  <si>
    <t>Open AI ChatGPT Team sun’iy intellekt dasturiga litsenziya olish</t>
  </si>
  <si>
    <t>"TOSHKENT SHAHAR HOKIMLIGI HUZURIDAGI MAXSUSTRANS ISHLAB CHIQARISH BOSHQARMASI" DAVLAT UNITAR KORXONASI</t>
  </si>
  <si>
    <t>200903001</t>
  </si>
  <si>
    <t>26280/101346613590</t>
  </si>
  <si>
    <t>Qattiq maishiy chiqindilarni olib chiqib ketish xizmati uchun</t>
  </si>
  <si>
    <r>
      <t>m</t>
    </r>
    <r>
      <rPr>
        <sz val="11"/>
        <color theme="1"/>
        <rFont val="Calibri"/>
        <family val="2"/>
        <charset val="204"/>
      </rPr>
      <t>³</t>
    </r>
  </si>
  <si>
    <t>YANGIYER BREND MCHJ</t>
  </si>
  <si>
    <t>306982910</t>
  </si>
  <si>
    <t>ombor</t>
  </si>
  <si>
    <t>plomba</t>
  </si>
  <si>
    <t>XIDIRALI OTA FAYZ MCHJ</t>
  </si>
  <si>
    <t>306011377</t>
  </si>
  <si>
    <t>4161188</t>
  </si>
  <si>
    <t>supurgi</t>
  </si>
  <si>
    <t>SQB CONSTRUCTION MCHJ</t>
  </si>
  <si>
    <t>306859967</t>
  </si>
  <si>
    <t>17/26</t>
  </si>
  <si>
    <t xml:space="preserve">
Obyektida bajarilgan qurilish-montaj ishlarining haqiqiy hajmini aniqlash uchun nazorat o‘lchovini amalga oshirish bilan bog‘liq xizmatlar</t>
  </si>
  <si>
    <t>NEW PRICE OK</t>
  </si>
  <si>
    <t>309528015</t>
  </si>
  <si>
    <t>4181916</t>
  </si>
  <si>
    <t>Marker</t>
  </si>
  <si>
    <t>4206655</t>
  </si>
  <si>
    <t>Kopirka qogʻozi</t>
  </si>
  <si>
    <t>YTT KARIMOV SALIM RAXIMOVICH</t>
  </si>
  <si>
    <t>31108650220013</t>
  </si>
  <si>
    <t>4215399</t>
  </si>
  <si>
    <t>Chang artish matosi</t>
  </si>
  <si>
    <t>ZAFAROBODLIK FARM MCHJ</t>
  </si>
  <si>
    <t>312693224</t>
  </si>
  <si>
    <t>4224843</t>
  </si>
  <si>
    <t>Idish yuvish uchun gel (5 litr)</t>
  </si>
  <si>
    <t>Davlat kadastrlari palatasi Toshkent viloyati boshqarmasi</t>
  </si>
  <si>
    <t>205729166</t>
  </si>
  <si>
    <t>026/25-26</t>
  </si>
  <si>
    <t>Yer maydonlarini doimiy foydalanish huquqi asosida ajratib berish materiallarini tayyorlash ishlari</t>
  </si>
  <si>
    <t>OCTA INFIN GROUP MCHJ</t>
  </si>
  <si>
    <t>312247895</t>
  </si>
  <si>
    <t>4269261</t>
  </si>
  <si>
    <t>Noutbuk xarid qilish</t>
  </si>
  <si>
    <t>UNIVERSAL TEXNO SIASH MCHJ</t>
  </si>
  <si>
    <t>310799124</t>
  </si>
  <si>
    <t>4273422</t>
  </si>
  <si>
    <t>Batareyka V9</t>
  </si>
  <si>
    <t>4273492</t>
  </si>
  <si>
    <t>POWER MAX GROUP MCHJ</t>
  </si>
  <si>
    <t>303055063</t>
  </si>
  <si>
    <t>Kley (25 gr pomadka)</t>
  </si>
  <si>
    <t>YTT MAMARAXIMOV ELYOR O‘KTAM O‘G‘LI</t>
  </si>
  <si>
    <t>Dizel yoqilg‘isi</t>
  </si>
  <si>
    <t>l</t>
  </si>
  <si>
    <t>Respublika MB</t>
  </si>
  <si>
    <t>YTT XUJAMATOVA GULCHEXRA</t>
  </si>
  <si>
    <t>rulon</t>
  </si>
  <si>
    <t>GREEN BOUNTY MCHJ</t>
  </si>
  <si>
    <t>Pol yuvgich (plastik shvabra)</t>
  </si>
  <si>
    <t>SUPER-PRINT XK</t>
  </si>
  <si>
    <t>Nakladka (turli qiymatdagi)</t>
  </si>
  <si>
    <t>Banderol (turli qiymatdagi)</t>
  </si>
  <si>
    <t>PREMIUM POLIGRAF BIZNES MCHJ</t>
  </si>
  <si>
    <t>LIIDER MCHJ</t>
  </si>
  <si>
    <t>K1112141</t>
  </si>
  <si>
    <t>YTT UMAROVA ZAXIRA DADASHOVNA</t>
  </si>
  <si>
    <t>Stiker (strelka Deli)</t>
  </si>
  <si>
    <t>Shtamp yostiqchachi uchun buyoq (Shtampelniy kraska, Deli)</t>
  </si>
  <si>
    <t>YTT ABZAYIROV O‘KTAM ABDUXOLIQ O‘G‘LI</t>
  </si>
  <si>
    <t>Ruchka (koʻk siyohli)</t>
  </si>
  <si>
    <t>Asosiy vosita nomi</t>
  </si>
  <si>
    <t>Bino-inshootlar</t>
  </si>
  <si>
    <t>Qiymati</t>
  </si>
  <si>
    <t>Kirim</t>
  </si>
  <si>
    <t>Chiqim</t>
  </si>
  <si>
    <t>Yig‘ilgan eskirish</t>
  </si>
  <si>
    <t>Mebel, moslama va jihozlar</t>
  </si>
  <si>
    <t>Qoldiq qiymati</t>
  </si>
  <si>
    <t>Ombordagi asosiy vositalar</t>
  </si>
  <si>
    <t>Tugallanmagan qurilishlar</t>
  </si>
  <si>
    <t>Markaziy bank Toshkent viloyati bosh boshqarmasida mavjud asosiy vositalar toʻgʻrisida maʼlumot</t>
  </si>
  <si>
    <t>Jinsi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</si>
</sst>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-* #,##0.00\ _с_ў_м_-;\-* #,##0.00\ _с_ў_м_-;_-* &quot;-&quot;??\ _с_ў_м_-;_-@_-"/>
    <numFmt numFmtId="165" formatCode="000000"/>
  </numFmts>
  <fonts count="14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b/>
      <sz val="14"/>
      <color theme="1"/>
      <name val="Calibri"/>
      <family val="2"/>
      <charset val="204"/>
      <scheme val="minor"/>
    </font>
    <font>
      <sz val="10"/>
      <name val="Arial Cyr"/>
      <charset val="204"/>
    </font>
    <font>
      <b/>
      <sz val="12"/>
      <color theme="1"/>
      <name val="Calibri"/>
      <family val="2"/>
      <charset val="204"/>
      <scheme val="minor"/>
    </font>
    <font>
      <b/>
      <sz val="11"/>
      <color rgb="FFFF0000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sz val="11"/>
      <color rgb="FF000000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  <font>
      <b/>
      <sz val="12"/>
      <color rgb="FF000000"/>
      <name val="Calibri"/>
      <family val="2"/>
      <charset val="204"/>
      <scheme val="minor"/>
    </font>
    <font>
      <b/>
      <sz val="22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</font>
    <font>
      <b/>
      <sz val="28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2" fillId="0" borderId="0" applyFont="0" applyFill="0" applyBorder="0" applyAlignment="0" applyProtection="0"/>
    <xf numFmtId="0" fontId="4" fillId="0" borderId="0"/>
  </cellStyleXfs>
  <cellXfs count="83">
    <xf numFmtId="0" fontId="0" fillId="0" borderId="0" xfId="0"/>
    <xf numFmtId="0" fontId="0" fillId="0" borderId="0" xfId="0" applyAlignment="1">
      <alignment horizontal="center" vertical="center" wrapText="1"/>
    </xf>
    <xf numFmtId="3" fontId="0" fillId="0" borderId="0" xfId="0" applyNumberFormat="1" applyAlignment="1">
      <alignment horizontal="center" vertical="center"/>
    </xf>
    <xf numFmtId="49" fontId="0" fillId="0" borderId="0" xfId="0" applyNumberFormat="1"/>
    <xf numFmtId="3" fontId="0" fillId="0" borderId="0" xfId="0" applyNumberFormat="1"/>
    <xf numFmtId="4" fontId="1" fillId="0" borderId="0" xfId="0" applyNumberFormat="1" applyFont="1" applyAlignment="1">
      <alignment horizontal="center" vertical="center" wrapText="1"/>
    </xf>
    <xf numFmtId="4" fontId="0" fillId="0" borderId="0" xfId="0" applyNumberFormat="1" applyAlignment="1">
      <alignment horizontal="center" vertical="center"/>
    </xf>
    <xf numFmtId="4" fontId="0" fillId="0" borderId="0" xfId="0" applyNumberFormat="1"/>
    <xf numFmtId="0" fontId="5" fillId="2" borderId="3" xfId="0" applyFont="1" applyFill="1" applyBorder="1" applyAlignment="1">
      <alignment horizontal="center" vertical="center" wrapText="1"/>
    </xf>
    <xf numFmtId="0" fontId="5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14" fontId="0" fillId="0" borderId="6" xfId="0" applyNumberFormat="1" applyBorder="1" applyAlignment="1">
      <alignment horizontal="center" vertical="center"/>
    </xf>
    <xf numFmtId="0" fontId="0" fillId="0" borderId="6" xfId="0" applyBorder="1" applyAlignment="1">
      <alignment horizontal="left" vertical="center" wrapText="1"/>
    </xf>
    <xf numFmtId="0" fontId="0" fillId="0" borderId="6" xfId="0" applyBorder="1" applyAlignment="1">
      <alignment horizontal="center" vertical="center"/>
    </xf>
    <xf numFmtId="3" fontId="0" fillId="0" borderId="6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14" fontId="0" fillId="0" borderId="8" xfId="0" applyNumberFormat="1" applyBorder="1" applyAlignment="1">
      <alignment horizontal="center" vertical="center"/>
    </xf>
    <xf numFmtId="0" fontId="0" fillId="0" borderId="8" xfId="0" applyBorder="1" applyAlignment="1">
      <alignment horizontal="left" vertical="center" wrapText="1"/>
    </xf>
    <xf numFmtId="0" fontId="0" fillId="0" borderId="8" xfId="0" applyBorder="1" applyAlignment="1">
      <alignment horizontal="center" vertical="center"/>
    </xf>
    <xf numFmtId="3" fontId="0" fillId="0" borderId="8" xfId="0" applyNumberForma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wrapText="1"/>
    </xf>
    <xf numFmtId="0" fontId="5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horizontal="left" vertical="center" wrapText="1"/>
    </xf>
    <xf numFmtId="1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14" fontId="0" fillId="0" borderId="0" xfId="0" applyNumberFormat="1"/>
    <xf numFmtId="0" fontId="6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left" vertical="top"/>
    </xf>
    <xf numFmtId="0" fontId="1" fillId="2" borderId="2" xfId="0" applyFont="1" applyFill="1" applyBorder="1" applyAlignment="1">
      <alignment horizontal="center" vertical="center" wrapText="1"/>
    </xf>
    <xf numFmtId="4" fontId="1" fillId="2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 applyAlignment="1">
      <alignment horizontal="left" vertical="center"/>
    </xf>
    <xf numFmtId="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0" fillId="0" borderId="2" xfId="0" applyBorder="1"/>
    <xf numFmtId="0" fontId="0" fillId="0" borderId="0" xfId="0" applyAlignment="1">
      <alignment horizontal="center"/>
    </xf>
    <xf numFmtId="49" fontId="0" fillId="0" borderId="6" xfId="0" applyNumberFormat="1" applyBorder="1" applyAlignment="1">
      <alignment horizontal="center" vertical="center"/>
    </xf>
    <xf numFmtId="16" fontId="0" fillId="0" borderId="0" xfId="0" applyNumberFormat="1"/>
    <xf numFmtId="0" fontId="0" fillId="0" borderId="2" xfId="0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14" fontId="0" fillId="0" borderId="2" xfId="0" applyNumberForma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3" fontId="0" fillId="0" borderId="2" xfId="0" applyNumberFormat="1" applyBorder="1" applyAlignment="1">
      <alignment horizontal="center" vertical="center"/>
    </xf>
    <xf numFmtId="3" fontId="5" fillId="0" borderId="2" xfId="0" applyNumberFormat="1" applyFont="1" applyBorder="1" applyAlignment="1">
      <alignment horizontal="center" vertical="center" wrapText="1"/>
    </xf>
    <xf numFmtId="4" fontId="1" fillId="2" borderId="6" xfId="0" applyNumberFormat="1" applyFont="1" applyFill="1" applyBorder="1" applyAlignment="1">
      <alignment horizontal="center" vertical="center" wrapText="1"/>
    </xf>
    <xf numFmtId="4" fontId="0" fillId="0" borderId="6" xfId="0" applyNumberFormat="1" applyBorder="1" applyAlignment="1">
      <alignment horizontal="center" vertical="center"/>
    </xf>
    <xf numFmtId="0" fontId="0" fillId="0" borderId="7" xfId="0" applyBorder="1"/>
    <xf numFmtId="4" fontId="0" fillId="0" borderId="7" xfId="0" applyNumberFormat="1" applyBorder="1"/>
    <xf numFmtId="0" fontId="0" fillId="0" borderId="7" xfId="0" applyBorder="1" applyAlignment="1">
      <alignment horizontal="center" vertical="center" wrapText="1"/>
    </xf>
    <xf numFmtId="0" fontId="0" fillId="0" borderId="14" xfId="0" applyBorder="1" applyAlignment="1">
      <alignment horizontal="center" vertical="center"/>
    </xf>
    <xf numFmtId="4" fontId="0" fillId="0" borderId="8" xfId="0" applyNumberFormat="1" applyBorder="1" applyAlignment="1">
      <alignment horizontal="center" vertical="center"/>
    </xf>
    <xf numFmtId="0" fontId="0" fillId="0" borderId="9" xfId="0" applyBorder="1"/>
    <xf numFmtId="0" fontId="0" fillId="0" borderId="7" xfId="0" applyBorder="1" applyAlignment="1">
      <alignment horizontal="center" wrapText="1"/>
    </xf>
    <xf numFmtId="165" fontId="0" fillId="0" borderId="6" xfId="0" applyNumberFormat="1" applyBorder="1" applyAlignment="1">
      <alignment horizontal="center" vertical="center"/>
    </xf>
    <xf numFmtId="0" fontId="7" fillId="0" borderId="0" xfId="0" applyFont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5" fillId="0" borderId="11" xfId="0" applyFont="1" applyBorder="1" applyAlignment="1">
      <alignment horizontal="center" vertical="center" wrapText="1"/>
    </xf>
    <xf numFmtId="0" fontId="5" fillId="0" borderId="12" xfId="0" applyFont="1" applyBorder="1" applyAlignment="1">
      <alignment horizontal="center" vertical="center" wrapText="1"/>
    </xf>
    <xf numFmtId="0" fontId="5" fillId="0" borderId="13" xfId="0" applyFont="1" applyBorder="1" applyAlignment="1">
      <alignment horizontal="center" vertical="center" wrapText="1"/>
    </xf>
    <xf numFmtId="0" fontId="9" fillId="0" borderId="0" xfId="0" applyFont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1" fillId="0" borderId="15" xfId="0" applyFont="1" applyBorder="1" applyAlignment="1">
      <alignment horizontal="center" vertical="center" wrapText="1"/>
    </xf>
    <xf numFmtId="0" fontId="0" fillId="0" borderId="15" xfId="0" applyBorder="1" applyAlignment="1">
      <alignment horizontal="center" vertical="center"/>
    </xf>
  </cellXfs>
  <cellStyles count="3">
    <cellStyle name="Обычный" xfId="0" builtinId="0"/>
    <cellStyle name="Обычный 2" xfId="2"/>
    <cellStyle name="Финансовый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T16"/>
  <sheetViews>
    <sheetView workbookViewId="0">
      <pane xSplit="1" ySplit="3" topLeftCell="B4" activePane="bottomRight" state="frozen"/>
      <selection pane="topRight" activeCell="B1" sqref="B1"/>
      <selection pane="bottomLeft" activeCell="A3" sqref="A3"/>
      <selection pane="bottomRight" activeCell="B4" sqref="B4"/>
    </sheetView>
  </sheetViews>
  <sheetFormatPr defaultColWidth="9.140625" defaultRowHeight="15" x14ac:dyDescent="0.25"/>
  <cols>
    <col min="1" max="1" width="9.5703125" bestFit="1" customWidth="1"/>
    <col min="2" max="2" width="16.140625" bestFit="1" customWidth="1"/>
    <col min="3" max="3" width="22" style="2" bestFit="1" customWidth="1"/>
    <col min="4" max="17" width="21.42578125" style="2" bestFit="1" customWidth="1"/>
    <col min="18" max="18" width="21.85546875" style="2" bestFit="1" customWidth="1"/>
    <col min="19" max="26" width="21.42578125" style="2" bestFit="1" customWidth="1"/>
    <col min="27" max="27" width="22.28515625" style="2" bestFit="1" customWidth="1"/>
    <col min="28" max="28" width="23.7109375" style="2" bestFit="1" customWidth="1"/>
    <col min="29" max="58" width="21.42578125" style="2" bestFit="1" customWidth="1"/>
    <col min="59" max="59" width="22.7109375" style="2" bestFit="1" customWidth="1"/>
    <col min="60" max="60" width="22.42578125" style="2" bestFit="1" customWidth="1"/>
    <col min="61" max="61" width="21.5703125" style="2" bestFit="1" customWidth="1"/>
    <col min="62" max="62" width="25.85546875" style="2" bestFit="1" customWidth="1"/>
    <col min="63" max="64" width="21.42578125" style="2" bestFit="1" customWidth="1"/>
    <col min="65" max="65" width="24.85546875" style="2" bestFit="1" customWidth="1"/>
    <col min="66" max="66" width="11.42578125" style="2" bestFit="1" customWidth="1"/>
    <col min="67" max="67" width="24.42578125" style="2" customWidth="1"/>
    <col min="68" max="68" width="22.140625" style="2" customWidth="1"/>
    <col min="69" max="69" width="20.28515625" style="2" customWidth="1"/>
    <col min="70" max="70" width="22.85546875" style="2" customWidth="1"/>
    <col min="71" max="71" width="24.28515625" style="2" customWidth="1"/>
    <col min="72" max="72" width="20.42578125" style="2" customWidth="1"/>
    <col min="73" max="16384" width="9.140625" style="2"/>
  </cols>
  <sheetData>
    <row r="1" spans="1:72" s="3" customFormat="1" x14ac:dyDescent="0.25">
      <c r="C1" s="3" t="s">
        <v>0</v>
      </c>
      <c r="D1" s="3" t="s">
        <v>1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9</v>
      </c>
      <c r="M1" s="3" t="s">
        <v>10</v>
      </c>
      <c r="N1" s="3" t="s">
        <v>11</v>
      </c>
      <c r="O1" s="3" t="s">
        <v>12</v>
      </c>
      <c r="P1" s="3" t="s">
        <v>13</v>
      </c>
      <c r="Q1" s="3" t="s">
        <v>14</v>
      </c>
      <c r="R1" s="3" t="s">
        <v>15</v>
      </c>
      <c r="S1" s="3" t="s">
        <v>16</v>
      </c>
      <c r="T1" s="3" t="s">
        <v>17</v>
      </c>
      <c r="U1" s="3" t="s">
        <v>18</v>
      </c>
      <c r="V1" s="3" t="s">
        <v>19</v>
      </c>
      <c r="W1" s="3" t="s">
        <v>20</v>
      </c>
      <c r="X1" s="3" t="s">
        <v>21</v>
      </c>
      <c r="Y1" s="3" t="s">
        <v>22</v>
      </c>
      <c r="Z1" s="3" t="s">
        <v>23</v>
      </c>
      <c r="AA1" s="3" t="s">
        <v>24</v>
      </c>
      <c r="AB1" s="3" t="s">
        <v>25</v>
      </c>
      <c r="AC1" s="3" t="s">
        <v>26</v>
      </c>
      <c r="AD1" s="3" t="s">
        <v>27</v>
      </c>
      <c r="AE1" s="3" t="s">
        <v>28</v>
      </c>
      <c r="AF1" s="3" t="s">
        <v>29</v>
      </c>
      <c r="AG1" s="3" t="s">
        <v>30</v>
      </c>
      <c r="AH1" s="3" t="s">
        <v>31</v>
      </c>
      <c r="AI1" s="3" t="s">
        <v>32</v>
      </c>
      <c r="AJ1" s="3" t="s">
        <v>33</v>
      </c>
      <c r="AK1" s="3" t="s">
        <v>34</v>
      </c>
      <c r="AL1" s="3" t="s">
        <v>35</v>
      </c>
      <c r="AM1" s="3" t="s">
        <v>36</v>
      </c>
      <c r="AN1" s="3" t="s">
        <v>37</v>
      </c>
      <c r="AO1" s="3" t="s">
        <v>38</v>
      </c>
      <c r="AP1" s="3" t="s">
        <v>39</v>
      </c>
      <c r="AQ1" s="3" t="s">
        <v>40</v>
      </c>
      <c r="AR1" s="3" t="s">
        <v>41</v>
      </c>
      <c r="AS1" s="3" t="s">
        <v>42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55</v>
      </c>
      <c r="BG1" s="3" t="s">
        <v>56</v>
      </c>
      <c r="BH1" s="3" t="s">
        <v>57</v>
      </c>
      <c r="BI1" s="3" t="s">
        <v>58</v>
      </c>
      <c r="BJ1" s="3" t="s">
        <v>59</v>
      </c>
      <c r="BK1" s="3" t="s">
        <v>60</v>
      </c>
      <c r="BL1" s="3" t="s">
        <v>61</v>
      </c>
      <c r="BM1" s="3" t="s">
        <v>62</v>
      </c>
      <c r="BO1" s="3" t="s">
        <v>63</v>
      </c>
      <c r="BP1" s="3" t="s">
        <v>64</v>
      </c>
      <c r="BQ1" s="3" t="s">
        <v>65</v>
      </c>
      <c r="BR1" s="3" t="s">
        <v>66</v>
      </c>
      <c r="BS1" s="3" t="s">
        <v>67</v>
      </c>
      <c r="BT1" s="3" t="s">
        <v>68</v>
      </c>
    </row>
    <row r="2" spans="1:72" customFormat="1" x14ac:dyDescent="0.25">
      <c r="D2" t="s">
        <v>91</v>
      </c>
      <c r="S2" s="3"/>
      <c r="U2" s="3" t="s">
        <v>92</v>
      </c>
      <c r="AA2" s="3" t="s">
        <v>93</v>
      </c>
      <c r="AC2" s="3" t="s">
        <v>94</v>
      </c>
      <c r="AD2" s="3" t="s">
        <v>95</v>
      </c>
      <c r="AH2" s="3" t="s">
        <v>96</v>
      </c>
      <c r="AI2" s="3" t="s">
        <v>292</v>
      </c>
      <c r="AO2" s="3" t="s">
        <v>97</v>
      </c>
      <c r="AW2" s="3" t="s">
        <v>98</v>
      </c>
      <c r="AX2" s="3" t="s">
        <v>99</v>
      </c>
      <c r="AY2" s="3" t="s">
        <v>100</v>
      </c>
      <c r="BL2" s="3" t="s">
        <v>101</v>
      </c>
      <c r="BO2" t="s">
        <v>293</v>
      </c>
    </row>
    <row r="3" spans="1:72" s="1" customFormat="1" ht="75" x14ac:dyDescent="0.25">
      <c r="C3" s="1" t="s">
        <v>102</v>
      </c>
      <c r="D3" s="1" t="s">
        <v>103</v>
      </c>
      <c r="E3" s="1" t="s">
        <v>104</v>
      </c>
      <c r="F3" s="1" t="s">
        <v>105</v>
      </c>
      <c r="G3" s="1" t="s">
        <v>106</v>
      </c>
      <c r="H3" s="1" t="s">
        <v>107</v>
      </c>
      <c r="I3" s="1" t="s">
        <v>108</v>
      </c>
      <c r="J3" s="1" t="s">
        <v>109</v>
      </c>
      <c r="K3" s="1" t="s">
        <v>110</v>
      </c>
      <c r="L3" s="1" t="s">
        <v>111</v>
      </c>
      <c r="M3" s="1" t="s">
        <v>112</v>
      </c>
      <c r="N3" s="1" t="s">
        <v>113</v>
      </c>
      <c r="O3" s="1" t="s">
        <v>114</v>
      </c>
      <c r="P3" s="1" t="s">
        <v>115</v>
      </c>
      <c r="Q3" s="1" t="s">
        <v>116</v>
      </c>
      <c r="R3" s="1" t="s">
        <v>117</v>
      </c>
      <c r="S3" s="1" t="s">
        <v>118</v>
      </c>
      <c r="T3" s="1" t="s">
        <v>119</v>
      </c>
      <c r="U3" s="1" t="s">
        <v>120</v>
      </c>
      <c r="V3" s="1" t="s">
        <v>121</v>
      </c>
      <c r="W3" s="1" t="s">
        <v>122</v>
      </c>
      <c r="X3" s="1" t="s">
        <v>123</v>
      </c>
      <c r="Y3" s="1" t="s">
        <v>124</v>
      </c>
      <c r="Z3" s="1" t="s">
        <v>125</v>
      </c>
      <c r="AA3" s="1" t="s">
        <v>126</v>
      </c>
      <c r="AB3" s="1" t="s">
        <v>127</v>
      </c>
      <c r="AC3" s="1" t="s">
        <v>128</v>
      </c>
      <c r="AD3" s="1" t="s">
        <v>129</v>
      </c>
      <c r="AE3" s="1" t="s">
        <v>130</v>
      </c>
      <c r="AF3" s="1" t="s">
        <v>131</v>
      </c>
      <c r="AG3" s="1" t="s">
        <v>132</v>
      </c>
      <c r="AH3" s="1" t="s">
        <v>96</v>
      </c>
      <c r="AI3" s="1" t="s">
        <v>133</v>
      </c>
      <c r="AJ3" s="1" t="s">
        <v>134</v>
      </c>
      <c r="AK3" s="1" t="s">
        <v>135</v>
      </c>
      <c r="AL3" s="1" t="s">
        <v>136</v>
      </c>
      <c r="AM3" s="1" t="s">
        <v>137</v>
      </c>
      <c r="AN3" s="1" t="s">
        <v>138</v>
      </c>
      <c r="AO3" s="1" t="s">
        <v>139</v>
      </c>
      <c r="AP3" s="1" t="s">
        <v>140</v>
      </c>
      <c r="AQ3" s="1" t="s">
        <v>141</v>
      </c>
      <c r="AR3" s="1" t="s">
        <v>142</v>
      </c>
      <c r="AS3" s="1" t="s">
        <v>143</v>
      </c>
      <c r="AT3" s="1" t="s">
        <v>144</v>
      </c>
      <c r="AU3" s="1" t="s">
        <v>145</v>
      </c>
      <c r="AV3" s="1" t="s">
        <v>146</v>
      </c>
      <c r="AW3" s="1" t="s">
        <v>147</v>
      </c>
      <c r="AX3" s="1" t="s">
        <v>148</v>
      </c>
      <c r="AY3" s="1" t="s">
        <v>149</v>
      </c>
      <c r="AZ3" s="1" t="s">
        <v>150</v>
      </c>
      <c r="BA3" s="1" t="s">
        <v>151</v>
      </c>
      <c r="BB3" s="1" t="s">
        <v>152</v>
      </c>
      <c r="BC3" s="1" t="s">
        <v>153</v>
      </c>
      <c r="BD3" s="1" t="s">
        <v>154</v>
      </c>
      <c r="BE3" s="1" t="s">
        <v>155</v>
      </c>
      <c r="BF3" s="1" t="s">
        <v>156</v>
      </c>
      <c r="BG3" s="1" t="s">
        <v>157</v>
      </c>
      <c r="BH3" s="1" t="s">
        <v>158</v>
      </c>
      <c r="BI3" s="1" t="s">
        <v>159</v>
      </c>
      <c r="BJ3" s="1" t="s">
        <v>160</v>
      </c>
      <c r="BK3" s="1" t="s">
        <v>161</v>
      </c>
      <c r="BL3" s="1" t="s">
        <v>101</v>
      </c>
      <c r="BM3" s="1" t="s">
        <v>162</v>
      </c>
      <c r="BO3" s="1" t="s">
        <v>163</v>
      </c>
      <c r="BP3" s="1" t="s">
        <v>164</v>
      </c>
      <c r="BQ3" s="1" t="s">
        <v>165</v>
      </c>
      <c r="BR3" s="1" t="s">
        <v>166</v>
      </c>
      <c r="BS3" s="1" t="s">
        <v>167</v>
      </c>
      <c r="BT3" s="1" t="s">
        <v>168</v>
      </c>
    </row>
    <row r="4" spans="1:72" s="5" customFormat="1" x14ac:dyDescent="0.25">
      <c r="C4" s="5">
        <f>+SUM(C5:C16)</f>
        <v>634224232.64999998</v>
      </c>
      <c r="D4" s="5">
        <f t="shared" ref="D4:BO4" si="0">+SUM(D5:D16)</f>
        <v>3678197617.46</v>
      </c>
      <c r="E4" s="5">
        <f t="shared" si="0"/>
        <v>600559549.17999995</v>
      </c>
      <c r="F4" s="5">
        <f t="shared" si="0"/>
        <v>1549261960.0699999</v>
      </c>
      <c r="G4" s="5">
        <f t="shared" si="0"/>
        <v>508137240.19</v>
      </c>
      <c r="H4" s="5">
        <f t="shared" si="0"/>
        <v>230648088.75</v>
      </c>
      <c r="I4" s="5">
        <f t="shared" si="0"/>
        <v>32634863.739999998</v>
      </c>
      <c r="J4" s="5">
        <f t="shared" si="0"/>
        <v>117257567.53</v>
      </c>
      <c r="K4" s="5">
        <f t="shared" si="0"/>
        <v>0</v>
      </c>
      <c r="L4" s="5">
        <f t="shared" si="0"/>
        <v>3505714898.0999999</v>
      </c>
      <c r="M4" s="5">
        <f t="shared" si="0"/>
        <v>14264814</v>
      </c>
      <c r="N4" s="5">
        <f t="shared" si="0"/>
        <v>0</v>
      </c>
      <c r="O4" s="5">
        <f t="shared" si="0"/>
        <v>1228401191.8800001</v>
      </c>
      <c r="P4" s="5">
        <f t="shared" si="0"/>
        <v>0</v>
      </c>
      <c r="Q4" s="5">
        <f t="shared" si="0"/>
        <v>154178504.34</v>
      </c>
      <c r="R4" s="5">
        <f t="shared" si="0"/>
        <v>0</v>
      </c>
      <c r="S4" s="5">
        <f t="shared" si="0"/>
        <v>4120000</v>
      </c>
      <c r="T4" s="5">
        <f t="shared" si="0"/>
        <v>0</v>
      </c>
      <c r="U4" s="5">
        <f t="shared" si="0"/>
        <v>1398656</v>
      </c>
      <c r="V4" s="5">
        <f t="shared" si="0"/>
        <v>999040</v>
      </c>
      <c r="W4" s="5">
        <f t="shared" si="0"/>
        <v>2841851.57</v>
      </c>
      <c r="X4" s="5">
        <f t="shared" si="0"/>
        <v>771002.68</v>
      </c>
      <c r="Y4" s="5">
        <f t="shared" si="0"/>
        <v>145945080</v>
      </c>
      <c r="Z4" s="5">
        <f t="shared" si="0"/>
        <v>421107725</v>
      </c>
      <c r="AA4" s="5">
        <f t="shared" si="0"/>
        <v>2066760.02</v>
      </c>
      <c r="AB4" s="5">
        <f t="shared" si="0"/>
        <v>0</v>
      </c>
      <c r="AC4" s="5">
        <f t="shared" si="0"/>
        <v>764362656</v>
      </c>
      <c r="AD4" s="5">
        <f t="shared" si="0"/>
        <v>1150252</v>
      </c>
      <c r="AE4" s="5">
        <f t="shared" si="0"/>
        <v>18816000</v>
      </c>
      <c r="AF4" s="5">
        <f t="shared" si="0"/>
        <v>0</v>
      </c>
      <c r="AG4" s="5">
        <f t="shared" si="0"/>
        <v>123600</v>
      </c>
      <c r="AH4" s="5">
        <f t="shared" si="0"/>
        <v>306133062.06999999</v>
      </c>
      <c r="AI4" s="5">
        <f t="shared" si="0"/>
        <v>5110675.5999999996</v>
      </c>
      <c r="AJ4" s="5">
        <f t="shared" si="0"/>
        <v>3926470.08</v>
      </c>
      <c r="AK4" s="5">
        <f t="shared" si="0"/>
        <v>13253575</v>
      </c>
      <c r="AL4" s="5">
        <f t="shared" si="0"/>
        <v>4493200</v>
      </c>
      <c r="AM4" s="5">
        <f t="shared" si="0"/>
        <v>3169600</v>
      </c>
      <c r="AN4" s="5">
        <f t="shared" si="0"/>
        <v>0</v>
      </c>
      <c r="AO4" s="5">
        <f t="shared" si="0"/>
        <v>2463524</v>
      </c>
      <c r="AP4" s="5">
        <f t="shared" si="0"/>
        <v>252621</v>
      </c>
      <c r="AQ4" s="5">
        <f t="shared" si="0"/>
        <v>647700</v>
      </c>
      <c r="AR4" s="5">
        <f t="shared" si="0"/>
        <v>81084</v>
      </c>
      <c r="AS4" s="5">
        <f t="shared" si="0"/>
        <v>1146284</v>
      </c>
      <c r="AT4" s="5">
        <f t="shared" si="0"/>
        <v>1806700</v>
      </c>
      <c r="AU4" s="5">
        <f t="shared" si="0"/>
        <v>72000</v>
      </c>
      <c r="AV4" s="5">
        <f t="shared" si="0"/>
        <v>1152000</v>
      </c>
      <c r="AW4" s="5">
        <f t="shared" si="0"/>
        <v>0</v>
      </c>
      <c r="AX4" s="5">
        <f t="shared" si="0"/>
        <v>4100592.33</v>
      </c>
      <c r="AY4" s="5">
        <f t="shared" si="0"/>
        <v>451229686.80000001</v>
      </c>
      <c r="AZ4" s="5">
        <f t="shared" si="0"/>
        <v>7782927.54</v>
      </c>
      <c r="BA4" s="5">
        <f t="shared" si="0"/>
        <v>10163632.109999999</v>
      </c>
      <c r="BB4" s="5">
        <f t="shared" si="0"/>
        <v>2889636.63</v>
      </c>
      <c r="BC4" s="5">
        <f t="shared" si="0"/>
        <v>202921768.83000001</v>
      </c>
      <c r="BD4" s="5">
        <f t="shared" si="0"/>
        <v>10827993.18</v>
      </c>
      <c r="BE4" s="5">
        <f t="shared" si="0"/>
        <v>3418517.94</v>
      </c>
      <c r="BF4" s="5">
        <f t="shared" si="0"/>
        <v>268128808.65000001</v>
      </c>
      <c r="BG4" s="5">
        <f t="shared" si="0"/>
        <v>10239532.140000001</v>
      </c>
      <c r="BH4" s="5">
        <f t="shared" si="0"/>
        <v>4208040.57</v>
      </c>
      <c r="BI4" s="5">
        <f t="shared" si="0"/>
        <v>86372226.959999993</v>
      </c>
      <c r="BJ4" s="5">
        <f t="shared" si="0"/>
        <v>5195196.51</v>
      </c>
      <c r="BK4" s="5">
        <f t="shared" si="0"/>
        <v>46446550.799999997</v>
      </c>
      <c r="BL4" s="5">
        <f t="shared" si="0"/>
        <v>69288000</v>
      </c>
      <c r="BM4" s="5">
        <f t="shared" si="0"/>
        <v>106173.51</v>
      </c>
      <c r="BO4" s="5">
        <f t="shared" si="0"/>
        <v>134945931.81</v>
      </c>
      <c r="BP4" s="5">
        <f t="shared" ref="BP4:BT4" si="1">+SUM(BP5:BP16)</f>
        <v>62593</v>
      </c>
      <c r="BQ4" s="5">
        <f t="shared" si="1"/>
        <v>85644564.700000003</v>
      </c>
      <c r="BR4" s="5">
        <f t="shared" si="1"/>
        <v>14120</v>
      </c>
      <c r="BS4" s="5">
        <f t="shared" si="1"/>
        <v>100000</v>
      </c>
      <c r="BT4" s="5">
        <f t="shared" si="1"/>
        <v>7100668.7999999998</v>
      </c>
    </row>
    <row r="5" spans="1:72" x14ac:dyDescent="0.25">
      <c r="A5" s="2" t="s">
        <v>70</v>
      </c>
      <c r="B5" s="6"/>
      <c r="C5" s="2">
        <v>227597195</v>
      </c>
      <c r="D5" s="2">
        <v>1227326601.1099999</v>
      </c>
      <c r="E5" s="2">
        <v>199372366.02000001</v>
      </c>
      <c r="F5" s="2">
        <v>516190101.58999997</v>
      </c>
      <c r="G5" s="2">
        <v>295035812.50999999</v>
      </c>
      <c r="H5" s="2">
        <v>129405063.95999999</v>
      </c>
      <c r="J5" s="2">
        <v>65864697.130000003</v>
      </c>
      <c r="O5" s="2">
        <v>291983357.07999998</v>
      </c>
      <c r="Q5" s="2">
        <v>23632993.219999999</v>
      </c>
      <c r="S5" s="2">
        <v>4120000</v>
      </c>
      <c r="U5" s="2">
        <v>457856</v>
      </c>
      <c r="V5" s="2">
        <v>327040</v>
      </c>
      <c r="W5" s="2">
        <v>1511623.18</v>
      </c>
      <c r="X5" s="2">
        <v>771002.68</v>
      </c>
      <c r="Y5" s="2">
        <v>49843800</v>
      </c>
      <c r="Z5" s="2">
        <v>139740250</v>
      </c>
      <c r="AA5" s="2">
        <v>317520</v>
      </c>
      <c r="AC5" s="2">
        <v>254787552</v>
      </c>
      <c r="AH5" s="2">
        <v>150848227.40000001</v>
      </c>
      <c r="AI5" s="2">
        <v>1734301.49</v>
      </c>
      <c r="AJ5" s="2">
        <v>589686.04</v>
      </c>
      <c r="AK5" s="2">
        <v>3657320</v>
      </c>
      <c r="AO5" s="2">
        <v>815644</v>
      </c>
      <c r="AP5" s="2">
        <v>84207</v>
      </c>
      <c r="AQ5" s="2">
        <v>200700</v>
      </c>
      <c r="AR5" s="2">
        <v>27028</v>
      </c>
      <c r="AS5" s="2">
        <v>514003</v>
      </c>
      <c r="AT5" s="2">
        <v>421500</v>
      </c>
      <c r="AU5" s="2">
        <v>24000</v>
      </c>
      <c r="AV5" s="2">
        <v>384000</v>
      </c>
      <c r="AX5" s="2">
        <v>1227418.33</v>
      </c>
      <c r="AY5" s="2">
        <v>150409895.59999999</v>
      </c>
      <c r="AZ5" s="2">
        <v>2594309.1800000002</v>
      </c>
      <c r="BA5" s="2">
        <v>3387877.37</v>
      </c>
      <c r="BB5" s="2">
        <v>963212.21</v>
      </c>
      <c r="BC5" s="2">
        <v>67653464.609999999</v>
      </c>
      <c r="BD5" s="2">
        <v>3609331.06</v>
      </c>
      <c r="BE5" s="2">
        <v>1139505.98</v>
      </c>
      <c r="BF5" s="2">
        <v>89376269.549999997</v>
      </c>
      <c r="BG5" s="2">
        <v>3413177.38</v>
      </c>
      <c r="BH5" s="2">
        <v>1402680.19</v>
      </c>
      <c r="BI5" s="2">
        <v>28790742.32</v>
      </c>
      <c r="BJ5" s="2">
        <v>1731732.17</v>
      </c>
      <c r="BK5" s="2">
        <v>15695516.779999999</v>
      </c>
      <c r="BL5" s="2">
        <v>69288000</v>
      </c>
      <c r="BM5" s="2">
        <v>40005</v>
      </c>
      <c r="BO5" s="2">
        <v>29520650.84</v>
      </c>
      <c r="BP5" s="2">
        <v>22578</v>
      </c>
      <c r="BQ5" s="2">
        <v>30479191.649999999</v>
      </c>
      <c r="BR5" s="2">
        <v>10590</v>
      </c>
    </row>
    <row r="6" spans="1:72" x14ac:dyDescent="0.25">
      <c r="A6" s="2" t="s">
        <v>71</v>
      </c>
      <c r="C6" s="2">
        <v>238182249.06999999</v>
      </c>
      <c r="D6" s="2">
        <v>1215457875.8500001</v>
      </c>
      <c r="E6" s="2">
        <v>202144407.84</v>
      </c>
      <c r="F6" s="2">
        <v>508270193.32999998</v>
      </c>
      <c r="G6" s="2">
        <v>108445570.19999999</v>
      </c>
      <c r="H6" s="2">
        <v>84389567.290000007</v>
      </c>
      <c r="I6" s="2">
        <v>27275153.68</v>
      </c>
      <c r="J6" s="2">
        <v>23198768.499999993</v>
      </c>
      <c r="M6" s="2">
        <v>14264814</v>
      </c>
      <c r="O6" s="2">
        <v>262013562.07999998</v>
      </c>
      <c r="Q6" s="2">
        <v>48002618.689999998</v>
      </c>
      <c r="S6" s="2">
        <v>0</v>
      </c>
      <c r="U6" s="2">
        <v>450016</v>
      </c>
      <c r="V6" s="2">
        <v>321440</v>
      </c>
      <c r="W6" s="2">
        <v>0</v>
      </c>
      <c r="X6" s="2">
        <v>0</v>
      </c>
      <c r="Y6" s="2">
        <v>61814880</v>
      </c>
      <c r="Z6" s="2">
        <v>156772600</v>
      </c>
      <c r="AA6" s="2">
        <v>1300520.03</v>
      </c>
      <c r="AC6" s="2">
        <v>254787552</v>
      </c>
      <c r="AD6" s="2">
        <v>1150252</v>
      </c>
      <c r="AE6" s="2">
        <v>8624000</v>
      </c>
      <c r="AG6" s="2">
        <v>123600</v>
      </c>
      <c r="AH6" s="2">
        <v>83353363.409999996</v>
      </c>
      <c r="AI6" s="2">
        <v>2035974.41</v>
      </c>
      <c r="AJ6" s="2">
        <v>1444094</v>
      </c>
      <c r="AK6" s="2">
        <v>5915255</v>
      </c>
      <c r="AL6" s="2">
        <v>620200</v>
      </c>
      <c r="AM6" s="2">
        <v>3169600</v>
      </c>
      <c r="AO6" s="2">
        <v>816100</v>
      </c>
      <c r="AP6" s="2">
        <v>84207</v>
      </c>
      <c r="AQ6" s="2">
        <v>223500</v>
      </c>
      <c r="AR6" s="2">
        <v>27028</v>
      </c>
      <c r="AS6" s="2">
        <v>312154</v>
      </c>
      <c r="AT6" s="2">
        <v>574650</v>
      </c>
      <c r="AU6" s="2">
        <v>24000</v>
      </c>
      <c r="AV6" s="2">
        <v>384000</v>
      </c>
      <c r="AX6" s="2">
        <v>1436587</v>
      </c>
      <c r="AY6" s="2">
        <v>150409895.59999999</v>
      </c>
      <c r="AZ6" s="2">
        <v>2594309.1800000002</v>
      </c>
      <c r="BA6" s="2">
        <v>3387877.37</v>
      </c>
      <c r="BB6" s="2">
        <v>963212.21</v>
      </c>
      <c r="BC6" s="2">
        <v>67640589.609999999</v>
      </c>
      <c r="BD6" s="2">
        <v>3609331.06</v>
      </c>
      <c r="BE6" s="2">
        <v>1139505.98</v>
      </c>
      <c r="BF6" s="2">
        <v>89376269.549999997</v>
      </c>
      <c r="BG6" s="2">
        <v>3413177.38</v>
      </c>
      <c r="BH6" s="2">
        <v>1402680.19</v>
      </c>
      <c r="BI6" s="2">
        <v>28790742.32</v>
      </c>
      <c r="BJ6" s="2">
        <v>1731732.17</v>
      </c>
      <c r="BK6" s="2">
        <v>15695516.779999999</v>
      </c>
      <c r="BL6" s="2">
        <v>0</v>
      </c>
      <c r="BM6" s="2">
        <v>57495</v>
      </c>
      <c r="BO6" s="2">
        <v>63017000.209999993</v>
      </c>
      <c r="BP6" s="2">
        <v>19875</v>
      </c>
      <c r="BQ6" s="2">
        <v>24962288.350000001</v>
      </c>
      <c r="BR6" s="2">
        <v>0</v>
      </c>
      <c r="BT6" s="2">
        <v>7100668.7999999998</v>
      </c>
    </row>
    <row r="7" spans="1:72" x14ac:dyDescent="0.25">
      <c r="A7" s="2" t="s">
        <v>72</v>
      </c>
      <c r="B7" s="7"/>
      <c r="C7" s="2">
        <v>168444788.57999998</v>
      </c>
      <c r="D7" s="2">
        <v>1235413140.5</v>
      </c>
      <c r="E7" s="2">
        <v>199042775.31999993</v>
      </c>
      <c r="F7" s="2">
        <v>524801665.14999998</v>
      </c>
      <c r="G7" s="2">
        <v>104655857.48000002</v>
      </c>
      <c r="H7" s="2">
        <v>16853457.5</v>
      </c>
      <c r="I7" s="2">
        <v>5359710.0599999987</v>
      </c>
      <c r="J7" s="2">
        <v>28194101.900000006</v>
      </c>
      <c r="K7" s="2">
        <v>0</v>
      </c>
      <c r="L7" s="2">
        <v>3505714898.0999999</v>
      </c>
      <c r="M7" s="2">
        <v>0</v>
      </c>
      <c r="N7" s="2">
        <v>0</v>
      </c>
      <c r="O7" s="2">
        <v>674404272.72000015</v>
      </c>
      <c r="P7" s="2">
        <v>0</v>
      </c>
      <c r="Q7" s="2">
        <v>82542892.430000007</v>
      </c>
      <c r="R7" s="2">
        <v>0</v>
      </c>
      <c r="S7" s="2">
        <v>0</v>
      </c>
      <c r="T7" s="2">
        <v>0</v>
      </c>
      <c r="U7" s="2">
        <v>490784</v>
      </c>
      <c r="V7" s="2">
        <v>350560</v>
      </c>
      <c r="W7" s="2">
        <v>1330228.3899999999</v>
      </c>
      <c r="X7" s="2">
        <v>0</v>
      </c>
      <c r="Y7" s="2">
        <v>34286400</v>
      </c>
      <c r="Z7" s="2">
        <v>124594875</v>
      </c>
      <c r="AA7" s="2">
        <v>448719.99</v>
      </c>
      <c r="AB7" s="2">
        <v>0</v>
      </c>
      <c r="AC7" s="2">
        <v>254787552</v>
      </c>
      <c r="AD7" s="2">
        <v>0</v>
      </c>
      <c r="AE7" s="2">
        <v>10192000</v>
      </c>
      <c r="AF7" s="2">
        <v>0</v>
      </c>
      <c r="AG7" s="2">
        <v>0</v>
      </c>
      <c r="AH7" s="2">
        <v>71931471.25999999</v>
      </c>
      <c r="AI7" s="2">
        <v>1340399.6999999997</v>
      </c>
      <c r="AJ7" s="2">
        <v>1892690.04</v>
      </c>
      <c r="AK7" s="2">
        <v>3681000</v>
      </c>
      <c r="AL7" s="2">
        <v>3873000</v>
      </c>
      <c r="AM7" s="2">
        <v>0</v>
      </c>
      <c r="AN7" s="2">
        <v>0</v>
      </c>
      <c r="AO7" s="2">
        <v>831780</v>
      </c>
      <c r="AP7" s="2">
        <v>84207</v>
      </c>
      <c r="AQ7" s="2">
        <v>223500</v>
      </c>
      <c r="AR7" s="2">
        <v>27028</v>
      </c>
      <c r="AS7" s="2">
        <v>320127</v>
      </c>
      <c r="AT7" s="2">
        <v>810550</v>
      </c>
      <c r="AU7" s="2">
        <v>24000</v>
      </c>
      <c r="AV7" s="2">
        <v>384000</v>
      </c>
      <c r="AW7" s="2">
        <v>0</v>
      </c>
      <c r="AX7" s="2">
        <v>1436587</v>
      </c>
      <c r="AY7" s="2">
        <v>150409895.60000002</v>
      </c>
      <c r="AZ7" s="2">
        <v>2594309.1799999997</v>
      </c>
      <c r="BA7" s="2">
        <v>3387877.3699999992</v>
      </c>
      <c r="BB7" s="2">
        <v>963212.21</v>
      </c>
      <c r="BC7" s="2">
        <v>67627714.610000014</v>
      </c>
      <c r="BD7" s="2">
        <v>3609331.0599999996</v>
      </c>
      <c r="BE7" s="2">
        <v>1139505.98</v>
      </c>
      <c r="BF7" s="2">
        <v>89376269.550000012</v>
      </c>
      <c r="BG7" s="2">
        <v>3413177.3800000008</v>
      </c>
      <c r="BH7" s="2">
        <v>1402680.1900000004</v>
      </c>
      <c r="BI7" s="2">
        <v>28790742.319999993</v>
      </c>
      <c r="BJ7" s="2">
        <v>1731732.17</v>
      </c>
      <c r="BK7" s="2">
        <v>15055517.239999998</v>
      </c>
      <c r="BL7" s="2">
        <v>0</v>
      </c>
      <c r="BM7" s="2">
        <v>8673.5099999999948</v>
      </c>
      <c r="BO7" s="2">
        <v>42408280.760000005</v>
      </c>
      <c r="BP7" s="2">
        <v>20140</v>
      </c>
      <c r="BQ7" s="2">
        <v>30203084.700000003</v>
      </c>
      <c r="BR7" s="2">
        <v>3530</v>
      </c>
      <c r="BS7" s="2">
        <v>100000</v>
      </c>
      <c r="BT7" s="2">
        <v>0</v>
      </c>
    </row>
    <row r="8" spans="1:72" x14ac:dyDescent="0.25">
      <c r="A8" s="2" t="s">
        <v>73</v>
      </c>
    </row>
    <row r="9" spans="1:72" x14ac:dyDescent="0.25">
      <c r="A9" s="2" t="s">
        <v>74</v>
      </c>
      <c r="B9" s="7"/>
    </row>
    <row r="10" spans="1:72" x14ac:dyDescent="0.25">
      <c r="A10" s="2" t="s">
        <v>75</v>
      </c>
      <c r="B10" s="4"/>
    </row>
    <row r="11" spans="1:72" x14ac:dyDescent="0.25">
      <c r="A11" s="2" t="s">
        <v>76</v>
      </c>
    </row>
    <row r="12" spans="1:72" x14ac:dyDescent="0.25">
      <c r="A12" s="2" t="s">
        <v>77</v>
      </c>
    </row>
    <row r="13" spans="1:72" x14ac:dyDescent="0.25">
      <c r="A13" s="2" t="s">
        <v>170</v>
      </c>
    </row>
    <row r="14" spans="1:72" x14ac:dyDescent="0.25">
      <c r="A14" s="2" t="s">
        <v>169</v>
      </c>
    </row>
    <row r="15" spans="1:72" x14ac:dyDescent="0.25">
      <c r="A15" s="2" t="s">
        <v>78</v>
      </c>
    </row>
    <row r="16" spans="1:72" x14ac:dyDescent="0.25">
      <c r="A16" s="2" t="s">
        <v>79</v>
      </c>
    </row>
  </sheetData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120"/>
  <sheetViews>
    <sheetView tabSelected="1" workbookViewId="0">
      <pane xSplit="2" ySplit="3" topLeftCell="C4" activePane="bottomRight" state="frozen"/>
      <selection pane="topRight" activeCell="C1" sqref="C1"/>
      <selection pane="bottomLeft" activeCell="A10" sqref="A10"/>
      <selection pane="bottomRight" activeCell="G4" sqref="G4"/>
    </sheetView>
  </sheetViews>
  <sheetFormatPr defaultRowHeight="15" x14ac:dyDescent="0.25"/>
  <cols>
    <col min="1" max="1" width="4.28515625" customWidth="1"/>
    <col min="2" max="2" width="45" bestFit="1" customWidth="1"/>
    <col min="3" max="3" width="11" bestFit="1" customWidth="1"/>
    <col min="4" max="4" width="17.28515625" bestFit="1" customWidth="1"/>
    <col min="5" max="5" width="14.85546875" customWidth="1"/>
    <col min="6" max="6" width="17.5703125" customWidth="1"/>
    <col min="7" max="8" width="12.140625" customWidth="1"/>
    <col min="9" max="9" width="20.42578125" bestFit="1" customWidth="1"/>
  </cols>
  <sheetData>
    <row r="1" spans="1:15" ht="60" customHeight="1" x14ac:dyDescent="0.25">
      <c r="A1" s="70" t="s">
        <v>277</v>
      </c>
      <c r="B1" s="70"/>
      <c r="C1" s="70"/>
      <c r="D1" s="70"/>
      <c r="E1" s="70"/>
      <c r="F1" s="70"/>
      <c r="N1" s="52"/>
    </row>
    <row r="2" spans="1:15" x14ac:dyDescent="0.25">
      <c r="N2" s="52"/>
    </row>
    <row r="3" spans="1:15" s="12" customFormat="1" ht="52.5" customHeight="1" x14ac:dyDescent="0.25">
      <c r="A3" s="48" t="s">
        <v>69</v>
      </c>
      <c r="B3" s="48" t="s">
        <v>278</v>
      </c>
      <c r="C3" s="48" t="s">
        <v>279</v>
      </c>
      <c r="D3" s="48" t="s">
        <v>280</v>
      </c>
      <c r="E3" s="81" t="s">
        <v>281</v>
      </c>
      <c r="F3" s="48" t="s">
        <v>282</v>
      </c>
      <c r="G3" s="48" t="s">
        <v>626</v>
      </c>
      <c r="N3" s="52"/>
      <c r="O3"/>
    </row>
    <row r="4" spans="1:15" x14ac:dyDescent="0.25">
      <c r="A4" s="32">
        <f>+IF(B4="","!",SUBTOTAL(3,$B$4:B4))</f>
        <v>1</v>
      </c>
      <c r="B4" s="49" t="s">
        <v>266</v>
      </c>
      <c r="C4" s="35">
        <v>40127</v>
      </c>
      <c r="D4" s="32" t="str">
        <f ca="1">DATEDIF(C4,TODAY(),"y")&amp;" y "&amp;DATEDIF(C4,TODAY(),"ym")&amp;" oy "&amp;DATEDIF(C4,TODAY(),"md")&amp;" kun "</f>
        <v xml:space="preserve">16 y 5 oy 12 kun </v>
      </c>
      <c r="E4" s="82">
        <f ca="1">+MID(D4,1,2)*1</f>
        <v>16</v>
      </c>
      <c r="F4" s="45">
        <f ca="1">+IF(E4&lt;3,0,IF(OR(E4=3,E4&lt;5),10,IF(OR(E4=5,E4&lt;7),20,IF(OR(E4=7,E4&lt;10),30,IF(OR(E4=10,E4&lt;15),40,IF(OR(E4&gt;=15),50))))))</f>
        <v>50</v>
      </c>
      <c r="G4" s="45" t="str">
        <f>+IF(OR(RIGHT(TRIM(LEFT(B4,SEARCH(" ",B4))))="a",RIGHT(TRIM(LEFT(B4,SEARCH(" ",B4))))="a"),"Ayol","Erkak")</f>
        <v>Erkak</v>
      </c>
      <c r="H4" s="6"/>
      <c r="I4" s="7"/>
      <c r="J4" s="7"/>
      <c r="N4" s="52"/>
    </row>
    <row r="5" spans="1:15" x14ac:dyDescent="0.25">
      <c r="A5" s="32">
        <f>+IF(B5="","!",SUBTOTAL(3,$B$4:B5))</f>
        <v>2</v>
      </c>
      <c r="B5" s="49" t="s">
        <v>263</v>
      </c>
      <c r="C5" s="35">
        <v>37985</v>
      </c>
      <c r="D5" s="32" t="str">
        <f t="shared" ref="D5:D66" ca="1" si="0">DATEDIF(C5,TODAY(),"y")&amp;" y "&amp;DATEDIF(C5,TODAY(),"ym")&amp;" oy "&amp;DATEDIF(C5,TODAY(),"md")&amp;" kun "</f>
        <v xml:space="preserve">22 y 3 oy 23 kun </v>
      </c>
      <c r="E5" s="82">
        <f t="shared" ref="E5:E68" ca="1" si="1">+MID(D5,1,2)*1</f>
        <v>22</v>
      </c>
      <c r="F5" s="45">
        <f t="shared" ref="F5:F66" ca="1" si="2">+IF(E5&lt;3,0,IF(OR(E5=3,E5&lt;5),10,IF(OR(E5=5,E5&lt;7),20,IF(OR(E5=7,E5&lt;10),30,IF(OR(E5=10,E5&lt;15),40,IF(OR(E5&gt;=15),50))))))</f>
        <v>50</v>
      </c>
      <c r="G5" s="45" t="str">
        <f t="shared" ref="G5:G68" si="3">+IF(OR(RIGHT(TRIM(LEFT(B5,SEARCH(" ",B5))))="a",RIGHT(TRIM(LEFT(B5,SEARCH(" ",B5))))="a"),"Ayol","Erkak")</f>
        <v>Erkak</v>
      </c>
      <c r="H5" s="6"/>
      <c r="I5" s="7"/>
      <c r="J5" s="7"/>
      <c r="N5" s="52"/>
    </row>
    <row r="6" spans="1:15" x14ac:dyDescent="0.25">
      <c r="A6" s="32">
        <f>+IF(B6="","!",SUBTOTAL(3,$B$4:B6))</f>
        <v>3</v>
      </c>
      <c r="B6" s="49" t="s">
        <v>222</v>
      </c>
      <c r="C6" s="35">
        <v>39943</v>
      </c>
      <c r="D6" s="32" t="str">
        <f t="shared" ca="1" si="0"/>
        <v xml:space="preserve">16 y 11 oy 12 kun </v>
      </c>
      <c r="E6" s="82">
        <f t="shared" ca="1" si="1"/>
        <v>16</v>
      </c>
      <c r="F6" s="45">
        <f t="shared" ca="1" si="2"/>
        <v>50</v>
      </c>
      <c r="G6" s="45" t="str">
        <f t="shared" si="3"/>
        <v>Erkak</v>
      </c>
      <c r="H6" s="6"/>
      <c r="I6" s="7"/>
      <c r="J6" s="7"/>
    </row>
    <row r="7" spans="1:15" x14ac:dyDescent="0.25">
      <c r="A7" s="32">
        <f>+IF(B7="","!",SUBTOTAL(3,$B$4:B7))</f>
        <v>4</v>
      </c>
      <c r="B7" s="49" t="s">
        <v>283</v>
      </c>
      <c r="C7" s="35">
        <v>41460</v>
      </c>
      <c r="D7" s="32" t="str">
        <f t="shared" ca="1" si="0"/>
        <v xml:space="preserve">12 y 9 oy 17 kun </v>
      </c>
      <c r="E7" s="82">
        <f t="shared" ca="1" si="1"/>
        <v>12</v>
      </c>
      <c r="F7" s="45">
        <f t="shared" ca="1" si="2"/>
        <v>40</v>
      </c>
      <c r="G7" s="45" t="str">
        <f t="shared" si="3"/>
        <v>Erkak</v>
      </c>
      <c r="H7" s="6"/>
      <c r="I7" s="7"/>
      <c r="J7" s="7"/>
    </row>
    <row r="8" spans="1:15" x14ac:dyDescent="0.25">
      <c r="A8" s="32">
        <f>+IF(B8="","!",SUBTOTAL(3,$B$4:B8))</f>
        <v>5</v>
      </c>
      <c r="B8" s="49" t="s">
        <v>214</v>
      </c>
      <c r="C8" s="35">
        <v>38958</v>
      </c>
      <c r="D8" s="32" t="str">
        <f t="shared" ca="1" si="0"/>
        <v xml:space="preserve">19 y 7 oy 24 kun </v>
      </c>
      <c r="E8" s="82">
        <f t="shared" ca="1" si="1"/>
        <v>19</v>
      </c>
      <c r="F8" s="45">
        <f t="shared" ca="1" si="2"/>
        <v>50</v>
      </c>
      <c r="G8" s="45" t="str">
        <f t="shared" si="3"/>
        <v>Erkak</v>
      </c>
      <c r="H8" s="6"/>
      <c r="I8" s="7"/>
      <c r="J8" s="7"/>
    </row>
    <row r="9" spans="1:15" x14ac:dyDescent="0.25">
      <c r="A9" s="32">
        <f>+IF(B9="","!",SUBTOTAL(3,$B$4:B9))</f>
        <v>6</v>
      </c>
      <c r="B9" s="49" t="s">
        <v>269</v>
      </c>
      <c r="C9" s="35">
        <v>40634</v>
      </c>
      <c r="D9" s="32" t="str">
        <f t="shared" ca="1" si="0"/>
        <v xml:space="preserve">15 y 0 oy 21 kun </v>
      </c>
      <c r="E9" s="82">
        <f t="shared" ca="1" si="1"/>
        <v>15</v>
      </c>
      <c r="F9" s="45">
        <f t="shared" ca="1" si="2"/>
        <v>50</v>
      </c>
      <c r="G9" s="45" t="str">
        <f t="shared" si="3"/>
        <v>Ayol</v>
      </c>
      <c r="H9" s="6"/>
      <c r="I9" s="7"/>
      <c r="J9" s="7"/>
    </row>
    <row r="10" spans="1:15" x14ac:dyDescent="0.25">
      <c r="A10" s="32">
        <f>+IF(B10="","!",SUBTOTAL(3,$B$4:B10))</f>
        <v>7</v>
      </c>
      <c r="B10" s="49" t="s">
        <v>285</v>
      </c>
      <c r="C10" s="35">
        <v>43458</v>
      </c>
      <c r="D10" s="32" t="str">
        <f t="shared" ca="1" si="0"/>
        <v xml:space="preserve">7 y 3 oy 29 kun </v>
      </c>
      <c r="E10" s="82">
        <f t="shared" ca="1" si="1"/>
        <v>7</v>
      </c>
      <c r="F10" s="45">
        <f t="shared" ca="1" si="2"/>
        <v>30</v>
      </c>
      <c r="G10" s="45" t="str">
        <f t="shared" si="3"/>
        <v>Erkak</v>
      </c>
      <c r="H10" s="6"/>
      <c r="I10" s="7"/>
      <c r="J10" s="7"/>
    </row>
    <row r="11" spans="1:15" x14ac:dyDescent="0.25">
      <c r="A11" s="32">
        <f>+IF(B11="","!",SUBTOTAL(3,$B$4:B11))</f>
        <v>8</v>
      </c>
      <c r="B11" s="49" t="s">
        <v>284</v>
      </c>
      <c r="C11" s="35">
        <v>37451</v>
      </c>
      <c r="D11" s="32" t="str">
        <f t="shared" ca="1" si="0"/>
        <v xml:space="preserve">23 y 9 oy 8 kun </v>
      </c>
      <c r="E11" s="82">
        <f t="shared" ca="1" si="1"/>
        <v>23</v>
      </c>
      <c r="F11" s="45">
        <f t="shared" ca="1" si="2"/>
        <v>50</v>
      </c>
      <c r="G11" s="45" t="str">
        <f t="shared" si="3"/>
        <v>Ayol</v>
      </c>
      <c r="H11" s="6"/>
      <c r="I11" s="7"/>
      <c r="J11" s="7"/>
    </row>
    <row r="12" spans="1:15" x14ac:dyDescent="0.25">
      <c r="A12" s="32">
        <f>+IF(B12="","!",SUBTOTAL(3,$B$4:B12))</f>
        <v>9</v>
      </c>
      <c r="B12" s="49" t="s">
        <v>232</v>
      </c>
      <c r="C12" s="35">
        <v>35122</v>
      </c>
      <c r="D12" s="32" t="str">
        <f t="shared" ca="1" si="0"/>
        <v xml:space="preserve">30 y 1 oy 26 kun </v>
      </c>
      <c r="E12" s="82">
        <f t="shared" ca="1" si="1"/>
        <v>30</v>
      </c>
      <c r="F12" s="45">
        <f t="shared" ca="1" si="2"/>
        <v>50</v>
      </c>
      <c r="G12" s="45" t="str">
        <f t="shared" si="3"/>
        <v>Erkak</v>
      </c>
      <c r="H12" s="6"/>
      <c r="I12" s="7"/>
      <c r="J12" s="7"/>
    </row>
    <row r="13" spans="1:15" x14ac:dyDescent="0.25">
      <c r="A13" s="32">
        <f>+IF(B13="","!",SUBTOTAL(3,$B$4:B13))</f>
        <v>10</v>
      </c>
      <c r="B13" s="49" t="s">
        <v>206</v>
      </c>
      <c r="C13" s="35">
        <v>40524</v>
      </c>
      <c r="D13" s="32" t="str">
        <f t="shared" ca="1" si="0"/>
        <v xml:space="preserve">15 y 4 oy 10 kun </v>
      </c>
      <c r="E13" s="82">
        <f t="shared" ca="1" si="1"/>
        <v>15</v>
      </c>
      <c r="F13" s="45">
        <f t="shared" ca="1" si="2"/>
        <v>50</v>
      </c>
      <c r="G13" s="45" t="str">
        <f t="shared" si="3"/>
        <v>Erkak</v>
      </c>
      <c r="H13" s="6"/>
      <c r="I13" s="7"/>
      <c r="J13" s="7"/>
    </row>
    <row r="14" spans="1:15" x14ac:dyDescent="0.25">
      <c r="A14" s="32">
        <f>+IF(B14="","!",SUBTOTAL(3,$B$4:B14))</f>
        <v>11</v>
      </c>
      <c r="B14" s="49" t="s">
        <v>191</v>
      </c>
      <c r="C14" s="35">
        <v>35919</v>
      </c>
      <c r="D14" s="32" t="str">
        <f t="shared" ca="1" si="0"/>
        <v xml:space="preserve">27 y 11 oy 18 kun </v>
      </c>
      <c r="E14" s="82">
        <f t="shared" ca="1" si="1"/>
        <v>27</v>
      </c>
      <c r="F14" s="45">
        <f t="shared" ca="1" si="2"/>
        <v>50</v>
      </c>
      <c r="G14" s="45" t="str">
        <f t="shared" si="3"/>
        <v>Erkak</v>
      </c>
      <c r="H14" s="6"/>
      <c r="I14" s="7"/>
      <c r="J14" s="7"/>
    </row>
    <row r="15" spans="1:15" x14ac:dyDescent="0.25">
      <c r="A15" s="32">
        <f>+IF(B15="","!",SUBTOTAL(3,$B$4:B15))</f>
        <v>12</v>
      </c>
      <c r="B15" s="49" t="s">
        <v>241</v>
      </c>
      <c r="C15" s="35">
        <v>42684</v>
      </c>
      <c r="D15" s="32" t="str">
        <f t="shared" ca="1" si="0"/>
        <v xml:space="preserve">9 y 5 oy 12 kun </v>
      </c>
      <c r="E15" s="82">
        <f t="shared" ca="1" si="1"/>
        <v>9</v>
      </c>
      <c r="F15" s="45">
        <f t="shared" ca="1" si="2"/>
        <v>30</v>
      </c>
      <c r="G15" s="45" t="str">
        <f t="shared" si="3"/>
        <v>Erkak</v>
      </c>
      <c r="H15" s="6"/>
      <c r="I15" s="7"/>
      <c r="J15" s="7"/>
    </row>
    <row r="16" spans="1:15" x14ac:dyDescent="0.25">
      <c r="A16" s="32">
        <f>+IF(B16="","!",SUBTOTAL(3,$B$4:B16))</f>
        <v>13</v>
      </c>
      <c r="B16" s="49" t="s">
        <v>234</v>
      </c>
      <c r="C16" s="35">
        <v>38171</v>
      </c>
      <c r="D16" s="32" t="str">
        <f t="shared" ca="1" si="0"/>
        <v xml:space="preserve">21 y 9 oy 19 kun </v>
      </c>
      <c r="E16" s="82">
        <f t="shared" ca="1" si="1"/>
        <v>21</v>
      </c>
      <c r="F16" s="45">
        <f t="shared" ca="1" si="2"/>
        <v>50</v>
      </c>
      <c r="G16" s="45" t="str">
        <f t="shared" si="3"/>
        <v>Ayol</v>
      </c>
      <c r="H16" s="6"/>
      <c r="I16" s="7"/>
      <c r="J16" s="7"/>
    </row>
    <row r="17" spans="1:10" x14ac:dyDescent="0.25">
      <c r="A17" s="32">
        <f>+IF(B17="","!",SUBTOTAL(3,$B$4:B17))</f>
        <v>14</v>
      </c>
      <c r="B17" s="49" t="s">
        <v>187</v>
      </c>
      <c r="C17" s="35">
        <v>39046</v>
      </c>
      <c r="D17" s="32" t="str">
        <f t="shared" ca="1" si="0"/>
        <v xml:space="preserve">19 y 4 oy 28 kun </v>
      </c>
      <c r="E17" s="82">
        <f t="shared" ca="1" si="1"/>
        <v>19</v>
      </c>
      <c r="F17" s="45">
        <f t="shared" ca="1" si="2"/>
        <v>50</v>
      </c>
      <c r="G17" s="45" t="str">
        <f t="shared" si="3"/>
        <v>Ayol</v>
      </c>
      <c r="H17" s="6"/>
      <c r="I17" s="7"/>
      <c r="J17" s="7"/>
    </row>
    <row r="18" spans="1:10" x14ac:dyDescent="0.25">
      <c r="A18" s="32">
        <f>+IF(B18="","!",SUBTOTAL(3,$B$4:B18))</f>
        <v>15</v>
      </c>
      <c r="B18" s="49" t="s">
        <v>227</v>
      </c>
      <c r="C18" s="35">
        <v>43424</v>
      </c>
      <c r="D18" s="32" t="str">
        <f t="shared" ca="1" si="0"/>
        <v xml:space="preserve">7 y 5 oy 2 kun </v>
      </c>
      <c r="E18" s="82">
        <f t="shared" ca="1" si="1"/>
        <v>7</v>
      </c>
      <c r="F18" s="45">
        <f t="shared" ca="1" si="2"/>
        <v>30</v>
      </c>
      <c r="G18" s="45" t="str">
        <f t="shared" si="3"/>
        <v>Ayol</v>
      </c>
      <c r="H18" s="6"/>
      <c r="I18" s="7"/>
      <c r="J18" s="7"/>
    </row>
    <row r="19" spans="1:10" x14ac:dyDescent="0.25">
      <c r="A19" s="32">
        <f>+IF(B19="","!",SUBTOTAL(3,$B$4:B19))</f>
        <v>16</v>
      </c>
      <c r="B19" s="49" t="s">
        <v>253</v>
      </c>
      <c r="C19" s="35">
        <v>42937</v>
      </c>
      <c r="D19" s="32" t="str">
        <f t="shared" ca="1" si="0"/>
        <v xml:space="preserve">8 y 9 oy 1 kun </v>
      </c>
      <c r="E19" s="82">
        <f t="shared" ca="1" si="1"/>
        <v>8</v>
      </c>
      <c r="F19" s="45">
        <f t="shared" ca="1" si="2"/>
        <v>30</v>
      </c>
      <c r="G19" s="45" t="str">
        <f t="shared" si="3"/>
        <v>Erkak</v>
      </c>
      <c r="H19" s="6"/>
      <c r="I19" s="7"/>
      <c r="J19" s="7"/>
    </row>
    <row r="20" spans="1:10" x14ac:dyDescent="0.25">
      <c r="A20" s="32">
        <f>+IF(B20="","!",SUBTOTAL(3,$B$4:B20))</f>
        <v>17</v>
      </c>
      <c r="B20" s="49" t="s">
        <v>258</v>
      </c>
      <c r="C20" s="35">
        <v>41491</v>
      </c>
      <c r="D20" s="32" t="str">
        <f t="shared" ca="1" si="0"/>
        <v xml:space="preserve">12 y 8 oy 17 kun </v>
      </c>
      <c r="E20" s="82">
        <f t="shared" ca="1" si="1"/>
        <v>12</v>
      </c>
      <c r="F20" s="45">
        <f t="shared" ca="1" si="2"/>
        <v>40</v>
      </c>
      <c r="G20" s="45" t="str">
        <f t="shared" si="3"/>
        <v>Erkak</v>
      </c>
      <c r="H20" s="6"/>
      <c r="I20" s="7"/>
      <c r="J20" s="7"/>
    </row>
    <row r="21" spans="1:10" x14ac:dyDescent="0.25">
      <c r="A21" s="32">
        <f>+IF(B21="","!",SUBTOTAL(3,$B$4:B21))</f>
        <v>18</v>
      </c>
      <c r="B21" s="49" t="s">
        <v>229</v>
      </c>
      <c r="C21" s="35">
        <v>40534</v>
      </c>
      <c r="D21" s="32" t="str">
        <f t="shared" ca="1" si="0"/>
        <v xml:space="preserve">15 y 4 oy 0 kun </v>
      </c>
      <c r="E21" s="82">
        <f t="shared" ca="1" si="1"/>
        <v>15</v>
      </c>
      <c r="F21" s="45">
        <f t="shared" ca="1" si="2"/>
        <v>50</v>
      </c>
      <c r="G21" s="45" t="str">
        <f t="shared" si="3"/>
        <v>Erkak</v>
      </c>
      <c r="H21" s="6"/>
      <c r="I21" s="7"/>
      <c r="J21" s="7"/>
    </row>
    <row r="22" spans="1:10" x14ac:dyDescent="0.25">
      <c r="A22" s="32">
        <f>+IF(B22="","!",SUBTOTAL(3,$B$4:B22))</f>
        <v>19</v>
      </c>
      <c r="B22" s="49" t="s">
        <v>246</v>
      </c>
      <c r="C22" s="35">
        <v>37485</v>
      </c>
      <c r="D22" s="32" t="str">
        <f t="shared" ca="1" si="0"/>
        <v xml:space="preserve">23 y 8 oy 5 kun </v>
      </c>
      <c r="E22" s="82">
        <f t="shared" ca="1" si="1"/>
        <v>23</v>
      </c>
      <c r="F22" s="45">
        <f t="shared" ca="1" si="2"/>
        <v>50</v>
      </c>
      <c r="G22" s="45" t="str">
        <f t="shared" si="3"/>
        <v>Erkak</v>
      </c>
      <c r="H22" s="6"/>
      <c r="I22" s="7"/>
      <c r="J22" s="7"/>
    </row>
    <row r="23" spans="1:10" x14ac:dyDescent="0.25">
      <c r="A23" s="32">
        <f>+IF(B23="","!",SUBTOTAL(3,$B$4:B23))</f>
        <v>20</v>
      </c>
      <c r="B23" s="49" t="s">
        <v>211</v>
      </c>
      <c r="C23" s="35">
        <v>43801</v>
      </c>
      <c r="D23" s="32" t="str">
        <f t="shared" ca="1" si="0"/>
        <v xml:space="preserve">6 y 4 oy 20 kun </v>
      </c>
      <c r="E23" s="82">
        <f t="shared" ca="1" si="1"/>
        <v>6</v>
      </c>
      <c r="F23" s="45">
        <f t="shared" ca="1" si="2"/>
        <v>20</v>
      </c>
      <c r="G23" s="45" t="str">
        <f t="shared" si="3"/>
        <v>Erkak</v>
      </c>
      <c r="H23" s="6"/>
      <c r="I23" s="7"/>
      <c r="J23" s="7"/>
    </row>
    <row r="24" spans="1:10" x14ac:dyDescent="0.25">
      <c r="A24" s="32">
        <f>+IF(B24="","!",SUBTOTAL(3,$B$4:B24))</f>
        <v>21</v>
      </c>
      <c r="B24" s="49" t="s">
        <v>257</v>
      </c>
      <c r="C24" s="35">
        <v>36290</v>
      </c>
      <c r="D24" s="32" t="str">
        <f t="shared" ca="1" si="0"/>
        <v xml:space="preserve">26 y 11 oy 12 kun </v>
      </c>
      <c r="E24" s="82">
        <f t="shared" ca="1" si="1"/>
        <v>26</v>
      </c>
      <c r="F24" s="45">
        <f t="shared" ca="1" si="2"/>
        <v>50</v>
      </c>
      <c r="G24" s="45" t="str">
        <f t="shared" si="3"/>
        <v>Erkak</v>
      </c>
      <c r="H24" s="6"/>
      <c r="I24" s="7"/>
      <c r="J24" s="7"/>
    </row>
    <row r="25" spans="1:10" x14ac:dyDescent="0.25">
      <c r="A25" s="32">
        <f>+IF(B25="","!",SUBTOTAL(3,$B$4:B25))</f>
        <v>22</v>
      </c>
      <c r="B25" s="49" t="s">
        <v>204</v>
      </c>
      <c r="C25" s="35">
        <v>33086</v>
      </c>
      <c r="D25" s="32" t="str">
        <f t="shared" ca="1" si="0"/>
        <v xml:space="preserve">35 y 8 oy 21 kun </v>
      </c>
      <c r="E25" s="82">
        <f t="shared" ca="1" si="1"/>
        <v>35</v>
      </c>
      <c r="F25" s="45">
        <f t="shared" ca="1" si="2"/>
        <v>50</v>
      </c>
      <c r="G25" s="45" t="str">
        <f t="shared" si="3"/>
        <v>Erkak</v>
      </c>
      <c r="H25" s="6"/>
      <c r="I25" s="7"/>
      <c r="J25" s="7"/>
    </row>
    <row r="26" spans="1:10" x14ac:dyDescent="0.25">
      <c r="A26" s="32">
        <f>+IF(B26="","!",SUBTOTAL(3,$B$4:B26))</f>
        <v>23</v>
      </c>
      <c r="B26" s="49" t="s">
        <v>223</v>
      </c>
      <c r="C26" s="35">
        <v>37505</v>
      </c>
      <c r="D26" s="32" t="str">
        <f t="shared" ca="1" si="0"/>
        <v xml:space="preserve">23 y 7 oy 16 kun </v>
      </c>
      <c r="E26" s="82">
        <f t="shared" ca="1" si="1"/>
        <v>23</v>
      </c>
      <c r="F26" s="45">
        <f t="shared" ca="1" si="2"/>
        <v>50</v>
      </c>
      <c r="G26" s="45" t="str">
        <f t="shared" si="3"/>
        <v>Erkak</v>
      </c>
      <c r="H26" s="6"/>
      <c r="I26" s="7"/>
      <c r="J26" s="7"/>
    </row>
    <row r="27" spans="1:10" x14ac:dyDescent="0.25">
      <c r="A27" s="32">
        <f>+IF(B27="","!",SUBTOTAL(3,$B$4:B27))</f>
        <v>24</v>
      </c>
      <c r="B27" s="49" t="s">
        <v>230</v>
      </c>
      <c r="C27" s="35">
        <v>40171</v>
      </c>
      <c r="D27" s="32" t="str">
        <f t="shared" ca="1" si="0"/>
        <v xml:space="preserve">16 y 3 oy 29 kun </v>
      </c>
      <c r="E27" s="82">
        <f t="shared" ca="1" si="1"/>
        <v>16</v>
      </c>
      <c r="F27" s="45">
        <f t="shared" ca="1" si="2"/>
        <v>50</v>
      </c>
      <c r="G27" s="45" t="str">
        <f t="shared" si="3"/>
        <v>Erkak</v>
      </c>
      <c r="H27" s="6"/>
      <c r="I27" s="7"/>
      <c r="J27" s="7"/>
    </row>
    <row r="28" spans="1:10" x14ac:dyDescent="0.25">
      <c r="A28" s="32">
        <f>+IF(B28="","!",SUBTOTAL(3,$B$4:B28))</f>
        <v>25</v>
      </c>
      <c r="B28" s="49" t="s">
        <v>193</v>
      </c>
      <c r="C28" s="35">
        <v>30223</v>
      </c>
      <c r="D28" s="32" t="str">
        <f t="shared" ca="1" si="0"/>
        <v xml:space="preserve">43 y 6 oy 24 kun </v>
      </c>
      <c r="E28" s="82">
        <f t="shared" ca="1" si="1"/>
        <v>43</v>
      </c>
      <c r="F28" s="45">
        <f t="shared" ca="1" si="2"/>
        <v>50</v>
      </c>
      <c r="G28" s="45" t="str">
        <f t="shared" si="3"/>
        <v>Ayol</v>
      </c>
      <c r="H28" s="6"/>
      <c r="I28" s="7"/>
      <c r="J28" s="7"/>
    </row>
    <row r="29" spans="1:10" x14ac:dyDescent="0.25">
      <c r="A29" s="32">
        <f>+IF(B29="","!",SUBTOTAL(3,$B$4:B29))</f>
        <v>26</v>
      </c>
      <c r="B29" s="49" t="s">
        <v>256</v>
      </c>
      <c r="C29" s="35">
        <v>35184</v>
      </c>
      <c r="D29" s="32" t="str">
        <f t="shared" ca="1" si="0"/>
        <v xml:space="preserve">29 y 11 oy 24 kun </v>
      </c>
      <c r="E29" s="82">
        <f t="shared" ca="1" si="1"/>
        <v>29</v>
      </c>
      <c r="F29" s="45">
        <f t="shared" ca="1" si="2"/>
        <v>50</v>
      </c>
      <c r="G29" s="45" t="str">
        <f t="shared" si="3"/>
        <v>Ayol</v>
      </c>
      <c r="H29" s="6"/>
      <c r="I29" s="7"/>
      <c r="J29" s="7"/>
    </row>
    <row r="30" spans="1:10" x14ac:dyDescent="0.25">
      <c r="A30" s="32">
        <f>+IF(B30="","!",SUBTOTAL(3,$B$4:B30))</f>
        <v>27</v>
      </c>
      <c r="B30" s="49" t="s">
        <v>212</v>
      </c>
      <c r="C30" s="35">
        <v>35651</v>
      </c>
      <c r="D30" s="32" t="str">
        <f t="shared" ca="1" si="0"/>
        <v xml:space="preserve">28 y 8 oy 13 kun </v>
      </c>
      <c r="E30" s="82">
        <f t="shared" ca="1" si="1"/>
        <v>28</v>
      </c>
      <c r="F30" s="45">
        <f t="shared" ca="1" si="2"/>
        <v>50</v>
      </c>
      <c r="G30" s="45" t="str">
        <f t="shared" si="3"/>
        <v>Ayol</v>
      </c>
      <c r="H30" s="6"/>
      <c r="I30" s="7"/>
      <c r="J30" s="7"/>
    </row>
    <row r="31" spans="1:10" x14ac:dyDescent="0.25">
      <c r="A31" s="32">
        <f>+IF(B31="","!",SUBTOTAL(3,$B$4:B31))</f>
        <v>28</v>
      </c>
      <c r="B31" s="49" t="s">
        <v>235</v>
      </c>
      <c r="C31" s="35">
        <v>41482</v>
      </c>
      <c r="D31" s="32" t="str">
        <f t="shared" ca="1" si="0"/>
        <v xml:space="preserve">12 y 8 oy 26 kun </v>
      </c>
      <c r="E31" s="82">
        <f t="shared" ca="1" si="1"/>
        <v>12</v>
      </c>
      <c r="F31" s="45">
        <f t="shared" ca="1" si="2"/>
        <v>40</v>
      </c>
      <c r="G31" s="45" t="str">
        <f t="shared" si="3"/>
        <v>Erkak</v>
      </c>
      <c r="H31" s="6"/>
      <c r="I31" s="7"/>
      <c r="J31" s="7"/>
    </row>
    <row r="32" spans="1:10" x14ac:dyDescent="0.25">
      <c r="A32" s="32">
        <f>+IF(B32="","!",SUBTOTAL(3,$B$4:B32))</f>
        <v>29</v>
      </c>
      <c r="B32" s="49" t="s">
        <v>186</v>
      </c>
      <c r="C32" s="35">
        <v>42666</v>
      </c>
      <c r="D32" s="32" t="str">
        <f t="shared" ca="1" si="0"/>
        <v xml:space="preserve">9 y 5 oy 30 kun </v>
      </c>
      <c r="E32" s="82">
        <f t="shared" ca="1" si="1"/>
        <v>9</v>
      </c>
      <c r="F32" s="45">
        <f t="shared" ca="1" si="2"/>
        <v>30</v>
      </c>
      <c r="G32" s="45" t="str">
        <f t="shared" si="3"/>
        <v>Erkak</v>
      </c>
      <c r="H32" s="6"/>
      <c r="I32" s="7"/>
      <c r="J32" s="7"/>
    </row>
    <row r="33" spans="1:10" x14ac:dyDescent="0.25">
      <c r="A33" s="32">
        <f>+IF(B33="","!",SUBTOTAL(3,$B$4:B33))</f>
        <v>30</v>
      </c>
      <c r="B33" s="49" t="s">
        <v>250</v>
      </c>
      <c r="C33" s="35">
        <v>42502</v>
      </c>
      <c r="D33" s="32" t="str">
        <f t="shared" ca="1" si="0"/>
        <v xml:space="preserve">9 y 11 oy 10 kun </v>
      </c>
      <c r="E33" s="82">
        <f t="shared" ca="1" si="1"/>
        <v>9</v>
      </c>
      <c r="F33" s="45">
        <f t="shared" ca="1" si="2"/>
        <v>30</v>
      </c>
      <c r="G33" s="45" t="str">
        <f t="shared" si="3"/>
        <v>Erkak</v>
      </c>
      <c r="H33" s="6"/>
      <c r="I33" s="7"/>
      <c r="J33" s="7"/>
    </row>
    <row r="34" spans="1:10" x14ac:dyDescent="0.25">
      <c r="A34" s="32">
        <f>+IF(B34="","!",SUBTOTAL(3,$B$4:B34))</f>
        <v>31</v>
      </c>
      <c r="B34" s="49" t="s">
        <v>251</v>
      </c>
      <c r="C34" s="35">
        <v>40665</v>
      </c>
      <c r="D34" s="32" t="str">
        <f t="shared" ca="1" si="0"/>
        <v xml:space="preserve">14 y 11 oy 20 kun </v>
      </c>
      <c r="E34" s="82">
        <f t="shared" ca="1" si="1"/>
        <v>14</v>
      </c>
      <c r="F34" s="45">
        <f t="shared" ca="1" si="2"/>
        <v>40</v>
      </c>
      <c r="G34" s="45" t="str">
        <f t="shared" si="3"/>
        <v>Erkak</v>
      </c>
      <c r="H34" s="6"/>
      <c r="I34" s="7"/>
      <c r="J34" s="7"/>
    </row>
    <row r="35" spans="1:10" x14ac:dyDescent="0.25">
      <c r="A35" s="32">
        <f>+IF(B35="","!",SUBTOTAL(3,$B$4:B35))</f>
        <v>32</v>
      </c>
      <c r="B35" s="49" t="s">
        <v>260</v>
      </c>
      <c r="C35" s="35">
        <v>43446</v>
      </c>
      <c r="D35" s="32" t="str">
        <f t="shared" ca="1" si="0"/>
        <v xml:space="preserve">7 y 4 oy 10 kun </v>
      </c>
      <c r="E35" s="82">
        <f t="shared" ca="1" si="1"/>
        <v>7</v>
      </c>
      <c r="F35" s="45">
        <f t="shared" ca="1" si="2"/>
        <v>30</v>
      </c>
      <c r="G35" s="45" t="str">
        <f t="shared" si="3"/>
        <v>Erkak</v>
      </c>
      <c r="H35" s="6"/>
      <c r="I35" s="7"/>
      <c r="J35" s="7"/>
    </row>
    <row r="36" spans="1:10" x14ac:dyDescent="0.25">
      <c r="A36" s="32">
        <f>+IF(B36="","!",SUBTOTAL(3,$B$4:B36))</f>
        <v>33</v>
      </c>
      <c r="B36" s="49" t="s">
        <v>262</v>
      </c>
      <c r="C36" s="35">
        <v>42244</v>
      </c>
      <c r="D36" s="32" t="str">
        <f t="shared" ca="1" si="0"/>
        <v xml:space="preserve">10 y 7 oy 25 kun </v>
      </c>
      <c r="E36" s="82">
        <f t="shared" ca="1" si="1"/>
        <v>10</v>
      </c>
      <c r="F36" s="45">
        <f t="shared" ca="1" si="2"/>
        <v>40</v>
      </c>
      <c r="G36" s="45" t="str">
        <f t="shared" si="3"/>
        <v>Erkak</v>
      </c>
      <c r="H36" s="6"/>
      <c r="I36" s="7"/>
      <c r="J36" s="7"/>
    </row>
    <row r="37" spans="1:10" x14ac:dyDescent="0.25">
      <c r="A37" s="32">
        <f>+IF(B37="","!",SUBTOTAL(3,$B$4:B37))</f>
        <v>34</v>
      </c>
      <c r="B37" s="49" t="s">
        <v>205</v>
      </c>
      <c r="C37" s="35">
        <v>42563</v>
      </c>
      <c r="D37" s="32" t="str">
        <f t="shared" ca="1" si="0"/>
        <v xml:space="preserve">9 y 9 oy 10 kun </v>
      </c>
      <c r="E37" s="82">
        <f t="shared" ca="1" si="1"/>
        <v>9</v>
      </c>
      <c r="F37" s="45">
        <f t="shared" ca="1" si="2"/>
        <v>30</v>
      </c>
      <c r="G37" s="45" t="str">
        <f t="shared" si="3"/>
        <v>Erkak</v>
      </c>
      <c r="H37" s="6"/>
      <c r="I37" s="7"/>
      <c r="J37" s="7"/>
    </row>
    <row r="38" spans="1:10" x14ac:dyDescent="0.25">
      <c r="A38" s="32">
        <f>+IF(B38="","!",SUBTOTAL(3,$B$4:B38))</f>
        <v>35</v>
      </c>
      <c r="B38" s="49" t="s">
        <v>226</v>
      </c>
      <c r="C38" s="35">
        <v>39984</v>
      </c>
      <c r="D38" s="32" t="str">
        <f t="shared" ca="1" si="0"/>
        <v xml:space="preserve">16 y 10 oy 2 kun </v>
      </c>
      <c r="E38" s="82">
        <f t="shared" ca="1" si="1"/>
        <v>16</v>
      </c>
      <c r="F38" s="45">
        <f t="shared" ca="1" si="2"/>
        <v>50</v>
      </c>
      <c r="G38" s="45" t="str">
        <f t="shared" si="3"/>
        <v>Ayol</v>
      </c>
      <c r="H38" s="6"/>
      <c r="I38" s="7"/>
      <c r="J38" s="7"/>
    </row>
    <row r="39" spans="1:10" x14ac:dyDescent="0.25">
      <c r="A39" s="32">
        <f>+IF(B39="","!",SUBTOTAL(3,$B$4:B39))</f>
        <v>36</v>
      </c>
      <c r="B39" s="49" t="s">
        <v>219</v>
      </c>
      <c r="C39" s="35">
        <v>35825</v>
      </c>
      <c r="D39" s="32" t="str">
        <f t="shared" ca="1" si="0"/>
        <v xml:space="preserve">28 y 2 oy 23 kun </v>
      </c>
      <c r="E39" s="82">
        <f t="shared" ca="1" si="1"/>
        <v>28</v>
      </c>
      <c r="F39" s="45">
        <f t="shared" ca="1" si="2"/>
        <v>50</v>
      </c>
      <c r="G39" s="45" t="str">
        <f t="shared" si="3"/>
        <v>Erkak</v>
      </c>
      <c r="H39" s="6"/>
      <c r="I39" s="7"/>
      <c r="J39" s="7"/>
    </row>
    <row r="40" spans="1:10" x14ac:dyDescent="0.25">
      <c r="A40" s="32">
        <f>+IF(B40="","!",SUBTOTAL(3,$B$4:B40))</f>
        <v>37</v>
      </c>
      <c r="B40" s="49" t="s">
        <v>231</v>
      </c>
      <c r="C40" s="35">
        <v>38246</v>
      </c>
      <c r="D40" s="32" t="str">
        <f t="shared" ca="1" si="0"/>
        <v xml:space="preserve">21 y 7 oy 6 kun </v>
      </c>
      <c r="E40" s="82">
        <f t="shared" ca="1" si="1"/>
        <v>21</v>
      </c>
      <c r="F40" s="45">
        <f t="shared" ca="1" si="2"/>
        <v>50</v>
      </c>
      <c r="G40" s="45" t="str">
        <f t="shared" si="3"/>
        <v>Erkak</v>
      </c>
      <c r="H40" s="6"/>
      <c r="I40" s="7"/>
      <c r="J40" s="7"/>
    </row>
    <row r="41" spans="1:10" x14ac:dyDescent="0.25">
      <c r="A41" s="32">
        <f>+IF(B41="","!",SUBTOTAL(3,$B$4:B41))</f>
        <v>38</v>
      </c>
      <c r="B41" s="49" t="s">
        <v>252</v>
      </c>
      <c r="C41" s="35">
        <v>42761</v>
      </c>
      <c r="D41" s="32" t="str">
        <f t="shared" ca="1" si="0"/>
        <v xml:space="preserve">9 y 2 oy 27 kun </v>
      </c>
      <c r="E41" s="82">
        <f t="shared" ca="1" si="1"/>
        <v>9</v>
      </c>
      <c r="F41" s="45">
        <f t="shared" ca="1" si="2"/>
        <v>30</v>
      </c>
      <c r="G41" s="45" t="str">
        <f t="shared" si="3"/>
        <v>Erkak</v>
      </c>
      <c r="H41" s="6"/>
      <c r="I41" s="7"/>
      <c r="J41" s="7"/>
    </row>
    <row r="42" spans="1:10" x14ac:dyDescent="0.25">
      <c r="A42" s="32">
        <f>+IF(B42="","!",SUBTOTAL(3,$B$4:B42))</f>
        <v>39</v>
      </c>
      <c r="B42" s="49" t="s">
        <v>245</v>
      </c>
      <c r="C42" s="35">
        <v>40984</v>
      </c>
      <c r="D42" s="32" t="str">
        <f t="shared" ca="1" si="0"/>
        <v xml:space="preserve">14 y 1 oy 6 kun </v>
      </c>
      <c r="E42" s="82">
        <f t="shared" ca="1" si="1"/>
        <v>14</v>
      </c>
      <c r="F42" s="45">
        <f t="shared" ca="1" si="2"/>
        <v>40</v>
      </c>
      <c r="G42" s="45" t="str">
        <f t="shared" si="3"/>
        <v>Erkak</v>
      </c>
      <c r="H42" s="6"/>
      <c r="I42" s="7"/>
      <c r="J42" s="7"/>
    </row>
    <row r="43" spans="1:10" x14ac:dyDescent="0.25">
      <c r="A43" s="32">
        <f>+IF(B43="","!",SUBTOTAL(3,$B$4:B43))</f>
        <v>40</v>
      </c>
      <c r="B43" s="49" t="s">
        <v>248</v>
      </c>
      <c r="C43" s="35">
        <v>40826</v>
      </c>
      <c r="D43" s="32" t="str">
        <f t="shared" ca="1" si="0"/>
        <v xml:space="preserve">14 y 6 oy 12 kun </v>
      </c>
      <c r="E43" s="82">
        <f t="shared" ca="1" si="1"/>
        <v>14</v>
      </c>
      <c r="F43" s="45">
        <f t="shared" ca="1" si="2"/>
        <v>40</v>
      </c>
      <c r="G43" s="45" t="str">
        <f t="shared" si="3"/>
        <v>Erkak</v>
      </c>
      <c r="H43" s="6"/>
      <c r="I43" s="7"/>
      <c r="J43" s="7"/>
    </row>
    <row r="44" spans="1:10" x14ac:dyDescent="0.25">
      <c r="A44" s="32">
        <f>+IF(B44="","!",SUBTOTAL(3,$B$4:B44))</f>
        <v>41</v>
      </c>
      <c r="B44" s="49" t="s">
        <v>210</v>
      </c>
      <c r="C44" s="35">
        <v>39211</v>
      </c>
      <c r="D44" s="32" t="str">
        <f t="shared" ca="1" si="0"/>
        <v xml:space="preserve">18 y 11 oy 13 kun </v>
      </c>
      <c r="E44" s="82">
        <f t="shared" ca="1" si="1"/>
        <v>18</v>
      </c>
      <c r="F44" s="45">
        <f t="shared" ca="1" si="2"/>
        <v>50</v>
      </c>
      <c r="G44" s="45" t="str">
        <f t="shared" si="3"/>
        <v>Erkak</v>
      </c>
      <c r="H44" s="6"/>
      <c r="I44" s="7"/>
      <c r="J44" s="7"/>
    </row>
    <row r="45" spans="1:10" x14ac:dyDescent="0.25">
      <c r="A45" s="32">
        <f>+IF(B45="","!",SUBTOTAL(3,$B$4:B45))</f>
        <v>42</v>
      </c>
      <c r="B45" s="49" t="s">
        <v>228</v>
      </c>
      <c r="C45" s="35">
        <v>43767</v>
      </c>
      <c r="D45" s="32" t="str">
        <f t="shared" ca="1" si="0"/>
        <v xml:space="preserve">6 y 5 oy 24 kun </v>
      </c>
      <c r="E45" s="82">
        <f t="shared" ca="1" si="1"/>
        <v>6</v>
      </c>
      <c r="F45" s="45">
        <f t="shared" ca="1" si="2"/>
        <v>20</v>
      </c>
      <c r="G45" s="45" t="str">
        <f t="shared" si="3"/>
        <v>Erkak</v>
      </c>
      <c r="H45" s="6"/>
      <c r="I45" s="7"/>
      <c r="J45" s="7"/>
    </row>
    <row r="46" spans="1:10" x14ac:dyDescent="0.25">
      <c r="A46" s="32">
        <f>+IF(B46="","!",SUBTOTAL(3,$B$4:B46))</f>
        <v>43</v>
      </c>
      <c r="B46" s="49" t="s">
        <v>254</v>
      </c>
      <c r="C46" s="35">
        <v>42423</v>
      </c>
      <c r="D46" s="32" t="str">
        <f t="shared" ca="1" si="0"/>
        <v xml:space="preserve">10 y 1 oy 30 kun </v>
      </c>
      <c r="E46" s="82">
        <f t="shared" ca="1" si="1"/>
        <v>10</v>
      </c>
      <c r="F46" s="45">
        <f t="shared" ca="1" si="2"/>
        <v>40</v>
      </c>
      <c r="G46" s="45" t="str">
        <f t="shared" si="3"/>
        <v>Erkak</v>
      </c>
      <c r="H46" s="6"/>
      <c r="I46" s="7"/>
      <c r="J46" s="7"/>
    </row>
    <row r="47" spans="1:10" x14ac:dyDescent="0.25">
      <c r="A47" s="32">
        <f>+IF(B47="","!",SUBTOTAL(3,$B$4:B47))</f>
        <v>44</v>
      </c>
      <c r="B47" s="49" t="s">
        <v>265</v>
      </c>
      <c r="C47" s="35">
        <v>43498</v>
      </c>
      <c r="D47" s="32" t="str">
        <f t="shared" ca="1" si="0"/>
        <v xml:space="preserve">7 y 2 oy 20 kun </v>
      </c>
      <c r="E47" s="82">
        <f t="shared" ca="1" si="1"/>
        <v>7</v>
      </c>
      <c r="F47" s="45">
        <f t="shared" ca="1" si="2"/>
        <v>30</v>
      </c>
      <c r="G47" s="45" t="str">
        <f t="shared" si="3"/>
        <v>Erkak</v>
      </c>
      <c r="H47" s="6"/>
      <c r="I47" s="7"/>
      <c r="J47" s="7"/>
    </row>
    <row r="48" spans="1:10" x14ac:dyDescent="0.25">
      <c r="A48" s="32">
        <f>+IF(B48="","!",SUBTOTAL(3,$B$4:B48))</f>
        <v>45</v>
      </c>
      <c r="B48" s="49" t="s">
        <v>238</v>
      </c>
      <c r="C48" s="35">
        <v>43311</v>
      </c>
      <c r="D48" s="32" t="str">
        <f t="shared" ca="1" si="0"/>
        <v xml:space="preserve">7 y 8 oy 23 kun </v>
      </c>
      <c r="E48" s="82">
        <f t="shared" ca="1" si="1"/>
        <v>7</v>
      </c>
      <c r="F48" s="45">
        <f t="shared" ca="1" si="2"/>
        <v>30</v>
      </c>
      <c r="G48" s="45" t="str">
        <f t="shared" si="3"/>
        <v>Ayol</v>
      </c>
      <c r="H48" s="6"/>
      <c r="I48" s="7"/>
      <c r="J48" s="7"/>
    </row>
    <row r="49" spans="1:10" x14ac:dyDescent="0.25">
      <c r="A49" s="32">
        <f>+IF(B49="","!",SUBTOTAL(3,$B$4:B49))</f>
        <v>46</v>
      </c>
      <c r="B49" s="49" t="s">
        <v>247</v>
      </c>
      <c r="C49" s="35">
        <v>35222</v>
      </c>
      <c r="D49" s="32" t="str">
        <f t="shared" ca="1" si="0"/>
        <v xml:space="preserve">29 y 10 oy 16 kun </v>
      </c>
      <c r="E49" s="82">
        <f t="shared" ca="1" si="1"/>
        <v>29</v>
      </c>
      <c r="F49" s="45">
        <f t="shared" ca="1" si="2"/>
        <v>50</v>
      </c>
      <c r="G49" s="45" t="str">
        <f t="shared" si="3"/>
        <v>Erkak</v>
      </c>
      <c r="H49" s="6"/>
      <c r="I49" s="7"/>
      <c r="J49" s="7"/>
    </row>
    <row r="50" spans="1:10" x14ac:dyDescent="0.25">
      <c r="A50" s="32">
        <f>+IF(B50="","!",SUBTOTAL(3,$B$4:B50))</f>
        <v>47</v>
      </c>
      <c r="B50" s="49" t="s">
        <v>216</v>
      </c>
      <c r="C50" s="35">
        <v>35471</v>
      </c>
      <c r="D50" s="32" t="str">
        <f t="shared" ca="1" si="0"/>
        <v xml:space="preserve">29 y 2 oy 12 kun </v>
      </c>
      <c r="E50" s="82">
        <f t="shared" ca="1" si="1"/>
        <v>29</v>
      </c>
      <c r="F50" s="45">
        <f t="shared" ca="1" si="2"/>
        <v>50</v>
      </c>
      <c r="G50" s="45" t="str">
        <f t="shared" si="3"/>
        <v>Erkak</v>
      </c>
      <c r="H50" s="6"/>
      <c r="I50" s="7"/>
      <c r="J50" s="7"/>
    </row>
    <row r="51" spans="1:10" x14ac:dyDescent="0.25">
      <c r="A51" s="32">
        <f>+IF(B51="","!",SUBTOTAL(3,$B$4:B51))</f>
        <v>48</v>
      </c>
      <c r="B51" s="49" t="s">
        <v>240</v>
      </c>
      <c r="C51" s="35">
        <v>39377</v>
      </c>
      <c r="D51" s="32" t="str">
        <f t="shared" ca="1" si="0"/>
        <v xml:space="preserve">18 y 6 oy 0 kun </v>
      </c>
      <c r="E51" s="82">
        <f t="shared" ca="1" si="1"/>
        <v>18</v>
      </c>
      <c r="F51" s="45">
        <f t="shared" ca="1" si="2"/>
        <v>50</v>
      </c>
      <c r="G51" s="45" t="str">
        <f t="shared" si="3"/>
        <v>Erkak</v>
      </c>
      <c r="H51" s="6"/>
      <c r="I51" s="7"/>
      <c r="J51" s="7"/>
    </row>
    <row r="52" spans="1:10" x14ac:dyDescent="0.25">
      <c r="A52" s="32">
        <f>+IF(B52="","!",SUBTOTAL(3,$B$4:B52))</f>
        <v>49</v>
      </c>
      <c r="B52" s="49" t="s">
        <v>201</v>
      </c>
      <c r="C52" s="35">
        <v>40427</v>
      </c>
      <c r="D52" s="32" t="str">
        <f t="shared" ca="1" si="0"/>
        <v xml:space="preserve">15 y 7 oy 16 kun </v>
      </c>
      <c r="E52" s="82">
        <f t="shared" ca="1" si="1"/>
        <v>15</v>
      </c>
      <c r="F52" s="45">
        <f t="shared" ca="1" si="2"/>
        <v>50</v>
      </c>
      <c r="G52" s="45" t="str">
        <f t="shared" si="3"/>
        <v>Erkak</v>
      </c>
      <c r="H52" s="6"/>
      <c r="I52" s="7"/>
      <c r="J52" s="7"/>
    </row>
    <row r="53" spans="1:10" x14ac:dyDescent="0.25">
      <c r="A53" s="32">
        <f>+IF(B53="","!",SUBTOTAL(3,$B$4:B53))</f>
        <v>50</v>
      </c>
      <c r="B53" s="49" t="s">
        <v>218</v>
      </c>
      <c r="C53" s="35">
        <v>39357</v>
      </c>
      <c r="D53" s="32" t="str">
        <f t="shared" ca="1" si="0"/>
        <v xml:space="preserve">18 y 6 oy 20 kun </v>
      </c>
      <c r="E53" s="82">
        <f t="shared" ca="1" si="1"/>
        <v>18</v>
      </c>
      <c r="F53" s="45">
        <f t="shared" ca="1" si="2"/>
        <v>50</v>
      </c>
      <c r="G53" s="45" t="str">
        <f t="shared" si="3"/>
        <v>Erkak</v>
      </c>
      <c r="H53" s="6"/>
      <c r="I53" s="7"/>
      <c r="J53" s="7"/>
    </row>
    <row r="54" spans="1:10" x14ac:dyDescent="0.25">
      <c r="A54" s="32">
        <f>+IF(B54="","!",SUBTOTAL(3,$B$4:B54))</f>
        <v>51</v>
      </c>
      <c r="B54" s="49" t="s">
        <v>239</v>
      </c>
      <c r="C54" s="35">
        <v>40750</v>
      </c>
      <c r="D54" s="32" t="str">
        <f t="shared" ca="1" si="0"/>
        <v xml:space="preserve">14 y 8 oy 27 kun </v>
      </c>
      <c r="E54" s="82">
        <f t="shared" ca="1" si="1"/>
        <v>14</v>
      </c>
      <c r="F54" s="45">
        <f t="shared" ca="1" si="2"/>
        <v>40</v>
      </c>
      <c r="G54" s="45" t="str">
        <f t="shared" si="3"/>
        <v>Erkak</v>
      </c>
      <c r="H54" s="6"/>
      <c r="I54" s="7"/>
      <c r="J54" s="7"/>
    </row>
    <row r="55" spans="1:10" x14ac:dyDescent="0.25">
      <c r="A55" s="32">
        <f>+IF(B55="","!",SUBTOTAL(3,$B$4:B55))</f>
        <v>52</v>
      </c>
      <c r="B55" s="49" t="s">
        <v>185</v>
      </c>
      <c r="C55" s="35">
        <v>43262</v>
      </c>
      <c r="D55" s="32" t="str">
        <f t="shared" ca="1" si="0"/>
        <v xml:space="preserve">7 y 10 oy 11 kun </v>
      </c>
      <c r="E55" s="82">
        <f t="shared" ca="1" si="1"/>
        <v>7</v>
      </c>
      <c r="F55" s="45">
        <f t="shared" ca="1" si="2"/>
        <v>30</v>
      </c>
      <c r="G55" s="45" t="str">
        <f t="shared" si="3"/>
        <v>Erkak</v>
      </c>
      <c r="H55" s="6"/>
      <c r="I55" s="7"/>
      <c r="J55" s="7"/>
    </row>
    <row r="56" spans="1:10" x14ac:dyDescent="0.25">
      <c r="A56" s="32">
        <f>+IF(B56="","!",SUBTOTAL(3,$B$4:B56))</f>
        <v>53</v>
      </c>
      <c r="B56" s="49" t="s">
        <v>242</v>
      </c>
      <c r="C56" s="35">
        <v>41547</v>
      </c>
      <c r="D56" s="32" t="str">
        <f t="shared" ca="1" si="0"/>
        <v xml:space="preserve">12 y 6 oy 23 kun </v>
      </c>
      <c r="E56" s="82">
        <f t="shared" ca="1" si="1"/>
        <v>12</v>
      </c>
      <c r="F56" s="45">
        <f t="shared" ca="1" si="2"/>
        <v>40</v>
      </c>
      <c r="G56" s="45" t="str">
        <f t="shared" si="3"/>
        <v>Erkak</v>
      </c>
      <c r="H56" s="6"/>
      <c r="I56" s="7"/>
      <c r="J56" s="7"/>
    </row>
    <row r="57" spans="1:10" x14ac:dyDescent="0.25">
      <c r="A57" s="32">
        <f>+IF(B57="","!",SUBTOTAL(3,$B$4:B57))</f>
        <v>54</v>
      </c>
      <c r="B57" s="49" t="s">
        <v>286</v>
      </c>
      <c r="C57" s="35">
        <v>44774</v>
      </c>
      <c r="D57" s="32" t="str">
        <f t="shared" ca="1" si="0"/>
        <v xml:space="preserve">3 y 8 oy 21 kun </v>
      </c>
      <c r="E57" s="82">
        <f t="shared" ca="1" si="1"/>
        <v>3</v>
      </c>
      <c r="F57" s="45">
        <f t="shared" ca="1" si="2"/>
        <v>10</v>
      </c>
      <c r="G57" s="45" t="str">
        <f t="shared" si="3"/>
        <v>Erkak</v>
      </c>
      <c r="H57" s="6"/>
      <c r="I57" s="7"/>
      <c r="J57" s="7"/>
    </row>
    <row r="58" spans="1:10" x14ac:dyDescent="0.25">
      <c r="A58" s="32">
        <f>+IF(B58="","!",SUBTOTAL(3,$B$4:B58))</f>
        <v>55</v>
      </c>
      <c r="B58" s="49" t="s">
        <v>299</v>
      </c>
      <c r="C58" s="35">
        <v>44677</v>
      </c>
      <c r="D58" s="32" t="str">
        <f t="shared" ca="1" si="0"/>
        <v xml:space="preserve">3 y 11 oy 27 kun </v>
      </c>
      <c r="E58" s="82">
        <f t="shared" ca="1" si="1"/>
        <v>3</v>
      </c>
      <c r="F58" s="45">
        <f t="shared" ca="1" si="2"/>
        <v>10</v>
      </c>
      <c r="G58" s="45" t="str">
        <f t="shared" si="3"/>
        <v>Erkak</v>
      </c>
      <c r="H58" s="6"/>
      <c r="I58" s="7"/>
      <c r="J58" s="7"/>
    </row>
    <row r="59" spans="1:10" x14ac:dyDescent="0.25">
      <c r="A59" s="32">
        <f>+IF(B59="","!",SUBTOTAL(3,$B$4:B59))</f>
        <v>56</v>
      </c>
      <c r="B59" s="49" t="s">
        <v>225</v>
      </c>
      <c r="C59" s="35">
        <v>40149</v>
      </c>
      <c r="D59" s="32" t="str">
        <f t="shared" ca="1" si="0"/>
        <v xml:space="preserve">16 y 4 oy 20 kun </v>
      </c>
      <c r="E59" s="82">
        <f t="shared" ca="1" si="1"/>
        <v>16</v>
      </c>
      <c r="F59" s="45">
        <f t="shared" ca="1" si="2"/>
        <v>50</v>
      </c>
      <c r="G59" s="45" t="str">
        <f t="shared" si="3"/>
        <v>Erkak</v>
      </c>
      <c r="H59" s="6"/>
      <c r="I59" s="7"/>
      <c r="J59" s="7"/>
    </row>
    <row r="60" spans="1:10" x14ac:dyDescent="0.25">
      <c r="A60" s="32">
        <f>+IF(B60="","!",SUBTOTAL(3,$B$4:B60))</f>
        <v>57</v>
      </c>
      <c r="B60" s="49" t="s">
        <v>244</v>
      </c>
      <c r="C60" s="35">
        <v>42328</v>
      </c>
      <c r="D60" s="32" t="str">
        <f t="shared" ca="1" si="0"/>
        <v xml:space="preserve">10 y 5 oy 2 kun </v>
      </c>
      <c r="E60" s="82">
        <f t="shared" ca="1" si="1"/>
        <v>10</v>
      </c>
      <c r="F60" s="45">
        <f t="shared" ca="1" si="2"/>
        <v>40</v>
      </c>
      <c r="G60" s="45" t="str">
        <f t="shared" si="3"/>
        <v>Erkak</v>
      </c>
      <c r="H60" s="6"/>
      <c r="I60" s="7"/>
      <c r="J60" s="7"/>
    </row>
    <row r="61" spans="1:10" x14ac:dyDescent="0.25">
      <c r="A61" s="32">
        <f>+IF(B61="","!",SUBTOTAL(3,$B$4:B61))</f>
        <v>58</v>
      </c>
      <c r="B61" s="49" t="s">
        <v>255</v>
      </c>
      <c r="C61" s="35">
        <v>36495</v>
      </c>
      <c r="D61" s="32" t="str">
        <f t="shared" ca="1" si="0"/>
        <v xml:space="preserve">26 y 4 oy 21 kun </v>
      </c>
      <c r="E61" s="82">
        <f t="shared" ca="1" si="1"/>
        <v>26</v>
      </c>
      <c r="F61" s="45">
        <f t="shared" ca="1" si="2"/>
        <v>50</v>
      </c>
      <c r="G61" s="45" t="str">
        <f t="shared" si="3"/>
        <v>Erkak</v>
      </c>
      <c r="H61" s="6"/>
      <c r="I61" s="7"/>
      <c r="J61" s="7"/>
    </row>
    <row r="62" spans="1:10" x14ac:dyDescent="0.25">
      <c r="A62" s="32">
        <f>+IF(B62="","!",SUBTOTAL(3,$B$4:B62))</f>
        <v>59</v>
      </c>
      <c r="B62" s="49" t="s">
        <v>287</v>
      </c>
      <c r="C62" s="35">
        <v>45371</v>
      </c>
      <c r="D62" s="32" t="str">
        <f t="shared" ca="1" si="0"/>
        <v xml:space="preserve">2 y 1 oy 2 kun </v>
      </c>
      <c r="E62" s="82">
        <f t="shared" ca="1" si="1"/>
        <v>2</v>
      </c>
      <c r="F62" s="45">
        <f t="shared" ca="1" si="2"/>
        <v>0</v>
      </c>
      <c r="G62" s="45" t="str">
        <f t="shared" si="3"/>
        <v>Erkak</v>
      </c>
      <c r="H62" s="6"/>
      <c r="I62" s="7"/>
      <c r="J62" s="7"/>
    </row>
    <row r="63" spans="1:10" x14ac:dyDescent="0.25">
      <c r="A63" s="32">
        <f>+IF(B63="","!",SUBTOTAL(3,$B$4:B63))</f>
        <v>60</v>
      </c>
      <c r="B63" s="49" t="s">
        <v>288</v>
      </c>
      <c r="C63" s="35">
        <v>40655</v>
      </c>
      <c r="D63" s="32" t="str">
        <f t="shared" ca="1" si="0"/>
        <v xml:space="preserve">15 y 0 oy 0 kun </v>
      </c>
      <c r="E63" s="82">
        <f t="shared" ca="1" si="1"/>
        <v>15</v>
      </c>
      <c r="F63" s="45">
        <f t="shared" ca="1" si="2"/>
        <v>50</v>
      </c>
      <c r="G63" s="45" t="str">
        <f t="shared" si="3"/>
        <v>Ayol</v>
      </c>
      <c r="H63" s="6"/>
      <c r="I63" s="7"/>
      <c r="J63" s="7"/>
    </row>
    <row r="64" spans="1:10" x14ac:dyDescent="0.25">
      <c r="A64" s="32">
        <f>+IF(B64="","!",SUBTOTAL(3,$B$4:B64))</f>
        <v>61</v>
      </c>
      <c r="B64" s="49" t="s">
        <v>224</v>
      </c>
      <c r="C64" s="35">
        <v>38238</v>
      </c>
      <c r="D64" s="32" t="str">
        <f t="shared" ca="1" si="0"/>
        <v xml:space="preserve">21 y 7 oy 14 kun </v>
      </c>
      <c r="E64" s="82">
        <f t="shared" ca="1" si="1"/>
        <v>21</v>
      </c>
      <c r="F64" s="45">
        <f t="shared" ca="1" si="2"/>
        <v>50</v>
      </c>
      <c r="G64" s="45" t="str">
        <f t="shared" si="3"/>
        <v>Erkak</v>
      </c>
      <c r="H64" s="6"/>
      <c r="I64" s="7"/>
      <c r="J64" s="7"/>
    </row>
    <row r="65" spans="1:10" x14ac:dyDescent="0.25">
      <c r="A65" s="32">
        <f>+IF(B65="","!",SUBTOTAL(3,$B$4:B65))</f>
        <v>62</v>
      </c>
      <c r="B65" s="49" t="s">
        <v>259</v>
      </c>
      <c r="C65" s="35">
        <v>35390</v>
      </c>
      <c r="D65" s="32" t="str">
        <f t="shared" ca="1" si="0"/>
        <v xml:space="preserve">29 y 5 oy 1 kun </v>
      </c>
      <c r="E65" s="82">
        <f t="shared" ca="1" si="1"/>
        <v>29</v>
      </c>
      <c r="F65" s="45">
        <f t="shared" ca="1" si="2"/>
        <v>50</v>
      </c>
      <c r="G65" s="45" t="str">
        <f t="shared" si="3"/>
        <v>Erkak</v>
      </c>
      <c r="H65" s="6"/>
      <c r="I65" s="7"/>
      <c r="J65" s="7"/>
    </row>
    <row r="66" spans="1:10" x14ac:dyDescent="0.25">
      <c r="A66" s="32">
        <f>+IF(B66="","!",SUBTOTAL(3,$B$4:B66))</f>
        <v>63</v>
      </c>
      <c r="B66" s="49" t="s">
        <v>209</v>
      </c>
      <c r="C66" s="35">
        <v>42843</v>
      </c>
      <c r="D66" s="32" t="str">
        <f t="shared" ca="1" si="0"/>
        <v xml:space="preserve">9 y 0 oy 4 kun </v>
      </c>
      <c r="E66" s="82">
        <f t="shared" ca="1" si="1"/>
        <v>9</v>
      </c>
      <c r="F66" s="45">
        <f t="shared" ca="1" si="2"/>
        <v>30</v>
      </c>
      <c r="G66" s="45" t="str">
        <f t="shared" si="3"/>
        <v>Erkak</v>
      </c>
      <c r="H66" s="6"/>
      <c r="I66" s="7"/>
      <c r="J66" s="7"/>
    </row>
    <row r="67" spans="1:10" x14ac:dyDescent="0.25">
      <c r="A67" s="32">
        <f>+IF(B67="","!",SUBTOTAL(3,$B$4:B67))</f>
        <v>64</v>
      </c>
      <c r="B67" s="49" t="s">
        <v>217</v>
      </c>
      <c r="C67" s="35">
        <v>36312</v>
      </c>
      <c r="D67" s="32" t="str">
        <f t="shared" ref="D67:D120" ca="1" si="4">DATEDIF(C67,TODAY(),"y")&amp;" y "&amp;DATEDIF(C67,TODAY(),"ym")&amp;" oy "&amp;DATEDIF(C67,TODAY(),"md")&amp;" kun "</f>
        <v xml:space="preserve">26 y 10 oy 21 kun </v>
      </c>
      <c r="E67" s="82">
        <f t="shared" ca="1" si="1"/>
        <v>26</v>
      </c>
      <c r="F67" s="45">
        <f t="shared" ref="F67:F120" ca="1" si="5">+IF(E67&lt;3,0,IF(OR(E67=3,E67&lt;5),10,IF(OR(E67=5,E67&lt;7),20,IF(OR(E67=7,E67&lt;10),30,IF(OR(E67=10,E67&lt;15),40,IF(OR(E67&gt;=15),50))))))</f>
        <v>50</v>
      </c>
      <c r="G67" s="45" t="str">
        <f t="shared" si="3"/>
        <v>Erkak</v>
      </c>
      <c r="H67" s="6"/>
      <c r="I67" s="7"/>
      <c r="J67" s="7"/>
    </row>
    <row r="68" spans="1:10" x14ac:dyDescent="0.25">
      <c r="A68" s="32">
        <f>+IF(B68="","!",SUBTOTAL(3,$B$4:B68))</f>
        <v>65</v>
      </c>
      <c r="B68" s="49" t="s">
        <v>182</v>
      </c>
      <c r="C68" s="35">
        <v>40080</v>
      </c>
      <c r="D68" s="32" t="str">
        <f t="shared" ca="1" si="4"/>
        <v xml:space="preserve">16 y 6 oy 29 kun </v>
      </c>
      <c r="E68" s="82">
        <f t="shared" ca="1" si="1"/>
        <v>16</v>
      </c>
      <c r="F68" s="45">
        <f t="shared" ca="1" si="5"/>
        <v>50</v>
      </c>
      <c r="G68" s="45" t="str">
        <f t="shared" si="3"/>
        <v>Erkak</v>
      </c>
      <c r="H68" s="6"/>
      <c r="I68" s="7"/>
      <c r="J68" s="7"/>
    </row>
    <row r="69" spans="1:10" x14ac:dyDescent="0.25">
      <c r="A69" s="32">
        <f>+IF(B69="","!",SUBTOTAL(3,$B$4:B69))</f>
        <v>66</v>
      </c>
      <c r="B69" s="49" t="s">
        <v>215</v>
      </c>
      <c r="C69" s="35">
        <v>40377</v>
      </c>
      <c r="D69" s="32" t="str">
        <f t="shared" ca="1" si="4"/>
        <v xml:space="preserve">15 y 9 oy 4 kun </v>
      </c>
      <c r="E69" s="82">
        <f t="shared" ref="E69:E120" ca="1" si="6">+MID(D69,1,2)*1</f>
        <v>15</v>
      </c>
      <c r="F69" s="45">
        <f t="shared" ca="1" si="5"/>
        <v>50</v>
      </c>
      <c r="G69" s="45" t="str">
        <f t="shared" ref="G69:G120" si="7">+IF(OR(RIGHT(TRIM(LEFT(B69,SEARCH(" ",B69))))="a",RIGHT(TRIM(LEFT(B69,SEARCH(" ",B69))))="a"),"Ayol","Erkak")</f>
        <v>Erkak</v>
      </c>
      <c r="H69" s="6"/>
      <c r="I69" s="7"/>
      <c r="J69" s="7"/>
    </row>
    <row r="70" spans="1:10" x14ac:dyDescent="0.25">
      <c r="A70" s="32">
        <f>+IF(B70="","!",SUBTOTAL(3,$B$4:B70))</f>
        <v>67</v>
      </c>
      <c r="B70" s="49" t="s">
        <v>233</v>
      </c>
      <c r="C70" s="35">
        <v>41335</v>
      </c>
      <c r="D70" s="32" t="str">
        <f t="shared" ca="1" si="4"/>
        <v xml:space="preserve">13 y 1 oy 20 kun </v>
      </c>
      <c r="E70" s="82">
        <f t="shared" ca="1" si="6"/>
        <v>13</v>
      </c>
      <c r="F70" s="45">
        <f t="shared" ca="1" si="5"/>
        <v>40</v>
      </c>
      <c r="G70" s="45" t="str">
        <f t="shared" si="7"/>
        <v>Erkak</v>
      </c>
      <c r="H70" s="6"/>
      <c r="I70" s="7"/>
      <c r="J70" s="7"/>
    </row>
    <row r="71" spans="1:10" x14ac:dyDescent="0.25">
      <c r="A71" s="32">
        <f>+IF(B71="","!",SUBTOTAL(3,$B$4:B71))</f>
        <v>68</v>
      </c>
      <c r="B71" s="49" t="s">
        <v>237</v>
      </c>
      <c r="C71" s="35">
        <v>41603</v>
      </c>
      <c r="D71" s="32" t="str">
        <f t="shared" ca="1" si="4"/>
        <v xml:space="preserve">12 y 4 oy 28 kun </v>
      </c>
      <c r="E71" s="82">
        <f t="shared" ca="1" si="6"/>
        <v>12</v>
      </c>
      <c r="F71" s="45">
        <f t="shared" ca="1" si="5"/>
        <v>40</v>
      </c>
      <c r="G71" s="45" t="str">
        <f t="shared" si="7"/>
        <v>Ayol</v>
      </c>
      <c r="H71" s="6"/>
      <c r="I71" s="7"/>
      <c r="J71" s="7"/>
    </row>
    <row r="72" spans="1:10" x14ac:dyDescent="0.25">
      <c r="A72" s="32">
        <f>+IF(B72="","!",SUBTOTAL(3,$B$4:B72))</f>
        <v>69</v>
      </c>
      <c r="B72" s="49" t="s">
        <v>207</v>
      </c>
      <c r="C72" s="35">
        <v>39540</v>
      </c>
      <c r="D72" s="32" t="str">
        <f t="shared" ca="1" si="4"/>
        <v xml:space="preserve">18 y 0 oy 20 kun </v>
      </c>
      <c r="E72" s="82">
        <f t="shared" ca="1" si="6"/>
        <v>18</v>
      </c>
      <c r="F72" s="45">
        <f t="shared" ca="1" si="5"/>
        <v>50</v>
      </c>
      <c r="G72" s="45" t="str">
        <f t="shared" si="7"/>
        <v>Erkak</v>
      </c>
      <c r="H72" s="6"/>
      <c r="I72" s="7"/>
      <c r="J72" s="7"/>
    </row>
    <row r="73" spans="1:10" x14ac:dyDescent="0.25">
      <c r="A73" s="32">
        <f>+IF(B73="","!",SUBTOTAL(3,$B$4:B73))</f>
        <v>70</v>
      </c>
      <c r="B73" s="49" t="s">
        <v>289</v>
      </c>
      <c r="C73" s="35">
        <v>43850</v>
      </c>
      <c r="D73" s="32" t="str">
        <f t="shared" ca="1" si="4"/>
        <v xml:space="preserve">6 y 3 oy 2 kun </v>
      </c>
      <c r="E73" s="82">
        <f t="shared" ca="1" si="6"/>
        <v>6</v>
      </c>
      <c r="F73" s="45">
        <f t="shared" ca="1" si="5"/>
        <v>20</v>
      </c>
      <c r="G73" s="45" t="str">
        <f t="shared" si="7"/>
        <v>Ayol</v>
      </c>
      <c r="H73" s="6"/>
      <c r="I73" s="7"/>
      <c r="J73" s="7"/>
    </row>
    <row r="74" spans="1:10" x14ac:dyDescent="0.25">
      <c r="A74" s="32">
        <f>+IF(B74="","!",SUBTOTAL(3,$B$4:B74))</f>
        <v>71</v>
      </c>
      <c r="B74" s="49" t="s">
        <v>203</v>
      </c>
      <c r="C74" s="35">
        <v>36545</v>
      </c>
      <c r="D74" s="32" t="str">
        <f t="shared" ca="1" si="4"/>
        <v xml:space="preserve">26 y 3 oy 2 kun </v>
      </c>
      <c r="E74" s="82">
        <f t="shared" ca="1" si="6"/>
        <v>26</v>
      </c>
      <c r="F74" s="45">
        <f t="shared" ca="1" si="5"/>
        <v>50</v>
      </c>
      <c r="G74" s="45" t="str">
        <f t="shared" si="7"/>
        <v>Ayol</v>
      </c>
      <c r="H74" s="6"/>
      <c r="I74" s="7"/>
      <c r="J74" s="7"/>
    </row>
    <row r="75" spans="1:10" x14ac:dyDescent="0.25">
      <c r="A75" s="32">
        <f>+IF(B75="","!",SUBTOTAL(3,$B$4:B75))</f>
        <v>72</v>
      </c>
      <c r="B75" s="49" t="s">
        <v>364</v>
      </c>
      <c r="C75" s="35">
        <v>37098</v>
      </c>
      <c r="D75" s="32" t="str">
        <f t="shared" ca="1" si="4"/>
        <v xml:space="preserve">24 y 8 oy 27 kun </v>
      </c>
      <c r="E75" s="82">
        <f t="shared" ca="1" si="6"/>
        <v>24</v>
      </c>
      <c r="F75" s="45">
        <f t="shared" ca="1" si="5"/>
        <v>50</v>
      </c>
      <c r="G75" s="45" t="str">
        <f t="shared" si="7"/>
        <v>Ayol</v>
      </c>
      <c r="H75" s="6"/>
      <c r="I75" s="7"/>
      <c r="J75" s="7"/>
    </row>
    <row r="76" spans="1:10" x14ac:dyDescent="0.25">
      <c r="A76" s="32">
        <f>+IF(B76="","!",SUBTOTAL(3,$B$4:B76))</f>
        <v>73</v>
      </c>
      <c r="B76" s="49" t="s">
        <v>365</v>
      </c>
      <c r="C76" s="35">
        <v>45896</v>
      </c>
      <c r="D76" s="32" t="str">
        <f t="shared" ca="1" si="4"/>
        <v xml:space="preserve">0 y 7 oy 26 kun </v>
      </c>
      <c r="E76" s="82">
        <f t="shared" ca="1" si="6"/>
        <v>0</v>
      </c>
      <c r="F76" s="45">
        <f t="shared" ca="1" si="5"/>
        <v>0</v>
      </c>
      <c r="G76" s="45" t="str">
        <f t="shared" si="7"/>
        <v>Ayol</v>
      </c>
      <c r="H76" s="6"/>
      <c r="I76" s="7"/>
      <c r="J76" s="7"/>
    </row>
    <row r="77" spans="1:10" x14ac:dyDescent="0.25">
      <c r="A77" s="32">
        <f>+IF(B77="","!",SUBTOTAL(3,$B$4:B77))</f>
        <v>74</v>
      </c>
      <c r="B77" s="49" t="s">
        <v>366</v>
      </c>
      <c r="C77" s="35">
        <v>45922</v>
      </c>
      <c r="D77" s="32" t="str">
        <f t="shared" ca="1" si="4"/>
        <v xml:space="preserve">0 y 7 oy 0 kun </v>
      </c>
      <c r="E77" s="82">
        <f t="shared" ca="1" si="6"/>
        <v>0</v>
      </c>
      <c r="F77" s="45">
        <f t="shared" ca="1" si="5"/>
        <v>0</v>
      </c>
      <c r="G77" s="45" t="str">
        <f t="shared" si="7"/>
        <v>Ayol</v>
      </c>
      <c r="H77" s="6"/>
      <c r="I77" s="7"/>
      <c r="J77" s="7"/>
    </row>
    <row r="78" spans="1:10" x14ac:dyDescent="0.25">
      <c r="A78" s="32">
        <f>+IF(B78="","!",SUBTOTAL(3,$B$4:B78))</f>
        <v>75</v>
      </c>
      <c r="B78" s="49" t="s">
        <v>367</v>
      </c>
      <c r="C78" s="35">
        <v>42117</v>
      </c>
      <c r="D78" s="32" t="str">
        <f t="shared" ca="1" si="4"/>
        <v xml:space="preserve">10 y 11 oy 30 kun </v>
      </c>
      <c r="E78" s="82">
        <f t="shared" ca="1" si="6"/>
        <v>10</v>
      </c>
      <c r="F78" s="45">
        <f t="shared" ca="1" si="5"/>
        <v>40</v>
      </c>
      <c r="G78" s="45" t="str">
        <f t="shared" si="7"/>
        <v>Ayol</v>
      </c>
      <c r="H78" s="6"/>
      <c r="I78" s="7"/>
      <c r="J78" s="7"/>
    </row>
    <row r="79" spans="1:10" x14ac:dyDescent="0.25">
      <c r="A79" s="32">
        <f>+IF(B79="","!",SUBTOTAL(3,$B$4:B79))</f>
        <v>76</v>
      </c>
      <c r="B79" s="49" t="s">
        <v>368</v>
      </c>
      <c r="C79" s="35">
        <v>42117</v>
      </c>
      <c r="D79" s="32" t="str">
        <f t="shared" ca="1" si="4"/>
        <v xml:space="preserve">10 y 11 oy 30 kun </v>
      </c>
      <c r="E79" s="82">
        <f t="shared" ca="1" si="6"/>
        <v>10</v>
      </c>
      <c r="F79" s="45">
        <f t="shared" ca="1" si="5"/>
        <v>40</v>
      </c>
      <c r="G79" s="45" t="str">
        <f t="shared" si="7"/>
        <v>Ayol</v>
      </c>
      <c r="H79" s="6"/>
      <c r="I79" s="7"/>
      <c r="J79" s="7"/>
    </row>
    <row r="80" spans="1:10" x14ac:dyDescent="0.25">
      <c r="A80" s="32">
        <f>+IF(B80="","!",SUBTOTAL(3,$B$4:B80))</f>
        <v>77</v>
      </c>
      <c r="B80" s="49" t="s">
        <v>369</v>
      </c>
      <c r="C80" s="35">
        <v>37099</v>
      </c>
      <c r="D80" s="32" t="str">
        <f t="shared" ca="1" si="4"/>
        <v xml:space="preserve">24 y 8 oy 26 kun </v>
      </c>
      <c r="E80" s="82">
        <f t="shared" ca="1" si="6"/>
        <v>24</v>
      </c>
      <c r="F80" s="45">
        <f t="shared" ca="1" si="5"/>
        <v>50</v>
      </c>
      <c r="G80" s="45" t="str">
        <f t="shared" si="7"/>
        <v>Ayol</v>
      </c>
      <c r="H80" s="6"/>
      <c r="I80" s="7"/>
      <c r="J80" s="7"/>
    </row>
    <row r="81" spans="1:10" x14ac:dyDescent="0.25">
      <c r="A81" s="32">
        <f>+IF(B81="","!",SUBTOTAL(3,$B$4:B81))</f>
        <v>78</v>
      </c>
      <c r="B81" s="49" t="s">
        <v>370</v>
      </c>
      <c r="C81" s="35">
        <v>43340</v>
      </c>
      <c r="D81" s="32" t="str">
        <f t="shared" ca="1" si="4"/>
        <v xml:space="preserve">7 y 7 oy 25 kun </v>
      </c>
      <c r="E81" s="82">
        <f t="shared" ca="1" si="6"/>
        <v>7</v>
      </c>
      <c r="F81" s="45">
        <f t="shared" ca="1" si="5"/>
        <v>30</v>
      </c>
      <c r="G81" s="45" t="str">
        <f t="shared" si="7"/>
        <v>Erkak</v>
      </c>
      <c r="H81" s="6"/>
      <c r="I81" s="7"/>
      <c r="J81" s="7"/>
    </row>
    <row r="82" spans="1:10" x14ac:dyDescent="0.25">
      <c r="A82" s="32">
        <f>+IF(B82="","!",SUBTOTAL(3,$B$4:B82))</f>
        <v>79</v>
      </c>
      <c r="B82" s="49" t="s">
        <v>261</v>
      </c>
      <c r="C82" s="35">
        <v>41033</v>
      </c>
      <c r="D82" s="32" t="str">
        <f t="shared" ca="1" si="4"/>
        <v xml:space="preserve">13 y 11 oy 18 kun </v>
      </c>
      <c r="E82" s="82">
        <f t="shared" ca="1" si="6"/>
        <v>13</v>
      </c>
      <c r="F82" s="45">
        <f t="shared" ca="1" si="5"/>
        <v>40</v>
      </c>
      <c r="G82" s="45" t="str">
        <f t="shared" si="7"/>
        <v>Ayol</v>
      </c>
      <c r="H82" s="6"/>
      <c r="I82" s="7"/>
      <c r="J82" s="7"/>
    </row>
    <row r="83" spans="1:10" x14ac:dyDescent="0.25">
      <c r="A83" s="32">
        <f>+IF(B83="","!",SUBTOTAL(3,$B$4:B83))</f>
        <v>80</v>
      </c>
      <c r="B83" s="49" t="s">
        <v>371</v>
      </c>
      <c r="C83" s="35">
        <v>45909</v>
      </c>
      <c r="D83" s="32" t="str">
        <f t="shared" ca="1" si="4"/>
        <v xml:space="preserve">0 y 7 oy 13 kun </v>
      </c>
      <c r="E83" s="82">
        <f t="shared" ca="1" si="6"/>
        <v>0</v>
      </c>
      <c r="F83" s="45">
        <f t="shared" ca="1" si="5"/>
        <v>0</v>
      </c>
      <c r="G83" s="45" t="str">
        <f t="shared" si="7"/>
        <v>Erkak</v>
      </c>
      <c r="H83" s="6"/>
      <c r="I83" s="7"/>
      <c r="J83" s="7"/>
    </row>
    <row r="84" spans="1:10" x14ac:dyDescent="0.25">
      <c r="A84" s="32">
        <f>+IF(B84="","!",SUBTOTAL(3,$B$4:B84))</f>
        <v>81</v>
      </c>
      <c r="B84" s="49" t="s">
        <v>372</v>
      </c>
      <c r="C84" s="35">
        <v>35977</v>
      </c>
      <c r="D84" s="32" t="str">
        <f t="shared" ca="1" si="4"/>
        <v xml:space="preserve">27 y 9 oy 21 kun </v>
      </c>
      <c r="E84" s="82">
        <f t="shared" ca="1" si="6"/>
        <v>27</v>
      </c>
      <c r="F84" s="45">
        <f t="shared" ca="1" si="5"/>
        <v>50</v>
      </c>
      <c r="G84" s="45" t="str">
        <f t="shared" si="7"/>
        <v>Erkak</v>
      </c>
      <c r="H84" s="6"/>
      <c r="I84" s="7"/>
      <c r="J84" s="7"/>
    </row>
    <row r="85" spans="1:10" x14ac:dyDescent="0.25">
      <c r="A85" s="32">
        <f>+IF(B85="","!",SUBTOTAL(3,$B$4:B85))</f>
        <v>82</v>
      </c>
      <c r="B85" s="49" t="s">
        <v>373</v>
      </c>
      <c r="C85" s="35">
        <v>38880</v>
      </c>
      <c r="D85" s="32" t="str">
        <f t="shared" ca="1" si="4"/>
        <v xml:space="preserve">19 y 10 oy 10 kun </v>
      </c>
      <c r="E85" s="82">
        <f t="shared" ca="1" si="6"/>
        <v>19</v>
      </c>
      <c r="F85" s="45">
        <f t="shared" ca="1" si="5"/>
        <v>50</v>
      </c>
      <c r="G85" s="45" t="str">
        <f t="shared" si="7"/>
        <v>Erkak</v>
      </c>
      <c r="H85" s="6"/>
      <c r="I85" s="7"/>
      <c r="J85" s="7"/>
    </row>
    <row r="86" spans="1:10" x14ac:dyDescent="0.25">
      <c r="A86" s="32">
        <f>+IF(B86="","!",SUBTOTAL(3,$B$4:B86))</f>
        <v>83</v>
      </c>
      <c r="B86" s="49" t="s">
        <v>374</v>
      </c>
      <c r="C86" s="35">
        <v>36914</v>
      </c>
      <c r="D86" s="32" t="str">
        <f t="shared" ca="1" si="4"/>
        <v xml:space="preserve">25 y 2 oy 30 kun </v>
      </c>
      <c r="E86" s="82">
        <f t="shared" ca="1" si="6"/>
        <v>25</v>
      </c>
      <c r="F86" s="45">
        <f t="shared" ca="1" si="5"/>
        <v>50</v>
      </c>
      <c r="G86" s="45" t="str">
        <f t="shared" si="7"/>
        <v>Ayol</v>
      </c>
      <c r="H86" s="6"/>
      <c r="I86" s="7"/>
      <c r="J86" s="7"/>
    </row>
    <row r="87" spans="1:10" x14ac:dyDescent="0.25">
      <c r="A87" s="32">
        <f>+IF(B87="","!",SUBTOTAL(3,$B$4:B87))</f>
        <v>84</v>
      </c>
      <c r="B87" s="49" t="s">
        <v>189</v>
      </c>
      <c r="C87" s="35">
        <v>34568</v>
      </c>
      <c r="D87" s="32" t="str">
        <f t="shared" ca="1" si="4"/>
        <v xml:space="preserve">31 y 8 oy 0 kun </v>
      </c>
      <c r="E87" s="82">
        <f t="shared" ca="1" si="6"/>
        <v>31</v>
      </c>
      <c r="F87" s="45">
        <f t="shared" ca="1" si="5"/>
        <v>50</v>
      </c>
      <c r="G87" s="45" t="str">
        <f t="shared" si="7"/>
        <v>Ayol</v>
      </c>
      <c r="H87" s="6"/>
      <c r="I87" s="7"/>
      <c r="J87" s="7"/>
    </row>
    <row r="88" spans="1:10" x14ac:dyDescent="0.25">
      <c r="A88" s="32">
        <f>+IF(B88="","!",SUBTOTAL(3,$B$4:B88))</f>
        <v>85</v>
      </c>
      <c r="B88" s="49" t="s">
        <v>375</v>
      </c>
      <c r="C88" s="35">
        <v>33798</v>
      </c>
      <c r="D88" s="32" t="str">
        <f t="shared" ca="1" si="4"/>
        <v xml:space="preserve">33 y 9 oy 9 kun </v>
      </c>
      <c r="E88" s="82">
        <f t="shared" ca="1" si="6"/>
        <v>33</v>
      </c>
      <c r="F88" s="45">
        <f t="shared" ca="1" si="5"/>
        <v>50</v>
      </c>
      <c r="G88" s="45" t="str">
        <f t="shared" si="7"/>
        <v>Erkak</v>
      </c>
      <c r="H88" s="6"/>
      <c r="I88" s="7"/>
      <c r="J88" s="7"/>
    </row>
    <row r="89" spans="1:10" x14ac:dyDescent="0.25">
      <c r="A89" s="32">
        <f>+IF(B89="","!",SUBTOTAL(3,$B$4:B89))</f>
        <v>86</v>
      </c>
      <c r="B89" s="49" t="s">
        <v>376</v>
      </c>
      <c r="C89" s="35">
        <v>40133</v>
      </c>
      <c r="D89" s="32" t="str">
        <f t="shared" ca="1" si="4"/>
        <v xml:space="preserve">16 y 5 oy 6 kun </v>
      </c>
      <c r="E89" s="82">
        <f t="shared" ca="1" si="6"/>
        <v>16</v>
      </c>
      <c r="F89" s="45">
        <f t="shared" ca="1" si="5"/>
        <v>50</v>
      </c>
      <c r="G89" s="45" t="str">
        <f t="shared" si="7"/>
        <v>Erkak</v>
      </c>
      <c r="H89" s="6"/>
      <c r="I89" s="7"/>
      <c r="J89" s="7"/>
    </row>
    <row r="90" spans="1:10" x14ac:dyDescent="0.25">
      <c r="A90" s="32">
        <f>+IF(B90="","!",SUBTOTAL(3,$B$4:B90))</f>
        <v>87</v>
      </c>
      <c r="B90" s="49" t="s">
        <v>377</v>
      </c>
      <c r="C90" s="35">
        <v>34418</v>
      </c>
      <c r="D90" s="32" t="str">
        <f t="shared" ca="1" si="4"/>
        <v xml:space="preserve">32 y 0 oy 28 kun </v>
      </c>
      <c r="E90" s="82">
        <f t="shared" ca="1" si="6"/>
        <v>32</v>
      </c>
      <c r="F90" s="45">
        <f t="shared" ca="1" si="5"/>
        <v>50</v>
      </c>
      <c r="G90" s="45" t="str">
        <f t="shared" si="7"/>
        <v>Erkak</v>
      </c>
      <c r="H90" s="6"/>
      <c r="I90" s="7"/>
      <c r="J90" s="7"/>
    </row>
    <row r="91" spans="1:10" x14ac:dyDescent="0.25">
      <c r="A91" s="32">
        <f>+IF(B91="","!",SUBTOTAL(3,$B$4:B91))</f>
        <v>88</v>
      </c>
      <c r="B91" s="49" t="s">
        <v>378</v>
      </c>
      <c r="C91" s="35">
        <v>30474</v>
      </c>
      <c r="D91" s="32" t="str">
        <f t="shared" ca="1" si="4"/>
        <v xml:space="preserve">42 y 10 oy 15 kun </v>
      </c>
      <c r="E91" s="82">
        <f t="shared" ca="1" si="6"/>
        <v>42</v>
      </c>
      <c r="F91" s="45">
        <f t="shared" ca="1" si="5"/>
        <v>50</v>
      </c>
      <c r="G91" s="45" t="str">
        <f t="shared" si="7"/>
        <v>Erkak</v>
      </c>
      <c r="H91" s="6"/>
      <c r="I91" s="7"/>
      <c r="J91" s="7"/>
    </row>
    <row r="92" spans="1:10" x14ac:dyDescent="0.25">
      <c r="A92" s="32">
        <f>+IF(B92="","!",SUBTOTAL(3,$B$4:B92))</f>
        <v>89</v>
      </c>
      <c r="B92" s="49" t="s">
        <v>379</v>
      </c>
      <c r="C92" s="35">
        <v>38811</v>
      </c>
      <c r="D92" s="32" t="str">
        <f t="shared" ca="1" si="4"/>
        <v xml:space="preserve">20 y 0 oy 18 kun </v>
      </c>
      <c r="E92" s="82">
        <f t="shared" ca="1" si="6"/>
        <v>20</v>
      </c>
      <c r="F92" s="45">
        <f t="shared" ca="1" si="5"/>
        <v>50</v>
      </c>
      <c r="G92" s="45" t="str">
        <f t="shared" si="7"/>
        <v>Ayol</v>
      </c>
      <c r="H92" s="6"/>
      <c r="I92" s="7"/>
      <c r="J92" s="7"/>
    </row>
    <row r="93" spans="1:10" x14ac:dyDescent="0.25">
      <c r="A93" s="32">
        <f>+IF(B93="","!",SUBTOTAL(3,$B$4:B93))</f>
        <v>90</v>
      </c>
      <c r="B93" s="49" t="s">
        <v>380</v>
      </c>
      <c r="C93" s="35">
        <v>39225</v>
      </c>
      <c r="D93" s="32" t="str">
        <f t="shared" ca="1" si="4"/>
        <v xml:space="preserve">18 y 10 oy 30 kun </v>
      </c>
      <c r="E93" s="82">
        <f t="shared" ca="1" si="6"/>
        <v>18</v>
      </c>
      <c r="F93" s="45">
        <f t="shared" ca="1" si="5"/>
        <v>50</v>
      </c>
      <c r="G93" s="45" t="str">
        <f t="shared" si="7"/>
        <v>Ayol</v>
      </c>
      <c r="H93" s="6"/>
      <c r="I93" s="7"/>
      <c r="J93" s="7"/>
    </row>
    <row r="94" spans="1:10" x14ac:dyDescent="0.25">
      <c r="A94" s="32">
        <f>+IF(B94="","!",SUBTOTAL(3,$B$4:B94))</f>
        <v>91</v>
      </c>
      <c r="B94" s="49" t="s">
        <v>381</v>
      </c>
      <c r="C94" s="35">
        <v>36520</v>
      </c>
      <c r="D94" s="32" t="str">
        <f t="shared" ca="1" si="4"/>
        <v xml:space="preserve">26 y 3 oy 27 kun </v>
      </c>
      <c r="E94" s="82">
        <f t="shared" ca="1" si="6"/>
        <v>26</v>
      </c>
      <c r="F94" s="45">
        <f t="shared" ca="1" si="5"/>
        <v>50</v>
      </c>
      <c r="G94" s="45" t="str">
        <f t="shared" si="7"/>
        <v>Ayol</v>
      </c>
      <c r="H94" s="6"/>
      <c r="I94" s="7"/>
      <c r="J94" s="7"/>
    </row>
    <row r="95" spans="1:10" x14ac:dyDescent="0.25">
      <c r="A95" s="32">
        <f>+IF(B95="","!",SUBTOTAL(3,$B$4:B95))</f>
        <v>92</v>
      </c>
      <c r="B95" s="49" t="s">
        <v>382</v>
      </c>
      <c r="C95" s="35">
        <v>35067</v>
      </c>
      <c r="D95" s="32" t="str">
        <f t="shared" ca="1" si="4"/>
        <v xml:space="preserve">30 y 3 oy 19 kun </v>
      </c>
      <c r="E95" s="82">
        <f t="shared" ca="1" si="6"/>
        <v>30</v>
      </c>
      <c r="F95" s="45">
        <f t="shared" ca="1" si="5"/>
        <v>50</v>
      </c>
      <c r="G95" s="45" t="str">
        <f t="shared" si="7"/>
        <v>Ayol</v>
      </c>
      <c r="H95" s="6"/>
      <c r="I95" s="7"/>
      <c r="J95" s="7"/>
    </row>
    <row r="96" spans="1:10" x14ac:dyDescent="0.25">
      <c r="A96" s="32">
        <f>+IF(B96="","!",SUBTOTAL(3,$B$4:B96))</f>
        <v>93</v>
      </c>
      <c r="B96" s="49" t="s">
        <v>383</v>
      </c>
      <c r="C96" s="35">
        <v>39527</v>
      </c>
      <c r="D96" s="32" t="str">
        <f t="shared" ca="1" si="4"/>
        <v xml:space="preserve">18 y 1 oy 2 kun </v>
      </c>
      <c r="E96" s="82">
        <f t="shared" ca="1" si="6"/>
        <v>18</v>
      </c>
      <c r="F96" s="45">
        <f t="shared" ca="1" si="5"/>
        <v>50</v>
      </c>
      <c r="G96" s="45" t="str">
        <f t="shared" si="7"/>
        <v>Ayol</v>
      </c>
      <c r="H96" s="6"/>
      <c r="I96" s="7"/>
      <c r="J96" s="7"/>
    </row>
    <row r="97" spans="1:10" x14ac:dyDescent="0.25">
      <c r="A97" s="32">
        <f>+IF(B97="","!",SUBTOTAL(3,$B$4:B97))</f>
        <v>94</v>
      </c>
      <c r="B97" s="49" t="s">
        <v>179</v>
      </c>
      <c r="C97" s="35">
        <v>39795</v>
      </c>
      <c r="D97" s="32" t="str">
        <f t="shared" ca="1" si="4"/>
        <v xml:space="preserve">17 y 4 oy 9 kun </v>
      </c>
      <c r="E97" s="82">
        <f t="shared" ca="1" si="6"/>
        <v>17</v>
      </c>
      <c r="F97" s="45">
        <f t="shared" ca="1" si="5"/>
        <v>50</v>
      </c>
      <c r="G97" s="45" t="str">
        <f t="shared" si="7"/>
        <v>Ayol</v>
      </c>
      <c r="H97" s="6"/>
      <c r="I97" s="7"/>
      <c r="J97" s="7"/>
    </row>
    <row r="98" spans="1:10" x14ac:dyDescent="0.25">
      <c r="A98" s="32">
        <f>+IF(B98="","!",SUBTOTAL(3,$B$4:B98))</f>
        <v>95</v>
      </c>
      <c r="B98" s="49" t="s">
        <v>384</v>
      </c>
      <c r="C98" s="35">
        <v>42835</v>
      </c>
      <c r="D98" s="32" t="str">
        <f t="shared" ca="1" si="4"/>
        <v xml:space="preserve">9 y 0 oy 12 kun </v>
      </c>
      <c r="E98" s="82">
        <f t="shared" ca="1" si="6"/>
        <v>9</v>
      </c>
      <c r="F98" s="45">
        <f t="shared" ca="1" si="5"/>
        <v>30</v>
      </c>
      <c r="G98" s="45" t="str">
        <f t="shared" si="7"/>
        <v>Ayol</v>
      </c>
      <c r="H98" s="6"/>
      <c r="I98" s="7"/>
      <c r="J98" s="7"/>
    </row>
    <row r="99" spans="1:10" x14ac:dyDescent="0.25">
      <c r="A99" s="32">
        <f>+IF(B99="","!",SUBTOTAL(3,$B$4:B99))</f>
        <v>96</v>
      </c>
      <c r="B99" s="49" t="s">
        <v>386</v>
      </c>
      <c r="C99" s="35">
        <v>38380</v>
      </c>
      <c r="D99" s="32" t="str">
        <f t="shared" ca="1" si="4"/>
        <v xml:space="preserve">21 y 2 oy 25 kun </v>
      </c>
      <c r="E99" s="82">
        <f t="shared" ca="1" si="6"/>
        <v>21</v>
      </c>
      <c r="F99" s="45">
        <f t="shared" ca="1" si="5"/>
        <v>50</v>
      </c>
      <c r="G99" s="45" t="str">
        <f t="shared" si="7"/>
        <v>Ayol</v>
      </c>
      <c r="H99" s="6"/>
      <c r="I99" s="7"/>
      <c r="J99" s="7"/>
    </row>
    <row r="100" spans="1:10" x14ac:dyDescent="0.25">
      <c r="A100" s="32">
        <f>+IF(B100="","!",SUBTOTAL(3,$B$4:B100))</f>
        <v>97</v>
      </c>
      <c r="B100" s="49" t="s">
        <v>385</v>
      </c>
      <c r="C100" s="35">
        <v>36151</v>
      </c>
      <c r="D100" s="32" t="str">
        <f t="shared" ca="1" si="4"/>
        <v xml:space="preserve">27 y 4 oy 0 kun </v>
      </c>
      <c r="E100" s="82">
        <f t="shared" ca="1" si="6"/>
        <v>27</v>
      </c>
      <c r="F100" s="45">
        <f t="shared" ca="1" si="5"/>
        <v>50</v>
      </c>
      <c r="G100" s="45" t="str">
        <f t="shared" si="7"/>
        <v>Ayol</v>
      </c>
      <c r="H100" s="6"/>
      <c r="I100" s="7"/>
      <c r="J100" s="7"/>
    </row>
    <row r="101" spans="1:10" x14ac:dyDescent="0.25">
      <c r="A101" s="32">
        <f>+IF(B101="","!",SUBTOTAL(3,$B$4:B101))</f>
        <v>98</v>
      </c>
      <c r="B101" s="49" t="s">
        <v>387</v>
      </c>
      <c r="C101" s="35">
        <v>41772</v>
      </c>
      <c r="D101" s="32" t="str">
        <f t="shared" ca="1" si="4"/>
        <v xml:space="preserve">11 y 11 oy 9 kun </v>
      </c>
      <c r="E101" s="82">
        <f t="shared" ca="1" si="6"/>
        <v>11</v>
      </c>
      <c r="F101" s="45">
        <f t="shared" ca="1" si="5"/>
        <v>40</v>
      </c>
      <c r="G101" s="45" t="str">
        <f t="shared" si="7"/>
        <v>Ayol</v>
      </c>
      <c r="H101" s="6"/>
      <c r="I101" s="7"/>
      <c r="J101" s="7"/>
    </row>
    <row r="102" spans="1:10" x14ac:dyDescent="0.25">
      <c r="A102" s="32">
        <f>+IF(B102="","!",SUBTOTAL(3,$B$4:B102))</f>
        <v>99</v>
      </c>
      <c r="B102" s="49" t="s">
        <v>388</v>
      </c>
      <c r="C102" s="35">
        <v>37827</v>
      </c>
      <c r="D102" s="32" t="str">
        <f t="shared" ca="1" si="4"/>
        <v xml:space="preserve">22 y 8 oy 28 kun </v>
      </c>
      <c r="E102" s="82">
        <f t="shared" ca="1" si="6"/>
        <v>22</v>
      </c>
      <c r="F102" s="45">
        <f t="shared" ca="1" si="5"/>
        <v>50</v>
      </c>
      <c r="G102" s="45" t="str">
        <f t="shared" si="7"/>
        <v>Ayol</v>
      </c>
      <c r="H102" s="6"/>
      <c r="I102" s="7"/>
      <c r="J102" s="7"/>
    </row>
    <row r="103" spans="1:10" x14ac:dyDescent="0.25">
      <c r="A103" s="32">
        <f>+IF(B103="","!",SUBTOTAL(3,$B$4:B103))</f>
        <v>100</v>
      </c>
      <c r="B103" s="49" t="s">
        <v>389</v>
      </c>
      <c r="C103" s="35">
        <v>38999</v>
      </c>
      <c r="D103" s="32" t="str">
        <f t="shared" ca="1" si="4"/>
        <v xml:space="preserve">19 y 6 oy 13 kun </v>
      </c>
      <c r="E103" s="82">
        <f t="shared" ca="1" si="6"/>
        <v>19</v>
      </c>
      <c r="F103" s="45">
        <f t="shared" ca="1" si="5"/>
        <v>50</v>
      </c>
      <c r="G103" s="45" t="str">
        <f t="shared" si="7"/>
        <v>Ayol</v>
      </c>
      <c r="H103" s="6"/>
      <c r="I103" s="7"/>
      <c r="J103" s="7"/>
    </row>
    <row r="104" spans="1:10" x14ac:dyDescent="0.25">
      <c r="A104" s="32">
        <f>+IF(B104="","!",SUBTOTAL(3,$B$4:B104))</f>
        <v>101</v>
      </c>
      <c r="B104" s="49" t="s">
        <v>199</v>
      </c>
      <c r="C104" s="35">
        <v>38838</v>
      </c>
      <c r="D104" s="32" t="str">
        <f t="shared" ca="1" si="4"/>
        <v xml:space="preserve">19 y 11 oy 21 kun </v>
      </c>
      <c r="E104" s="82">
        <f t="shared" ca="1" si="6"/>
        <v>19</v>
      </c>
      <c r="F104" s="45">
        <f t="shared" ca="1" si="5"/>
        <v>50</v>
      </c>
      <c r="G104" s="45" t="str">
        <f t="shared" si="7"/>
        <v>Ayol</v>
      </c>
      <c r="H104" s="6"/>
      <c r="I104" s="7"/>
      <c r="J104" s="7"/>
    </row>
    <row r="105" spans="1:10" x14ac:dyDescent="0.25">
      <c r="A105" s="32">
        <f>+IF(B105="","!",SUBTOTAL(3,$B$4:B105))</f>
        <v>102</v>
      </c>
      <c r="B105" s="49" t="s">
        <v>208</v>
      </c>
      <c r="C105" s="35">
        <v>41422</v>
      </c>
      <c r="D105" s="32" t="str">
        <f t="shared" ca="1" si="4"/>
        <v xml:space="preserve">12 y 10 oy 25 kun </v>
      </c>
      <c r="E105" s="82">
        <f t="shared" ca="1" si="6"/>
        <v>12</v>
      </c>
      <c r="F105" s="45">
        <f t="shared" ca="1" si="5"/>
        <v>40</v>
      </c>
      <c r="G105" s="45" t="str">
        <f t="shared" si="7"/>
        <v>Ayol</v>
      </c>
      <c r="H105" s="6"/>
      <c r="I105" s="7"/>
      <c r="J105" s="7"/>
    </row>
    <row r="106" spans="1:10" x14ac:dyDescent="0.25">
      <c r="A106" s="32">
        <f>+IF(B106="","!",SUBTOTAL(3,$B$4:B106))</f>
        <v>103</v>
      </c>
      <c r="B106" s="49" t="s">
        <v>390</v>
      </c>
      <c r="C106" s="35">
        <v>32155</v>
      </c>
      <c r="D106" s="32" t="str">
        <f t="shared" ca="1" si="4"/>
        <v xml:space="preserve">38 y 3 oy 9 kun </v>
      </c>
      <c r="E106" s="82">
        <f t="shared" ca="1" si="6"/>
        <v>38</v>
      </c>
      <c r="F106" s="45">
        <f t="shared" ca="1" si="5"/>
        <v>50</v>
      </c>
      <c r="G106" s="45" t="str">
        <f t="shared" si="7"/>
        <v>Ayol</v>
      </c>
      <c r="H106" s="6"/>
      <c r="I106" s="7"/>
      <c r="J106" s="7"/>
    </row>
    <row r="107" spans="1:10" x14ac:dyDescent="0.25">
      <c r="A107" s="32">
        <f>+IF(B107="","!",SUBTOTAL(3,$B$4:B107))</f>
        <v>104</v>
      </c>
      <c r="B107" s="49" t="s">
        <v>243</v>
      </c>
      <c r="C107" s="35">
        <v>35052</v>
      </c>
      <c r="D107" s="32" t="str">
        <f t="shared" ca="1" si="4"/>
        <v xml:space="preserve">30 y 4 oy 3 kun </v>
      </c>
      <c r="E107" s="82">
        <f t="shared" ca="1" si="6"/>
        <v>30</v>
      </c>
      <c r="F107" s="45">
        <f t="shared" ca="1" si="5"/>
        <v>50</v>
      </c>
      <c r="G107" s="45" t="str">
        <f t="shared" si="7"/>
        <v>Ayol</v>
      </c>
      <c r="H107" s="6"/>
      <c r="I107" s="7"/>
      <c r="J107" s="7"/>
    </row>
    <row r="108" spans="1:10" x14ac:dyDescent="0.25">
      <c r="A108" s="32">
        <f>+IF(B108="","!",SUBTOTAL(3,$B$4:B108))</f>
        <v>105</v>
      </c>
      <c r="B108" s="49" t="s">
        <v>391</v>
      </c>
      <c r="C108" s="35">
        <v>37089</v>
      </c>
      <c r="D108" s="32" t="str">
        <f t="shared" ca="1" si="4"/>
        <v xml:space="preserve">24 y 9 oy 5 kun </v>
      </c>
      <c r="E108" s="82">
        <f t="shared" ca="1" si="6"/>
        <v>24</v>
      </c>
      <c r="F108" s="45">
        <f t="shared" ca="1" si="5"/>
        <v>50</v>
      </c>
      <c r="G108" s="45" t="str">
        <f t="shared" si="7"/>
        <v>Ayol</v>
      </c>
      <c r="H108" s="6"/>
      <c r="I108" s="7"/>
      <c r="J108" s="7"/>
    </row>
    <row r="109" spans="1:10" x14ac:dyDescent="0.25">
      <c r="A109" s="32">
        <f>+IF(B109="","!",SUBTOTAL(3,$B$4:B109))</f>
        <v>106</v>
      </c>
      <c r="B109" s="49" t="s">
        <v>236</v>
      </c>
      <c r="C109" s="35">
        <v>36731</v>
      </c>
      <c r="D109" s="32" t="str">
        <f t="shared" ca="1" si="4"/>
        <v xml:space="preserve">25 y 8 oy 29 kun </v>
      </c>
      <c r="E109" s="82">
        <f t="shared" ca="1" si="6"/>
        <v>25</v>
      </c>
      <c r="F109" s="45">
        <f t="shared" ca="1" si="5"/>
        <v>50</v>
      </c>
      <c r="G109" s="45" t="str">
        <f t="shared" si="7"/>
        <v>Ayol</v>
      </c>
      <c r="H109" s="6"/>
      <c r="I109" s="7"/>
      <c r="J109" s="7"/>
    </row>
    <row r="110" spans="1:10" x14ac:dyDescent="0.25">
      <c r="A110" s="32">
        <f>+IF(B110="","!",SUBTOTAL(3,$B$4:B110))</f>
        <v>107</v>
      </c>
      <c r="B110" s="49" t="s">
        <v>392</v>
      </c>
      <c r="C110" s="35">
        <v>43263</v>
      </c>
      <c r="D110" s="32" t="str">
        <f t="shared" ca="1" si="4"/>
        <v xml:space="preserve">7 y 10 oy 10 kun </v>
      </c>
      <c r="E110" s="82">
        <f t="shared" ca="1" si="6"/>
        <v>7</v>
      </c>
      <c r="F110" s="45">
        <f t="shared" ca="1" si="5"/>
        <v>30</v>
      </c>
      <c r="G110" s="45" t="str">
        <f t="shared" si="7"/>
        <v>Ayol</v>
      </c>
      <c r="H110" s="6"/>
      <c r="I110" s="7"/>
      <c r="J110" s="7"/>
    </row>
    <row r="111" spans="1:10" x14ac:dyDescent="0.25">
      <c r="A111" s="32">
        <f>+IF(B111="","!",SUBTOTAL(3,$B$4:B111))</f>
        <v>108</v>
      </c>
      <c r="B111" s="49" t="s">
        <v>393</v>
      </c>
      <c r="C111" s="35">
        <v>42995</v>
      </c>
      <c r="D111" s="32" t="str">
        <f t="shared" ca="1" si="4"/>
        <v xml:space="preserve">8 y 7 oy 5 kun </v>
      </c>
      <c r="E111" s="82">
        <f t="shared" ca="1" si="6"/>
        <v>8</v>
      </c>
      <c r="F111" s="45">
        <f t="shared" ca="1" si="5"/>
        <v>30</v>
      </c>
      <c r="G111" s="45" t="str">
        <f t="shared" si="7"/>
        <v>Erkak</v>
      </c>
      <c r="H111" s="6"/>
      <c r="I111" s="7"/>
      <c r="J111" s="7"/>
    </row>
    <row r="112" spans="1:10" x14ac:dyDescent="0.25">
      <c r="A112" s="32">
        <f>+IF(B112="","!",SUBTOTAL(3,$B$4:B112))</f>
        <v>109</v>
      </c>
      <c r="B112" s="49" t="s">
        <v>394</v>
      </c>
      <c r="C112" s="35">
        <v>38213</v>
      </c>
      <c r="D112" s="32" t="str">
        <f t="shared" ca="1" si="4"/>
        <v xml:space="preserve">21 y 8 oy 8 kun </v>
      </c>
      <c r="E112" s="82">
        <f t="shared" ca="1" si="6"/>
        <v>21</v>
      </c>
      <c r="F112" s="45">
        <f t="shared" ca="1" si="5"/>
        <v>50</v>
      </c>
      <c r="G112" s="45" t="str">
        <f t="shared" si="7"/>
        <v>Ayol</v>
      </c>
      <c r="H112" s="6"/>
      <c r="I112" s="7"/>
      <c r="J112" s="7"/>
    </row>
    <row r="113" spans="1:10" x14ac:dyDescent="0.25">
      <c r="A113" s="32">
        <f>+IF(B113="","!",SUBTOTAL(3,$B$4:B113))</f>
        <v>110</v>
      </c>
      <c r="B113" s="49" t="s">
        <v>190</v>
      </c>
      <c r="C113" s="35">
        <v>41178</v>
      </c>
      <c r="D113" s="32" t="str">
        <f t="shared" ca="1" si="4"/>
        <v xml:space="preserve">13 y 6 oy 27 kun </v>
      </c>
      <c r="E113" s="82">
        <f t="shared" ca="1" si="6"/>
        <v>13</v>
      </c>
      <c r="F113" s="45">
        <f t="shared" ca="1" si="5"/>
        <v>40</v>
      </c>
      <c r="G113" s="45" t="str">
        <f t="shared" si="7"/>
        <v>Ayol</v>
      </c>
      <c r="H113" s="6"/>
      <c r="I113" s="7"/>
      <c r="J113" s="7"/>
    </row>
    <row r="114" spans="1:10" x14ac:dyDescent="0.25">
      <c r="A114" s="32">
        <f>+IF(B114="","!",SUBTOTAL(3,$B$4:B114))</f>
        <v>111</v>
      </c>
      <c r="B114" s="49" t="s">
        <v>264</v>
      </c>
      <c r="C114" s="35">
        <v>40239</v>
      </c>
      <c r="D114" s="32" t="str">
        <f t="shared" ca="1" si="4"/>
        <v xml:space="preserve">16 y 1 oy 20 kun </v>
      </c>
      <c r="E114" s="82">
        <f t="shared" ca="1" si="6"/>
        <v>16</v>
      </c>
      <c r="F114" s="45">
        <f t="shared" ca="1" si="5"/>
        <v>50</v>
      </c>
      <c r="G114" s="45" t="str">
        <f t="shared" si="7"/>
        <v>Ayol</v>
      </c>
      <c r="H114" s="6"/>
      <c r="I114" s="7"/>
      <c r="J114" s="7"/>
    </row>
    <row r="115" spans="1:10" x14ac:dyDescent="0.25">
      <c r="A115" s="32">
        <f>+IF(B115="","!",SUBTOTAL(3,$B$4:B115))</f>
        <v>112</v>
      </c>
      <c r="B115" s="49" t="s">
        <v>395</v>
      </c>
      <c r="C115" s="35">
        <v>34473</v>
      </c>
      <c r="D115" s="32" t="str">
        <f t="shared" ca="1" si="4"/>
        <v xml:space="preserve">31 y 11 oy 3 kun </v>
      </c>
      <c r="E115" s="82">
        <f t="shared" ca="1" si="6"/>
        <v>31</v>
      </c>
      <c r="F115" s="45">
        <f t="shared" ca="1" si="5"/>
        <v>50</v>
      </c>
      <c r="G115" s="45" t="str">
        <f t="shared" si="7"/>
        <v>Erkak</v>
      </c>
      <c r="H115" s="6"/>
      <c r="I115" s="7"/>
      <c r="J115" s="7"/>
    </row>
    <row r="116" spans="1:10" x14ac:dyDescent="0.25">
      <c r="A116" s="32">
        <f>+IF(B116="","!",SUBTOTAL(3,$B$4:B116))</f>
        <v>113</v>
      </c>
      <c r="B116" s="49" t="s">
        <v>195</v>
      </c>
      <c r="C116" s="35">
        <v>37503</v>
      </c>
      <c r="D116" s="32" t="str">
        <f t="shared" ca="1" si="4"/>
        <v xml:space="preserve">23 y 7 oy 18 kun </v>
      </c>
      <c r="E116" s="82">
        <f t="shared" ca="1" si="6"/>
        <v>23</v>
      </c>
      <c r="F116" s="45">
        <f t="shared" ca="1" si="5"/>
        <v>50</v>
      </c>
      <c r="G116" s="45" t="str">
        <f t="shared" si="7"/>
        <v>Erkak</v>
      </c>
      <c r="H116" s="6"/>
      <c r="I116" s="7"/>
      <c r="J116" s="7"/>
    </row>
    <row r="117" spans="1:10" x14ac:dyDescent="0.25">
      <c r="A117" s="32">
        <f>+IF(B117="","!",SUBTOTAL(3,$B$4:B117))</f>
        <v>114</v>
      </c>
      <c r="B117" s="49" t="s">
        <v>396</v>
      </c>
      <c r="C117" s="35">
        <v>37967</v>
      </c>
      <c r="D117" s="32" t="str">
        <f t="shared" ca="1" si="4"/>
        <v xml:space="preserve">22 y 4 oy 10 kun </v>
      </c>
      <c r="E117" s="82">
        <f t="shared" ca="1" si="6"/>
        <v>22</v>
      </c>
      <c r="F117" s="45">
        <f t="shared" ca="1" si="5"/>
        <v>50</v>
      </c>
      <c r="G117" s="45" t="str">
        <f t="shared" si="7"/>
        <v>Erkak</v>
      </c>
      <c r="H117" s="6"/>
      <c r="I117" s="7"/>
      <c r="J117" s="7"/>
    </row>
    <row r="118" spans="1:10" x14ac:dyDescent="0.25">
      <c r="A118" s="32">
        <f>+IF(B118="","!",SUBTOTAL(3,$B$4:B118))</f>
        <v>115</v>
      </c>
      <c r="B118" s="49" t="s">
        <v>397</v>
      </c>
      <c r="C118" s="35">
        <v>39050</v>
      </c>
      <c r="D118" s="32" t="str">
        <f t="shared" ca="1" si="4"/>
        <v xml:space="preserve">19 y 4 oy 24 kun </v>
      </c>
      <c r="E118" s="82">
        <f t="shared" ca="1" si="6"/>
        <v>19</v>
      </c>
      <c r="F118" s="45">
        <f t="shared" ca="1" si="5"/>
        <v>50</v>
      </c>
      <c r="G118" s="45" t="str">
        <f t="shared" si="7"/>
        <v>Erkak</v>
      </c>
      <c r="H118" s="6"/>
      <c r="I118" s="7"/>
      <c r="J118" s="7"/>
    </row>
    <row r="119" spans="1:10" x14ac:dyDescent="0.25">
      <c r="A119" s="32">
        <f>+IF(B119="","!",SUBTOTAL(3,$B$4:B119))</f>
        <v>116</v>
      </c>
      <c r="B119" s="49" t="s">
        <v>398</v>
      </c>
      <c r="C119" s="35">
        <v>41529</v>
      </c>
      <c r="D119" s="32" t="str">
        <f t="shared" ca="1" si="4"/>
        <v xml:space="preserve">12 y 7 oy 10 kun </v>
      </c>
      <c r="E119" s="82">
        <f t="shared" ca="1" si="6"/>
        <v>12</v>
      </c>
      <c r="F119" s="45">
        <f t="shared" ca="1" si="5"/>
        <v>40</v>
      </c>
      <c r="G119" s="45" t="str">
        <f t="shared" si="7"/>
        <v>Erkak</v>
      </c>
      <c r="H119" s="6"/>
      <c r="I119" s="7"/>
      <c r="J119" s="7"/>
    </row>
    <row r="120" spans="1:10" x14ac:dyDescent="0.25">
      <c r="A120" s="32">
        <f>+IF(B120="","!",SUBTOTAL(3,$B$4:B120))</f>
        <v>117</v>
      </c>
      <c r="B120" s="49" t="s">
        <v>200</v>
      </c>
      <c r="C120" s="35">
        <v>39396</v>
      </c>
      <c r="D120" s="32" t="str">
        <f t="shared" ca="1" si="4"/>
        <v xml:space="preserve">18 y 5 oy 12 kun </v>
      </c>
      <c r="E120" s="82">
        <f t="shared" ca="1" si="6"/>
        <v>18</v>
      </c>
      <c r="F120" s="45">
        <f t="shared" ca="1" si="5"/>
        <v>50</v>
      </c>
      <c r="G120" s="45" t="str">
        <f t="shared" si="7"/>
        <v>Erkak</v>
      </c>
      <c r="H120" s="6"/>
      <c r="I120" s="7"/>
      <c r="J120" s="7"/>
    </row>
  </sheetData>
  <autoFilter ref="A3:J120"/>
  <mergeCells count="1">
    <mergeCell ref="A1:F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64"/>
  <sheetViews>
    <sheetView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5" sqref="C5"/>
    </sheetView>
  </sheetViews>
  <sheetFormatPr defaultRowHeight="15" x14ac:dyDescent="0.25"/>
  <cols>
    <col min="2" max="2" width="36.85546875" style="37" customWidth="1"/>
    <col min="3" max="3" width="42.28515625" style="38" customWidth="1"/>
    <col min="4" max="4" width="11.85546875" style="39" customWidth="1"/>
    <col min="6" max="7" width="10.7109375" customWidth="1"/>
    <col min="8" max="8" width="12.5703125" customWidth="1"/>
    <col min="9" max="9" width="15" customWidth="1"/>
    <col min="10" max="10" width="14.42578125" customWidth="1"/>
    <col min="11" max="11" width="20" customWidth="1"/>
  </cols>
  <sheetData>
    <row r="1" spans="1:11" ht="45.75" customHeight="1" x14ac:dyDescent="0.25">
      <c r="A1" s="71" t="s">
        <v>303</v>
      </c>
      <c r="B1" s="71"/>
      <c r="C1" s="71"/>
      <c r="D1" s="71"/>
      <c r="E1" s="71"/>
      <c r="F1" s="71"/>
      <c r="G1" s="71"/>
      <c r="H1" s="71"/>
      <c r="I1" s="71"/>
      <c r="J1" s="71"/>
      <c r="K1" s="71"/>
    </row>
    <row r="2" spans="1:11" s="1" customFormat="1" ht="33.75" customHeight="1" x14ac:dyDescent="0.25">
      <c r="A2" s="72" t="s">
        <v>69</v>
      </c>
      <c r="B2" s="72" t="s">
        <v>171</v>
      </c>
      <c r="C2" s="72" t="s">
        <v>172</v>
      </c>
      <c r="D2" s="72" t="s">
        <v>173</v>
      </c>
      <c r="E2" s="72"/>
      <c r="F2" s="72" t="s">
        <v>300</v>
      </c>
      <c r="G2" s="72" t="s">
        <v>294</v>
      </c>
      <c r="H2" s="72" t="s">
        <v>174</v>
      </c>
      <c r="I2" s="73" t="s">
        <v>175</v>
      </c>
      <c r="J2" s="74"/>
      <c r="K2" s="72" t="s">
        <v>176</v>
      </c>
    </row>
    <row r="3" spans="1:11" ht="15.75" x14ac:dyDescent="0.25">
      <c r="A3" s="72"/>
      <c r="B3" s="72"/>
      <c r="C3" s="72"/>
      <c r="D3" s="28" t="s">
        <v>177</v>
      </c>
      <c r="E3" s="28" t="s">
        <v>178</v>
      </c>
      <c r="F3" s="72"/>
      <c r="G3" s="72"/>
      <c r="H3" s="72"/>
      <c r="I3" s="75"/>
      <c r="J3" s="76"/>
      <c r="K3" s="72"/>
    </row>
    <row r="4" spans="1:11" ht="15.75" x14ac:dyDescent="0.25">
      <c r="A4" s="29"/>
      <c r="B4" s="29"/>
      <c r="C4" s="29"/>
      <c r="D4" s="28"/>
      <c r="E4" s="28"/>
      <c r="F4" s="28"/>
      <c r="G4" s="28"/>
      <c r="H4" s="29"/>
      <c r="I4" s="30"/>
      <c r="J4" s="31"/>
      <c r="K4" s="29"/>
    </row>
    <row r="5" spans="1:11" ht="30" x14ac:dyDescent="0.25">
      <c r="A5" s="32">
        <f>+IF(B5="","",SUBTOTAL(3,$B$5:B5))</f>
        <v>1</v>
      </c>
      <c r="B5" s="33" t="s">
        <v>201</v>
      </c>
      <c r="C5" s="34" t="s">
        <v>202</v>
      </c>
      <c r="D5" s="35">
        <v>46027</v>
      </c>
      <c r="E5" s="32">
        <v>1</v>
      </c>
      <c r="F5" s="35">
        <v>46027</v>
      </c>
      <c r="G5" s="35">
        <v>46062</v>
      </c>
      <c r="H5" s="32" t="s">
        <v>183</v>
      </c>
      <c r="I5" s="32" t="s">
        <v>184</v>
      </c>
      <c r="J5" s="36" t="s">
        <v>326</v>
      </c>
      <c r="K5" s="32" t="s">
        <v>301</v>
      </c>
    </row>
    <row r="6" spans="1:11" x14ac:dyDescent="0.25">
      <c r="A6" s="32">
        <f>+IF(B6="","",SUBTOTAL(3,$B$5:B6))</f>
        <v>2</v>
      </c>
      <c r="B6" s="33" t="s">
        <v>207</v>
      </c>
      <c r="C6" s="34" t="s">
        <v>304</v>
      </c>
      <c r="D6" s="35">
        <v>46027</v>
      </c>
      <c r="E6" s="32">
        <v>1</v>
      </c>
      <c r="F6" s="35">
        <v>46034</v>
      </c>
      <c r="G6" s="35">
        <v>46069</v>
      </c>
      <c r="H6" s="32" t="s">
        <v>183</v>
      </c>
      <c r="I6" s="32" t="s">
        <v>184</v>
      </c>
      <c r="J6" s="36" t="s">
        <v>326</v>
      </c>
      <c r="K6" s="32" t="s">
        <v>302</v>
      </c>
    </row>
    <row r="7" spans="1:11" ht="30" x14ac:dyDescent="0.25">
      <c r="A7" s="32">
        <f>+IF(B7="","",SUBTOTAL(3,$B$5:B7))</f>
        <v>3</v>
      </c>
      <c r="B7" s="33" t="s">
        <v>199</v>
      </c>
      <c r="C7" s="34" t="s">
        <v>305</v>
      </c>
      <c r="D7" s="35">
        <v>46030</v>
      </c>
      <c r="E7" s="32">
        <v>3</v>
      </c>
      <c r="F7" s="35">
        <v>46034</v>
      </c>
      <c r="G7" s="35">
        <v>46069</v>
      </c>
      <c r="H7" s="32" t="s">
        <v>181</v>
      </c>
      <c r="I7" s="32"/>
      <c r="J7" s="36"/>
      <c r="K7" s="32"/>
    </row>
    <row r="8" spans="1:11" ht="30" x14ac:dyDescent="0.25">
      <c r="A8" s="32">
        <f>+IF(B8="","",SUBTOTAL(3,$B$5:B8))</f>
        <v>4</v>
      </c>
      <c r="B8" s="34" t="s">
        <v>190</v>
      </c>
      <c r="C8" s="34" t="s">
        <v>305</v>
      </c>
      <c r="D8" s="35">
        <v>46030</v>
      </c>
      <c r="E8" s="32">
        <v>3</v>
      </c>
      <c r="F8" s="35">
        <v>46034</v>
      </c>
      <c r="G8" s="35">
        <v>46069</v>
      </c>
      <c r="H8" s="32" t="s">
        <v>181</v>
      </c>
      <c r="I8" s="32"/>
      <c r="J8" s="36"/>
      <c r="K8" s="32"/>
    </row>
    <row r="9" spans="1:11" ht="30" x14ac:dyDescent="0.25">
      <c r="A9" s="32">
        <f>+IF(B9="","",SUBTOTAL(3,$B$5:B9))</f>
        <v>5</v>
      </c>
      <c r="B9" s="34" t="s">
        <v>200</v>
      </c>
      <c r="C9" s="34" t="s">
        <v>305</v>
      </c>
      <c r="D9" s="35">
        <v>46030</v>
      </c>
      <c r="E9" s="32">
        <v>3</v>
      </c>
      <c r="F9" s="35">
        <v>46034</v>
      </c>
      <c r="G9" s="35">
        <v>46069</v>
      </c>
      <c r="H9" s="32" t="s">
        <v>181</v>
      </c>
      <c r="I9" s="32"/>
      <c r="J9" s="36"/>
      <c r="K9" s="32"/>
    </row>
    <row r="10" spans="1:11" x14ac:dyDescent="0.25">
      <c r="A10" s="32">
        <f>+IF(B10="","",SUBTOTAL(3,$B$5:B10))</f>
        <v>6</v>
      </c>
      <c r="B10" s="33" t="s">
        <v>306</v>
      </c>
      <c r="C10" s="34" t="s">
        <v>304</v>
      </c>
      <c r="D10" s="35">
        <v>46030</v>
      </c>
      <c r="E10" s="32">
        <v>3</v>
      </c>
      <c r="F10" s="35">
        <v>46034</v>
      </c>
      <c r="G10" s="35">
        <v>46066</v>
      </c>
      <c r="H10" s="32" t="s">
        <v>181</v>
      </c>
      <c r="I10" s="32"/>
      <c r="J10" s="36"/>
      <c r="K10" s="32"/>
    </row>
    <row r="11" spans="1:11" x14ac:dyDescent="0.25">
      <c r="A11" s="32">
        <f>+IF(B11="","",SUBTOTAL(3,$B$5:B11))</f>
        <v>7</v>
      </c>
      <c r="B11" s="33" t="s">
        <v>215</v>
      </c>
      <c r="C11" s="34" t="s">
        <v>304</v>
      </c>
      <c r="D11" s="35">
        <v>46030</v>
      </c>
      <c r="E11" s="32">
        <v>4</v>
      </c>
      <c r="F11" s="35">
        <v>46034</v>
      </c>
      <c r="G11" s="35">
        <v>46062</v>
      </c>
      <c r="H11" s="32" t="s">
        <v>181</v>
      </c>
      <c r="I11" s="32"/>
      <c r="J11" s="36"/>
      <c r="K11" s="32"/>
    </row>
    <row r="12" spans="1:11" x14ac:dyDescent="0.25">
      <c r="A12" s="32">
        <f>+IF(B12="","",SUBTOTAL(3,$B$5:B12))</f>
        <v>8</v>
      </c>
      <c r="B12" s="33" t="s">
        <v>217</v>
      </c>
      <c r="C12" s="34" t="s">
        <v>304</v>
      </c>
      <c r="D12" s="35">
        <v>46030</v>
      </c>
      <c r="E12" s="32">
        <v>4</v>
      </c>
      <c r="F12" s="35">
        <v>46034</v>
      </c>
      <c r="G12" s="35">
        <v>46062</v>
      </c>
      <c r="H12" s="32" t="s">
        <v>181</v>
      </c>
      <c r="I12" s="32"/>
      <c r="J12" s="36"/>
      <c r="K12" s="32"/>
    </row>
    <row r="13" spans="1:11" x14ac:dyDescent="0.25">
      <c r="A13" s="32">
        <f>+IF(B13="","",SUBTOTAL(3,$B$5:B13))</f>
        <v>9</v>
      </c>
      <c r="B13" s="33" t="s">
        <v>189</v>
      </c>
      <c r="C13" s="34" t="s">
        <v>180</v>
      </c>
      <c r="D13" s="35">
        <v>46035</v>
      </c>
      <c r="E13" s="32">
        <v>6</v>
      </c>
      <c r="F13" s="35">
        <v>46048</v>
      </c>
      <c r="G13" s="35">
        <v>46083</v>
      </c>
      <c r="H13" s="32" t="s">
        <v>183</v>
      </c>
      <c r="I13" s="32" t="s">
        <v>184</v>
      </c>
      <c r="J13" s="36" t="s">
        <v>327</v>
      </c>
      <c r="K13" s="32" t="s">
        <v>307</v>
      </c>
    </row>
    <row r="14" spans="1:11" ht="30" x14ac:dyDescent="0.25">
      <c r="A14" s="32">
        <f>+IF(B14="","",SUBTOTAL(3,$B$5:B14))</f>
        <v>10</v>
      </c>
      <c r="B14" s="33" t="s">
        <v>193</v>
      </c>
      <c r="C14" s="34" t="s">
        <v>194</v>
      </c>
      <c r="D14" s="35">
        <v>46035</v>
      </c>
      <c r="E14" s="32">
        <v>6</v>
      </c>
      <c r="F14" s="35">
        <v>46052</v>
      </c>
      <c r="G14" s="35">
        <v>46087</v>
      </c>
      <c r="H14" s="32" t="s">
        <v>183</v>
      </c>
      <c r="I14" s="32" t="s">
        <v>184</v>
      </c>
      <c r="J14" s="36" t="s">
        <v>327</v>
      </c>
      <c r="K14" s="32" t="s">
        <v>308</v>
      </c>
    </row>
    <row r="15" spans="1:11" ht="30" x14ac:dyDescent="0.25">
      <c r="A15" s="32">
        <f>+IF(B15="","",SUBTOTAL(3,$B$5:B15))</f>
        <v>11</v>
      </c>
      <c r="B15" s="33" t="s">
        <v>309</v>
      </c>
      <c r="C15" s="34" t="s">
        <v>305</v>
      </c>
      <c r="D15" s="35">
        <v>46035</v>
      </c>
      <c r="E15" s="32">
        <v>6</v>
      </c>
      <c r="F15" s="35">
        <v>46041</v>
      </c>
      <c r="G15" s="35">
        <v>46076</v>
      </c>
      <c r="H15" s="32" t="s">
        <v>183</v>
      </c>
      <c r="I15" s="32" t="s">
        <v>184</v>
      </c>
      <c r="J15" s="36" t="s">
        <v>326</v>
      </c>
      <c r="K15" s="32" t="s">
        <v>310</v>
      </c>
    </row>
    <row r="16" spans="1:11" x14ac:dyDescent="0.25">
      <c r="A16" s="32">
        <f>+IF(B16="","",SUBTOTAL(3,$B$5:B16))</f>
        <v>12</v>
      </c>
      <c r="B16" s="33" t="s">
        <v>311</v>
      </c>
      <c r="C16" s="34" t="s">
        <v>312</v>
      </c>
      <c r="D16" s="35">
        <v>46035</v>
      </c>
      <c r="E16" s="32">
        <v>6</v>
      </c>
      <c r="F16" s="35">
        <v>46048</v>
      </c>
      <c r="G16" s="35">
        <v>46083</v>
      </c>
      <c r="H16" s="32" t="s">
        <v>183</v>
      </c>
      <c r="I16" s="32" t="s">
        <v>184</v>
      </c>
      <c r="J16" s="36" t="s">
        <v>327</v>
      </c>
      <c r="K16" s="32" t="s">
        <v>313</v>
      </c>
    </row>
    <row r="17" spans="1:11" ht="30" x14ac:dyDescent="0.25">
      <c r="A17" s="32">
        <f>+IF(B17="","",SUBTOTAL(3,$B$5:B17))</f>
        <v>13</v>
      </c>
      <c r="B17" s="33" t="s">
        <v>196</v>
      </c>
      <c r="C17" s="34" t="s">
        <v>197</v>
      </c>
      <c r="D17" s="35">
        <v>46035</v>
      </c>
      <c r="E17" s="32">
        <v>7</v>
      </c>
      <c r="F17" s="35">
        <v>46042</v>
      </c>
      <c r="G17" s="35">
        <v>46056</v>
      </c>
      <c r="H17" s="32" t="s">
        <v>183</v>
      </c>
      <c r="I17" s="32" t="s">
        <v>198</v>
      </c>
      <c r="J17" s="36" t="s">
        <v>323</v>
      </c>
      <c r="K17" s="32" t="s">
        <v>314</v>
      </c>
    </row>
    <row r="18" spans="1:11" ht="30" x14ac:dyDescent="0.25">
      <c r="A18" s="32">
        <f>+IF(B18="","",SUBTOTAL(3,$B$5:B18))</f>
        <v>14</v>
      </c>
      <c r="B18" s="33" t="s">
        <v>315</v>
      </c>
      <c r="C18" s="34" t="s">
        <v>305</v>
      </c>
      <c r="D18" s="35">
        <v>46035</v>
      </c>
      <c r="E18" s="32">
        <v>7</v>
      </c>
      <c r="F18" s="35">
        <v>46041</v>
      </c>
      <c r="G18" s="35">
        <v>46055</v>
      </c>
      <c r="H18" s="32" t="s">
        <v>183</v>
      </c>
      <c r="I18" s="32" t="s">
        <v>198</v>
      </c>
      <c r="J18" s="36" t="s">
        <v>323</v>
      </c>
      <c r="K18" s="32" t="s">
        <v>316</v>
      </c>
    </row>
    <row r="19" spans="1:11" ht="60" x14ac:dyDescent="0.25">
      <c r="A19" s="32">
        <f>+IF(B19="","",SUBTOTAL(3,$B$5:B19))</f>
        <v>15</v>
      </c>
      <c r="B19" s="33" t="s">
        <v>239</v>
      </c>
      <c r="C19" s="34" t="s">
        <v>317</v>
      </c>
      <c r="D19" s="35">
        <v>46035</v>
      </c>
      <c r="E19" s="32">
        <v>7</v>
      </c>
      <c r="F19" s="35">
        <v>46042</v>
      </c>
      <c r="G19" s="35">
        <v>46073</v>
      </c>
      <c r="H19" s="32" t="s">
        <v>183</v>
      </c>
      <c r="I19" s="32" t="s">
        <v>184</v>
      </c>
      <c r="J19" s="36" t="s">
        <v>322</v>
      </c>
      <c r="K19" s="32" t="s">
        <v>318</v>
      </c>
    </row>
    <row r="20" spans="1:11" ht="45" x14ac:dyDescent="0.25">
      <c r="A20" s="32">
        <f>+IF(B20="","",SUBTOTAL(3,$B$5:B20))</f>
        <v>16</v>
      </c>
      <c r="B20" s="33" t="s">
        <v>319</v>
      </c>
      <c r="C20" s="34" t="s">
        <v>305</v>
      </c>
      <c r="D20" s="35">
        <v>46035</v>
      </c>
      <c r="E20" s="32">
        <v>7</v>
      </c>
      <c r="F20" s="35">
        <v>46035</v>
      </c>
      <c r="G20" s="35">
        <v>46041</v>
      </c>
      <c r="H20" s="36" t="s">
        <v>320</v>
      </c>
      <c r="I20" s="32"/>
      <c r="J20" s="36" t="s">
        <v>321</v>
      </c>
      <c r="K20" s="32"/>
    </row>
    <row r="21" spans="1:11" ht="45" x14ac:dyDescent="0.25">
      <c r="A21" s="32">
        <f>+IF(B21="","",SUBTOTAL(3,$B$5:B21))</f>
        <v>17</v>
      </c>
      <c r="B21" s="33" t="s">
        <v>324</v>
      </c>
      <c r="C21" s="34" t="s">
        <v>220</v>
      </c>
      <c r="D21" s="35">
        <v>46035</v>
      </c>
      <c r="E21" s="32">
        <v>7</v>
      </c>
      <c r="F21" s="35">
        <v>46038</v>
      </c>
      <c r="G21" s="35">
        <v>46048</v>
      </c>
      <c r="H21" s="36" t="s">
        <v>320</v>
      </c>
      <c r="I21" s="32"/>
      <c r="J21" s="36" t="s">
        <v>325</v>
      </c>
      <c r="K21" s="32"/>
    </row>
    <row r="22" spans="1:11" ht="45" x14ac:dyDescent="0.25">
      <c r="A22" s="32">
        <f>+IF(B22="","",SUBTOTAL(3,$B$5:B22))</f>
        <v>18</v>
      </c>
      <c r="B22" s="33" t="s">
        <v>243</v>
      </c>
      <c r="C22" s="34" t="s">
        <v>305</v>
      </c>
      <c r="D22" s="35">
        <v>46043</v>
      </c>
      <c r="E22" s="32">
        <v>9</v>
      </c>
      <c r="F22" s="35">
        <v>46045</v>
      </c>
      <c r="G22" s="35">
        <v>46048</v>
      </c>
      <c r="H22" s="36" t="s">
        <v>320</v>
      </c>
      <c r="I22" s="32"/>
      <c r="J22" s="36" t="s">
        <v>328</v>
      </c>
      <c r="K22" s="32"/>
    </row>
    <row r="23" spans="1:11" x14ac:dyDescent="0.25">
      <c r="A23" s="32">
        <f>+IF(B23="","",SUBTOTAL(3,$B$5:B23))</f>
        <v>19</v>
      </c>
      <c r="B23" s="33" t="s">
        <v>261</v>
      </c>
      <c r="C23" s="34" t="s">
        <v>304</v>
      </c>
      <c r="D23" s="35">
        <v>46043</v>
      </c>
      <c r="E23" s="32">
        <v>9</v>
      </c>
      <c r="F23" s="35">
        <v>46048</v>
      </c>
      <c r="G23" s="35">
        <v>46076</v>
      </c>
      <c r="H23" s="32" t="s">
        <v>181</v>
      </c>
      <c r="I23" s="32"/>
      <c r="J23" s="36"/>
      <c r="K23" s="32"/>
    </row>
    <row r="24" spans="1:11" x14ac:dyDescent="0.25">
      <c r="A24" s="32">
        <f>+IF(B24="","",SUBTOTAL(3,$B$5:B24))</f>
        <v>20</v>
      </c>
      <c r="B24" s="33" t="s">
        <v>329</v>
      </c>
      <c r="C24" s="34" t="s">
        <v>188</v>
      </c>
      <c r="D24" s="35">
        <v>46052</v>
      </c>
      <c r="E24" s="32">
        <v>11</v>
      </c>
      <c r="F24" s="35">
        <v>46055</v>
      </c>
      <c r="G24" s="35">
        <v>46076</v>
      </c>
      <c r="H24" s="32" t="s">
        <v>181</v>
      </c>
      <c r="I24" s="32"/>
      <c r="J24" s="36"/>
      <c r="K24" s="32"/>
    </row>
    <row r="25" spans="1:11" x14ac:dyDescent="0.25">
      <c r="A25" s="32">
        <f>+IF(B25="","",SUBTOTAL(3,$B$5:B25))</f>
        <v>21</v>
      </c>
      <c r="B25" s="33" t="s">
        <v>330</v>
      </c>
      <c r="C25" s="34" t="s">
        <v>304</v>
      </c>
      <c r="D25" s="35">
        <v>46052</v>
      </c>
      <c r="E25" s="32">
        <v>11</v>
      </c>
      <c r="F25" s="35">
        <v>46055</v>
      </c>
      <c r="G25" s="35">
        <v>46069</v>
      </c>
      <c r="H25" s="32" t="s">
        <v>181</v>
      </c>
      <c r="I25" s="32"/>
      <c r="J25" s="36"/>
      <c r="K25" s="32"/>
    </row>
    <row r="26" spans="1:11" ht="30" x14ac:dyDescent="0.25">
      <c r="A26" s="32">
        <f>+IF(B26="","",SUBTOTAL(3,$B$5:B26))</f>
        <v>22</v>
      </c>
      <c r="B26" s="33" t="s">
        <v>179</v>
      </c>
      <c r="C26" s="34" t="s">
        <v>305</v>
      </c>
      <c r="D26" s="35">
        <v>46055</v>
      </c>
      <c r="E26" s="32">
        <v>12</v>
      </c>
      <c r="F26" s="35">
        <v>46055</v>
      </c>
      <c r="G26" s="35">
        <v>46069</v>
      </c>
      <c r="H26" s="32" t="s">
        <v>181</v>
      </c>
      <c r="I26" s="32"/>
      <c r="J26" s="36"/>
      <c r="K26" s="32"/>
    </row>
    <row r="27" spans="1:11" x14ac:dyDescent="0.25">
      <c r="A27" s="32">
        <f>+IF(B27="","",SUBTOTAL(3,$B$5:B27))</f>
        <v>23</v>
      </c>
      <c r="B27" s="33" t="s">
        <v>182</v>
      </c>
      <c r="C27" s="34" t="s">
        <v>304</v>
      </c>
      <c r="D27" s="35">
        <v>46055</v>
      </c>
      <c r="E27" s="32">
        <v>12</v>
      </c>
      <c r="F27" s="35">
        <v>46062</v>
      </c>
      <c r="G27" s="35">
        <v>46091</v>
      </c>
      <c r="H27" s="32" t="s">
        <v>181</v>
      </c>
      <c r="I27" s="32"/>
      <c r="J27" s="36"/>
      <c r="K27" s="32"/>
    </row>
    <row r="28" spans="1:11" ht="30" x14ac:dyDescent="0.25">
      <c r="A28" s="32">
        <f>+IF(B28="","",SUBTOTAL(3,$B$5:B28))</f>
        <v>24</v>
      </c>
      <c r="B28" s="33" t="s">
        <v>206</v>
      </c>
      <c r="C28" s="34" t="s">
        <v>188</v>
      </c>
      <c r="D28" s="35">
        <v>46056</v>
      </c>
      <c r="E28" s="32">
        <v>13</v>
      </c>
      <c r="F28" s="35">
        <v>46076</v>
      </c>
      <c r="G28" s="35">
        <v>46112</v>
      </c>
      <c r="H28" s="32" t="s">
        <v>183</v>
      </c>
      <c r="I28" s="32"/>
      <c r="J28" s="36" t="s">
        <v>326</v>
      </c>
      <c r="K28" s="32" t="s">
        <v>331</v>
      </c>
    </row>
    <row r="29" spans="1:11" ht="30" x14ac:dyDescent="0.25">
      <c r="A29" s="32">
        <f>+IF(B29="","",SUBTOTAL(3,$B$5:B29))</f>
        <v>25</v>
      </c>
      <c r="B29" s="33" t="s">
        <v>203</v>
      </c>
      <c r="C29" s="34" t="s">
        <v>304</v>
      </c>
      <c r="D29" s="35">
        <v>46056</v>
      </c>
      <c r="E29" s="32">
        <v>13</v>
      </c>
      <c r="F29" s="35">
        <v>46065</v>
      </c>
      <c r="G29" s="35">
        <v>46086</v>
      </c>
      <c r="H29" s="32" t="s">
        <v>183</v>
      </c>
      <c r="I29" s="36" t="s">
        <v>192</v>
      </c>
      <c r="J29" s="36" t="s">
        <v>332</v>
      </c>
      <c r="K29" s="32" t="s">
        <v>333</v>
      </c>
    </row>
    <row r="30" spans="1:11" ht="45" x14ac:dyDescent="0.25">
      <c r="A30" s="32">
        <f>+IF(B30="","",SUBTOTAL(3,$B$5:B30))</f>
        <v>26</v>
      </c>
      <c r="B30" s="33" t="s">
        <v>264</v>
      </c>
      <c r="C30" s="34" t="s">
        <v>305</v>
      </c>
      <c r="D30" s="35">
        <v>46056</v>
      </c>
      <c r="E30" s="32">
        <v>13</v>
      </c>
      <c r="F30" s="35">
        <v>46056</v>
      </c>
      <c r="G30" s="35">
        <v>46057</v>
      </c>
      <c r="H30" s="36" t="s">
        <v>320</v>
      </c>
      <c r="I30" s="32"/>
      <c r="J30" s="36" t="s">
        <v>328</v>
      </c>
      <c r="K30" s="32"/>
    </row>
    <row r="31" spans="1:11" ht="30" x14ac:dyDescent="0.25">
      <c r="A31" s="32">
        <f>+IF(B31="","",SUBTOTAL(3,$B$5:B31))</f>
        <v>27</v>
      </c>
      <c r="B31" s="33" t="s">
        <v>315</v>
      </c>
      <c r="C31" s="34" t="s">
        <v>305</v>
      </c>
      <c r="D31" s="35">
        <v>46062</v>
      </c>
      <c r="E31" s="32">
        <v>14</v>
      </c>
      <c r="F31" s="35">
        <v>46062</v>
      </c>
      <c r="G31" s="35">
        <v>46091</v>
      </c>
      <c r="H31" s="32" t="s">
        <v>181</v>
      </c>
      <c r="I31" s="32"/>
      <c r="J31" s="36"/>
      <c r="K31" s="32"/>
    </row>
    <row r="32" spans="1:11" ht="30" x14ac:dyDescent="0.25">
      <c r="A32" s="32">
        <f>+IF(B32="","",SUBTOTAL(3,$B$5:B32))</f>
        <v>28</v>
      </c>
      <c r="B32" s="33" t="s">
        <v>190</v>
      </c>
      <c r="C32" s="34" t="s">
        <v>305</v>
      </c>
      <c r="D32" s="35">
        <v>46072</v>
      </c>
      <c r="E32" s="32">
        <v>18</v>
      </c>
      <c r="F32" s="35">
        <v>46080</v>
      </c>
      <c r="G32" s="35">
        <v>46114</v>
      </c>
      <c r="H32" s="32" t="s">
        <v>183</v>
      </c>
      <c r="I32" s="32"/>
      <c r="J32" s="36" t="s">
        <v>322</v>
      </c>
      <c r="K32" s="32" t="s">
        <v>336</v>
      </c>
    </row>
    <row r="33" spans="1:11" ht="30" x14ac:dyDescent="0.25">
      <c r="A33" s="32">
        <f>+IF(B33="","",SUBTOTAL(3,$B$5:B33))</f>
        <v>29</v>
      </c>
      <c r="B33" s="33" t="s">
        <v>337</v>
      </c>
      <c r="C33" s="34" t="s">
        <v>304</v>
      </c>
      <c r="D33" s="35">
        <v>46072</v>
      </c>
      <c r="E33" s="32">
        <v>18</v>
      </c>
      <c r="F33" s="35">
        <v>46076</v>
      </c>
      <c r="G33" s="35">
        <v>46098</v>
      </c>
      <c r="H33" s="32" t="s">
        <v>183</v>
      </c>
      <c r="I33" s="36" t="s">
        <v>192</v>
      </c>
      <c r="J33" s="36" t="s">
        <v>332</v>
      </c>
      <c r="K33" s="32" t="s">
        <v>338</v>
      </c>
    </row>
    <row r="34" spans="1:11" ht="30" x14ac:dyDescent="0.25">
      <c r="A34" s="32">
        <f>+IF(B34="","",SUBTOTAL(3,$B$5:B34))</f>
        <v>30</v>
      </c>
      <c r="B34" s="33" t="s">
        <v>236</v>
      </c>
      <c r="C34" s="34" t="s">
        <v>305</v>
      </c>
      <c r="D34" s="35">
        <v>46072</v>
      </c>
      <c r="E34" s="32">
        <v>18</v>
      </c>
      <c r="F34" s="35">
        <v>46080</v>
      </c>
      <c r="G34" s="35">
        <v>46105</v>
      </c>
      <c r="H34" s="32" t="s">
        <v>183</v>
      </c>
      <c r="I34" s="32" t="s">
        <v>198</v>
      </c>
      <c r="J34" s="36" t="s">
        <v>339</v>
      </c>
      <c r="K34" s="32" t="s">
        <v>340</v>
      </c>
    </row>
    <row r="35" spans="1:11" ht="30" x14ac:dyDescent="0.25">
      <c r="A35" s="32">
        <f>+IF(B35="","",SUBTOTAL(3,$B$5:B35))</f>
        <v>31</v>
      </c>
      <c r="B35" s="33" t="s">
        <v>341</v>
      </c>
      <c r="C35" s="34" t="s">
        <v>305</v>
      </c>
      <c r="D35" s="35">
        <v>46072</v>
      </c>
      <c r="E35" s="32">
        <v>18</v>
      </c>
      <c r="F35" s="35">
        <v>46077</v>
      </c>
      <c r="G35" s="35">
        <v>46115</v>
      </c>
      <c r="H35" s="32" t="s">
        <v>183</v>
      </c>
      <c r="I35" s="32"/>
      <c r="J35" s="36" t="s">
        <v>327</v>
      </c>
      <c r="K35" s="32" t="s">
        <v>342</v>
      </c>
    </row>
    <row r="36" spans="1:11" ht="30" x14ac:dyDescent="0.25">
      <c r="A36" s="32">
        <f>+IF(B36="","",SUBTOTAL(3,$B$5:B36))</f>
        <v>32</v>
      </c>
      <c r="B36" s="33" t="s">
        <v>195</v>
      </c>
      <c r="C36" s="34" t="s">
        <v>305</v>
      </c>
      <c r="D36" s="35">
        <v>46071</v>
      </c>
      <c r="E36" s="53">
        <v>19</v>
      </c>
      <c r="F36" s="35">
        <v>46076</v>
      </c>
      <c r="G36" s="35">
        <v>46105</v>
      </c>
      <c r="H36" s="32" t="s">
        <v>181</v>
      </c>
      <c r="I36" s="32"/>
      <c r="J36" s="36"/>
      <c r="K36" s="32"/>
    </row>
    <row r="37" spans="1:11" ht="45" x14ac:dyDescent="0.25">
      <c r="A37" s="32">
        <f>+IF(B37="","",SUBTOTAL(3,$B$5:B37))</f>
        <v>33</v>
      </c>
      <c r="B37" s="33" t="s">
        <v>227</v>
      </c>
      <c r="C37" s="34" t="s">
        <v>188</v>
      </c>
      <c r="D37" s="35">
        <v>46071</v>
      </c>
      <c r="E37" s="53">
        <v>19</v>
      </c>
      <c r="F37" s="35">
        <v>46071</v>
      </c>
      <c r="G37" s="35">
        <v>46076</v>
      </c>
      <c r="H37" s="36" t="s">
        <v>320</v>
      </c>
      <c r="I37" s="32"/>
      <c r="J37" s="36" t="s">
        <v>343</v>
      </c>
      <c r="K37" s="32"/>
    </row>
    <row r="38" spans="1:11" x14ac:dyDescent="0.25">
      <c r="A38" s="32">
        <f>+IF(B38="","",SUBTOTAL(3,$B$5:B38))</f>
        <v>34</v>
      </c>
      <c r="B38" s="33" t="s">
        <v>204</v>
      </c>
      <c r="C38" s="34" t="s">
        <v>344</v>
      </c>
      <c r="D38" s="35">
        <v>46084</v>
      </c>
      <c r="E38" s="32">
        <v>25</v>
      </c>
      <c r="F38" s="35">
        <v>46097</v>
      </c>
      <c r="G38" s="35">
        <v>46133</v>
      </c>
      <c r="H38" s="32" t="s">
        <v>183</v>
      </c>
      <c r="I38" s="32"/>
      <c r="J38" s="36" t="s">
        <v>327</v>
      </c>
      <c r="K38" s="32" t="s">
        <v>345</v>
      </c>
    </row>
    <row r="39" spans="1:11" ht="30" x14ac:dyDescent="0.25">
      <c r="A39" s="32">
        <f>+IF(B39="","",SUBTOTAL(3,$B$5:B39))</f>
        <v>35</v>
      </c>
      <c r="B39" s="33" t="s">
        <v>221</v>
      </c>
      <c r="C39" s="34" t="s">
        <v>304</v>
      </c>
      <c r="D39" s="35">
        <v>46084</v>
      </c>
      <c r="E39" s="32">
        <v>25</v>
      </c>
      <c r="F39" s="35">
        <v>46091</v>
      </c>
      <c r="G39" s="35">
        <v>46113</v>
      </c>
      <c r="H39" s="32" t="s">
        <v>183</v>
      </c>
      <c r="I39" s="36" t="s">
        <v>192</v>
      </c>
      <c r="J39" s="36" t="s">
        <v>332</v>
      </c>
      <c r="K39" s="32" t="s">
        <v>333</v>
      </c>
    </row>
    <row r="40" spans="1:11" ht="45" x14ac:dyDescent="0.25">
      <c r="A40" s="32">
        <f>+IF(B40="","",SUBTOTAL(3,$B$5:B40))</f>
        <v>36</v>
      </c>
      <c r="B40" s="33" t="s">
        <v>241</v>
      </c>
      <c r="C40" s="34" t="s">
        <v>188</v>
      </c>
      <c r="D40" s="35">
        <v>46099</v>
      </c>
      <c r="E40" s="32">
        <v>30</v>
      </c>
      <c r="F40" s="35">
        <v>46100</v>
      </c>
      <c r="G40" s="35">
        <v>46105</v>
      </c>
      <c r="H40" s="36" t="s">
        <v>320</v>
      </c>
      <c r="I40" s="32"/>
      <c r="J40" s="36" t="s">
        <v>328</v>
      </c>
      <c r="K40" s="32"/>
    </row>
    <row r="41" spans="1:11" ht="45" x14ac:dyDescent="0.25">
      <c r="A41" s="32">
        <f>+IF(B41="","",SUBTOTAL(3,$B$5:B41))</f>
        <v>37</v>
      </c>
      <c r="B41" s="33" t="s">
        <v>329</v>
      </c>
      <c r="C41" s="34" t="s">
        <v>188</v>
      </c>
      <c r="D41" s="35">
        <v>46099</v>
      </c>
      <c r="E41" s="32">
        <v>30</v>
      </c>
      <c r="F41" s="35">
        <v>46099</v>
      </c>
      <c r="G41" s="35">
        <v>46105</v>
      </c>
      <c r="H41" s="36" t="s">
        <v>320</v>
      </c>
      <c r="I41" s="32"/>
      <c r="J41" s="36" t="s">
        <v>346</v>
      </c>
      <c r="K41" s="32"/>
    </row>
    <row r="42" spans="1:11" x14ac:dyDescent="0.25">
      <c r="A42" s="32">
        <f>+IF(B42="","",SUBTOTAL(3,$B$5:B42))</f>
        <v>38</v>
      </c>
      <c r="B42" s="33" t="s">
        <v>227</v>
      </c>
      <c r="C42" s="34" t="s">
        <v>188</v>
      </c>
      <c r="D42" s="35">
        <v>46099</v>
      </c>
      <c r="E42" s="32">
        <v>30</v>
      </c>
      <c r="F42" s="35">
        <v>46105</v>
      </c>
      <c r="G42" s="35">
        <v>46119</v>
      </c>
      <c r="H42" s="32" t="s">
        <v>183</v>
      </c>
      <c r="I42" s="32" t="s">
        <v>198</v>
      </c>
      <c r="J42" s="36" t="s">
        <v>323</v>
      </c>
      <c r="K42" s="32" t="s">
        <v>347</v>
      </c>
    </row>
    <row r="43" spans="1:11" ht="30" x14ac:dyDescent="0.25">
      <c r="A43" s="32">
        <f>+IF(B43="","",SUBTOTAL(3,$B$5:B43))</f>
        <v>39</v>
      </c>
      <c r="B43" s="33" t="s">
        <v>348</v>
      </c>
      <c r="C43" s="34" t="s">
        <v>202</v>
      </c>
      <c r="D43" s="35">
        <v>46099</v>
      </c>
      <c r="E43" s="32">
        <v>30</v>
      </c>
      <c r="F43" s="35">
        <v>46105</v>
      </c>
      <c r="G43" s="35">
        <v>46133</v>
      </c>
      <c r="H43" s="32" t="s">
        <v>183</v>
      </c>
      <c r="I43" s="32"/>
      <c r="J43" s="36" t="s">
        <v>349</v>
      </c>
      <c r="K43" s="32" t="s">
        <v>350</v>
      </c>
    </row>
    <row r="44" spans="1:11" ht="30" x14ac:dyDescent="0.25">
      <c r="A44" s="32">
        <f>+IF(B44="","",SUBTOTAL(3,$B$5:B44))</f>
        <v>40</v>
      </c>
      <c r="B44" s="33" t="s">
        <v>208</v>
      </c>
      <c r="C44" s="34" t="s">
        <v>305</v>
      </c>
      <c r="D44" s="35">
        <v>46099</v>
      </c>
      <c r="E44" s="32">
        <v>30</v>
      </c>
      <c r="F44" s="35">
        <v>46113</v>
      </c>
      <c r="G44" s="35">
        <v>46146</v>
      </c>
      <c r="H44" s="32" t="s">
        <v>183</v>
      </c>
      <c r="I44" s="32"/>
      <c r="J44" s="36" t="s">
        <v>322</v>
      </c>
      <c r="K44" s="32" t="s">
        <v>351</v>
      </c>
    </row>
    <row r="45" spans="1:11" ht="30" x14ac:dyDescent="0.25">
      <c r="A45" s="32">
        <f>+IF(B45="","",SUBTOTAL(3,$B$5:B45))</f>
        <v>41</v>
      </c>
      <c r="B45" s="33" t="s">
        <v>352</v>
      </c>
      <c r="C45" s="34" t="s">
        <v>304</v>
      </c>
      <c r="D45" s="35">
        <v>46099</v>
      </c>
      <c r="E45" s="32">
        <v>30</v>
      </c>
      <c r="F45" s="35">
        <v>46105</v>
      </c>
      <c r="G45" s="35">
        <v>46126</v>
      </c>
      <c r="H45" s="32" t="s">
        <v>183</v>
      </c>
      <c r="I45" s="36" t="s">
        <v>192</v>
      </c>
      <c r="J45" s="36" t="s">
        <v>332</v>
      </c>
      <c r="K45" s="32" t="s">
        <v>353</v>
      </c>
    </row>
    <row r="46" spans="1:11" ht="45" x14ac:dyDescent="0.25">
      <c r="A46" s="32">
        <f>+IF(B46="","",SUBTOTAL(3,$B$5:B46))</f>
        <v>42</v>
      </c>
      <c r="B46" s="33" t="s">
        <v>236</v>
      </c>
      <c r="C46" s="34" t="s">
        <v>305</v>
      </c>
      <c r="D46" s="35">
        <v>46105</v>
      </c>
      <c r="E46" s="32">
        <v>35</v>
      </c>
      <c r="F46" s="35">
        <v>46105</v>
      </c>
      <c r="G46" s="35">
        <v>46118</v>
      </c>
      <c r="H46" s="36" t="s">
        <v>320</v>
      </c>
      <c r="I46" s="32"/>
      <c r="J46" s="36" t="s">
        <v>354</v>
      </c>
      <c r="K46" s="32"/>
    </row>
    <row r="47" spans="1:11" ht="30" x14ac:dyDescent="0.25">
      <c r="A47" s="32">
        <f>+IF(B47="","",SUBTOTAL(3,$B$5:B47))</f>
        <v>43</v>
      </c>
      <c r="B47" s="33" t="s">
        <v>205</v>
      </c>
      <c r="C47" s="34" t="s">
        <v>355</v>
      </c>
      <c r="D47" s="35">
        <v>46105</v>
      </c>
      <c r="E47" s="32">
        <v>35</v>
      </c>
      <c r="F47" s="35">
        <v>46118</v>
      </c>
      <c r="G47" s="35">
        <v>46139</v>
      </c>
      <c r="H47" s="32" t="s">
        <v>183</v>
      </c>
      <c r="I47" s="36" t="s">
        <v>192</v>
      </c>
      <c r="J47" s="36" t="s">
        <v>332</v>
      </c>
      <c r="K47" s="32" t="s">
        <v>356</v>
      </c>
    </row>
    <row r="48" spans="1:11" ht="30" x14ac:dyDescent="0.25">
      <c r="A48" s="32">
        <f>+IF(B48="","",SUBTOTAL(3,$B$5:B48))</f>
        <v>44</v>
      </c>
      <c r="B48" s="33" t="s">
        <v>357</v>
      </c>
      <c r="C48" s="34" t="s">
        <v>358</v>
      </c>
      <c r="D48" s="35">
        <v>46105</v>
      </c>
      <c r="E48" s="32">
        <v>35</v>
      </c>
      <c r="F48" s="35">
        <v>46113</v>
      </c>
      <c r="G48" s="35">
        <v>46149</v>
      </c>
      <c r="H48" s="32" t="s">
        <v>183</v>
      </c>
      <c r="I48" s="32"/>
      <c r="J48" s="36" t="s">
        <v>327</v>
      </c>
      <c r="K48" s="32" t="s">
        <v>359</v>
      </c>
    </row>
    <row r="49" spans="1:11" ht="30" x14ac:dyDescent="0.25">
      <c r="A49" s="32">
        <f>+IF(B49="","",SUBTOTAL(3,$B$5:B49))</f>
        <v>45</v>
      </c>
      <c r="B49" s="33" t="s">
        <v>213</v>
      </c>
      <c r="C49" s="34" t="s">
        <v>304</v>
      </c>
      <c r="D49" s="35">
        <v>46107</v>
      </c>
      <c r="E49" s="32">
        <v>36</v>
      </c>
      <c r="F49" s="35">
        <v>46113</v>
      </c>
      <c r="G49" s="35">
        <v>46134</v>
      </c>
      <c r="H49" s="32" t="s">
        <v>183</v>
      </c>
      <c r="I49" s="36" t="s">
        <v>192</v>
      </c>
      <c r="J49" s="36" t="s">
        <v>332</v>
      </c>
      <c r="K49" s="32" t="s">
        <v>353</v>
      </c>
    </row>
    <row r="50" spans="1:11" ht="30" x14ac:dyDescent="0.25">
      <c r="A50" s="32">
        <f>+IF(B50="","",SUBTOTAL(3,$B$5:B50))</f>
        <v>46</v>
      </c>
      <c r="B50" s="33" t="s">
        <v>232</v>
      </c>
      <c r="C50" s="34" t="s">
        <v>360</v>
      </c>
      <c r="D50" s="35">
        <v>46112</v>
      </c>
      <c r="E50" s="32">
        <v>39</v>
      </c>
      <c r="F50" s="35">
        <v>46118</v>
      </c>
      <c r="G50" s="35">
        <v>46139</v>
      </c>
      <c r="H50" s="32" t="s">
        <v>183</v>
      </c>
      <c r="I50" s="36" t="s">
        <v>192</v>
      </c>
      <c r="J50" s="36" t="s">
        <v>332</v>
      </c>
      <c r="K50" s="32" t="s">
        <v>361</v>
      </c>
    </row>
    <row r="51" spans="1:11" x14ac:dyDescent="0.25">
      <c r="A51" s="32" t="str">
        <f>+IF(B51="","",SUBTOTAL(3,$B$5:B51))</f>
        <v/>
      </c>
      <c r="B51" s="33"/>
      <c r="C51" s="34"/>
      <c r="D51" s="35"/>
      <c r="E51" s="32"/>
      <c r="F51" s="35"/>
      <c r="G51" s="35"/>
      <c r="H51" s="32"/>
      <c r="I51" s="32"/>
      <c r="J51" s="36"/>
      <c r="K51" s="32"/>
    </row>
    <row r="52" spans="1:11" x14ac:dyDescent="0.25">
      <c r="A52" s="32" t="str">
        <f>+IF(B52="","",SUBTOTAL(3,$B$5:B52))</f>
        <v/>
      </c>
      <c r="B52" s="33"/>
      <c r="C52" s="34"/>
      <c r="D52" s="35"/>
      <c r="E52" s="32"/>
      <c r="F52" s="35"/>
      <c r="G52" s="35"/>
      <c r="H52" s="32"/>
      <c r="I52" s="32"/>
      <c r="J52" s="36"/>
      <c r="K52" s="32"/>
    </row>
    <row r="53" spans="1:11" x14ac:dyDescent="0.25">
      <c r="A53" s="32" t="str">
        <f>+IF(B53="","",SUBTOTAL(3,$B$5:B53))</f>
        <v/>
      </c>
      <c r="B53" s="33"/>
      <c r="C53" s="34"/>
      <c r="D53" s="35"/>
      <c r="E53" s="32"/>
      <c r="F53" s="35"/>
      <c r="G53" s="35"/>
      <c r="H53" s="32"/>
      <c r="I53" s="32"/>
      <c r="J53" s="36"/>
      <c r="K53" s="32"/>
    </row>
    <row r="54" spans="1:11" x14ac:dyDescent="0.25">
      <c r="A54" s="32" t="str">
        <f>+IF(B54="","",SUBTOTAL(3,$B$5:B54))</f>
        <v/>
      </c>
      <c r="B54" s="33"/>
      <c r="C54" s="34"/>
      <c r="D54" s="35"/>
      <c r="E54" s="32"/>
      <c r="F54" s="35"/>
      <c r="G54" s="35"/>
      <c r="H54" s="32"/>
      <c r="I54" s="32"/>
      <c r="J54" s="36"/>
      <c r="K54" s="32"/>
    </row>
    <row r="55" spans="1:11" x14ac:dyDescent="0.25">
      <c r="A55" s="32" t="str">
        <f>+IF(B55="","",SUBTOTAL(3,$B$5:B55))</f>
        <v/>
      </c>
      <c r="B55" s="33"/>
      <c r="C55" s="34"/>
      <c r="D55" s="35"/>
      <c r="E55" s="32"/>
      <c r="F55" s="35"/>
      <c r="G55" s="35"/>
      <c r="H55" s="32"/>
      <c r="I55" s="32"/>
      <c r="J55" s="36"/>
      <c r="K55" s="32"/>
    </row>
    <row r="56" spans="1:11" x14ac:dyDescent="0.25">
      <c r="A56" s="32" t="str">
        <f>+IF(B56="","",SUBTOTAL(3,$B$5:B56))</f>
        <v/>
      </c>
      <c r="B56" s="33"/>
      <c r="C56" s="34"/>
      <c r="D56" s="35"/>
      <c r="E56" s="32"/>
      <c r="F56" s="35"/>
      <c r="G56" s="35"/>
      <c r="H56" s="32"/>
      <c r="I56" s="32"/>
      <c r="J56" s="36"/>
      <c r="K56" s="32"/>
    </row>
    <row r="57" spans="1:11" x14ac:dyDescent="0.25">
      <c r="A57" s="32" t="str">
        <f>+IF(B57="","",SUBTOTAL(3,$B$5:B57))</f>
        <v/>
      </c>
      <c r="B57" s="33"/>
      <c r="C57" s="34"/>
      <c r="D57" s="35"/>
      <c r="E57" s="32"/>
      <c r="F57" s="35"/>
      <c r="G57" s="35"/>
      <c r="H57" s="32"/>
      <c r="I57" s="32"/>
      <c r="J57" s="36"/>
      <c r="K57" s="32"/>
    </row>
    <row r="58" spans="1:11" x14ac:dyDescent="0.25">
      <c r="A58" s="32" t="str">
        <f>+IF(B58="","",SUBTOTAL(3,$B$5:B58))</f>
        <v/>
      </c>
      <c r="B58" s="33"/>
      <c r="C58" s="34"/>
      <c r="D58" s="35"/>
      <c r="E58" s="32"/>
      <c r="F58" s="35"/>
      <c r="G58" s="35"/>
      <c r="H58" s="32"/>
      <c r="I58" s="32"/>
      <c r="J58" s="36"/>
      <c r="K58" s="32"/>
    </row>
    <row r="59" spans="1:11" x14ac:dyDescent="0.25">
      <c r="A59" s="32" t="str">
        <f>+IF(B59="","",SUBTOTAL(3,$B$5:B59))</f>
        <v/>
      </c>
      <c r="B59" s="33"/>
      <c r="C59" s="34"/>
      <c r="D59" s="35"/>
      <c r="E59" s="32"/>
      <c r="F59" s="35"/>
      <c r="G59" s="35"/>
      <c r="H59" s="32"/>
      <c r="I59" s="32"/>
      <c r="J59" s="36"/>
      <c r="K59" s="32"/>
    </row>
    <row r="60" spans="1:11" x14ac:dyDescent="0.25">
      <c r="A60" s="32" t="str">
        <f>+IF(B60="","",SUBTOTAL(3,$B$5:B60))</f>
        <v/>
      </c>
      <c r="B60" s="33"/>
      <c r="C60" s="34"/>
      <c r="D60" s="35"/>
      <c r="E60" s="32"/>
      <c r="F60" s="35"/>
      <c r="G60" s="35"/>
      <c r="H60" s="32"/>
      <c r="I60" s="32"/>
      <c r="J60" s="36"/>
      <c r="K60" s="32"/>
    </row>
    <row r="61" spans="1:11" x14ac:dyDescent="0.25">
      <c r="A61" s="32" t="str">
        <f>+IF(B61="","",SUBTOTAL(3,$B$5:B61))</f>
        <v/>
      </c>
      <c r="B61" s="33"/>
      <c r="C61" s="34"/>
      <c r="D61" s="35"/>
      <c r="E61" s="32"/>
      <c r="F61" s="35"/>
      <c r="G61" s="35"/>
      <c r="H61" s="32"/>
      <c r="I61" s="32"/>
      <c r="J61" s="36"/>
      <c r="K61" s="32"/>
    </row>
    <row r="62" spans="1:11" x14ac:dyDescent="0.25">
      <c r="A62" s="32" t="str">
        <f>+IF(B62="","",SUBTOTAL(3,$B$5:B62))</f>
        <v/>
      </c>
      <c r="B62" s="33"/>
      <c r="C62" s="34"/>
      <c r="D62" s="35"/>
      <c r="E62" s="32"/>
      <c r="F62" s="35"/>
      <c r="G62" s="35"/>
      <c r="H62" s="32"/>
      <c r="I62" s="32"/>
      <c r="J62" s="36"/>
      <c r="K62" s="32"/>
    </row>
    <row r="63" spans="1:11" x14ac:dyDescent="0.25">
      <c r="A63" s="32" t="str">
        <f>+IF(B63="","",SUBTOTAL(3,$B$5:B63))</f>
        <v/>
      </c>
      <c r="B63" s="33"/>
      <c r="C63" s="34"/>
      <c r="D63" s="35"/>
      <c r="E63" s="32"/>
      <c r="F63" s="35"/>
      <c r="G63" s="35"/>
      <c r="H63" s="32"/>
      <c r="I63" s="32"/>
      <c r="J63" s="36"/>
      <c r="K63" s="32"/>
    </row>
    <row r="64" spans="1:11" x14ac:dyDescent="0.25">
      <c r="A64" s="32" t="str">
        <f>+IF(B64="","",SUBTOTAL(3,$B$5:B64))</f>
        <v/>
      </c>
      <c r="B64" s="33"/>
      <c r="C64" s="34"/>
      <c r="D64" s="35"/>
      <c r="E64" s="32"/>
      <c r="F64" s="35"/>
      <c r="G64" s="35"/>
      <c r="H64" s="32"/>
      <c r="I64" s="32"/>
      <c r="J64" s="36"/>
      <c r="K64" s="32"/>
    </row>
    <row r="65" spans="1:11" x14ac:dyDescent="0.25">
      <c r="A65" s="32" t="str">
        <f>+IF(B65="","",SUBTOTAL(3,$B$5:B65))</f>
        <v/>
      </c>
      <c r="B65" s="33"/>
      <c r="C65" s="34"/>
      <c r="D65" s="35"/>
      <c r="E65" s="32"/>
      <c r="F65" s="35"/>
      <c r="G65" s="35"/>
      <c r="H65" s="32"/>
      <c r="I65" s="32"/>
      <c r="J65" s="36"/>
      <c r="K65" s="32"/>
    </row>
    <row r="66" spans="1:11" x14ac:dyDescent="0.25">
      <c r="A66" s="32" t="str">
        <f>+IF(B66="","",SUBTOTAL(3,$B$5:B66))</f>
        <v/>
      </c>
      <c r="B66" s="33"/>
      <c r="C66" s="34"/>
      <c r="D66" s="35"/>
      <c r="E66" s="32"/>
      <c r="F66" s="35"/>
      <c r="G66" s="35"/>
      <c r="H66" s="32"/>
      <c r="I66" s="32"/>
      <c r="J66" s="36"/>
      <c r="K66" s="32"/>
    </row>
    <row r="67" spans="1:11" x14ac:dyDescent="0.25">
      <c r="A67" s="32" t="str">
        <f>+IF(B67="","",SUBTOTAL(3,$B$5:B67))</f>
        <v/>
      </c>
      <c r="B67" s="33"/>
      <c r="C67" s="34"/>
      <c r="D67" s="35"/>
      <c r="E67" s="32"/>
      <c r="F67" s="35"/>
      <c r="G67" s="35"/>
      <c r="H67" s="32"/>
      <c r="I67" s="32"/>
      <c r="J67" s="36"/>
      <c r="K67" s="32"/>
    </row>
    <row r="68" spans="1:11" x14ac:dyDescent="0.25">
      <c r="A68" s="32" t="str">
        <f>+IF(B68="","",SUBTOTAL(3,$B$5:B68))</f>
        <v/>
      </c>
      <c r="B68" s="33"/>
      <c r="C68" s="34"/>
      <c r="D68" s="35"/>
      <c r="E68" s="32"/>
      <c r="F68" s="35"/>
      <c r="G68" s="35"/>
      <c r="H68" s="32"/>
      <c r="I68" s="32"/>
      <c r="J68" s="36"/>
      <c r="K68" s="32"/>
    </row>
    <row r="69" spans="1:11" x14ac:dyDescent="0.25">
      <c r="A69" s="32" t="str">
        <f>+IF(B69="","",SUBTOTAL(3,$B$5:B69))</f>
        <v/>
      </c>
      <c r="B69" s="33"/>
      <c r="C69" s="34"/>
      <c r="D69" s="35"/>
      <c r="E69" s="32"/>
      <c r="F69" s="35"/>
      <c r="G69" s="35"/>
      <c r="H69" s="32"/>
      <c r="I69" s="32"/>
      <c r="J69" s="36"/>
      <c r="K69" s="32"/>
    </row>
    <row r="70" spans="1:11" x14ac:dyDescent="0.25">
      <c r="A70" s="32" t="str">
        <f>+IF(B70="","",SUBTOTAL(3,$B$5:B70))</f>
        <v/>
      </c>
      <c r="B70" s="33"/>
      <c r="C70" s="34"/>
      <c r="D70" s="35"/>
      <c r="E70" s="32"/>
      <c r="F70" s="35"/>
      <c r="G70" s="35"/>
      <c r="H70" s="32"/>
      <c r="I70" s="32"/>
      <c r="J70" s="36"/>
      <c r="K70" s="32"/>
    </row>
    <row r="71" spans="1:11" x14ac:dyDescent="0.25">
      <c r="A71" s="32" t="str">
        <f>+IF(B71="","",SUBTOTAL(3,$B$5:B71))</f>
        <v/>
      </c>
      <c r="B71" s="33"/>
      <c r="C71" s="34"/>
      <c r="D71" s="35"/>
      <c r="E71" s="32"/>
      <c r="F71" s="35"/>
      <c r="G71" s="35"/>
      <c r="H71" s="32"/>
      <c r="I71" s="32"/>
      <c r="J71" s="36"/>
      <c r="K71" s="32"/>
    </row>
    <row r="72" spans="1:11" x14ac:dyDescent="0.25">
      <c r="A72" s="32" t="str">
        <f>+IF(B72="","",SUBTOTAL(3,$B$5:B72))</f>
        <v/>
      </c>
      <c r="B72" s="33"/>
      <c r="C72" s="34"/>
      <c r="D72" s="35"/>
      <c r="E72" s="32"/>
      <c r="F72" s="35"/>
      <c r="G72" s="35"/>
      <c r="H72" s="32"/>
      <c r="I72" s="32"/>
      <c r="J72" s="36"/>
      <c r="K72" s="32"/>
    </row>
    <row r="73" spans="1:11" x14ac:dyDescent="0.25">
      <c r="A73" s="32" t="str">
        <f>+IF(B73="","",SUBTOTAL(3,$B$5:B73))</f>
        <v/>
      </c>
      <c r="B73" s="33"/>
      <c r="C73" s="34"/>
      <c r="D73" s="35"/>
      <c r="E73" s="32"/>
      <c r="F73" s="35"/>
      <c r="G73" s="35"/>
      <c r="H73" s="32"/>
      <c r="I73" s="32"/>
      <c r="J73" s="36"/>
      <c r="K73" s="32"/>
    </row>
    <row r="74" spans="1:11" x14ac:dyDescent="0.25">
      <c r="A74" s="32" t="str">
        <f>+IF(B74="","",SUBTOTAL(3,$B$5:B74))</f>
        <v/>
      </c>
      <c r="B74" s="33"/>
      <c r="C74" s="34"/>
      <c r="D74" s="35"/>
      <c r="E74" s="32"/>
      <c r="F74" s="35"/>
      <c r="G74" s="35"/>
      <c r="H74" s="32"/>
      <c r="I74" s="32"/>
      <c r="J74" s="36"/>
      <c r="K74" s="32"/>
    </row>
    <row r="75" spans="1:11" x14ac:dyDescent="0.25">
      <c r="A75" s="32" t="str">
        <f>+IF(B75="","",SUBTOTAL(3,$B$5:B75))</f>
        <v/>
      </c>
      <c r="B75" s="33"/>
      <c r="C75" s="34"/>
      <c r="D75" s="35"/>
      <c r="E75" s="32"/>
      <c r="F75" s="35"/>
      <c r="G75" s="35"/>
      <c r="H75" s="32"/>
      <c r="I75" s="32"/>
      <c r="J75" s="36"/>
      <c r="K75" s="32"/>
    </row>
    <row r="76" spans="1:11" x14ac:dyDescent="0.25">
      <c r="A76" s="32" t="str">
        <f>+IF(B76="","",SUBTOTAL(3,$B$5:B76))</f>
        <v/>
      </c>
      <c r="B76" s="33"/>
      <c r="C76" s="34"/>
      <c r="D76" s="35"/>
      <c r="E76" s="32"/>
      <c r="F76" s="35"/>
      <c r="G76" s="35"/>
      <c r="H76" s="32"/>
      <c r="I76" s="32"/>
      <c r="J76" s="36"/>
      <c r="K76" s="32"/>
    </row>
    <row r="77" spans="1:11" x14ac:dyDescent="0.25">
      <c r="A77" s="32" t="str">
        <f>+IF(B77="","",SUBTOTAL(3,$B$5:B77))</f>
        <v/>
      </c>
      <c r="B77" s="33"/>
      <c r="C77" s="34"/>
      <c r="D77" s="35"/>
      <c r="E77" s="32"/>
      <c r="F77" s="35"/>
      <c r="G77" s="35"/>
      <c r="H77" s="32"/>
      <c r="I77" s="32"/>
      <c r="J77" s="36"/>
      <c r="K77" s="32"/>
    </row>
    <row r="78" spans="1:11" x14ac:dyDescent="0.25">
      <c r="A78" s="32" t="str">
        <f>+IF(B78="","",SUBTOTAL(3,$B$5:B78))</f>
        <v/>
      </c>
      <c r="B78" s="33"/>
      <c r="C78" s="34"/>
      <c r="D78" s="35"/>
      <c r="E78" s="32"/>
      <c r="F78" s="35"/>
      <c r="G78" s="35"/>
      <c r="H78" s="32"/>
      <c r="I78" s="32"/>
      <c r="J78" s="36"/>
      <c r="K78" s="32"/>
    </row>
    <row r="79" spans="1:11" x14ac:dyDescent="0.25">
      <c r="A79" s="32" t="str">
        <f>+IF(B79="","",SUBTOTAL(3,$B$5:B79))</f>
        <v/>
      </c>
      <c r="B79" s="33"/>
      <c r="C79" s="34"/>
      <c r="D79" s="35"/>
      <c r="E79" s="32"/>
      <c r="F79" s="35"/>
      <c r="G79" s="35"/>
      <c r="H79" s="32"/>
      <c r="I79" s="32"/>
      <c r="J79" s="36"/>
      <c r="K79" s="32"/>
    </row>
    <row r="80" spans="1:11" x14ac:dyDescent="0.25">
      <c r="A80" s="32" t="str">
        <f>+IF(B80="","",SUBTOTAL(3,$B$5:B80))</f>
        <v/>
      </c>
      <c r="B80" s="33"/>
      <c r="C80" s="34"/>
      <c r="D80" s="35"/>
      <c r="E80" s="32"/>
      <c r="F80" s="35"/>
      <c r="G80" s="35"/>
      <c r="H80" s="32"/>
      <c r="I80" s="32"/>
      <c r="J80" s="36"/>
      <c r="K80" s="32"/>
    </row>
    <row r="81" spans="1:11" x14ac:dyDescent="0.25">
      <c r="A81" s="32" t="str">
        <f>+IF(B81="","",SUBTOTAL(3,$B$5:B81))</f>
        <v/>
      </c>
      <c r="B81" s="33"/>
      <c r="C81" s="34"/>
      <c r="D81" s="35"/>
      <c r="E81" s="32"/>
      <c r="F81" s="35"/>
      <c r="G81" s="35"/>
      <c r="H81" s="32"/>
      <c r="I81" s="32"/>
      <c r="J81" s="36"/>
      <c r="K81" s="32"/>
    </row>
    <row r="82" spans="1:11" x14ac:dyDescent="0.25">
      <c r="A82" s="32" t="str">
        <f>+IF(B82="","",SUBTOTAL(3,$B$5:B82))</f>
        <v/>
      </c>
      <c r="B82" s="33"/>
      <c r="C82" s="34"/>
      <c r="D82" s="35"/>
      <c r="E82" s="32"/>
      <c r="F82" s="35"/>
      <c r="G82" s="35"/>
      <c r="H82" s="32"/>
      <c r="I82" s="32"/>
      <c r="J82" s="36"/>
      <c r="K82" s="32"/>
    </row>
    <row r="83" spans="1:11" x14ac:dyDescent="0.25">
      <c r="A83" s="32" t="str">
        <f>+IF(B83="","",SUBTOTAL(3,$B$5:B83))</f>
        <v/>
      </c>
      <c r="B83" s="33"/>
      <c r="C83" s="34"/>
      <c r="D83" s="35"/>
      <c r="E83" s="32"/>
      <c r="F83" s="35"/>
      <c r="G83" s="35"/>
      <c r="H83" s="32"/>
      <c r="I83" s="32"/>
      <c r="J83" s="36"/>
      <c r="K83" s="32"/>
    </row>
    <row r="84" spans="1:11" x14ac:dyDescent="0.25">
      <c r="A84" s="32" t="str">
        <f>+IF(B84="","",SUBTOTAL(3,$B$5:B84))</f>
        <v/>
      </c>
      <c r="B84" s="33"/>
      <c r="C84" s="34"/>
      <c r="D84" s="35"/>
      <c r="E84" s="32"/>
      <c r="F84" s="35"/>
      <c r="G84" s="35"/>
      <c r="H84" s="32"/>
      <c r="I84" s="32"/>
      <c r="J84" s="36"/>
      <c r="K84" s="32"/>
    </row>
    <row r="85" spans="1:11" x14ac:dyDescent="0.25">
      <c r="A85" s="32" t="str">
        <f>+IF(B85="","",SUBTOTAL(3,$B$5:B85))</f>
        <v/>
      </c>
      <c r="B85" s="33"/>
      <c r="C85" s="34"/>
      <c r="D85" s="35"/>
      <c r="E85" s="32"/>
      <c r="F85" s="35"/>
      <c r="G85" s="35"/>
      <c r="H85" s="32"/>
      <c r="I85" s="32"/>
      <c r="J85" s="36"/>
      <c r="K85" s="32"/>
    </row>
    <row r="86" spans="1:11" x14ac:dyDescent="0.25">
      <c r="A86" s="32" t="str">
        <f>+IF(B86="","",SUBTOTAL(3,$B$5:B86))</f>
        <v/>
      </c>
      <c r="B86" s="33"/>
      <c r="C86" s="34"/>
      <c r="D86" s="35"/>
      <c r="E86" s="32"/>
      <c r="F86" s="35"/>
      <c r="G86" s="35"/>
      <c r="H86" s="32"/>
      <c r="I86" s="32"/>
      <c r="J86" s="36"/>
      <c r="K86" s="32"/>
    </row>
    <row r="87" spans="1:11" x14ac:dyDescent="0.25">
      <c r="A87" s="32" t="str">
        <f>+IF(B87="","",SUBTOTAL(3,$B$5:B87))</f>
        <v/>
      </c>
      <c r="B87" s="33"/>
      <c r="C87" s="34"/>
      <c r="D87" s="35"/>
      <c r="E87" s="32"/>
      <c r="F87" s="35"/>
      <c r="G87" s="35"/>
      <c r="H87" s="32"/>
      <c r="I87" s="32"/>
      <c r="J87" s="36"/>
      <c r="K87" s="32"/>
    </row>
    <row r="88" spans="1:11" x14ac:dyDescent="0.25">
      <c r="A88" s="32" t="str">
        <f>+IF(B88="","",SUBTOTAL(3,$B$5:B88))</f>
        <v/>
      </c>
      <c r="B88" s="33"/>
      <c r="C88" s="34"/>
      <c r="D88" s="35"/>
      <c r="E88" s="32"/>
      <c r="F88" s="35"/>
      <c r="G88" s="35"/>
      <c r="H88" s="32"/>
      <c r="I88" s="32"/>
      <c r="J88" s="36"/>
      <c r="K88" s="32"/>
    </row>
    <row r="89" spans="1:11" x14ac:dyDescent="0.25">
      <c r="A89" s="32" t="str">
        <f>+IF(B89="","",SUBTOTAL(3,$B$5:B89))</f>
        <v/>
      </c>
      <c r="B89" s="33"/>
      <c r="C89" s="34"/>
      <c r="D89" s="35"/>
      <c r="E89" s="32"/>
      <c r="F89" s="35"/>
      <c r="G89" s="35"/>
      <c r="H89" s="32"/>
      <c r="I89" s="32"/>
      <c r="J89" s="36"/>
      <c r="K89" s="32"/>
    </row>
    <row r="90" spans="1:11" x14ac:dyDescent="0.25">
      <c r="A90" s="32" t="str">
        <f>+IF(B90="","",SUBTOTAL(3,$B$5:B90))</f>
        <v/>
      </c>
      <c r="B90" s="33"/>
      <c r="C90" s="34"/>
      <c r="D90" s="35"/>
      <c r="E90" s="32"/>
      <c r="F90" s="35"/>
      <c r="G90" s="35"/>
      <c r="H90" s="32"/>
      <c r="I90" s="32"/>
      <c r="J90" s="36"/>
      <c r="K90" s="32"/>
    </row>
    <row r="91" spans="1:11" x14ac:dyDescent="0.25">
      <c r="A91" s="32" t="str">
        <f>+IF(B91="","",SUBTOTAL(3,$B$5:B91))</f>
        <v/>
      </c>
      <c r="B91" s="33"/>
      <c r="C91" s="34"/>
      <c r="D91" s="35"/>
      <c r="E91" s="32"/>
      <c r="F91" s="35"/>
      <c r="G91" s="35"/>
      <c r="H91" s="32"/>
      <c r="I91" s="32"/>
      <c r="J91" s="36"/>
      <c r="K91" s="32"/>
    </row>
    <row r="92" spans="1:11" x14ac:dyDescent="0.25">
      <c r="A92" s="32" t="str">
        <f>+IF(B92="","",SUBTOTAL(3,$B$5:B92))</f>
        <v/>
      </c>
      <c r="B92" s="33"/>
      <c r="C92" s="34"/>
      <c r="D92" s="35"/>
      <c r="E92" s="32"/>
      <c r="F92" s="35"/>
      <c r="G92" s="35"/>
      <c r="H92" s="32"/>
      <c r="I92" s="32"/>
      <c r="J92" s="36"/>
      <c r="K92" s="32"/>
    </row>
    <row r="93" spans="1:11" x14ac:dyDescent="0.25">
      <c r="A93" s="32" t="str">
        <f>+IF(B93="","",SUBTOTAL(3,$B$5:B93))</f>
        <v/>
      </c>
      <c r="B93" s="33"/>
      <c r="C93" s="34"/>
      <c r="D93" s="35"/>
      <c r="E93" s="32"/>
      <c r="F93" s="35"/>
      <c r="G93" s="35"/>
      <c r="H93" s="32"/>
      <c r="I93" s="32"/>
      <c r="J93" s="36"/>
      <c r="K93" s="32"/>
    </row>
    <row r="94" spans="1:11" x14ac:dyDescent="0.25">
      <c r="A94" s="32" t="str">
        <f>+IF(B94="","",SUBTOTAL(3,$B$5:B94))</f>
        <v/>
      </c>
      <c r="B94" s="33"/>
      <c r="C94" s="34"/>
      <c r="D94" s="35"/>
      <c r="E94" s="32"/>
      <c r="F94" s="35"/>
      <c r="G94" s="35"/>
      <c r="H94" s="32"/>
      <c r="I94" s="32"/>
      <c r="J94" s="36"/>
      <c r="K94" s="32"/>
    </row>
    <row r="95" spans="1:11" x14ac:dyDescent="0.25">
      <c r="A95" s="32" t="str">
        <f>+IF(B95="","",SUBTOTAL(3,$B$5:B95))</f>
        <v/>
      </c>
      <c r="B95" s="33"/>
      <c r="C95" s="34"/>
      <c r="D95" s="35"/>
      <c r="E95" s="32"/>
      <c r="F95" s="35"/>
      <c r="G95" s="35"/>
      <c r="H95" s="32"/>
      <c r="I95" s="32"/>
      <c r="J95" s="36"/>
      <c r="K95" s="32"/>
    </row>
    <row r="96" spans="1:11" x14ac:dyDescent="0.25">
      <c r="A96" s="32" t="str">
        <f>+IF(B96="","",SUBTOTAL(3,$B$5:B96))</f>
        <v/>
      </c>
      <c r="B96" s="33"/>
      <c r="C96" s="34"/>
      <c r="D96" s="35"/>
      <c r="E96" s="32"/>
      <c r="F96" s="35"/>
      <c r="G96" s="35"/>
      <c r="H96" s="32"/>
      <c r="I96" s="32"/>
      <c r="J96" s="36"/>
      <c r="K96" s="32"/>
    </row>
    <row r="97" spans="1:11" x14ac:dyDescent="0.25">
      <c r="A97" s="32" t="str">
        <f>+IF(B97="","",SUBTOTAL(3,$B$5:B97))</f>
        <v/>
      </c>
      <c r="B97" s="33"/>
      <c r="C97" s="34"/>
      <c r="D97" s="35"/>
      <c r="E97" s="32"/>
      <c r="F97" s="35"/>
      <c r="G97" s="35"/>
      <c r="H97" s="32"/>
      <c r="I97" s="32"/>
      <c r="J97" s="36"/>
      <c r="K97" s="32"/>
    </row>
    <row r="98" spans="1:11" x14ac:dyDescent="0.25">
      <c r="A98" s="32" t="str">
        <f>+IF(B98="","",SUBTOTAL(3,$B$5:B98))</f>
        <v/>
      </c>
      <c r="B98" s="33"/>
      <c r="C98" s="34"/>
      <c r="D98" s="35"/>
      <c r="E98" s="32"/>
      <c r="F98" s="35"/>
      <c r="G98" s="35"/>
      <c r="H98" s="32"/>
      <c r="I98" s="32"/>
      <c r="J98" s="36"/>
      <c r="K98" s="32"/>
    </row>
    <row r="99" spans="1:11" x14ac:dyDescent="0.25">
      <c r="A99" s="32" t="str">
        <f>+IF(B99="","",SUBTOTAL(3,$B$5:B99))</f>
        <v/>
      </c>
      <c r="B99" s="33"/>
      <c r="C99" s="34"/>
      <c r="D99" s="35"/>
      <c r="E99" s="32"/>
      <c r="F99" s="35"/>
      <c r="G99" s="35"/>
      <c r="H99" s="32"/>
      <c r="I99" s="32"/>
      <c r="J99" s="36"/>
      <c r="K99" s="32"/>
    </row>
    <row r="100" spans="1:11" x14ac:dyDescent="0.25">
      <c r="A100" s="32" t="str">
        <f>+IF(B100="","",SUBTOTAL(3,$B$5:B100))</f>
        <v/>
      </c>
      <c r="B100" s="33"/>
      <c r="C100" s="34"/>
      <c r="D100" s="35"/>
      <c r="E100" s="32"/>
      <c r="F100" s="35"/>
      <c r="G100" s="35"/>
      <c r="H100" s="32"/>
      <c r="I100" s="32"/>
      <c r="J100" s="36"/>
      <c r="K100" s="32"/>
    </row>
    <row r="101" spans="1:11" x14ac:dyDescent="0.25">
      <c r="A101" s="32" t="str">
        <f>+IF(B101="","",SUBTOTAL(3,$B$5:B101))</f>
        <v/>
      </c>
      <c r="B101" s="33"/>
      <c r="C101" s="34"/>
      <c r="D101" s="35"/>
      <c r="E101" s="32"/>
      <c r="F101" s="35"/>
      <c r="G101" s="35"/>
      <c r="H101" s="32"/>
      <c r="I101" s="32"/>
      <c r="J101" s="36"/>
      <c r="K101" s="32"/>
    </row>
    <row r="102" spans="1:11" x14ac:dyDescent="0.25">
      <c r="A102" s="32" t="str">
        <f>+IF(B102="","",SUBTOTAL(3,$B$5:B102))</f>
        <v/>
      </c>
      <c r="B102" s="33"/>
      <c r="C102" s="34"/>
      <c r="D102" s="35"/>
      <c r="E102" s="32"/>
      <c r="F102" s="35"/>
      <c r="G102" s="35"/>
      <c r="H102" s="32"/>
      <c r="I102" s="32"/>
      <c r="J102" s="36"/>
      <c r="K102" s="32"/>
    </row>
    <row r="103" spans="1:11" x14ac:dyDescent="0.25">
      <c r="A103" s="32" t="str">
        <f>+IF(B103="","",SUBTOTAL(3,$B$5:B103))</f>
        <v/>
      </c>
      <c r="B103" s="33"/>
      <c r="C103" s="34"/>
      <c r="D103" s="35"/>
      <c r="E103" s="32"/>
      <c r="F103" s="35"/>
      <c r="G103" s="35"/>
      <c r="H103" s="32"/>
      <c r="I103" s="32"/>
      <c r="J103" s="36"/>
      <c r="K103" s="32"/>
    </row>
    <row r="104" spans="1:11" x14ac:dyDescent="0.25">
      <c r="A104" s="32" t="str">
        <f>+IF(B104="","",SUBTOTAL(3,$B$5:B104))</f>
        <v/>
      </c>
      <c r="B104" s="33"/>
      <c r="C104" s="34"/>
      <c r="D104" s="35"/>
      <c r="E104" s="32"/>
      <c r="F104" s="35"/>
      <c r="G104" s="35"/>
      <c r="H104" s="32"/>
      <c r="I104" s="32"/>
      <c r="J104" s="36"/>
      <c r="K104" s="32"/>
    </row>
    <row r="105" spans="1:11" x14ac:dyDescent="0.25">
      <c r="A105" s="32" t="str">
        <f>+IF(B105="","",SUBTOTAL(3,$B$5:B105))</f>
        <v/>
      </c>
      <c r="B105" s="33"/>
      <c r="C105" s="34"/>
      <c r="D105" s="35"/>
      <c r="E105" s="32"/>
      <c r="F105" s="35"/>
      <c r="G105" s="35"/>
      <c r="H105" s="32"/>
      <c r="I105" s="32"/>
      <c r="J105" s="36"/>
      <c r="K105" s="32"/>
    </row>
    <row r="106" spans="1:11" x14ac:dyDescent="0.25">
      <c r="A106" s="32" t="str">
        <f>+IF(B106="","",SUBTOTAL(3,$B$5:B106))</f>
        <v/>
      </c>
      <c r="B106" s="33"/>
      <c r="C106" s="34"/>
      <c r="D106" s="35"/>
      <c r="E106" s="32"/>
      <c r="F106" s="35"/>
      <c r="G106" s="35"/>
      <c r="H106" s="32"/>
      <c r="I106" s="32"/>
      <c r="J106" s="36"/>
      <c r="K106" s="32"/>
    </row>
    <row r="107" spans="1:11" x14ac:dyDescent="0.25">
      <c r="A107" s="32" t="str">
        <f>+IF(B107="","",SUBTOTAL(3,$B$5:B107))</f>
        <v/>
      </c>
      <c r="B107" s="33"/>
      <c r="C107" s="34"/>
      <c r="D107" s="35"/>
      <c r="E107" s="32"/>
      <c r="F107" s="35"/>
      <c r="G107" s="35"/>
      <c r="H107" s="32"/>
      <c r="I107" s="32"/>
      <c r="J107" s="36"/>
      <c r="K107" s="32"/>
    </row>
    <row r="108" spans="1:11" x14ac:dyDescent="0.25">
      <c r="A108" s="32" t="str">
        <f>+IF(B108="","",SUBTOTAL(3,$B$5:B108))</f>
        <v/>
      </c>
      <c r="B108" s="33"/>
      <c r="C108" s="34"/>
      <c r="D108" s="35"/>
      <c r="E108" s="32"/>
      <c r="F108" s="35"/>
      <c r="G108" s="35"/>
      <c r="H108" s="32"/>
      <c r="I108" s="32"/>
      <c r="J108" s="36"/>
      <c r="K108" s="32"/>
    </row>
    <row r="109" spans="1:11" x14ac:dyDescent="0.25">
      <c r="A109" s="32" t="str">
        <f>+IF(B109="","",SUBTOTAL(3,$B$5:B109))</f>
        <v/>
      </c>
      <c r="B109" s="33"/>
      <c r="C109" s="34"/>
      <c r="D109" s="35"/>
      <c r="E109" s="32"/>
      <c r="F109" s="35"/>
      <c r="G109" s="35"/>
      <c r="H109" s="32"/>
      <c r="I109" s="32"/>
      <c r="J109" s="36"/>
      <c r="K109" s="32"/>
    </row>
    <row r="110" spans="1:11" x14ac:dyDescent="0.25">
      <c r="A110" s="32" t="str">
        <f>+IF(B110="","",SUBTOTAL(3,$B$5:B110))</f>
        <v/>
      </c>
      <c r="B110" s="33"/>
      <c r="C110" s="34"/>
      <c r="D110" s="35"/>
      <c r="E110" s="32"/>
      <c r="F110" s="35"/>
      <c r="G110" s="35"/>
      <c r="H110" s="32"/>
      <c r="I110" s="32"/>
      <c r="J110" s="36"/>
      <c r="K110" s="32"/>
    </row>
    <row r="111" spans="1:11" x14ac:dyDescent="0.25">
      <c r="A111" s="32" t="str">
        <f>+IF(B111="","",SUBTOTAL(3,$B$5:B111))</f>
        <v/>
      </c>
      <c r="B111" s="33"/>
      <c r="C111" s="34"/>
      <c r="D111" s="35"/>
      <c r="E111" s="32"/>
      <c r="F111" s="35"/>
      <c r="G111" s="35"/>
      <c r="H111" s="32"/>
      <c r="I111" s="32"/>
      <c r="J111" s="36"/>
      <c r="K111" s="32"/>
    </row>
    <row r="112" spans="1:11" x14ac:dyDescent="0.25">
      <c r="A112" s="32" t="str">
        <f>+IF(B112="","",SUBTOTAL(3,$B$5:B112))</f>
        <v/>
      </c>
      <c r="B112" s="33"/>
      <c r="C112" s="34"/>
      <c r="D112" s="35"/>
      <c r="E112" s="32"/>
      <c r="F112" s="35"/>
      <c r="G112" s="35"/>
      <c r="H112" s="32"/>
      <c r="I112" s="32"/>
      <c r="J112" s="36"/>
      <c r="K112" s="32"/>
    </row>
    <row r="113" spans="1:11" x14ac:dyDescent="0.25">
      <c r="A113" s="32" t="str">
        <f>+IF(B113="","",SUBTOTAL(3,$B$5:B113))</f>
        <v/>
      </c>
      <c r="B113" s="33"/>
      <c r="C113" s="34"/>
      <c r="D113" s="35"/>
      <c r="E113" s="32"/>
      <c r="F113" s="35"/>
      <c r="G113" s="35"/>
      <c r="H113" s="32"/>
      <c r="I113" s="32"/>
      <c r="J113" s="36"/>
      <c r="K113" s="32"/>
    </row>
    <row r="114" spans="1:11" x14ac:dyDescent="0.25">
      <c r="A114" s="32" t="str">
        <f>+IF(B114="","",SUBTOTAL(3,$B$5:B114))</f>
        <v/>
      </c>
      <c r="B114" s="33"/>
      <c r="C114" s="34"/>
      <c r="D114" s="35"/>
      <c r="E114" s="32"/>
      <c r="F114" s="35"/>
      <c r="G114" s="35"/>
      <c r="H114" s="32"/>
      <c r="I114" s="32"/>
      <c r="J114" s="36"/>
      <c r="K114" s="32"/>
    </row>
    <row r="115" spans="1:11" x14ac:dyDescent="0.25">
      <c r="A115" s="32" t="str">
        <f>+IF(B115="","",SUBTOTAL(3,$B$5:B115))</f>
        <v/>
      </c>
      <c r="B115" s="33"/>
      <c r="C115" s="34"/>
      <c r="D115" s="35"/>
      <c r="E115" s="32"/>
      <c r="F115" s="35"/>
      <c r="G115" s="35"/>
      <c r="H115" s="32"/>
      <c r="I115" s="32"/>
      <c r="J115" s="36"/>
      <c r="K115" s="32"/>
    </row>
    <row r="116" spans="1:11" x14ac:dyDescent="0.25">
      <c r="A116" s="32" t="str">
        <f>+IF(B116="","",SUBTOTAL(3,$B$5:B116))</f>
        <v/>
      </c>
      <c r="B116" s="33"/>
      <c r="C116" s="34"/>
      <c r="D116" s="35"/>
      <c r="E116" s="32"/>
      <c r="F116" s="35"/>
      <c r="G116" s="35"/>
      <c r="H116" s="32"/>
      <c r="I116" s="32"/>
      <c r="J116" s="36"/>
      <c r="K116" s="32"/>
    </row>
    <row r="117" spans="1:11" x14ac:dyDescent="0.25">
      <c r="A117" s="32" t="str">
        <f>+IF(B117="","",SUBTOTAL(3,$B$5:B117))</f>
        <v/>
      </c>
      <c r="B117" s="33"/>
      <c r="C117" s="34"/>
      <c r="D117" s="35"/>
      <c r="E117" s="32"/>
      <c r="F117" s="35"/>
      <c r="G117" s="35"/>
      <c r="H117" s="32"/>
      <c r="I117" s="32"/>
      <c r="J117" s="36"/>
      <c r="K117" s="32"/>
    </row>
    <row r="118" spans="1:11" x14ac:dyDescent="0.25">
      <c r="A118" s="32" t="str">
        <f>+IF(B118="","",SUBTOTAL(3,$B$5:B118))</f>
        <v/>
      </c>
      <c r="B118" s="33"/>
      <c r="C118" s="34"/>
      <c r="D118" s="35"/>
      <c r="E118" s="32"/>
      <c r="F118" s="35"/>
      <c r="G118" s="35"/>
      <c r="H118" s="32"/>
      <c r="I118" s="32"/>
      <c r="J118" s="36"/>
      <c r="K118" s="32"/>
    </row>
    <row r="119" spans="1:11" x14ac:dyDescent="0.25">
      <c r="A119" s="32" t="str">
        <f>+IF(B119="","",SUBTOTAL(3,$B$5:B119))</f>
        <v/>
      </c>
      <c r="B119" s="33"/>
      <c r="C119" s="34"/>
      <c r="D119" s="35"/>
      <c r="E119" s="32"/>
      <c r="F119" s="35"/>
      <c r="G119" s="35"/>
      <c r="H119" s="32"/>
      <c r="I119" s="32"/>
      <c r="J119" s="36"/>
      <c r="K119" s="32"/>
    </row>
    <row r="120" spans="1:11" x14ac:dyDescent="0.25">
      <c r="A120" s="32" t="str">
        <f>+IF(B120="","",SUBTOTAL(3,$B$5:B120))</f>
        <v/>
      </c>
      <c r="B120" s="33"/>
      <c r="C120" s="34"/>
      <c r="D120" s="35"/>
      <c r="E120" s="32"/>
      <c r="F120" s="35"/>
      <c r="G120" s="35"/>
      <c r="H120" s="32"/>
      <c r="I120" s="32"/>
      <c r="J120" s="36"/>
      <c r="K120" s="32"/>
    </row>
    <row r="121" spans="1:11" x14ac:dyDescent="0.25">
      <c r="A121" s="32" t="str">
        <f>+IF(B121="","",SUBTOTAL(3,$B$5:B121))</f>
        <v/>
      </c>
      <c r="B121" s="33"/>
      <c r="C121" s="34"/>
      <c r="D121" s="35"/>
      <c r="E121" s="32"/>
      <c r="F121" s="35"/>
      <c r="G121" s="35"/>
      <c r="H121" s="32"/>
      <c r="I121" s="32"/>
      <c r="J121" s="36"/>
      <c r="K121" s="32"/>
    </row>
    <row r="122" spans="1:11" x14ac:dyDescent="0.25">
      <c r="A122" s="32" t="str">
        <f>+IF(B122="","",SUBTOTAL(3,$B$5:B122))</f>
        <v/>
      </c>
      <c r="B122" s="33"/>
      <c r="C122" s="34"/>
      <c r="D122" s="35"/>
      <c r="E122" s="32"/>
      <c r="F122" s="35"/>
      <c r="G122" s="35"/>
      <c r="H122" s="32"/>
      <c r="I122" s="32"/>
      <c r="J122" s="36"/>
      <c r="K122" s="32"/>
    </row>
    <row r="123" spans="1:11" x14ac:dyDescent="0.25">
      <c r="A123" s="32" t="str">
        <f>+IF(B123="","",SUBTOTAL(3,$B$5:B123))</f>
        <v/>
      </c>
      <c r="B123" s="33"/>
      <c r="C123" s="34"/>
      <c r="D123" s="35"/>
      <c r="E123" s="32"/>
      <c r="F123" s="35"/>
      <c r="G123" s="35"/>
      <c r="H123" s="32"/>
      <c r="I123" s="32"/>
      <c r="J123" s="36"/>
      <c r="K123" s="32"/>
    </row>
    <row r="124" spans="1:11" x14ac:dyDescent="0.25">
      <c r="A124" s="32" t="str">
        <f>+IF(B124="","",SUBTOTAL(3,$B$5:B124))</f>
        <v/>
      </c>
      <c r="B124" s="33"/>
      <c r="C124" s="34"/>
      <c r="D124" s="35"/>
      <c r="E124" s="32"/>
      <c r="F124" s="35"/>
      <c r="G124" s="35"/>
      <c r="H124" s="32"/>
      <c r="I124" s="32"/>
      <c r="J124" s="36"/>
      <c r="K124" s="32"/>
    </row>
    <row r="125" spans="1:11" x14ac:dyDescent="0.25">
      <c r="A125" s="32" t="str">
        <f>+IF(B125="","",SUBTOTAL(3,$B$5:B125))</f>
        <v/>
      </c>
      <c r="B125" s="33"/>
      <c r="C125" s="34"/>
      <c r="D125" s="35"/>
      <c r="E125" s="32"/>
      <c r="F125" s="35"/>
      <c r="G125" s="35"/>
      <c r="H125" s="32"/>
      <c r="I125" s="32"/>
      <c r="J125" s="36"/>
      <c r="K125" s="32"/>
    </row>
    <row r="126" spans="1:11" x14ac:dyDescent="0.25">
      <c r="A126" s="32" t="str">
        <f>+IF(B126="","",SUBTOTAL(3,$B$5:B126))</f>
        <v/>
      </c>
      <c r="B126" s="33"/>
      <c r="C126" s="34"/>
      <c r="D126" s="35"/>
      <c r="E126" s="32"/>
      <c r="F126" s="35"/>
      <c r="G126" s="35"/>
      <c r="H126" s="32"/>
      <c r="I126" s="32"/>
      <c r="J126" s="36"/>
      <c r="K126" s="32"/>
    </row>
    <row r="127" spans="1:11" x14ac:dyDescent="0.25">
      <c r="A127" s="32" t="str">
        <f>+IF(B127="","",SUBTOTAL(3,$B$5:B127))</f>
        <v/>
      </c>
      <c r="B127" s="33"/>
      <c r="C127" s="34"/>
      <c r="D127" s="35"/>
      <c r="E127" s="32"/>
      <c r="F127" s="35"/>
      <c r="G127" s="35"/>
      <c r="H127" s="32"/>
      <c r="I127" s="32"/>
      <c r="J127" s="36"/>
      <c r="K127" s="32"/>
    </row>
    <row r="128" spans="1:11" x14ac:dyDescent="0.25">
      <c r="A128" s="32" t="str">
        <f>+IF(B128="","",SUBTOTAL(3,$B$5:B128))</f>
        <v/>
      </c>
      <c r="B128" s="33"/>
      <c r="C128" s="34"/>
      <c r="D128" s="35"/>
      <c r="E128" s="32"/>
      <c r="F128" s="35"/>
      <c r="G128" s="35"/>
      <c r="H128" s="32"/>
      <c r="I128" s="32"/>
      <c r="J128" s="36"/>
      <c r="K128" s="32"/>
    </row>
    <row r="129" spans="1:11" x14ac:dyDescent="0.25">
      <c r="A129" s="32" t="str">
        <f>+IF(B129="","",SUBTOTAL(3,$B$5:B129))</f>
        <v/>
      </c>
      <c r="B129" s="33"/>
      <c r="C129" s="34"/>
      <c r="D129" s="35"/>
      <c r="E129" s="32"/>
      <c r="F129" s="35"/>
      <c r="G129" s="35"/>
      <c r="H129" s="32"/>
      <c r="I129" s="32"/>
      <c r="J129" s="36"/>
      <c r="K129" s="32"/>
    </row>
    <row r="130" spans="1:11" x14ac:dyDescent="0.25">
      <c r="A130" s="32" t="str">
        <f>+IF(B130="","",SUBTOTAL(3,$B$5:B130))</f>
        <v/>
      </c>
      <c r="B130" s="33"/>
      <c r="C130" s="34"/>
      <c r="D130" s="35"/>
      <c r="E130" s="32"/>
      <c r="F130" s="35"/>
      <c r="G130" s="35"/>
      <c r="H130" s="32"/>
      <c r="I130" s="32"/>
      <c r="J130" s="36"/>
      <c r="K130" s="32"/>
    </row>
    <row r="131" spans="1:11" x14ac:dyDescent="0.25">
      <c r="A131" s="32" t="str">
        <f>+IF(B131="","",SUBTOTAL(3,$B$5:B131))</f>
        <v/>
      </c>
      <c r="B131" s="33"/>
      <c r="C131" s="34"/>
      <c r="D131" s="35"/>
      <c r="E131" s="32"/>
      <c r="F131" s="35"/>
      <c r="G131" s="35"/>
      <c r="H131" s="32"/>
      <c r="I131" s="32"/>
      <c r="J131" s="36"/>
      <c r="K131" s="32"/>
    </row>
    <row r="132" spans="1:11" x14ac:dyDescent="0.25">
      <c r="A132" s="32" t="str">
        <f>+IF(B132="","",SUBTOTAL(3,$B$5:B132))</f>
        <v/>
      </c>
      <c r="B132" s="33"/>
      <c r="C132" s="34"/>
      <c r="D132" s="35"/>
      <c r="E132" s="32"/>
      <c r="F132" s="35"/>
      <c r="G132" s="35"/>
      <c r="H132" s="32"/>
      <c r="I132" s="32"/>
      <c r="J132" s="36"/>
      <c r="K132" s="32"/>
    </row>
    <row r="133" spans="1:11" x14ac:dyDescent="0.25">
      <c r="A133" s="32" t="str">
        <f>+IF(B133="","",SUBTOTAL(3,$B$5:B133))</f>
        <v/>
      </c>
      <c r="B133" s="33"/>
      <c r="C133" s="34"/>
      <c r="D133" s="35"/>
      <c r="E133" s="32"/>
      <c r="F133" s="35"/>
      <c r="G133" s="35"/>
      <c r="H133" s="32"/>
      <c r="I133" s="32"/>
      <c r="J133" s="36"/>
      <c r="K133" s="32"/>
    </row>
    <row r="134" spans="1:11" x14ac:dyDescent="0.25">
      <c r="A134" s="32" t="str">
        <f>+IF(B134="","",SUBTOTAL(3,$B$5:B134))</f>
        <v/>
      </c>
      <c r="B134" s="33"/>
      <c r="C134" s="34"/>
      <c r="D134" s="35"/>
      <c r="E134" s="32"/>
      <c r="F134" s="35"/>
      <c r="G134" s="35"/>
      <c r="H134" s="32"/>
      <c r="I134" s="32"/>
      <c r="J134" s="36"/>
      <c r="K134" s="32"/>
    </row>
    <row r="135" spans="1:11" x14ac:dyDescent="0.25">
      <c r="A135" s="32" t="str">
        <f>+IF(B135="","",SUBTOTAL(3,$B$5:B135))</f>
        <v/>
      </c>
      <c r="B135" s="33"/>
      <c r="C135" s="34"/>
      <c r="D135" s="35"/>
      <c r="E135" s="32"/>
      <c r="F135" s="35"/>
      <c r="G135" s="35"/>
      <c r="H135" s="32"/>
      <c r="I135" s="32"/>
      <c r="J135" s="36"/>
      <c r="K135" s="32"/>
    </row>
    <row r="136" spans="1:11" x14ac:dyDescent="0.25">
      <c r="A136" s="32" t="str">
        <f>+IF(B136="","",SUBTOTAL(3,$B$5:B136))</f>
        <v/>
      </c>
      <c r="B136" s="33"/>
      <c r="C136" s="34"/>
      <c r="D136" s="35"/>
      <c r="E136" s="32"/>
      <c r="F136" s="35"/>
      <c r="G136" s="35"/>
      <c r="H136" s="32"/>
      <c r="I136" s="32"/>
      <c r="J136" s="36"/>
      <c r="K136" s="32"/>
    </row>
    <row r="137" spans="1:11" x14ac:dyDescent="0.25">
      <c r="A137" s="32" t="str">
        <f>+IF(B137="","",SUBTOTAL(3,$B$5:B137))</f>
        <v/>
      </c>
      <c r="B137" s="33"/>
      <c r="C137" s="34"/>
      <c r="D137" s="35"/>
      <c r="E137" s="32"/>
      <c r="F137" s="35"/>
      <c r="G137" s="35"/>
      <c r="H137" s="32"/>
      <c r="I137" s="32"/>
      <c r="J137" s="36"/>
      <c r="K137" s="32"/>
    </row>
    <row r="138" spans="1:11" x14ac:dyDescent="0.25">
      <c r="A138" s="32" t="str">
        <f>+IF(B138="","",SUBTOTAL(3,$B$5:B138))</f>
        <v/>
      </c>
      <c r="B138" s="33"/>
      <c r="C138" s="34"/>
      <c r="D138" s="35"/>
      <c r="E138" s="32"/>
      <c r="F138" s="35"/>
      <c r="G138" s="35"/>
      <c r="H138" s="32"/>
      <c r="I138" s="32"/>
      <c r="J138" s="36"/>
      <c r="K138" s="32"/>
    </row>
    <row r="139" spans="1:11" x14ac:dyDescent="0.25">
      <c r="A139" s="32" t="str">
        <f>+IF(B139="","",SUBTOTAL(3,$B$5:B139))</f>
        <v/>
      </c>
      <c r="B139" s="33"/>
      <c r="C139" s="34"/>
      <c r="D139" s="35"/>
      <c r="E139" s="32"/>
      <c r="F139" s="35"/>
      <c r="G139" s="35"/>
      <c r="H139" s="32"/>
      <c r="I139" s="32"/>
      <c r="J139" s="36"/>
      <c r="K139" s="32"/>
    </row>
    <row r="140" spans="1:11" x14ac:dyDescent="0.25">
      <c r="A140" s="32" t="str">
        <f>+IF(B140="","",SUBTOTAL(3,$B$5:B140))</f>
        <v/>
      </c>
      <c r="B140" s="33"/>
      <c r="C140" s="34"/>
      <c r="D140" s="35"/>
      <c r="E140" s="32"/>
      <c r="F140" s="35"/>
      <c r="G140" s="35"/>
      <c r="H140" s="32"/>
      <c r="I140" s="32"/>
      <c r="J140" s="36"/>
      <c r="K140" s="32"/>
    </row>
    <row r="141" spans="1:11" x14ac:dyDescent="0.25">
      <c r="A141" s="32" t="str">
        <f>+IF(B141="","",SUBTOTAL(3,$B$5:B141))</f>
        <v/>
      </c>
      <c r="B141" s="33"/>
      <c r="C141" s="34"/>
      <c r="D141" s="35"/>
      <c r="E141" s="32"/>
      <c r="F141" s="35"/>
      <c r="G141" s="35"/>
      <c r="H141" s="32"/>
      <c r="I141" s="32"/>
      <c r="J141" s="36"/>
      <c r="K141" s="32"/>
    </row>
    <row r="142" spans="1:11" x14ac:dyDescent="0.25">
      <c r="A142" s="32" t="str">
        <f>+IF(B142="","",SUBTOTAL(3,$B$5:B142))</f>
        <v/>
      </c>
      <c r="B142" s="33"/>
      <c r="C142" s="34"/>
      <c r="D142" s="35"/>
      <c r="E142" s="32"/>
      <c r="F142" s="35"/>
      <c r="G142" s="35"/>
      <c r="H142" s="32"/>
      <c r="I142" s="32"/>
      <c r="J142" s="36"/>
      <c r="K142" s="32"/>
    </row>
    <row r="143" spans="1:11" x14ac:dyDescent="0.25">
      <c r="A143" s="32" t="str">
        <f>+IF(B143="","",SUBTOTAL(3,$B$5:B143))</f>
        <v/>
      </c>
      <c r="B143" s="33"/>
      <c r="C143" s="34"/>
      <c r="D143" s="35"/>
      <c r="E143" s="32"/>
      <c r="F143" s="35"/>
      <c r="G143" s="35"/>
      <c r="H143" s="32"/>
      <c r="I143" s="32"/>
      <c r="J143" s="36"/>
      <c r="K143" s="32"/>
    </row>
    <row r="144" spans="1:11" x14ac:dyDescent="0.25">
      <c r="A144" s="32" t="str">
        <f>+IF(B144="","",SUBTOTAL(3,$B$5:B144))</f>
        <v/>
      </c>
      <c r="B144" s="33"/>
      <c r="C144" s="34"/>
      <c r="D144" s="35"/>
      <c r="E144" s="32"/>
      <c r="F144" s="35"/>
      <c r="G144" s="35"/>
      <c r="H144" s="32"/>
      <c r="I144" s="32"/>
      <c r="J144" s="36"/>
      <c r="K144" s="32"/>
    </row>
    <row r="145" spans="1:11" x14ac:dyDescent="0.25">
      <c r="A145" s="32" t="str">
        <f>+IF(B145="","",SUBTOTAL(3,$B$5:B145))</f>
        <v/>
      </c>
      <c r="B145" s="33"/>
      <c r="C145" s="34"/>
      <c r="D145" s="35"/>
      <c r="E145" s="32"/>
      <c r="F145" s="35"/>
      <c r="G145" s="35"/>
      <c r="H145" s="32"/>
      <c r="I145" s="32"/>
      <c r="J145" s="36"/>
      <c r="K145" s="32"/>
    </row>
    <row r="146" spans="1:11" x14ac:dyDescent="0.25">
      <c r="A146" s="32" t="str">
        <f>+IF(B146="","",SUBTOTAL(3,$B$5:B146))</f>
        <v/>
      </c>
      <c r="B146" s="33"/>
      <c r="C146" s="34"/>
      <c r="D146" s="35"/>
      <c r="E146" s="32"/>
      <c r="F146" s="35"/>
      <c r="G146" s="35"/>
      <c r="H146" s="32"/>
      <c r="I146" s="32"/>
      <c r="J146" s="36"/>
      <c r="K146" s="32"/>
    </row>
    <row r="147" spans="1:11" x14ac:dyDescent="0.25">
      <c r="A147" s="32" t="str">
        <f>+IF(B147="","",SUBTOTAL(3,$B$5:B147))</f>
        <v/>
      </c>
      <c r="B147" s="33"/>
      <c r="C147" s="34"/>
      <c r="D147" s="35"/>
      <c r="E147" s="32"/>
      <c r="F147" s="35"/>
      <c r="G147" s="35"/>
      <c r="H147" s="32"/>
      <c r="I147" s="32"/>
      <c r="J147" s="36"/>
      <c r="K147" s="32"/>
    </row>
    <row r="148" spans="1:11" x14ac:dyDescent="0.25">
      <c r="A148" s="32" t="str">
        <f>+IF(B148="","",SUBTOTAL(3,$B$5:B148))</f>
        <v/>
      </c>
      <c r="B148" s="33"/>
      <c r="C148" s="34"/>
      <c r="D148" s="35"/>
      <c r="E148" s="32"/>
      <c r="F148" s="35"/>
      <c r="G148" s="35"/>
      <c r="H148" s="32"/>
      <c r="I148" s="32"/>
      <c r="J148" s="36"/>
      <c r="K148" s="32"/>
    </row>
    <row r="149" spans="1:11" x14ac:dyDescent="0.25">
      <c r="A149" s="32" t="str">
        <f>+IF(B149="","",SUBTOTAL(3,$B$5:B149))</f>
        <v/>
      </c>
      <c r="B149" s="33"/>
      <c r="C149" s="34"/>
      <c r="D149" s="35"/>
      <c r="E149" s="32"/>
      <c r="F149" s="35"/>
      <c r="G149" s="35"/>
      <c r="H149" s="32"/>
      <c r="I149" s="32"/>
      <c r="J149" s="36"/>
      <c r="K149" s="32"/>
    </row>
    <row r="150" spans="1:11" x14ac:dyDescent="0.25">
      <c r="A150" s="32" t="str">
        <f>+IF(B150="","",SUBTOTAL(3,$B$5:B150))</f>
        <v/>
      </c>
      <c r="B150" s="33"/>
      <c r="C150" s="34"/>
      <c r="D150" s="35"/>
      <c r="E150" s="32"/>
      <c r="F150" s="35"/>
      <c r="G150" s="35"/>
      <c r="H150" s="32"/>
      <c r="I150" s="32"/>
      <c r="J150" s="36"/>
      <c r="K150" s="32"/>
    </row>
    <row r="151" spans="1:11" x14ac:dyDescent="0.25">
      <c r="A151" s="32" t="str">
        <f>+IF(B151="","",SUBTOTAL(3,$B$5:B151))</f>
        <v/>
      </c>
      <c r="B151" s="33"/>
      <c r="C151" s="34"/>
      <c r="D151" s="35"/>
      <c r="E151" s="32"/>
      <c r="F151" s="35"/>
      <c r="G151" s="35"/>
      <c r="H151" s="32"/>
      <c r="I151" s="32"/>
      <c r="J151" s="36"/>
      <c r="K151" s="32"/>
    </row>
    <row r="152" spans="1:11" x14ac:dyDescent="0.25">
      <c r="A152" s="32" t="str">
        <f>+IF(B152="","",SUBTOTAL(3,$B$5:B152))</f>
        <v/>
      </c>
      <c r="B152" s="33"/>
      <c r="C152" s="34"/>
      <c r="D152" s="35"/>
      <c r="E152" s="32"/>
      <c r="F152" s="35"/>
      <c r="G152" s="35"/>
      <c r="H152" s="32"/>
      <c r="I152" s="32"/>
      <c r="J152" s="36"/>
      <c r="K152" s="32"/>
    </row>
    <row r="153" spans="1:11" x14ac:dyDescent="0.25">
      <c r="A153" s="32" t="str">
        <f>+IF(B153="","",SUBTOTAL(3,$B$5:B153))</f>
        <v/>
      </c>
      <c r="B153" s="33"/>
      <c r="C153" s="34"/>
      <c r="D153" s="35"/>
      <c r="E153" s="32"/>
      <c r="F153" s="35"/>
      <c r="G153" s="35"/>
      <c r="H153" s="32"/>
      <c r="I153" s="32"/>
      <c r="J153" s="36"/>
      <c r="K153" s="32"/>
    </row>
    <row r="154" spans="1:11" x14ac:dyDescent="0.25">
      <c r="A154" s="32" t="str">
        <f>+IF(B154="","",SUBTOTAL(3,$B$5:B154))</f>
        <v/>
      </c>
      <c r="B154" s="33"/>
      <c r="C154" s="34"/>
      <c r="D154" s="35"/>
      <c r="E154" s="32"/>
      <c r="F154" s="35"/>
      <c r="G154" s="35"/>
      <c r="H154" s="32"/>
      <c r="I154" s="32"/>
      <c r="J154" s="36"/>
      <c r="K154" s="32"/>
    </row>
    <row r="155" spans="1:11" x14ac:dyDescent="0.25">
      <c r="A155" s="32" t="str">
        <f>+IF(B155="","",SUBTOTAL(3,$B$5:B155))</f>
        <v/>
      </c>
      <c r="B155" s="33"/>
      <c r="C155" s="34"/>
      <c r="D155" s="35"/>
      <c r="E155" s="32"/>
      <c r="F155" s="35"/>
      <c r="G155" s="35"/>
      <c r="H155" s="32"/>
      <c r="I155" s="32"/>
      <c r="J155" s="36"/>
      <c r="K155" s="32"/>
    </row>
    <row r="156" spans="1:11" x14ac:dyDescent="0.25">
      <c r="A156" s="32" t="str">
        <f>+IF(B156="","",SUBTOTAL(3,$B$5:B156))</f>
        <v/>
      </c>
      <c r="B156" s="33"/>
      <c r="C156" s="34"/>
      <c r="D156" s="35"/>
      <c r="E156" s="32"/>
      <c r="F156" s="35"/>
      <c r="G156" s="35"/>
      <c r="H156" s="32"/>
      <c r="I156" s="32"/>
      <c r="J156" s="36"/>
      <c r="K156" s="32"/>
    </row>
    <row r="157" spans="1:11" x14ac:dyDescent="0.25">
      <c r="A157" s="32" t="str">
        <f>+IF(B157="","",SUBTOTAL(3,$B$5:B157))</f>
        <v/>
      </c>
      <c r="B157" s="33"/>
      <c r="C157" s="34"/>
      <c r="D157" s="35"/>
      <c r="E157" s="32"/>
      <c r="F157" s="35"/>
      <c r="G157" s="35"/>
      <c r="H157" s="32"/>
      <c r="I157" s="32"/>
      <c r="J157" s="36"/>
      <c r="K157" s="32"/>
    </row>
    <row r="158" spans="1:11" x14ac:dyDescent="0.25">
      <c r="A158" s="32" t="str">
        <f>+IF(B158="","",SUBTOTAL(3,$B$5:B158))</f>
        <v/>
      </c>
      <c r="B158" s="33"/>
      <c r="C158" s="34"/>
      <c r="D158" s="35"/>
      <c r="E158" s="32"/>
      <c r="F158" s="35"/>
      <c r="G158" s="35"/>
      <c r="H158" s="32"/>
      <c r="I158" s="32"/>
      <c r="J158" s="36"/>
      <c r="K158" s="32"/>
    </row>
    <row r="159" spans="1:11" x14ac:dyDescent="0.25">
      <c r="A159" s="32" t="str">
        <f>+IF(B159="","",SUBTOTAL(3,$B$5:B159))</f>
        <v/>
      </c>
      <c r="B159" s="33"/>
      <c r="C159" s="34"/>
      <c r="D159" s="35"/>
      <c r="E159" s="32"/>
      <c r="F159" s="35"/>
      <c r="G159" s="35"/>
      <c r="H159" s="32"/>
      <c r="I159" s="32"/>
      <c r="J159" s="36"/>
      <c r="K159" s="32"/>
    </row>
    <row r="160" spans="1:11" x14ac:dyDescent="0.25">
      <c r="A160" s="32" t="str">
        <f>+IF(B160="","",SUBTOTAL(3,$B$5:B160))</f>
        <v/>
      </c>
      <c r="B160" s="33"/>
      <c r="C160" s="34"/>
      <c r="D160" s="35"/>
      <c r="E160" s="32"/>
      <c r="F160" s="35"/>
      <c r="G160" s="35"/>
      <c r="H160" s="32"/>
      <c r="I160" s="32"/>
      <c r="J160" s="36"/>
      <c r="K160" s="32"/>
    </row>
    <row r="161" spans="1:11" x14ac:dyDescent="0.25">
      <c r="A161" s="32" t="str">
        <f>+IF(B161="","",SUBTOTAL(3,$B$5:B161))</f>
        <v/>
      </c>
      <c r="B161" s="33"/>
      <c r="C161" s="34"/>
      <c r="D161" s="35"/>
      <c r="E161" s="32"/>
      <c r="F161" s="35"/>
      <c r="G161" s="35"/>
      <c r="H161" s="32"/>
      <c r="I161" s="32"/>
      <c r="J161" s="36"/>
      <c r="K161" s="32"/>
    </row>
    <row r="162" spans="1:11" x14ac:dyDescent="0.25">
      <c r="A162" s="32" t="str">
        <f>+IF(B162="","",SUBTOTAL(3,$B$5:B162))</f>
        <v/>
      </c>
      <c r="B162" s="33"/>
      <c r="C162" s="34"/>
      <c r="D162" s="35"/>
      <c r="E162" s="32"/>
      <c r="F162" s="35"/>
      <c r="G162" s="35"/>
      <c r="H162" s="32"/>
      <c r="I162" s="32"/>
      <c r="J162" s="36"/>
      <c r="K162" s="32"/>
    </row>
    <row r="163" spans="1:11" x14ac:dyDescent="0.25">
      <c r="J163" s="27"/>
    </row>
    <row r="164" spans="1:11" x14ac:dyDescent="0.25">
      <c r="J164" s="27"/>
    </row>
  </sheetData>
  <autoFilter ref="A4:K162"/>
  <mergeCells count="10">
    <mergeCell ref="A1:K1"/>
    <mergeCell ref="A2:A3"/>
    <mergeCell ref="B2:B3"/>
    <mergeCell ref="C2:C3"/>
    <mergeCell ref="D2:E2"/>
    <mergeCell ref="H2:H3"/>
    <mergeCell ref="I2:J3"/>
    <mergeCell ref="K2:K3"/>
    <mergeCell ref="F2:F3"/>
    <mergeCell ref="G2:G3"/>
  </mergeCells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7"/>
  <sheetViews>
    <sheetView workbookViewId="0">
      <pane xSplit="1" ySplit="3" topLeftCell="B4" activePane="bottomRight" state="frozen"/>
      <selection activeCell="A5" sqref="A5"/>
      <selection pane="topRight" activeCell="A5" sqref="A5"/>
      <selection pane="bottomLeft" activeCell="A5" sqref="A5"/>
      <selection pane="bottomRight" activeCell="B5" sqref="B5"/>
    </sheetView>
  </sheetViews>
  <sheetFormatPr defaultRowHeight="15" x14ac:dyDescent="0.25"/>
  <cols>
    <col min="2" max="2" width="32.42578125" style="37" customWidth="1"/>
    <col min="3" max="3" width="20.28515625" style="38" customWidth="1"/>
    <col min="4" max="4" width="11.85546875" style="39" customWidth="1"/>
    <col min="6" max="6" width="12.5703125" customWidth="1"/>
  </cols>
  <sheetData>
    <row r="1" spans="1:6" ht="52.5" customHeight="1" x14ac:dyDescent="0.25">
      <c r="A1" s="71" t="s">
        <v>298</v>
      </c>
      <c r="B1" s="71"/>
      <c r="C1" s="71"/>
      <c r="D1" s="71"/>
      <c r="E1" s="71"/>
      <c r="F1" s="71"/>
    </row>
    <row r="2" spans="1:6" s="1" customFormat="1" ht="33.75" customHeight="1" x14ac:dyDescent="0.25">
      <c r="A2" s="72" t="s">
        <v>69</v>
      </c>
      <c r="B2" s="72" t="s">
        <v>171</v>
      </c>
      <c r="C2" s="72" t="s">
        <v>172</v>
      </c>
      <c r="D2" s="72" t="s">
        <v>335</v>
      </c>
      <c r="E2" s="72"/>
      <c r="F2" s="72" t="s">
        <v>267</v>
      </c>
    </row>
    <row r="3" spans="1:6" ht="15.75" x14ac:dyDescent="0.25">
      <c r="A3" s="72"/>
      <c r="B3" s="72"/>
      <c r="C3" s="72"/>
      <c r="D3" s="28" t="s">
        <v>177</v>
      </c>
      <c r="E3" s="28" t="s">
        <v>178</v>
      </c>
      <c r="F3" s="72"/>
    </row>
    <row r="4" spans="1:6" ht="30" x14ac:dyDescent="0.25">
      <c r="A4" s="32">
        <v>1</v>
      </c>
      <c r="B4" s="33" t="s">
        <v>249</v>
      </c>
      <c r="C4" s="34" t="s">
        <v>334</v>
      </c>
      <c r="D4" s="35">
        <v>46062</v>
      </c>
      <c r="E4" s="32">
        <v>17</v>
      </c>
      <c r="F4" s="32">
        <v>50</v>
      </c>
    </row>
    <row r="5" spans="1:6" x14ac:dyDescent="0.25">
      <c r="A5" s="32">
        <f>+A4+1</f>
        <v>2</v>
      </c>
      <c r="B5" s="33"/>
      <c r="C5" s="34"/>
      <c r="D5" s="35"/>
      <c r="E5" s="32"/>
      <c r="F5" s="32"/>
    </row>
    <row r="6" spans="1:6" x14ac:dyDescent="0.25">
      <c r="A6" s="32">
        <f t="shared" ref="A6:A7" si="0">+A5+1</f>
        <v>3</v>
      </c>
      <c r="B6" s="33"/>
      <c r="C6" s="34"/>
      <c r="D6" s="35"/>
      <c r="E6" s="32"/>
      <c r="F6" s="32"/>
    </row>
    <row r="7" spans="1:6" x14ac:dyDescent="0.25">
      <c r="A7" s="32">
        <f t="shared" si="0"/>
        <v>4</v>
      </c>
      <c r="B7" s="34"/>
      <c r="C7" s="34"/>
      <c r="D7" s="35"/>
      <c r="E7" s="32"/>
      <c r="F7" s="32"/>
    </row>
  </sheetData>
  <mergeCells count="6">
    <mergeCell ref="A1:F1"/>
    <mergeCell ref="A2:A3"/>
    <mergeCell ref="B2:B3"/>
    <mergeCell ref="C2:C3"/>
    <mergeCell ref="D2:E2"/>
    <mergeCell ref="F2:F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6"/>
  <sheetViews>
    <sheetView workbookViewId="0">
      <pane xSplit="1" ySplit="2" topLeftCell="B19" activePane="bottomRight" state="frozen"/>
      <selection activeCell="A5" sqref="A5"/>
      <selection pane="topRight" activeCell="A5" sqref="A5"/>
      <selection pane="bottomLeft" activeCell="A5" sqref="A5"/>
      <selection pane="bottomRight" activeCell="C28" sqref="C28"/>
    </sheetView>
  </sheetViews>
  <sheetFormatPr defaultRowHeight="15" x14ac:dyDescent="0.25"/>
  <cols>
    <col min="1" max="1" width="7.42578125" customWidth="1"/>
    <col min="2" max="2" width="36.85546875" style="37" customWidth="1"/>
    <col min="3" max="3" width="29.28515625" style="38" customWidth="1"/>
    <col min="4" max="4" width="19.85546875" style="38" customWidth="1"/>
    <col min="5" max="5" width="23.42578125" customWidth="1"/>
  </cols>
  <sheetData>
    <row r="1" spans="1:6" ht="57" customHeight="1" x14ac:dyDescent="0.25">
      <c r="A1" s="71" t="s">
        <v>296</v>
      </c>
      <c r="B1" s="71"/>
      <c r="C1" s="71"/>
      <c r="D1" s="71"/>
      <c r="E1" s="71"/>
      <c r="F1" s="40"/>
    </row>
    <row r="2" spans="1:6" s="1" customFormat="1" ht="49.5" customHeight="1" x14ac:dyDescent="0.25">
      <c r="A2" s="29" t="s">
        <v>69</v>
      </c>
      <c r="B2" s="29" t="s">
        <v>171</v>
      </c>
      <c r="C2" s="29" t="s">
        <v>172</v>
      </c>
      <c r="D2" s="29" t="s">
        <v>268</v>
      </c>
      <c r="E2" s="29" t="s">
        <v>295</v>
      </c>
    </row>
    <row r="3" spans="1:6" ht="15.75" x14ac:dyDescent="0.25">
      <c r="A3" s="29"/>
      <c r="B3" s="29"/>
      <c r="C3" s="29"/>
      <c r="D3" s="29"/>
      <c r="E3" s="29"/>
    </row>
    <row r="4" spans="1:6" x14ac:dyDescent="0.25">
      <c r="A4" s="32">
        <f>+IF(B4="","",SUBTOTAL(3,$B$4:B4))</f>
        <v>1</v>
      </c>
      <c r="B4" s="33" t="s">
        <v>261</v>
      </c>
      <c r="C4" s="34" t="s">
        <v>304</v>
      </c>
      <c r="D4" s="36" t="s">
        <v>399</v>
      </c>
      <c r="E4" s="36" t="s">
        <v>400</v>
      </c>
      <c r="F4">
        <f>+IF(COUNTIFS($B$3:B4,B4)&gt;1,"такрор",1)</f>
        <v>1</v>
      </c>
    </row>
    <row r="5" spans="1:6" ht="30" x14ac:dyDescent="0.25">
      <c r="A5" s="32">
        <f>+IF(B5="","",SUBTOTAL(3,$B$4:B5))</f>
        <v>2</v>
      </c>
      <c r="B5" s="33" t="s">
        <v>397</v>
      </c>
      <c r="C5" s="34" t="s">
        <v>305</v>
      </c>
      <c r="D5" s="36" t="s">
        <v>399</v>
      </c>
      <c r="E5" s="36" t="s">
        <v>401</v>
      </c>
      <c r="F5">
        <f>+IF(COUNTIFS($B$3:B5,B5)&gt;1,"такрор",1)</f>
        <v>1</v>
      </c>
    </row>
    <row r="6" spans="1:6" ht="60" x14ac:dyDescent="0.25">
      <c r="A6" s="32">
        <f>+IF(B6="","",SUBTOTAL(3,$B$4:B6))</f>
        <v>3</v>
      </c>
      <c r="B6" s="33" t="s">
        <v>288</v>
      </c>
      <c r="C6" s="34" t="s">
        <v>402</v>
      </c>
      <c r="D6" s="36" t="s">
        <v>399</v>
      </c>
      <c r="E6" s="36" t="s">
        <v>405</v>
      </c>
      <c r="F6">
        <f>+IF(COUNTIFS($B$3:B6,B6)&gt;1,"такрор",1)</f>
        <v>1</v>
      </c>
    </row>
    <row r="7" spans="1:6" x14ac:dyDescent="0.25">
      <c r="A7" s="32">
        <f>+IF(B7="","",SUBTOTAL(3,$B$4:B7))</f>
        <v>4</v>
      </c>
      <c r="B7" s="34" t="s">
        <v>209</v>
      </c>
      <c r="C7" s="34" t="s">
        <v>403</v>
      </c>
      <c r="D7" s="36" t="s">
        <v>399</v>
      </c>
      <c r="E7" s="36" t="s">
        <v>404</v>
      </c>
      <c r="F7">
        <f>+IF(COUNTIFS($B$3:B7,B7)&gt;1,"такрор",1)</f>
        <v>1</v>
      </c>
    </row>
    <row r="8" spans="1:6" ht="30" x14ac:dyDescent="0.25">
      <c r="A8" s="32">
        <f>+IF(B8="","",SUBTOTAL(3,$B$4:B8))</f>
        <v>5</v>
      </c>
      <c r="B8" s="34" t="s">
        <v>319</v>
      </c>
      <c r="C8" s="34" t="s">
        <v>305</v>
      </c>
      <c r="D8" s="36" t="s">
        <v>399</v>
      </c>
      <c r="E8" s="36" t="s">
        <v>401</v>
      </c>
      <c r="F8">
        <f>+IF(COUNTIFS($B$3:B8,B8)&gt;1,"такрор",1)</f>
        <v>1</v>
      </c>
    </row>
    <row r="9" spans="1:6" ht="30" x14ac:dyDescent="0.25">
      <c r="A9" s="32">
        <f>+IF(B9="","",SUBTOTAL(3,$B$4:B9))</f>
        <v>6</v>
      </c>
      <c r="B9" s="33" t="s">
        <v>179</v>
      </c>
      <c r="C9" s="34" t="s">
        <v>305</v>
      </c>
      <c r="D9" s="36" t="s">
        <v>399</v>
      </c>
      <c r="E9" s="36" t="s">
        <v>406</v>
      </c>
      <c r="F9">
        <f>+IF(COUNTIFS($B$3:B9,B9)&gt;1,"такрор",1)</f>
        <v>1</v>
      </c>
    </row>
    <row r="10" spans="1:6" ht="30" x14ac:dyDescent="0.25">
      <c r="A10" s="32">
        <f>+IF(B10="","",SUBTOTAL(3,$B$4:B10))</f>
        <v>7</v>
      </c>
      <c r="B10" s="33" t="s">
        <v>208</v>
      </c>
      <c r="C10" s="34" t="s">
        <v>305</v>
      </c>
      <c r="D10" s="36" t="s">
        <v>399</v>
      </c>
      <c r="E10" s="36" t="s">
        <v>407</v>
      </c>
      <c r="F10">
        <f>+IF(COUNTIFS($B$3:B10,B10)&gt;1,"такрор",1)</f>
        <v>1</v>
      </c>
    </row>
    <row r="11" spans="1:6" ht="60" x14ac:dyDescent="0.25">
      <c r="A11" s="32">
        <f>+IF(B11="","",SUBTOTAL(3,$B$4:B11))</f>
        <v>8</v>
      </c>
      <c r="B11" s="33" t="s">
        <v>287</v>
      </c>
      <c r="C11" s="34" t="s">
        <v>402</v>
      </c>
      <c r="D11" s="36" t="s">
        <v>399</v>
      </c>
      <c r="E11" s="36" t="s">
        <v>408</v>
      </c>
      <c r="F11">
        <f>+IF(COUNTIFS($B$3:B11,B11)&gt;1,"такрор",1)</f>
        <v>1</v>
      </c>
    </row>
    <row r="12" spans="1:6" ht="30" x14ac:dyDescent="0.25">
      <c r="A12" s="32">
        <f>+IF(B12="","",SUBTOTAL(3,$B$4:B12))</f>
        <v>9</v>
      </c>
      <c r="B12" s="33" t="s">
        <v>264</v>
      </c>
      <c r="C12" s="34" t="s">
        <v>305</v>
      </c>
      <c r="D12" s="36" t="s">
        <v>410</v>
      </c>
      <c r="E12" s="36" t="s">
        <v>409</v>
      </c>
      <c r="F12">
        <f>+IF(COUNTIFS($B$3:B12,B12)&gt;1,"такрор",1)</f>
        <v>1</v>
      </c>
    </row>
    <row r="13" spans="1:6" x14ac:dyDescent="0.25">
      <c r="A13" s="32">
        <f>+IF(B13="","",SUBTOTAL(3,$B$4:B13))</f>
        <v>10</v>
      </c>
      <c r="B13" s="33" t="s">
        <v>224</v>
      </c>
      <c r="C13" s="34" t="s">
        <v>403</v>
      </c>
      <c r="D13" s="36" t="s">
        <v>410</v>
      </c>
      <c r="E13" s="36" t="s">
        <v>411</v>
      </c>
      <c r="F13">
        <f>+IF(COUNTIFS($B$3:B13,B13)&gt;1,"такрор",1)</f>
        <v>1</v>
      </c>
    </row>
    <row r="14" spans="1:6" ht="30" x14ac:dyDescent="0.25">
      <c r="A14" s="32">
        <f>+IF(B14="","",SUBTOTAL(3,$B$4:B14))</f>
        <v>11</v>
      </c>
      <c r="B14" s="33" t="s">
        <v>226</v>
      </c>
      <c r="C14" s="34" t="s">
        <v>355</v>
      </c>
      <c r="D14" s="36" t="s">
        <v>410</v>
      </c>
      <c r="E14" s="36" t="s">
        <v>412</v>
      </c>
      <c r="F14">
        <f>+IF(COUNTIFS($B$3:B14,B14)&gt;1,"такрор",1)</f>
        <v>1</v>
      </c>
    </row>
    <row r="15" spans="1:6" ht="30" x14ac:dyDescent="0.25">
      <c r="A15" s="32">
        <f>+IF(B15="","",SUBTOTAL(3,$B$4:B15))</f>
        <v>12</v>
      </c>
      <c r="B15" s="33" t="s">
        <v>379</v>
      </c>
      <c r="C15" s="34" t="s">
        <v>305</v>
      </c>
      <c r="D15" s="36" t="s">
        <v>410</v>
      </c>
      <c r="E15" s="36" t="s">
        <v>413</v>
      </c>
      <c r="F15">
        <f>+IF(COUNTIFS($B$3:B15,B15)&gt;1,"такрор",1)</f>
        <v>1</v>
      </c>
    </row>
    <row r="16" spans="1:6" ht="30" x14ac:dyDescent="0.25">
      <c r="A16" s="32">
        <f>+IF(B16="","",SUBTOTAL(3,$B$4:B16))</f>
        <v>13</v>
      </c>
      <c r="B16" s="33" t="s">
        <v>414</v>
      </c>
      <c r="C16" s="34" t="s">
        <v>305</v>
      </c>
      <c r="D16" s="36" t="s">
        <v>410</v>
      </c>
      <c r="E16" s="36" t="s">
        <v>415</v>
      </c>
      <c r="F16">
        <f>+IF(COUNTIFS($B$3:B16,B16)&gt;1,"такрор",1)</f>
        <v>1</v>
      </c>
    </row>
    <row r="17" spans="1:6" ht="30" x14ac:dyDescent="0.25">
      <c r="A17" s="32">
        <f>+IF(B17="","",SUBTOTAL(3,$B$4:B17))</f>
        <v>14</v>
      </c>
      <c r="B17" s="33" t="s">
        <v>414</v>
      </c>
      <c r="C17" s="34" t="s">
        <v>305</v>
      </c>
      <c r="D17" s="36" t="s">
        <v>410</v>
      </c>
      <c r="E17" s="36" t="s">
        <v>416</v>
      </c>
      <c r="F17" t="str">
        <f>+IF(COUNTIFS($B$3:B17,B17)&gt;1,"такрор",1)</f>
        <v>такрор</v>
      </c>
    </row>
    <row r="18" spans="1:6" ht="30" x14ac:dyDescent="0.25">
      <c r="A18" s="32">
        <f>+IF(B18="","",SUBTOTAL(3,$B$4:B18))</f>
        <v>15</v>
      </c>
      <c r="B18" s="33" t="s">
        <v>206</v>
      </c>
      <c r="C18" s="34" t="s">
        <v>188</v>
      </c>
      <c r="D18" s="36" t="s">
        <v>417</v>
      </c>
      <c r="E18" s="36" t="s">
        <v>418</v>
      </c>
      <c r="F18">
        <f>+IF(COUNTIFS($B$3:B18,B18)&gt;1,"такрор",1)</f>
        <v>1</v>
      </c>
    </row>
    <row r="19" spans="1:6" ht="30" x14ac:dyDescent="0.25">
      <c r="A19" s="32">
        <f>+IF(B19="","",SUBTOTAL(3,$B$4:B19))</f>
        <v>16</v>
      </c>
      <c r="B19" s="33" t="s">
        <v>390</v>
      </c>
      <c r="C19" s="34" t="s">
        <v>305</v>
      </c>
      <c r="D19" s="36" t="s">
        <v>417</v>
      </c>
      <c r="E19" s="36" t="s">
        <v>419</v>
      </c>
      <c r="F19">
        <f>+IF(COUNTIFS($B$3:B19,B19)&gt;1,"такрор",1)</f>
        <v>1</v>
      </c>
    </row>
    <row r="20" spans="1:6" ht="30" x14ac:dyDescent="0.25">
      <c r="A20" s="32">
        <f>+IF(B20="","",SUBTOTAL(3,$B$4:B20))</f>
        <v>17</v>
      </c>
      <c r="B20" s="33" t="s">
        <v>390</v>
      </c>
      <c r="C20" s="34" t="s">
        <v>305</v>
      </c>
      <c r="D20" s="36" t="s">
        <v>417</v>
      </c>
      <c r="E20" s="36" t="s">
        <v>420</v>
      </c>
      <c r="F20" t="str">
        <f>+IF(COUNTIFS($B$3:B20,B20)&gt;1,"такрор",1)</f>
        <v>такрор</v>
      </c>
    </row>
    <row r="21" spans="1:6" ht="30" x14ac:dyDescent="0.25">
      <c r="A21" s="32">
        <f>+IF(B21="","",SUBTOTAL(3,$B$4:B21))</f>
        <v>18</v>
      </c>
      <c r="B21" s="33" t="s">
        <v>387</v>
      </c>
      <c r="C21" s="34" t="s">
        <v>305</v>
      </c>
      <c r="D21" s="36" t="s">
        <v>417</v>
      </c>
      <c r="E21" s="36" t="s">
        <v>421</v>
      </c>
      <c r="F21">
        <f>+IF(COUNTIFS($B$3:B21,B21)&gt;1,"такрор",1)</f>
        <v>1</v>
      </c>
    </row>
    <row r="22" spans="1:6" ht="90" x14ac:dyDescent="0.25">
      <c r="A22" s="32">
        <f>+IF(B22="","",SUBTOTAL(3,$B$4:B22))</f>
        <v>19</v>
      </c>
      <c r="B22" s="33" t="s">
        <v>239</v>
      </c>
      <c r="C22" s="34" t="s">
        <v>317</v>
      </c>
      <c r="D22" s="36" t="s">
        <v>417</v>
      </c>
      <c r="E22" s="36" t="s">
        <v>422</v>
      </c>
      <c r="F22">
        <f>+IF(COUNTIFS($B$3:B22,B22)&gt;1,"такрор",1)</f>
        <v>1</v>
      </c>
    </row>
    <row r="23" spans="1:6" ht="30" x14ac:dyDescent="0.25">
      <c r="A23" s="32">
        <f>+IF(B23="","",SUBTOTAL(3,$B$4:B23))</f>
        <v>20</v>
      </c>
      <c r="B23" s="33" t="s">
        <v>222</v>
      </c>
      <c r="C23" s="34" t="s">
        <v>423</v>
      </c>
      <c r="D23" s="36" t="s">
        <v>417</v>
      </c>
      <c r="E23" s="36" t="s">
        <v>424</v>
      </c>
      <c r="F23">
        <f>+IF(COUNTIFS($B$3:B23,B23)&gt;1,"такрор",1)</f>
        <v>1</v>
      </c>
    </row>
    <row r="24" spans="1:6" ht="30" x14ac:dyDescent="0.25">
      <c r="A24" s="32">
        <f>+IF(B24="","",SUBTOTAL(3,$B$4:B24))</f>
        <v>21</v>
      </c>
      <c r="B24" s="33" t="s">
        <v>398</v>
      </c>
      <c r="C24" s="34" t="s">
        <v>305</v>
      </c>
      <c r="D24" s="36" t="s">
        <v>417</v>
      </c>
      <c r="E24" s="36" t="s">
        <v>425</v>
      </c>
      <c r="F24">
        <f>+IF(COUNTIFS($B$3:B24,B24)&gt;1,"такрор",1)</f>
        <v>1</v>
      </c>
    </row>
    <row r="25" spans="1:6" x14ac:dyDescent="0.25">
      <c r="A25" s="32">
        <f>+IF(B25="","",SUBTOTAL(3,$B$4:B25))</f>
        <v>22</v>
      </c>
      <c r="B25" s="33" t="s">
        <v>368</v>
      </c>
      <c r="C25" s="34" t="s">
        <v>403</v>
      </c>
      <c r="D25" s="36" t="s">
        <v>417</v>
      </c>
      <c r="E25" s="36" t="s">
        <v>426</v>
      </c>
      <c r="F25">
        <f>+IF(COUNTIFS($B$3:B25,B25)&gt;1,"такрор",1)</f>
        <v>1</v>
      </c>
    </row>
    <row r="26" spans="1:6" ht="30" x14ac:dyDescent="0.25">
      <c r="A26" s="32">
        <f>+IF(B26="","",SUBTOTAL(3,$B$4:B26))</f>
        <v>23</v>
      </c>
      <c r="B26" s="33" t="s">
        <v>315</v>
      </c>
      <c r="C26" s="34" t="s">
        <v>305</v>
      </c>
      <c r="D26" s="36" t="s">
        <v>417</v>
      </c>
      <c r="E26" s="36" t="s">
        <v>427</v>
      </c>
      <c r="F26">
        <f>+IF(COUNTIFS($B$3:B26,B26)&gt;1,"такрор",1)</f>
        <v>1</v>
      </c>
    </row>
    <row r="27" spans="1:6" ht="30" x14ac:dyDescent="0.25">
      <c r="A27" s="32">
        <f>+IF(B27="","",SUBTOTAL(3,$B$4:B27))</f>
        <v>24</v>
      </c>
      <c r="B27" s="33" t="s">
        <v>218</v>
      </c>
      <c r="C27" s="34" t="s">
        <v>202</v>
      </c>
      <c r="D27" s="36" t="s">
        <v>417</v>
      </c>
      <c r="E27" s="36" t="s">
        <v>428</v>
      </c>
      <c r="F27">
        <f>+IF(COUNTIFS($B$3:B27,B27)&gt;1,"такрор",1)</f>
        <v>1</v>
      </c>
    </row>
    <row r="28" spans="1:6" ht="30" x14ac:dyDescent="0.25">
      <c r="A28" s="32">
        <f>+IF(B28="","",SUBTOTAL(3,$B$4:B28))</f>
        <v>25</v>
      </c>
      <c r="B28" s="33" t="s">
        <v>260</v>
      </c>
      <c r="C28" s="34" t="s">
        <v>355</v>
      </c>
      <c r="D28" s="36" t="s">
        <v>417</v>
      </c>
      <c r="E28" s="36" t="s">
        <v>429</v>
      </c>
      <c r="F28">
        <f>+IF(COUNTIFS($B$3:B28,B28)&gt;1,"такрор",1)</f>
        <v>1</v>
      </c>
    </row>
    <row r="29" spans="1:6" ht="60" x14ac:dyDescent="0.25">
      <c r="A29" s="32">
        <f>+IF(B29="","",SUBTOTAL(3,$B$4:B29))</f>
        <v>26</v>
      </c>
      <c r="B29" s="33" t="s">
        <v>244</v>
      </c>
      <c r="C29" s="34" t="s">
        <v>402</v>
      </c>
      <c r="D29" s="36" t="s">
        <v>417</v>
      </c>
      <c r="E29" s="36" t="s">
        <v>430</v>
      </c>
      <c r="F29">
        <f>+IF(COUNTIFS($B$3:B29,B29)&gt;1,"такрор",1)</f>
        <v>1</v>
      </c>
    </row>
    <row r="30" spans="1:6" x14ac:dyDescent="0.25">
      <c r="A30" s="32" t="str">
        <f>+IF(B30="","",SUBTOTAL(3,$B$4:B30))</f>
        <v/>
      </c>
      <c r="B30" s="33"/>
      <c r="C30" s="34"/>
      <c r="D30" s="36"/>
      <c r="E30" s="36"/>
      <c r="F30">
        <f>+IF(COUNTIFS($B$3:B30,B30)&gt;1,"такрор",1)</f>
        <v>1</v>
      </c>
    </row>
    <row r="31" spans="1:6" x14ac:dyDescent="0.25">
      <c r="A31" s="32" t="str">
        <f>+IF(B31="","",SUBTOTAL(3,$B$4:B31))</f>
        <v/>
      </c>
      <c r="B31" s="33"/>
      <c r="C31" s="34"/>
      <c r="D31" s="36"/>
      <c r="E31" s="36"/>
      <c r="F31">
        <f>+IF(COUNTIFS($B$3:B31,B31)&gt;1,"такрор",1)</f>
        <v>1</v>
      </c>
    </row>
    <row r="32" spans="1:6" x14ac:dyDescent="0.25">
      <c r="A32" s="32" t="str">
        <f>+IF(B32="","",SUBTOTAL(3,$B$4:B32))</f>
        <v/>
      </c>
      <c r="B32" s="33"/>
      <c r="C32" s="34"/>
      <c r="D32" s="36"/>
      <c r="E32" s="36"/>
      <c r="F32">
        <f>+IF(COUNTIFS($B$3:B32,B32)&gt;1,"такрор",1)</f>
        <v>1</v>
      </c>
    </row>
    <row r="33" spans="1:6" x14ac:dyDescent="0.25">
      <c r="A33" s="32" t="str">
        <f>+IF(B33="","",SUBTOTAL(3,$B$4:B33))</f>
        <v/>
      </c>
      <c r="B33" s="33"/>
      <c r="C33" s="34"/>
      <c r="D33" s="36"/>
      <c r="E33" s="36"/>
      <c r="F33">
        <f>+IF(COUNTIFS($B$3:B33,B33)&gt;1,"такрор",1)</f>
        <v>1</v>
      </c>
    </row>
    <row r="34" spans="1:6" x14ac:dyDescent="0.25">
      <c r="A34" s="32" t="str">
        <f>+IF(B34="","",SUBTOTAL(3,$B$4:B34))</f>
        <v/>
      </c>
      <c r="B34" s="33"/>
      <c r="C34" s="34"/>
      <c r="D34" s="36"/>
      <c r="E34" s="36"/>
      <c r="F34">
        <f>+IF(COUNTIFS($B$3:B34,B34)&gt;1,"такрор",1)</f>
        <v>1</v>
      </c>
    </row>
    <row r="35" spans="1:6" x14ac:dyDescent="0.25">
      <c r="A35" s="32" t="str">
        <f>+IF(B35="","",SUBTOTAL(3,$B$4:B35))</f>
        <v/>
      </c>
      <c r="B35" s="33"/>
      <c r="C35" s="34"/>
      <c r="D35" s="36"/>
      <c r="E35" s="36"/>
      <c r="F35">
        <f>+IF(COUNTIFS($B$3:B35,B35)&gt;1,"такрор",1)</f>
        <v>1</v>
      </c>
    </row>
    <row r="36" spans="1:6" x14ac:dyDescent="0.25">
      <c r="A36" s="32" t="str">
        <f>+IF(B36="","",SUBTOTAL(3,$B$4:B36))</f>
        <v/>
      </c>
      <c r="B36" s="33"/>
      <c r="C36" s="34"/>
      <c r="D36" s="36"/>
      <c r="E36" s="36"/>
      <c r="F36">
        <f>+IF(COUNTIFS($B$3:B36,B36)&gt;1,"такрор",1)</f>
        <v>1</v>
      </c>
    </row>
    <row r="37" spans="1:6" x14ac:dyDescent="0.25">
      <c r="A37" s="32" t="str">
        <f>+IF(B37="","",SUBTOTAL(3,$B$4:B37))</f>
        <v/>
      </c>
      <c r="B37" s="33"/>
      <c r="C37" s="34"/>
      <c r="D37" s="36"/>
      <c r="E37" s="36"/>
      <c r="F37">
        <f>+IF(COUNTIFS($B$3:B37,B37)&gt;1,"такрор",1)</f>
        <v>1</v>
      </c>
    </row>
    <row r="38" spans="1:6" x14ac:dyDescent="0.25">
      <c r="A38" s="32" t="str">
        <f>+IF(B38="","",SUBTOTAL(3,$B$4:B38))</f>
        <v/>
      </c>
      <c r="B38" s="33"/>
      <c r="C38" s="34"/>
      <c r="D38" s="36"/>
      <c r="E38" s="36"/>
      <c r="F38">
        <f>+IF(COUNTIFS($B$3:B38,B38)&gt;1,"такрор",1)</f>
        <v>1</v>
      </c>
    </row>
    <row r="39" spans="1:6" x14ac:dyDescent="0.25">
      <c r="A39" s="32" t="str">
        <f>+IF(B39="","",SUBTOTAL(3,$B$4:B39))</f>
        <v/>
      </c>
      <c r="B39" s="33"/>
      <c r="C39" s="34"/>
      <c r="D39" s="36"/>
      <c r="E39" s="36"/>
      <c r="F39">
        <f>+IF(COUNTIFS($B$3:B39,B39)&gt;1,"такрор",1)</f>
        <v>1</v>
      </c>
    </row>
    <row r="40" spans="1:6" x14ac:dyDescent="0.25">
      <c r="A40" s="32" t="str">
        <f>+IF(B40="","",SUBTOTAL(3,$B$4:B40))</f>
        <v/>
      </c>
      <c r="B40" s="33"/>
      <c r="C40" s="34"/>
      <c r="D40" s="36"/>
      <c r="E40" s="36"/>
      <c r="F40">
        <f>+IF(COUNTIFS($B$3:B40,B40)&gt;1,"такрор",1)</f>
        <v>1</v>
      </c>
    </row>
    <row r="41" spans="1:6" x14ac:dyDescent="0.25">
      <c r="A41" s="32" t="str">
        <f>+IF(B41="","",SUBTOTAL(3,$B$4:B41))</f>
        <v/>
      </c>
      <c r="B41" s="33"/>
      <c r="C41" s="34"/>
      <c r="D41" s="36"/>
      <c r="E41" s="36"/>
      <c r="F41">
        <f>+IF(COUNTIFS($B$3:B41,B41)&gt;1,"такрор",1)</f>
        <v>1</v>
      </c>
    </row>
    <row r="42" spans="1:6" x14ac:dyDescent="0.25">
      <c r="A42" s="32" t="str">
        <f>+IF(B42="","",SUBTOTAL(3,$B$4:B42))</f>
        <v/>
      </c>
      <c r="B42" s="33"/>
      <c r="C42" s="34"/>
      <c r="D42" s="36"/>
      <c r="E42" s="36"/>
      <c r="F42">
        <f>+IF(COUNTIFS($B$3:B42,B42)&gt;1,"такрор",1)</f>
        <v>1</v>
      </c>
    </row>
    <row r="43" spans="1:6" x14ac:dyDescent="0.25">
      <c r="A43" s="32" t="str">
        <f>+IF(B43="","",SUBTOTAL(3,$B$4:B43))</f>
        <v/>
      </c>
      <c r="B43" s="33"/>
      <c r="C43" s="34"/>
      <c r="D43" s="36"/>
      <c r="E43" s="36"/>
      <c r="F43">
        <f>+IF(COUNTIFS($B$3:B43,B43)&gt;1,"такрор",1)</f>
        <v>1</v>
      </c>
    </row>
    <row r="44" spans="1:6" x14ac:dyDescent="0.25">
      <c r="A44" s="32" t="str">
        <f>+IF(B44="","",SUBTOTAL(3,$B$4:B44))</f>
        <v/>
      </c>
      <c r="B44" s="33"/>
      <c r="C44" s="34"/>
      <c r="D44" s="36"/>
      <c r="E44" s="36"/>
      <c r="F44">
        <f>+IF(COUNTIFS($B$3:B44,B44)&gt;1,"такрор",1)</f>
        <v>1</v>
      </c>
    </row>
    <row r="45" spans="1:6" x14ac:dyDescent="0.25">
      <c r="A45" s="32" t="str">
        <f>+IF(B45="","",SUBTOTAL(3,$B$4:B45))</f>
        <v/>
      </c>
      <c r="B45" s="33"/>
      <c r="C45" s="34"/>
      <c r="D45" s="36"/>
      <c r="E45" s="36"/>
      <c r="F45">
        <f>+IF(COUNTIFS($B$3:B45,B45)&gt;1,"такрор",1)</f>
        <v>1</v>
      </c>
    </row>
    <row r="46" spans="1:6" x14ac:dyDescent="0.25">
      <c r="A46" s="32" t="str">
        <f>+IF(B46="","",SUBTOTAL(3,$B$4:B46))</f>
        <v/>
      </c>
      <c r="B46" s="33"/>
      <c r="C46" s="34"/>
      <c r="D46" s="36"/>
      <c r="E46" s="36"/>
      <c r="F46">
        <f>+IF(COUNTIFS($B$3:B46,B46)&gt;1,"такрор",1)</f>
        <v>1</v>
      </c>
    </row>
    <row r="47" spans="1:6" x14ac:dyDescent="0.25">
      <c r="A47" s="32" t="str">
        <f>+IF(B47="","",SUBTOTAL(3,$B$4:B47))</f>
        <v/>
      </c>
      <c r="B47" s="33"/>
      <c r="C47" s="34"/>
      <c r="D47" s="36"/>
      <c r="E47" s="36"/>
      <c r="F47">
        <f>+IF(COUNTIFS($B$3:B47,B47)&gt;1,"такрор",1)</f>
        <v>1</v>
      </c>
    </row>
    <row r="48" spans="1:6" x14ac:dyDescent="0.25">
      <c r="A48" s="32" t="str">
        <f>+IF(B48="","",SUBTOTAL(3,$B$4:B48))</f>
        <v/>
      </c>
      <c r="B48" s="33"/>
      <c r="C48" s="34"/>
      <c r="D48" s="36"/>
      <c r="E48" s="36"/>
      <c r="F48">
        <f>+IF(COUNTIFS($B$3:B48,B48)&gt;1,"такрор",1)</f>
        <v>1</v>
      </c>
    </row>
    <row r="49" spans="1:6" x14ac:dyDescent="0.25">
      <c r="A49" s="32" t="str">
        <f>+IF(B49="","",SUBTOTAL(3,$B$4:B49))</f>
        <v/>
      </c>
      <c r="B49" s="33"/>
      <c r="C49" s="34"/>
      <c r="D49" s="36"/>
      <c r="E49" s="36"/>
      <c r="F49">
        <f>+IF(COUNTIFS($B$3:B49,B49)&gt;1,"такрор",1)</f>
        <v>1</v>
      </c>
    </row>
    <row r="50" spans="1:6" x14ac:dyDescent="0.25">
      <c r="A50" s="32" t="str">
        <f>+IF(B50="","",SUBTOTAL(3,$B$4:B50))</f>
        <v/>
      </c>
      <c r="B50" s="33"/>
      <c r="C50" s="34"/>
      <c r="D50" s="36"/>
      <c r="E50" s="36"/>
      <c r="F50">
        <f>+IF(COUNTIFS($B$3:B50,B50)&gt;1,"такрор",1)</f>
        <v>1</v>
      </c>
    </row>
    <row r="51" spans="1:6" x14ac:dyDescent="0.25">
      <c r="A51" s="32" t="str">
        <f>+IF(B51="","",SUBTOTAL(3,$B$4:B51))</f>
        <v/>
      </c>
      <c r="B51" s="33"/>
      <c r="C51" s="34"/>
      <c r="D51" s="36"/>
      <c r="E51" s="36"/>
      <c r="F51">
        <f>+IF(COUNTIFS($B$3:B51,B51)&gt;1,"такрор",1)</f>
        <v>1</v>
      </c>
    </row>
    <row r="52" spans="1:6" x14ac:dyDescent="0.25">
      <c r="A52" s="32" t="str">
        <f>+IF(B52="","",SUBTOTAL(3,$B$4:B52))</f>
        <v/>
      </c>
      <c r="B52" s="33"/>
      <c r="C52" s="34"/>
      <c r="D52" s="36"/>
      <c r="E52" s="36"/>
      <c r="F52">
        <f>+IF(COUNTIFS($B$3:B52,B52)&gt;1,"такрор",1)</f>
        <v>1</v>
      </c>
    </row>
    <row r="53" spans="1:6" x14ac:dyDescent="0.25">
      <c r="A53" s="32" t="str">
        <f>+IF(B53="","",SUBTOTAL(3,$B$4:B53))</f>
        <v/>
      </c>
      <c r="B53" s="33"/>
      <c r="C53" s="34"/>
      <c r="D53" s="36"/>
      <c r="E53" s="36"/>
      <c r="F53">
        <f>+IF(COUNTIFS($B$3:B53,B53)&gt;1,"такрор",1)</f>
        <v>1</v>
      </c>
    </row>
    <row r="54" spans="1:6" x14ac:dyDescent="0.25">
      <c r="A54" s="32" t="str">
        <f>+IF(B54="","",SUBTOTAL(3,$B$4:B54))</f>
        <v/>
      </c>
      <c r="B54" s="33"/>
      <c r="C54" s="34"/>
      <c r="D54" s="36"/>
      <c r="E54" s="36"/>
      <c r="F54">
        <f>+IF(COUNTIFS($B$3:B54,B54)&gt;1,"такрор",1)</f>
        <v>1</v>
      </c>
    </row>
    <row r="55" spans="1:6" x14ac:dyDescent="0.25">
      <c r="A55" s="32" t="str">
        <f>+IF(B55="","",SUBTOTAL(3,$B$4:B55))</f>
        <v/>
      </c>
      <c r="B55" s="33"/>
      <c r="C55" s="34"/>
      <c r="D55" s="36"/>
      <c r="E55" s="36"/>
      <c r="F55">
        <f>+IF(COUNTIFS($B$3:B55,B55)&gt;1,"такрор",1)</f>
        <v>1</v>
      </c>
    </row>
    <row r="56" spans="1:6" x14ac:dyDescent="0.25">
      <c r="A56" s="32" t="str">
        <f>+IF(B56="","",SUBTOTAL(3,$B$4:B56))</f>
        <v/>
      </c>
      <c r="B56" s="33"/>
      <c r="C56" s="34"/>
      <c r="D56" s="36"/>
      <c r="E56" s="36"/>
      <c r="F56">
        <f>+IF(COUNTIFS($B$3:B56,B56)&gt;1,"такрор",1)</f>
        <v>1</v>
      </c>
    </row>
    <row r="57" spans="1:6" x14ac:dyDescent="0.25">
      <c r="A57" s="32" t="str">
        <f>+IF(B57="","",SUBTOTAL(3,$B$4:B57))</f>
        <v/>
      </c>
      <c r="B57" s="33"/>
      <c r="C57" s="34"/>
      <c r="D57" s="36"/>
      <c r="E57" s="36"/>
      <c r="F57">
        <f>+IF(COUNTIFS($B$3:B57,B57)&gt;1,"такрор",1)</f>
        <v>1</v>
      </c>
    </row>
    <row r="58" spans="1:6" x14ac:dyDescent="0.25">
      <c r="A58" s="32" t="str">
        <f>+IF(B58="","",SUBTOTAL(3,$B$4:B58))</f>
        <v/>
      </c>
      <c r="B58" s="33"/>
      <c r="C58" s="34"/>
      <c r="D58" s="36"/>
      <c r="E58" s="36"/>
      <c r="F58">
        <f>+IF(COUNTIFS($B$3:B58,B58)&gt;1,"такрор",1)</f>
        <v>1</v>
      </c>
    </row>
    <row r="59" spans="1:6" x14ac:dyDescent="0.25">
      <c r="A59" s="32" t="str">
        <f>+IF(B59="","",SUBTOTAL(3,$B$4:B59))</f>
        <v/>
      </c>
      <c r="B59" s="33"/>
      <c r="C59" s="34"/>
      <c r="D59" s="36"/>
      <c r="E59" s="36"/>
      <c r="F59">
        <f>+IF(COUNTIFS($B$3:B59,B59)&gt;1,"такрор",1)</f>
        <v>1</v>
      </c>
    </row>
    <row r="60" spans="1:6" x14ac:dyDescent="0.25">
      <c r="A60" s="32" t="str">
        <f>+IF(B60="","",SUBTOTAL(3,$B$4:B60))</f>
        <v/>
      </c>
      <c r="B60" s="33"/>
      <c r="C60" s="34"/>
      <c r="D60" s="36"/>
      <c r="E60" s="36"/>
      <c r="F60">
        <f>+IF(COUNTIFS($B$3:B60,B60)&gt;1,"такрор",1)</f>
        <v>1</v>
      </c>
    </row>
    <row r="61" spans="1:6" x14ac:dyDescent="0.25">
      <c r="A61" s="32" t="str">
        <f>+IF(B61="","",SUBTOTAL(3,$B$4:B61))</f>
        <v/>
      </c>
      <c r="B61" s="33"/>
      <c r="C61" s="34"/>
      <c r="D61" s="36"/>
      <c r="E61" s="36"/>
      <c r="F61">
        <f>+IF(COUNTIFS($B$3:B61,B61)&gt;1,"такрор",1)</f>
        <v>1</v>
      </c>
    </row>
    <row r="62" spans="1:6" x14ac:dyDescent="0.25">
      <c r="A62" s="32" t="str">
        <f>+IF(B62="","",SUBTOTAL(3,$B$4:B62))</f>
        <v/>
      </c>
      <c r="B62" s="33"/>
      <c r="C62" s="34"/>
      <c r="D62" s="36"/>
      <c r="E62" s="36"/>
      <c r="F62">
        <f>+IF(COUNTIFS($B$3:B62,B62)&gt;1,"такрор",1)</f>
        <v>1</v>
      </c>
    </row>
    <row r="63" spans="1:6" x14ac:dyDescent="0.25">
      <c r="A63" s="32" t="str">
        <f>+IF(B63="","",SUBTOTAL(3,$B$4:B63))</f>
        <v/>
      </c>
      <c r="B63" s="33"/>
      <c r="C63" s="34"/>
      <c r="D63" s="36"/>
      <c r="E63" s="36"/>
      <c r="F63">
        <f>+IF(COUNTIFS($B$3:B63,B63)&gt;1,"такрор",1)</f>
        <v>1</v>
      </c>
    </row>
    <row r="64" spans="1:6" x14ac:dyDescent="0.25">
      <c r="A64" s="32" t="str">
        <f>+IF(B64="","",SUBTOTAL(3,$B$4:B64))</f>
        <v/>
      </c>
      <c r="B64" s="33"/>
      <c r="C64" s="34"/>
      <c r="D64" s="36"/>
      <c r="E64" s="36"/>
      <c r="F64">
        <f>+IF(COUNTIFS($B$3:B64,B64)&gt;1,"такрор",1)</f>
        <v>1</v>
      </c>
    </row>
    <row r="65" spans="1:6" x14ac:dyDescent="0.25">
      <c r="A65" s="32" t="str">
        <f>+IF(B65="","",SUBTOTAL(3,$B$4:B65))</f>
        <v/>
      </c>
      <c r="B65" s="33"/>
      <c r="C65" s="34"/>
      <c r="D65" s="36"/>
      <c r="E65" s="36"/>
      <c r="F65">
        <f>+IF(COUNTIFS($B$3:B65,B65)&gt;1,"такрор",1)</f>
        <v>1</v>
      </c>
    </row>
    <row r="66" spans="1:6" x14ac:dyDescent="0.25">
      <c r="A66" s="32" t="str">
        <f>+IF(B66="","",SUBTOTAL(3,$B$4:B66))</f>
        <v/>
      </c>
      <c r="B66" s="33"/>
      <c r="C66" s="34"/>
      <c r="D66" s="36"/>
      <c r="E66" s="36"/>
      <c r="F66">
        <f>+IF(COUNTIFS($B$3:B66,B66)&gt;1,"такрор",1)</f>
        <v>1</v>
      </c>
    </row>
    <row r="67" spans="1:6" x14ac:dyDescent="0.25">
      <c r="A67" s="32" t="str">
        <f>+IF(B67="","",SUBTOTAL(3,$B$4:B67))</f>
        <v/>
      </c>
      <c r="B67" s="33"/>
      <c r="C67" s="34"/>
      <c r="D67" s="36"/>
      <c r="E67" s="36"/>
      <c r="F67">
        <f>+IF(COUNTIFS($B$3:B67,B67)&gt;1,"такрор",1)</f>
        <v>1</v>
      </c>
    </row>
    <row r="68" spans="1:6" x14ac:dyDescent="0.25">
      <c r="A68" s="32" t="str">
        <f>+IF(B68="","",SUBTOTAL(3,$B$4:B68))</f>
        <v/>
      </c>
      <c r="B68" s="33"/>
      <c r="C68" s="34"/>
      <c r="D68" s="36"/>
      <c r="E68" s="36"/>
      <c r="F68">
        <f>+IF(COUNTIFS($B$3:B68,B68)&gt;1,"такрор",1)</f>
        <v>1</v>
      </c>
    </row>
    <row r="69" spans="1:6" x14ac:dyDescent="0.25">
      <c r="A69" s="32" t="str">
        <f>+IF(B69="","",SUBTOTAL(3,$B$4:B69))</f>
        <v/>
      </c>
      <c r="B69" s="33"/>
      <c r="C69" s="34"/>
      <c r="D69" s="36"/>
      <c r="E69" s="36"/>
      <c r="F69">
        <f>+IF(COUNTIFS($B$3:B69,B69)&gt;1,"такрор",1)</f>
        <v>1</v>
      </c>
    </row>
    <row r="70" spans="1:6" x14ac:dyDescent="0.25">
      <c r="A70" s="32" t="str">
        <f>+IF(B70="","",SUBTOTAL(3,$B$4:B70))</f>
        <v/>
      </c>
      <c r="B70" s="33"/>
      <c r="C70" s="34"/>
      <c r="D70" s="36"/>
      <c r="E70" s="36"/>
      <c r="F70">
        <f>+IF(COUNTIFS($B$3:B70,B70)&gt;1,"такрор",1)</f>
        <v>1</v>
      </c>
    </row>
    <row r="71" spans="1:6" x14ac:dyDescent="0.25">
      <c r="A71" s="32" t="str">
        <f>+IF(B71="","",SUBTOTAL(3,$B$4:B71))</f>
        <v/>
      </c>
      <c r="B71" s="33"/>
      <c r="C71" s="34"/>
      <c r="D71" s="36"/>
      <c r="E71" s="36"/>
      <c r="F71">
        <f>+IF(COUNTIFS($B$3:B71,B71)&gt;1,"такрор",1)</f>
        <v>1</v>
      </c>
    </row>
    <row r="72" spans="1:6" x14ac:dyDescent="0.25">
      <c r="A72" s="32" t="str">
        <f>+IF(B72="","",SUBTOTAL(3,$B$4:B72))</f>
        <v/>
      </c>
      <c r="B72" s="33"/>
      <c r="C72" s="34"/>
      <c r="D72" s="36"/>
      <c r="E72" s="36"/>
      <c r="F72">
        <f>+IF(COUNTIFS($B$3:B72,B72)&gt;1,"такрор",1)</f>
        <v>1</v>
      </c>
    </row>
    <row r="73" spans="1:6" x14ac:dyDescent="0.25">
      <c r="A73" s="32" t="str">
        <f>+IF(B73="","",SUBTOTAL(3,$B$4:B73))</f>
        <v/>
      </c>
      <c r="B73" s="33"/>
      <c r="C73" s="34"/>
      <c r="D73" s="36"/>
      <c r="E73" s="36"/>
      <c r="F73">
        <f>+IF(COUNTIFS($B$3:B73,B73)&gt;1,"такрор",1)</f>
        <v>1</v>
      </c>
    </row>
    <row r="74" spans="1:6" x14ac:dyDescent="0.25">
      <c r="A74" s="32" t="str">
        <f>+IF(B74="","",SUBTOTAL(3,$B$4:B74))</f>
        <v/>
      </c>
      <c r="B74" s="33"/>
      <c r="C74" s="34"/>
      <c r="D74" s="36"/>
      <c r="E74" s="36"/>
      <c r="F74">
        <f>+IF(COUNTIFS($B$3:B74,B74)&gt;1,"такрор",1)</f>
        <v>1</v>
      </c>
    </row>
    <row r="75" spans="1:6" x14ac:dyDescent="0.25">
      <c r="A75" s="32" t="str">
        <f>+IF(B75="","",SUBTOTAL(3,$B$4:B75))</f>
        <v/>
      </c>
      <c r="B75" s="33"/>
      <c r="C75" s="34"/>
      <c r="D75" s="36"/>
      <c r="E75" s="36"/>
      <c r="F75">
        <f>+IF(COUNTIFS($B$3:B75,B75)&gt;1,"такрор",1)</f>
        <v>1</v>
      </c>
    </row>
    <row r="76" spans="1:6" x14ac:dyDescent="0.25">
      <c r="A76" s="32" t="str">
        <f>+IF(B76="","",SUBTOTAL(3,$B$4:B76))</f>
        <v/>
      </c>
      <c r="B76" s="33"/>
      <c r="C76" s="34"/>
      <c r="D76" s="36"/>
      <c r="E76" s="36"/>
      <c r="F76">
        <f>+IF(COUNTIFS($B$3:B76,B76)&gt;1,"такрор",1)</f>
        <v>1</v>
      </c>
    </row>
    <row r="77" spans="1:6" x14ac:dyDescent="0.25">
      <c r="A77" s="32" t="str">
        <f>+IF(B77="","",SUBTOTAL(3,$B$4:B77))</f>
        <v/>
      </c>
      <c r="B77" s="33"/>
      <c r="C77" s="34"/>
      <c r="D77" s="36"/>
      <c r="E77" s="36"/>
      <c r="F77">
        <f>+IF(COUNTIFS($B$3:B77,B77)&gt;1,"такрор",1)</f>
        <v>1</v>
      </c>
    </row>
    <row r="78" spans="1:6" x14ac:dyDescent="0.25">
      <c r="A78" s="32" t="str">
        <f>+IF(B78="","",SUBTOTAL(3,$B$4:B78))</f>
        <v/>
      </c>
      <c r="B78" s="33"/>
      <c r="C78" s="34"/>
      <c r="D78" s="36"/>
      <c r="E78" s="36"/>
      <c r="F78">
        <f>+IF(COUNTIFS($B$3:B78,B78)&gt;1,"такрор",1)</f>
        <v>1</v>
      </c>
    </row>
    <row r="79" spans="1:6" x14ac:dyDescent="0.25">
      <c r="A79" s="32" t="str">
        <f>+IF(B79="","",SUBTOTAL(3,$B$4:B79))</f>
        <v/>
      </c>
      <c r="B79" s="33"/>
      <c r="C79" s="34"/>
      <c r="D79" s="36"/>
      <c r="E79" s="36"/>
      <c r="F79">
        <f>+IF(COUNTIFS($B$3:B79,B79)&gt;1,"такрор",1)</f>
        <v>1</v>
      </c>
    </row>
    <row r="80" spans="1:6" x14ac:dyDescent="0.25">
      <c r="A80" s="32" t="str">
        <f>+IF(B80="","",SUBTOTAL(3,$B$4:B80))</f>
        <v/>
      </c>
      <c r="B80" s="33"/>
      <c r="C80" s="34"/>
      <c r="D80" s="36"/>
      <c r="E80" s="36"/>
      <c r="F80">
        <f>+IF(COUNTIFS($B$3:B80,B80)&gt;1,"такрор",1)</f>
        <v>1</v>
      </c>
    </row>
    <row r="81" spans="1:6" x14ac:dyDescent="0.25">
      <c r="A81" s="32" t="str">
        <f>+IF(B81="","",SUBTOTAL(3,$B$4:B81))</f>
        <v/>
      </c>
      <c r="B81" s="33"/>
      <c r="C81" s="34"/>
      <c r="D81" s="36"/>
      <c r="E81" s="36"/>
      <c r="F81">
        <f>+IF(COUNTIFS($B$3:B81,B81)&gt;1,"такрор",1)</f>
        <v>1</v>
      </c>
    </row>
    <row r="82" spans="1:6" x14ac:dyDescent="0.25">
      <c r="A82" s="32" t="str">
        <f>+IF(B82="","",SUBTOTAL(3,$B$4:B82))</f>
        <v/>
      </c>
      <c r="B82" s="33"/>
      <c r="C82" s="34"/>
      <c r="D82" s="36"/>
      <c r="E82" s="36"/>
      <c r="F82">
        <f>+IF(COUNTIFS($B$3:B82,B82)&gt;1,"такрор",1)</f>
        <v>1</v>
      </c>
    </row>
    <row r="83" spans="1:6" x14ac:dyDescent="0.25">
      <c r="A83" s="32" t="str">
        <f>+IF(B83="","",SUBTOTAL(3,$B$4:B83))</f>
        <v/>
      </c>
      <c r="B83" s="33"/>
      <c r="C83" s="34"/>
      <c r="D83" s="36"/>
      <c r="E83" s="36"/>
      <c r="F83">
        <f>+IF(COUNTIFS($B$3:B83,B83)&gt;1,"такрор",1)</f>
        <v>1</v>
      </c>
    </row>
    <row r="84" spans="1:6" x14ac:dyDescent="0.25">
      <c r="A84" s="32" t="str">
        <f>+IF(B84="","",SUBTOTAL(3,$B$4:B84))</f>
        <v/>
      </c>
      <c r="B84" s="33"/>
      <c r="C84" s="34"/>
      <c r="D84" s="36"/>
      <c r="E84" s="36"/>
      <c r="F84">
        <f>+IF(COUNTIFS($B$3:B84,B84)&gt;1,"такрор",1)</f>
        <v>1</v>
      </c>
    </row>
    <row r="85" spans="1:6" x14ac:dyDescent="0.25">
      <c r="A85" s="32" t="str">
        <f>+IF(B85="","",SUBTOTAL(3,$B$4:B85))</f>
        <v/>
      </c>
      <c r="B85" s="33"/>
      <c r="C85" s="34"/>
      <c r="D85" s="36"/>
      <c r="E85" s="36"/>
      <c r="F85">
        <f>+IF(COUNTIFS($B$3:B85,B85)&gt;1,"такрор",1)</f>
        <v>1</v>
      </c>
    </row>
    <row r="86" spans="1:6" x14ac:dyDescent="0.25">
      <c r="A86" s="32" t="str">
        <f>+IF(B86="","",SUBTOTAL(3,$B$4:B86))</f>
        <v/>
      </c>
      <c r="B86" s="33"/>
      <c r="C86" s="34"/>
      <c r="D86" s="36"/>
      <c r="E86" s="36"/>
      <c r="F86">
        <f>+IF(COUNTIFS($B$3:B86,B86)&gt;1,"такрор",1)</f>
        <v>1</v>
      </c>
    </row>
    <row r="87" spans="1:6" x14ac:dyDescent="0.25">
      <c r="A87" s="32" t="str">
        <f>+IF(B87="","",SUBTOTAL(3,$B$4:B87))</f>
        <v/>
      </c>
      <c r="B87" s="33"/>
      <c r="C87" s="34"/>
      <c r="D87" s="36"/>
      <c r="E87" s="36"/>
      <c r="F87">
        <f>+IF(COUNTIFS($B$3:B87,B87)&gt;1,"такрор",1)</f>
        <v>1</v>
      </c>
    </row>
    <row r="88" spans="1:6" x14ac:dyDescent="0.25">
      <c r="A88" s="32" t="str">
        <f>+IF(B88="","",SUBTOTAL(3,$B$4:B88))</f>
        <v/>
      </c>
      <c r="B88" s="33"/>
      <c r="C88" s="34"/>
      <c r="D88" s="36"/>
      <c r="E88" s="36"/>
      <c r="F88">
        <f>+IF(COUNTIFS($B$3:B88,B88)&gt;1,"такрор",1)</f>
        <v>1</v>
      </c>
    </row>
    <row r="89" spans="1:6" x14ac:dyDescent="0.25">
      <c r="A89" s="32" t="str">
        <f>+IF(B89="","",SUBTOTAL(3,$B$4:B89))</f>
        <v/>
      </c>
      <c r="B89" s="33"/>
      <c r="C89" s="34"/>
      <c r="D89" s="36"/>
      <c r="E89" s="36"/>
      <c r="F89">
        <f>+IF(COUNTIFS($B$3:B89,B89)&gt;1,"такрор",1)</f>
        <v>1</v>
      </c>
    </row>
    <row r="90" spans="1:6" x14ac:dyDescent="0.25">
      <c r="A90" s="32" t="str">
        <f>+IF(B90="","",SUBTOTAL(3,$B$4:B90))</f>
        <v/>
      </c>
      <c r="B90" s="33"/>
      <c r="C90" s="34"/>
      <c r="D90" s="36"/>
      <c r="E90" s="36"/>
      <c r="F90">
        <f>+IF(COUNTIFS($B$3:B90,B90)&gt;1,"такрор",1)</f>
        <v>1</v>
      </c>
    </row>
    <row r="91" spans="1:6" x14ac:dyDescent="0.25">
      <c r="A91" s="32" t="str">
        <f>+IF(B91="","",SUBTOTAL(3,$B$4:B91))</f>
        <v/>
      </c>
      <c r="B91" s="33"/>
      <c r="C91" s="34"/>
      <c r="D91" s="36"/>
      <c r="E91" s="36"/>
      <c r="F91">
        <f>+IF(COUNTIFS($B$3:B91,B91)&gt;1,"такрор",1)</f>
        <v>1</v>
      </c>
    </row>
    <row r="92" spans="1:6" x14ac:dyDescent="0.25">
      <c r="A92" s="32" t="str">
        <f>+IF(B92="","",SUBTOTAL(3,$B$4:B92))</f>
        <v/>
      </c>
      <c r="B92" s="33"/>
      <c r="C92" s="34"/>
      <c r="D92" s="36"/>
      <c r="E92" s="36"/>
      <c r="F92">
        <f>+IF(COUNTIFS($B$3:B92,B92)&gt;1,"такрор",1)</f>
        <v>1</v>
      </c>
    </row>
    <row r="93" spans="1:6" x14ac:dyDescent="0.25">
      <c r="A93" s="32" t="str">
        <f>+IF(B93="","",SUBTOTAL(3,$B$4:B93))</f>
        <v/>
      </c>
      <c r="B93" s="33"/>
      <c r="C93" s="34"/>
      <c r="D93" s="36"/>
      <c r="E93" s="32"/>
      <c r="F93">
        <f>+IF(COUNTIFS($B$3:B93,B93)&gt;1,"такрор",1)</f>
        <v>1</v>
      </c>
    </row>
    <row r="94" spans="1:6" x14ac:dyDescent="0.25">
      <c r="A94" s="32" t="str">
        <f>+IF(B94="","",SUBTOTAL(3,$B$4:B94))</f>
        <v/>
      </c>
      <c r="B94" s="33"/>
      <c r="C94" s="34"/>
      <c r="D94" s="36"/>
      <c r="E94" s="32"/>
      <c r="F94">
        <f>+IF(COUNTIFS($B$3:B94,B94)&gt;1,"такрор",1)</f>
        <v>1</v>
      </c>
    </row>
    <row r="95" spans="1:6" x14ac:dyDescent="0.25">
      <c r="A95" s="32" t="str">
        <f>+IF(B95="","",SUBTOTAL(3,$B$4:B95))</f>
        <v/>
      </c>
      <c r="B95" s="33"/>
      <c r="C95" s="34"/>
      <c r="D95" s="36"/>
      <c r="E95" s="32"/>
      <c r="F95">
        <f>+IF(COUNTIFS($B$3:B95,B95)&gt;1,"такрор",1)</f>
        <v>1</v>
      </c>
    </row>
    <row r="96" spans="1:6" x14ac:dyDescent="0.25">
      <c r="A96" s="32" t="str">
        <f>+IF(B96="","",SUBTOTAL(3,$B$4:B96))</f>
        <v/>
      </c>
      <c r="B96" s="33"/>
      <c r="C96" s="34"/>
      <c r="D96" s="36"/>
      <c r="E96" s="32"/>
      <c r="F96">
        <f>+IF(COUNTIFS($B$3:B96,B96)&gt;1,"такрор",1)</f>
        <v>1</v>
      </c>
    </row>
    <row r="97" spans="1:6" x14ac:dyDescent="0.25">
      <c r="A97" s="32" t="str">
        <f>+IF(B97="","",SUBTOTAL(3,$B$4:B97))</f>
        <v/>
      </c>
      <c r="B97" s="33"/>
      <c r="C97" s="34"/>
      <c r="D97" s="36"/>
      <c r="E97" s="32"/>
      <c r="F97">
        <f>+IF(COUNTIFS($B$3:B97,B97)&gt;1,"такрор",1)</f>
        <v>1</v>
      </c>
    </row>
    <row r="98" spans="1:6" x14ac:dyDescent="0.25">
      <c r="A98" s="32" t="str">
        <f>+IF(B98="","",SUBTOTAL(3,$B$4:B98))</f>
        <v/>
      </c>
      <c r="B98" s="33"/>
      <c r="C98" s="34"/>
      <c r="D98" s="36"/>
      <c r="E98" s="32"/>
      <c r="F98">
        <f>+IF(COUNTIFS($B$3:B98,B98)&gt;1,"такрор",1)</f>
        <v>1</v>
      </c>
    </row>
    <row r="99" spans="1:6" x14ac:dyDescent="0.25">
      <c r="A99" s="32" t="str">
        <f>+IF(B99="","",SUBTOTAL(3,$B$4:B99))</f>
        <v/>
      </c>
      <c r="B99" s="33"/>
      <c r="C99" s="34"/>
      <c r="D99" s="36"/>
      <c r="E99" s="32"/>
      <c r="F99">
        <f>+IF(COUNTIFS($B$3:B99,B99)&gt;1,"такрор",1)</f>
        <v>1</v>
      </c>
    </row>
    <row r="100" spans="1:6" x14ac:dyDescent="0.25">
      <c r="A100" s="32" t="str">
        <f>+IF(B100="","",SUBTOTAL(3,$B$4:B100))</f>
        <v/>
      </c>
      <c r="B100" s="33"/>
      <c r="C100" s="34"/>
      <c r="D100" s="36"/>
      <c r="E100" s="32"/>
      <c r="F100">
        <f>+IF(COUNTIFS($B$3:B100,B100)&gt;1,"такрор",1)</f>
        <v>1</v>
      </c>
    </row>
    <row r="101" spans="1:6" x14ac:dyDescent="0.25">
      <c r="A101" s="32" t="str">
        <f>+IF(B101="","",SUBTOTAL(3,$B$4:B101))</f>
        <v/>
      </c>
      <c r="B101" s="33"/>
      <c r="C101" s="34"/>
      <c r="D101" s="36"/>
      <c r="E101" s="32"/>
      <c r="F101">
        <f>+IF(COUNTIFS($B$3:B101,B101)&gt;1,"такрор",1)</f>
        <v>1</v>
      </c>
    </row>
    <row r="102" spans="1:6" x14ac:dyDescent="0.25">
      <c r="A102" s="32" t="str">
        <f>+IF(B102="","",SUBTOTAL(3,$B$4:B102))</f>
        <v/>
      </c>
      <c r="B102" s="33"/>
      <c r="C102" s="34"/>
      <c r="D102" s="36"/>
      <c r="E102" s="32"/>
      <c r="F102">
        <f>+IF(COUNTIFS($B$3:B102,B102)&gt;1,"такрор",1)</f>
        <v>1</v>
      </c>
    </row>
    <row r="103" spans="1:6" x14ac:dyDescent="0.25">
      <c r="A103" s="32" t="str">
        <f>+IF(B103="","",SUBTOTAL(3,$B$4:B103))</f>
        <v/>
      </c>
      <c r="B103" s="33"/>
      <c r="C103" s="34"/>
      <c r="D103" s="36"/>
      <c r="E103" s="32"/>
      <c r="F103">
        <f>+IF(COUNTIFS($B$3:B103,B103)&gt;1,"такрор",1)</f>
        <v>1</v>
      </c>
    </row>
    <row r="104" spans="1:6" x14ac:dyDescent="0.25">
      <c r="A104" s="32" t="str">
        <f>+IF(B104="","",SUBTOTAL(3,$B$4:B104))</f>
        <v/>
      </c>
      <c r="B104" s="33"/>
      <c r="C104" s="34"/>
      <c r="D104" s="36"/>
      <c r="E104" s="32"/>
      <c r="F104">
        <f>+IF(COUNTIFS($B$3:B104,B104)&gt;1,"такрор",1)</f>
        <v>1</v>
      </c>
    </row>
    <row r="105" spans="1:6" x14ac:dyDescent="0.25">
      <c r="A105" s="32" t="str">
        <f>+IF(B105="","",SUBTOTAL(3,$B$4:B105))</f>
        <v/>
      </c>
      <c r="B105" s="33"/>
      <c r="C105" s="34"/>
      <c r="D105" s="36"/>
      <c r="E105" s="32"/>
      <c r="F105">
        <f>+IF(COUNTIFS($B$3:B105,B105)&gt;1,"такрор",1)</f>
        <v>1</v>
      </c>
    </row>
    <row r="106" spans="1:6" x14ac:dyDescent="0.25">
      <c r="A106" s="32" t="str">
        <f>+IF(B106="","",SUBTOTAL(3,$B$4:B106))</f>
        <v/>
      </c>
      <c r="B106" s="33"/>
      <c r="C106" s="34"/>
      <c r="D106" s="36"/>
      <c r="E106" s="32"/>
      <c r="F106">
        <f>+IF(COUNTIFS($B$3:B106,B106)&gt;1,"такрор",1)</f>
        <v>1</v>
      </c>
    </row>
  </sheetData>
  <autoFilter ref="A3:F106"/>
  <mergeCells count="1">
    <mergeCell ref="A1:E1"/>
  </mergeCells>
  <pageMargins left="0.7" right="0.7" top="0.75" bottom="0.75" header="0.3" footer="0.3"/>
  <pageSetup paperSize="9" orientation="portrait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30"/>
  <sheetViews>
    <sheetView view="pageBreakPreview" zoomScaleNormal="100" zoomScaleSheetLayoutView="100" workbookViewId="0">
      <pane xSplit="2" ySplit="4" topLeftCell="C5" activePane="bottomRight" state="frozen"/>
      <selection pane="topRight" activeCell="C1" sqref="C1"/>
      <selection pane="bottomLeft" activeCell="A5" sqref="A5"/>
      <selection pane="bottomRight" activeCell="C8" sqref="C8"/>
    </sheetView>
  </sheetViews>
  <sheetFormatPr defaultRowHeight="15" x14ac:dyDescent="0.25"/>
  <cols>
    <col min="1" max="1" width="7.42578125" customWidth="1"/>
    <col min="2" max="2" width="30.28515625" style="37" customWidth="1"/>
    <col min="3" max="3" width="15.140625" style="38" customWidth="1"/>
    <col min="4" max="5" width="16.7109375" style="38" customWidth="1"/>
    <col min="6" max="8" width="15.140625" style="38" customWidth="1"/>
    <col min="9" max="9" width="15.140625" customWidth="1"/>
  </cols>
  <sheetData>
    <row r="1" spans="1:10" ht="66.75" customHeight="1" x14ac:dyDescent="0.25">
      <c r="A1" s="77" t="s">
        <v>514</v>
      </c>
      <c r="B1" s="77"/>
      <c r="C1" s="77"/>
      <c r="D1" s="77"/>
      <c r="E1" s="77"/>
      <c r="F1" s="77"/>
      <c r="G1" s="77"/>
      <c r="H1" s="77"/>
      <c r="I1" s="77"/>
      <c r="J1" s="40"/>
    </row>
    <row r="2" spans="1:10" s="1" customFormat="1" ht="49.5" customHeight="1" x14ac:dyDescent="0.25">
      <c r="A2" s="72" t="s">
        <v>69</v>
      </c>
      <c r="B2" s="78" t="s">
        <v>515</v>
      </c>
      <c r="C2" s="78" t="s">
        <v>516</v>
      </c>
      <c r="D2" s="78" t="s">
        <v>517</v>
      </c>
      <c r="E2" s="78"/>
      <c r="F2" s="78" t="s">
        <v>518</v>
      </c>
      <c r="G2" s="78"/>
      <c r="H2" s="78" t="s">
        <v>519</v>
      </c>
      <c r="I2" s="78"/>
    </row>
    <row r="3" spans="1:10" s="1" customFormat="1" ht="35.25" customHeight="1" x14ac:dyDescent="0.25">
      <c r="A3" s="72"/>
      <c r="B3" s="78"/>
      <c r="C3" s="78"/>
      <c r="D3" s="56" t="s">
        <v>271</v>
      </c>
      <c r="E3" s="56" t="s">
        <v>520</v>
      </c>
      <c r="F3" s="56" t="s">
        <v>271</v>
      </c>
      <c r="G3" s="56" t="s">
        <v>520</v>
      </c>
      <c r="H3" s="56" t="s">
        <v>271</v>
      </c>
      <c r="I3" s="56" t="s">
        <v>275</v>
      </c>
    </row>
    <row r="4" spans="1:10" ht="15.75" x14ac:dyDescent="0.25">
      <c r="A4" s="54"/>
      <c r="B4" s="54"/>
      <c r="C4" s="54"/>
      <c r="D4" s="54"/>
      <c r="E4" s="54"/>
      <c r="F4" s="54"/>
      <c r="G4" s="54"/>
      <c r="H4" s="54"/>
      <c r="I4" s="59">
        <f>+SUBTOTAL(9,I5:I30)</f>
        <v>3672000</v>
      </c>
    </row>
    <row r="5" spans="1:10" ht="30" x14ac:dyDescent="0.25">
      <c r="A5" s="32">
        <f>+IF(B5="","",SUBTOTAL(3,$B$5:B5))</f>
        <v>1</v>
      </c>
      <c r="B5" s="33" t="s">
        <v>522</v>
      </c>
      <c r="C5" s="35">
        <v>46037</v>
      </c>
      <c r="D5" s="35">
        <v>46038</v>
      </c>
      <c r="E5" s="57" t="s">
        <v>524</v>
      </c>
      <c r="F5" s="35">
        <v>46043</v>
      </c>
      <c r="G5" s="32" t="s">
        <v>525</v>
      </c>
      <c r="H5" s="35">
        <v>46044</v>
      </c>
      <c r="I5" s="58">
        <v>918000</v>
      </c>
      <c r="J5">
        <f>+IF(COUNTIFS($B$4:B5,B5)&gt;1,"такрор",1)</f>
        <v>1</v>
      </c>
    </row>
    <row r="6" spans="1:10" ht="30" x14ac:dyDescent="0.25">
      <c r="A6" s="32">
        <f>+IF(B6="","",SUBTOTAL(3,$B$5:B6))</f>
        <v>2</v>
      </c>
      <c r="B6" s="33" t="s">
        <v>521</v>
      </c>
      <c r="C6" s="35">
        <v>46041</v>
      </c>
      <c r="D6" s="35">
        <v>46043</v>
      </c>
      <c r="E6" s="57" t="s">
        <v>526</v>
      </c>
      <c r="F6" s="35">
        <v>46050</v>
      </c>
      <c r="G6" s="32" t="s">
        <v>527</v>
      </c>
      <c r="H6" s="35">
        <v>46050</v>
      </c>
      <c r="I6" s="58">
        <v>918000</v>
      </c>
      <c r="J6">
        <f>+IF(COUNTIFS($B$4:B6,B6)&gt;1,"такрор",1)</f>
        <v>1</v>
      </c>
    </row>
    <row r="7" spans="1:10" ht="30" x14ac:dyDescent="0.25">
      <c r="A7" s="32">
        <f>+IF(B7="","",SUBTOTAL(3,$B$5:B7))</f>
        <v>3</v>
      </c>
      <c r="B7" s="33" t="s">
        <v>523</v>
      </c>
      <c r="C7" s="35">
        <v>46084</v>
      </c>
      <c r="D7" s="35">
        <v>46094</v>
      </c>
      <c r="E7" s="57" t="s">
        <v>528</v>
      </c>
      <c r="F7" s="35">
        <v>46098</v>
      </c>
      <c r="G7" s="32" t="s">
        <v>529</v>
      </c>
      <c r="H7" s="35">
        <v>46099</v>
      </c>
      <c r="I7" s="58">
        <v>1836000</v>
      </c>
      <c r="J7">
        <f>+IF(COUNTIFS($B$4:B7,B7)&gt;1,"такрор",1)</f>
        <v>1</v>
      </c>
    </row>
    <row r="8" spans="1:10" x14ac:dyDescent="0.25">
      <c r="A8" s="32" t="str">
        <f>+IF(B8="","",SUBTOTAL(3,$B$5:B8))</f>
        <v/>
      </c>
      <c r="B8" s="34"/>
      <c r="C8" s="34"/>
      <c r="D8" s="34"/>
      <c r="E8" s="34"/>
      <c r="F8" s="34"/>
      <c r="G8" s="34"/>
      <c r="H8" s="36"/>
      <c r="I8" s="36"/>
      <c r="J8">
        <f>+IF(COUNTIFS($B$4:B8,B8)&gt;1,"такрор",1)</f>
        <v>1</v>
      </c>
    </row>
    <row r="9" spans="1:10" x14ac:dyDescent="0.25">
      <c r="A9" s="32" t="str">
        <f>+IF(B9="","",SUBTOTAL(3,$B$5:B9))</f>
        <v/>
      </c>
      <c r="B9" s="34"/>
      <c r="C9" s="34"/>
      <c r="D9" s="34"/>
      <c r="E9" s="34"/>
      <c r="F9" s="34"/>
      <c r="G9" s="34"/>
      <c r="H9" s="36"/>
      <c r="I9" s="36"/>
      <c r="J9">
        <f>+IF(COUNTIFS($B$4:B9,B9)&gt;1,"такрор",1)</f>
        <v>1</v>
      </c>
    </row>
    <row r="10" spans="1:10" x14ac:dyDescent="0.25">
      <c r="A10" s="32" t="str">
        <f>+IF(B10="","",SUBTOTAL(3,$B$5:B10))</f>
        <v/>
      </c>
      <c r="B10" s="33"/>
      <c r="C10" s="34"/>
      <c r="D10" s="34"/>
      <c r="E10" s="34"/>
      <c r="F10" s="34"/>
      <c r="G10" s="34"/>
      <c r="H10" s="36"/>
      <c r="I10" s="36"/>
      <c r="J10">
        <f>+IF(COUNTIFS($B$4:B10,B10)&gt;1,"такрор",1)</f>
        <v>1</v>
      </c>
    </row>
    <row r="11" spans="1:10" x14ac:dyDescent="0.25">
      <c r="A11" s="32" t="str">
        <f>+IF(B11="","",SUBTOTAL(3,$B$5:B11))</f>
        <v/>
      </c>
      <c r="B11" s="33"/>
      <c r="C11" s="34"/>
      <c r="D11" s="34"/>
      <c r="E11" s="34"/>
      <c r="F11" s="34"/>
      <c r="G11" s="34"/>
      <c r="H11" s="36"/>
      <c r="I11" s="36"/>
      <c r="J11">
        <f>+IF(COUNTIFS($B$4:B11,B11)&gt;1,"такрор",1)</f>
        <v>1</v>
      </c>
    </row>
    <row r="12" spans="1:10" x14ac:dyDescent="0.25">
      <c r="A12" s="32" t="str">
        <f>+IF(B12="","",SUBTOTAL(3,$B$5:B12))</f>
        <v/>
      </c>
      <c r="B12" s="33"/>
      <c r="C12" s="34"/>
      <c r="D12" s="34"/>
      <c r="E12" s="34"/>
      <c r="F12" s="34"/>
      <c r="G12" s="34"/>
      <c r="H12" s="36"/>
      <c r="I12" s="36"/>
      <c r="J12">
        <f>+IF(COUNTIFS($B$4:B12,B12)&gt;1,"такрор",1)</f>
        <v>1</v>
      </c>
    </row>
    <row r="13" spans="1:10" x14ac:dyDescent="0.25">
      <c r="A13" s="32" t="str">
        <f>+IF(B13="","",SUBTOTAL(3,$B$5:B13))</f>
        <v/>
      </c>
      <c r="B13" s="33"/>
      <c r="C13" s="34"/>
      <c r="D13" s="34"/>
      <c r="E13" s="34"/>
      <c r="F13" s="34"/>
      <c r="G13" s="34"/>
      <c r="H13" s="36"/>
      <c r="I13" s="36"/>
      <c r="J13">
        <f>+IF(COUNTIFS($B$4:B13,B13)&gt;1,"такрор",1)</f>
        <v>1</v>
      </c>
    </row>
    <row r="14" spans="1:10" x14ac:dyDescent="0.25">
      <c r="A14" s="32" t="str">
        <f>+IF(B14="","",SUBTOTAL(3,$B$5:B14))</f>
        <v/>
      </c>
      <c r="B14" s="33"/>
      <c r="C14" s="34"/>
      <c r="D14" s="34"/>
      <c r="E14" s="34"/>
      <c r="F14" s="34"/>
      <c r="G14" s="34"/>
      <c r="H14" s="36"/>
      <c r="I14" s="36"/>
      <c r="J14">
        <f>+IF(COUNTIFS($B$4:B14,B14)&gt;1,"такрор",1)</f>
        <v>1</v>
      </c>
    </row>
    <row r="15" spans="1:10" x14ac:dyDescent="0.25">
      <c r="A15" s="32" t="str">
        <f>+IF(B15="","",SUBTOTAL(3,$B$5:B15))</f>
        <v/>
      </c>
      <c r="B15" s="33"/>
      <c r="C15" s="34"/>
      <c r="D15" s="34"/>
      <c r="E15" s="34"/>
      <c r="F15" s="34"/>
      <c r="G15" s="34"/>
      <c r="H15" s="36"/>
      <c r="I15" s="36"/>
      <c r="J15">
        <f>+IF(COUNTIFS($B$4:B15,B15)&gt;1,"такрор",1)</f>
        <v>1</v>
      </c>
    </row>
    <row r="16" spans="1:10" x14ac:dyDescent="0.25">
      <c r="A16" s="32" t="str">
        <f>+IF(B16="","",SUBTOTAL(3,$B$5:B16))</f>
        <v/>
      </c>
      <c r="B16" s="33"/>
      <c r="C16" s="34"/>
      <c r="D16" s="34"/>
      <c r="E16" s="34"/>
      <c r="F16" s="34"/>
      <c r="G16" s="34"/>
      <c r="H16" s="36"/>
      <c r="I16" s="36"/>
      <c r="J16">
        <f>+IF(COUNTIFS($B$4:B16,B16)&gt;1,"такрор",1)</f>
        <v>1</v>
      </c>
    </row>
    <row r="17" spans="1:10" x14ac:dyDescent="0.25">
      <c r="A17" s="32" t="str">
        <f>+IF(B17="","",SUBTOTAL(3,$B$5:B17))</f>
        <v/>
      </c>
      <c r="B17" s="33"/>
      <c r="C17" s="34"/>
      <c r="D17" s="34"/>
      <c r="E17" s="34"/>
      <c r="F17" s="34"/>
      <c r="G17" s="34"/>
      <c r="H17" s="36"/>
      <c r="I17" s="36"/>
      <c r="J17">
        <f>+IF(COUNTIFS($B$4:B17,B17)&gt;1,"такрор",1)</f>
        <v>1</v>
      </c>
    </row>
    <row r="18" spans="1:10" x14ac:dyDescent="0.25">
      <c r="A18" s="32" t="str">
        <f>+IF(B18="","",SUBTOTAL(3,$B$5:B18))</f>
        <v/>
      </c>
      <c r="B18" s="33"/>
      <c r="C18" s="34"/>
      <c r="D18" s="34"/>
      <c r="E18" s="34"/>
      <c r="F18" s="34"/>
      <c r="G18" s="34"/>
      <c r="H18" s="36"/>
      <c r="I18" s="36"/>
      <c r="J18">
        <f>+IF(COUNTIFS($B$4:B18,B18)&gt;1,"такрор",1)</f>
        <v>1</v>
      </c>
    </row>
    <row r="19" spans="1:10" x14ac:dyDescent="0.25">
      <c r="A19" s="32" t="str">
        <f>+IF(B19="","",SUBTOTAL(3,$B$5:B19))</f>
        <v/>
      </c>
      <c r="B19" s="33"/>
      <c r="C19" s="34"/>
      <c r="D19" s="34"/>
      <c r="E19" s="34"/>
      <c r="F19" s="34"/>
      <c r="G19" s="34"/>
      <c r="H19" s="36"/>
      <c r="I19" s="36"/>
      <c r="J19">
        <f>+IF(COUNTIFS($B$4:B19,B19)&gt;1,"такрор",1)</f>
        <v>1</v>
      </c>
    </row>
    <row r="20" spans="1:10" x14ac:dyDescent="0.25">
      <c r="A20" s="32" t="str">
        <f>+IF(B20="","",SUBTOTAL(3,$B$5:B20))</f>
        <v/>
      </c>
      <c r="B20" s="33"/>
      <c r="C20" s="34"/>
      <c r="D20" s="34"/>
      <c r="E20" s="34"/>
      <c r="F20" s="34"/>
      <c r="G20" s="34"/>
      <c r="H20" s="36"/>
      <c r="I20" s="36"/>
      <c r="J20">
        <f>+IF(COUNTIFS($B$4:B20,B20)&gt;1,"такрор",1)</f>
        <v>1</v>
      </c>
    </row>
    <row r="21" spans="1:10" x14ac:dyDescent="0.25">
      <c r="A21" s="32" t="str">
        <f>+IF(B21="","",SUBTOTAL(3,$B$5:B21))</f>
        <v/>
      </c>
      <c r="B21" s="33"/>
      <c r="C21" s="34"/>
      <c r="D21" s="34"/>
      <c r="E21" s="34"/>
      <c r="F21" s="34"/>
      <c r="G21" s="34"/>
      <c r="H21" s="36"/>
      <c r="I21" s="36"/>
      <c r="J21">
        <f>+IF(COUNTIFS($B$4:B21,B21)&gt;1,"такрор",1)</f>
        <v>1</v>
      </c>
    </row>
    <row r="22" spans="1:10" x14ac:dyDescent="0.25">
      <c r="A22" s="32" t="str">
        <f>+IF(B22="","",SUBTOTAL(3,$B$5:B22))</f>
        <v/>
      </c>
      <c r="B22" s="33"/>
      <c r="C22" s="34"/>
      <c r="D22" s="34"/>
      <c r="E22" s="34"/>
      <c r="F22" s="34"/>
      <c r="G22" s="34"/>
      <c r="H22" s="36"/>
      <c r="I22" s="36"/>
      <c r="J22">
        <f>+IF(COUNTIFS($B$4:B22,B22)&gt;1,"такрор",1)</f>
        <v>1</v>
      </c>
    </row>
    <row r="23" spans="1:10" x14ac:dyDescent="0.25">
      <c r="A23" s="32" t="str">
        <f>+IF(B23="","",SUBTOTAL(3,$B$5:B23))</f>
        <v/>
      </c>
      <c r="B23" s="33"/>
      <c r="C23" s="34"/>
      <c r="D23" s="34"/>
      <c r="E23" s="34"/>
      <c r="F23" s="34"/>
      <c r="G23" s="34"/>
      <c r="H23" s="36"/>
      <c r="I23" s="36"/>
      <c r="J23">
        <f>+IF(COUNTIFS($B$4:B23,B23)&gt;1,"такрор",1)</f>
        <v>1</v>
      </c>
    </row>
    <row r="24" spans="1:10" x14ac:dyDescent="0.25">
      <c r="A24" s="32" t="str">
        <f>+IF(B24="","",SUBTOTAL(3,$B$5:B24))</f>
        <v/>
      </c>
      <c r="B24" s="33"/>
      <c r="C24" s="34"/>
      <c r="D24" s="34"/>
      <c r="E24" s="34"/>
      <c r="F24" s="34"/>
      <c r="G24" s="34"/>
      <c r="H24" s="36"/>
      <c r="I24" s="36"/>
      <c r="J24">
        <f>+IF(COUNTIFS($B$4:B24,B24)&gt;1,"такрор",1)</f>
        <v>1</v>
      </c>
    </row>
    <row r="25" spans="1:10" x14ac:dyDescent="0.25">
      <c r="A25" s="32" t="str">
        <f>+IF(B25="","",SUBTOTAL(3,$B$5:B25))</f>
        <v/>
      </c>
      <c r="B25" s="33"/>
      <c r="C25" s="34"/>
      <c r="D25" s="34"/>
      <c r="E25" s="34"/>
      <c r="F25" s="34"/>
      <c r="G25" s="34"/>
      <c r="H25" s="36"/>
      <c r="I25" s="36"/>
      <c r="J25">
        <f>+IF(COUNTIFS($B$4:B25,B25)&gt;1,"такрор",1)</f>
        <v>1</v>
      </c>
    </row>
    <row r="26" spans="1:10" x14ac:dyDescent="0.25">
      <c r="A26" s="32" t="str">
        <f>+IF(B26="","",SUBTOTAL(3,$B$5:B26))</f>
        <v/>
      </c>
      <c r="B26" s="33"/>
      <c r="C26" s="34"/>
      <c r="D26" s="34"/>
      <c r="E26" s="34"/>
      <c r="F26" s="34"/>
      <c r="G26" s="34"/>
      <c r="H26" s="36"/>
      <c r="I26" s="36"/>
      <c r="J26">
        <f>+IF(COUNTIFS($B$4:B26,B26)&gt;1,"такрор",1)</f>
        <v>1</v>
      </c>
    </row>
    <row r="27" spans="1:10" x14ac:dyDescent="0.25">
      <c r="A27" s="32" t="str">
        <f>+IF(B27="","",SUBTOTAL(3,$B$5:B27))</f>
        <v/>
      </c>
      <c r="B27" s="33"/>
      <c r="C27" s="34"/>
      <c r="D27" s="34"/>
      <c r="E27" s="34"/>
      <c r="F27" s="34"/>
      <c r="G27" s="34"/>
      <c r="H27" s="36"/>
      <c r="I27" s="36"/>
      <c r="J27">
        <f>+IF(COUNTIFS($B$4:B27,B27)&gt;1,"такрор",1)</f>
        <v>1</v>
      </c>
    </row>
    <row r="28" spans="1:10" x14ac:dyDescent="0.25">
      <c r="A28" s="32" t="str">
        <f>+IF(B28="","",SUBTOTAL(3,$B$5:B28))</f>
        <v/>
      </c>
      <c r="B28" s="33"/>
      <c r="C28" s="34"/>
      <c r="D28" s="34"/>
      <c r="E28" s="34"/>
      <c r="F28" s="34"/>
      <c r="G28" s="34"/>
      <c r="H28" s="36"/>
      <c r="I28" s="36"/>
      <c r="J28">
        <f>+IF(COUNTIFS($B$4:B28,B28)&gt;1,"такрор",1)</f>
        <v>1</v>
      </c>
    </row>
    <row r="29" spans="1:10" x14ac:dyDescent="0.25">
      <c r="A29" s="32" t="str">
        <f>+IF(B29="","",SUBTOTAL(3,$B$5:B29))</f>
        <v/>
      </c>
      <c r="B29" s="33"/>
      <c r="C29" s="34"/>
      <c r="D29" s="34"/>
      <c r="E29" s="34"/>
      <c r="F29" s="34"/>
      <c r="G29" s="34"/>
      <c r="H29" s="36"/>
      <c r="I29" s="36"/>
      <c r="J29">
        <f>+IF(COUNTIFS($B$4:B29,B29)&gt;1,"такрор",1)</f>
        <v>1</v>
      </c>
    </row>
    <row r="30" spans="1:10" x14ac:dyDescent="0.25">
      <c r="A30" s="32" t="str">
        <f>+IF(B30="","",SUBTOTAL(3,$B$5:B30))</f>
        <v/>
      </c>
      <c r="B30" s="33"/>
      <c r="C30" s="34"/>
      <c r="D30" s="34"/>
      <c r="E30" s="34"/>
      <c r="F30" s="34"/>
      <c r="G30" s="34"/>
      <c r="H30" s="36"/>
      <c r="I30" s="36"/>
      <c r="J30">
        <f>+IF(COUNTIFS($B$4:B30,B30)&gt;1,"такрор",1)</f>
        <v>1</v>
      </c>
    </row>
  </sheetData>
  <autoFilter ref="A4:J30"/>
  <mergeCells count="7">
    <mergeCell ref="A1:I1"/>
    <mergeCell ref="A2:A3"/>
    <mergeCell ref="B2:B3"/>
    <mergeCell ref="C2:C3"/>
    <mergeCell ref="D2:E2"/>
    <mergeCell ref="F2:G2"/>
    <mergeCell ref="H2:I2"/>
  </mergeCells>
  <printOptions horizontalCentered="1"/>
  <pageMargins left="0.19685039370078741" right="0.19685039370078741" top="0.59055118110236227" bottom="0.19685039370078741" header="0" footer="0"/>
  <pageSetup paperSize="9" scale="68" fitToHeight="100" orientation="portrait" verticalDpi="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"/>
  <sheetViews>
    <sheetView workbookViewId="0">
      <pane xSplit="1" ySplit="2" topLeftCell="B3" activePane="bottomRight" state="frozen"/>
      <selection activeCell="A5" sqref="A5"/>
      <selection pane="topRight" activeCell="A5" sqref="A5"/>
      <selection pane="bottomLeft" activeCell="A5" sqref="A5"/>
      <selection pane="bottomRight" activeCell="A4" sqref="A4"/>
    </sheetView>
  </sheetViews>
  <sheetFormatPr defaultRowHeight="15" x14ac:dyDescent="0.25"/>
  <cols>
    <col min="1" max="1" width="7.42578125" customWidth="1"/>
    <col min="2" max="2" width="36.85546875" style="37" customWidth="1"/>
    <col min="3" max="3" width="29.28515625" style="38" customWidth="1"/>
    <col min="4" max="4" width="19.85546875" style="38" customWidth="1"/>
  </cols>
  <sheetData>
    <row r="1" spans="1:4" ht="66" customHeight="1" x14ac:dyDescent="0.25">
      <c r="A1" s="71" t="s">
        <v>363</v>
      </c>
      <c r="B1" s="71"/>
      <c r="C1" s="71"/>
      <c r="D1" s="71"/>
    </row>
    <row r="2" spans="1:4" s="1" customFormat="1" ht="49.5" customHeight="1" x14ac:dyDescent="0.25">
      <c r="A2" s="29" t="s">
        <v>69</v>
      </c>
      <c r="B2" s="29" t="s">
        <v>171</v>
      </c>
      <c r="C2" s="29" t="s">
        <v>172</v>
      </c>
      <c r="D2" s="29" t="s">
        <v>290</v>
      </c>
    </row>
    <row r="3" spans="1:4" ht="15.75" x14ac:dyDescent="0.25">
      <c r="A3" s="29"/>
      <c r="B3" s="29"/>
      <c r="C3" s="29"/>
      <c r="D3" s="29"/>
    </row>
    <row r="4" spans="1:4" ht="30" x14ac:dyDescent="0.25">
      <c r="A4" s="32">
        <f>+IF(B4="","",SUBTOTAL(3,$B$4:B4))</f>
        <v>1</v>
      </c>
      <c r="B4" s="33" t="s">
        <v>390</v>
      </c>
      <c r="C4" s="34" t="s">
        <v>305</v>
      </c>
      <c r="D4" s="36" t="s">
        <v>399</v>
      </c>
    </row>
    <row r="5" spans="1:4" x14ac:dyDescent="0.25">
      <c r="A5" s="32" t="str">
        <f>+IF(B5="","",SUBTOTAL(3,$B$4:B5))</f>
        <v/>
      </c>
      <c r="B5" s="33"/>
      <c r="C5" s="34"/>
      <c r="D5" s="36"/>
    </row>
  </sheetData>
  <autoFilter ref="A3:D5"/>
  <mergeCells count="1">
    <mergeCell ref="A1:D1"/>
  </mergeCells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36"/>
  <sheetViews>
    <sheetView view="pageBreakPreview" zoomScaleNormal="100" zoomScaleSheetLayoutView="100" workbookViewId="0">
      <pane xSplit="2" ySplit="5" topLeftCell="C19" activePane="bottomRight" state="frozen"/>
      <selection pane="topRight" activeCell="C1" sqref="C1"/>
      <selection pane="bottomLeft" activeCell="A6" sqref="A6"/>
      <selection pane="bottomRight" activeCell="C26" sqref="C26"/>
    </sheetView>
  </sheetViews>
  <sheetFormatPr defaultRowHeight="15" x14ac:dyDescent="0.25"/>
  <cols>
    <col min="1" max="1" width="6.85546875" customWidth="1"/>
    <col min="2" max="2" width="17.42578125" style="27" customWidth="1"/>
    <col min="3" max="3" width="12.140625" bestFit="1" customWidth="1"/>
    <col min="4" max="4" width="37.140625" customWidth="1"/>
    <col min="5" max="5" width="15.140625" style="50" customWidth="1"/>
    <col min="6" max="6" width="16.5703125" bestFit="1" customWidth="1"/>
    <col min="7" max="7" width="14.140625" customWidth="1"/>
    <col min="8" max="8" width="33" customWidth="1"/>
    <col min="9" max="9" width="14.5703125" customWidth="1"/>
    <col min="10" max="10" width="9.28515625" customWidth="1"/>
    <col min="11" max="11" width="16.28515625" customWidth="1"/>
    <col min="12" max="12" width="27.42578125" customWidth="1"/>
    <col min="13" max="13" width="15" bestFit="1" customWidth="1"/>
  </cols>
  <sheetData>
    <row r="1" spans="1:13" ht="87" customHeight="1" x14ac:dyDescent="0.25">
      <c r="A1" s="79" t="s">
        <v>362</v>
      </c>
      <c r="B1" s="79"/>
      <c r="C1" s="79"/>
      <c r="D1" s="79"/>
      <c r="E1" s="79"/>
      <c r="F1" s="79"/>
      <c r="G1" s="79"/>
      <c r="H1" s="79"/>
      <c r="I1" s="79"/>
      <c r="J1" s="79"/>
      <c r="K1" s="79"/>
      <c r="L1" s="79"/>
    </row>
    <row r="2" spans="1:13" x14ac:dyDescent="0.25">
      <c r="E2"/>
    </row>
    <row r="3" spans="1:13" x14ac:dyDescent="0.25">
      <c r="E3"/>
    </row>
    <row r="4" spans="1:13" s="1" customFormat="1" ht="50.25" customHeight="1" x14ac:dyDescent="0.25">
      <c r="A4" s="8" t="s">
        <v>69</v>
      </c>
      <c r="B4" s="9" t="s">
        <v>530</v>
      </c>
      <c r="C4" s="9" t="s">
        <v>81</v>
      </c>
      <c r="D4" s="9" t="s">
        <v>82</v>
      </c>
      <c r="E4" s="9" t="s">
        <v>291</v>
      </c>
      <c r="F4" s="9" t="s">
        <v>83</v>
      </c>
      <c r="G4" s="9" t="s">
        <v>84</v>
      </c>
      <c r="H4" s="9" t="s">
        <v>85</v>
      </c>
      <c r="I4" s="9" t="s">
        <v>86</v>
      </c>
      <c r="J4" s="9" t="s">
        <v>87</v>
      </c>
      <c r="K4" s="9" t="s">
        <v>88</v>
      </c>
      <c r="L4" s="9" t="s">
        <v>89</v>
      </c>
    </row>
    <row r="5" spans="1:13" s="12" customFormat="1" x14ac:dyDescent="0.25">
      <c r="A5" s="10" t="s">
        <v>90</v>
      </c>
      <c r="B5" s="11">
        <v>1</v>
      </c>
      <c r="C5" s="11">
        <f>+B5+1</f>
        <v>2</v>
      </c>
      <c r="D5" s="11">
        <f t="shared" ref="D5:L5" si="0">+C5+1</f>
        <v>3</v>
      </c>
      <c r="E5" s="11">
        <f t="shared" ref="E5" si="1">+D5+1</f>
        <v>4</v>
      </c>
      <c r="F5" s="11">
        <f t="shared" ref="F5" si="2">+E5+1</f>
        <v>5</v>
      </c>
      <c r="G5" s="11">
        <f t="shared" si="0"/>
        <v>6</v>
      </c>
      <c r="H5" s="11">
        <f t="shared" si="0"/>
        <v>7</v>
      </c>
      <c r="I5" s="11">
        <f t="shared" si="0"/>
        <v>8</v>
      </c>
      <c r="J5" s="11">
        <f t="shared" si="0"/>
        <v>9</v>
      </c>
      <c r="K5" s="11">
        <f t="shared" si="0"/>
        <v>10</v>
      </c>
      <c r="L5" s="11">
        <f t="shared" si="0"/>
        <v>11</v>
      </c>
    </row>
    <row r="6" spans="1:13" s="12" customFormat="1" x14ac:dyDescent="0.25">
      <c r="A6" s="10"/>
      <c r="B6" s="11"/>
      <c r="C6" s="11"/>
      <c r="D6" s="11" t="s">
        <v>80</v>
      </c>
      <c r="E6" s="11"/>
      <c r="F6" s="11"/>
      <c r="G6" s="11"/>
      <c r="H6" s="11"/>
      <c r="I6" s="11"/>
      <c r="J6" s="11"/>
      <c r="K6" s="60">
        <f>+SUBTOTAL(9,K7:K85)</f>
        <v>438516884.92000002</v>
      </c>
      <c r="L6" s="60"/>
      <c r="M6" s="5"/>
    </row>
    <row r="7" spans="1:13" ht="45" x14ac:dyDescent="0.25">
      <c r="A7" s="13">
        <f>+IF(B7="","",SUBTOTAL(3,$B$7:B7))</f>
        <v>1</v>
      </c>
      <c r="B7" s="14" t="s">
        <v>532</v>
      </c>
      <c r="C7" s="15">
        <v>46029</v>
      </c>
      <c r="D7" s="16" t="s">
        <v>531</v>
      </c>
      <c r="E7" s="14" t="s">
        <v>533</v>
      </c>
      <c r="F7" s="17">
        <v>305109680</v>
      </c>
      <c r="G7" s="17" t="s">
        <v>534</v>
      </c>
      <c r="H7" s="16" t="s">
        <v>535</v>
      </c>
      <c r="I7" s="18">
        <v>1</v>
      </c>
      <c r="J7" s="17" t="s">
        <v>533</v>
      </c>
      <c r="K7" s="61">
        <v>2682000</v>
      </c>
      <c r="L7" s="62"/>
      <c r="M7" s="7"/>
    </row>
    <row r="8" spans="1:13" ht="30" x14ac:dyDescent="0.25">
      <c r="A8" s="13">
        <f>+IF(B8="","",SUBTOTAL(3,$B$7:B8))</f>
        <v>2</v>
      </c>
      <c r="B8" s="14" t="s">
        <v>532</v>
      </c>
      <c r="C8" s="15">
        <v>46034</v>
      </c>
      <c r="D8" s="16" t="s">
        <v>536</v>
      </c>
      <c r="E8" s="14" t="s">
        <v>533</v>
      </c>
      <c r="F8" s="17">
        <v>200833833</v>
      </c>
      <c r="G8" s="17">
        <v>127</v>
      </c>
      <c r="H8" s="16" t="s">
        <v>537</v>
      </c>
      <c r="I8" s="18">
        <v>1</v>
      </c>
      <c r="J8" s="17" t="s">
        <v>533</v>
      </c>
      <c r="K8" s="61">
        <v>9850000</v>
      </c>
      <c r="L8" s="62"/>
      <c r="M8" s="7"/>
    </row>
    <row r="9" spans="1:13" ht="45" x14ac:dyDescent="0.25">
      <c r="A9" s="13">
        <f>+IF(B9="","",SUBTOTAL(3,$B$7:B9))</f>
        <v>3</v>
      </c>
      <c r="B9" s="14" t="s">
        <v>532</v>
      </c>
      <c r="C9" s="15">
        <v>46035</v>
      </c>
      <c r="D9" s="16" t="s">
        <v>538</v>
      </c>
      <c r="E9" s="14" t="s">
        <v>533</v>
      </c>
      <c r="F9" s="17">
        <v>202628856</v>
      </c>
      <c r="G9" s="17">
        <v>5983</v>
      </c>
      <c r="H9" s="16" t="s">
        <v>539</v>
      </c>
      <c r="I9" s="18">
        <v>1</v>
      </c>
      <c r="J9" s="17" t="s">
        <v>533</v>
      </c>
      <c r="K9" s="61">
        <v>254787552</v>
      </c>
      <c r="L9" s="62"/>
      <c r="M9" s="7"/>
    </row>
    <row r="10" spans="1:13" ht="30" x14ac:dyDescent="0.25">
      <c r="A10" s="13">
        <f>+IF(B10="","",SUBTOTAL(3,$B$7:B10))</f>
        <v>4</v>
      </c>
      <c r="B10" s="14" t="s">
        <v>532</v>
      </c>
      <c r="C10" s="15">
        <v>46041</v>
      </c>
      <c r="D10" s="16" t="s">
        <v>540</v>
      </c>
      <c r="E10" s="14" t="s">
        <v>541</v>
      </c>
      <c r="F10" s="17">
        <v>301852291</v>
      </c>
      <c r="G10" s="17">
        <v>2</v>
      </c>
      <c r="H10" s="14" t="s">
        <v>541</v>
      </c>
      <c r="I10" s="18">
        <v>1</v>
      </c>
      <c r="J10" s="17" t="s">
        <v>533</v>
      </c>
      <c r="K10" s="61">
        <v>392000</v>
      </c>
      <c r="L10" s="62"/>
      <c r="M10" s="7"/>
    </row>
    <row r="11" spans="1:13" ht="30" x14ac:dyDescent="0.25">
      <c r="A11" s="13">
        <f>+IF(B11="","",SUBTOTAL(3,$B$7:B11))</f>
        <v>5</v>
      </c>
      <c r="B11" s="14" t="s">
        <v>544</v>
      </c>
      <c r="C11" s="15">
        <v>46042</v>
      </c>
      <c r="D11" s="16" t="s">
        <v>542</v>
      </c>
      <c r="E11" s="14" t="s">
        <v>533</v>
      </c>
      <c r="F11" s="17" t="s">
        <v>543</v>
      </c>
      <c r="G11" s="17">
        <v>4049763</v>
      </c>
      <c r="H11" s="16" t="s">
        <v>545</v>
      </c>
      <c r="I11" s="18">
        <v>1</v>
      </c>
      <c r="J11" s="17" t="s">
        <v>533</v>
      </c>
      <c r="K11" s="61">
        <v>17424000</v>
      </c>
      <c r="L11" s="62"/>
      <c r="M11" s="7"/>
    </row>
    <row r="12" spans="1:13" ht="30" x14ac:dyDescent="0.25">
      <c r="A12" s="13">
        <f>+IF(B12="","",SUBTOTAL(3,$B$7:B12))</f>
        <v>6</v>
      </c>
      <c r="B12" s="14" t="s">
        <v>544</v>
      </c>
      <c r="C12" s="15">
        <v>46042</v>
      </c>
      <c r="D12" s="16" t="s">
        <v>542</v>
      </c>
      <c r="E12" s="14" t="s">
        <v>533</v>
      </c>
      <c r="F12" s="17" t="s">
        <v>543</v>
      </c>
      <c r="G12" s="17">
        <v>4049780</v>
      </c>
      <c r="H12" s="16" t="s">
        <v>546</v>
      </c>
      <c r="I12" s="18">
        <v>1</v>
      </c>
      <c r="J12" s="17" t="s">
        <v>533</v>
      </c>
      <c r="K12" s="61">
        <v>3445000</v>
      </c>
      <c r="L12" s="62"/>
      <c r="M12" s="7"/>
    </row>
    <row r="13" spans="1:13" ht="30" x14ac:dyDescent="0.25">
      <c r="A13" s="13">
        <f>+IF(B13="","",SUBTOTAL(3,$B$7:B13))</f>
        <v>7</v>
      </c>
      <c r="B13" s="14" t="s">
        <v>544</v>
      </c>
      <c r="C13" s="15">
        <v>46042</v>
      </c>
      <c r="D13" s="16" t="s">
        <v>542</v>
      </c>
      <c r="E13" s="14" t="s">
        <v>533</v>
      </c>
      <c r="F13" s="17" t="s">
        <v>543</v>
      </c>
      <c r="G13" s="17">
        <v>4049782</v>
      </c>
      <c r="H13" s="16" t="s">
        <v>547</v>
      </c>
      <c r="I13" s="18">
        <v>1</v>
      </c>
      <c r="J13" s="17" t="s">
        <v>533</v>
      </c>
      <c r="K13" s="61">
        <v>1925000</v>
      </c>
      <c r="L13" s="62"/>
      <c r="M13" s="7"/>
    </row>
    <row r="14" spans="1:13" ht="30" x14ac:dyDescent="0.25">
      <c r="A14" s="13">
        <f>+IF(B14="","",SUBTOTAL(3,$B$7:B14))</f>
        <v>8</v>
      </c>
      <c r="B14" s="14" t="s">
        <v>544</v>
      </c>
      <c r="C14" s="15">
        <v>46042</v>
      </c>
      <c r="D14" s="16" t="s">
        <v>542</v>
      </c>
      <c r="E14" s="14" t="s">
        <v>533</v>
      </c>
      <c r="F14" s="17" t="s">
        <v>543</v>
      </c>
      <c r="G14" s="17">
        <v>4049812</v>
      </c>
      <c r="H14" s="16" t="s">
        <v>545</v>
      </c>
      <c r="I14" s="18">
        <v>1</v>
      </c>
      <c r="J14" s="17" t="s">
        <v>533</v>
      </c>
      <c r="K14" s="61">
        <v>17424000</v>
      </c>
      <c r="L14" s="62"/>
      <c r="M14" s="7"/>
    </row>
    <row r="15" spans="1:13" ht="30" x14ac:dyDescent="0.25">
      <c r="A15" s="13">
        <f>+IF(B15="","",SUBTOTAL(3,$B$7:B15))</f>
        <v>9</v>
      </c>
      <c r="B15" s="14" t="s">
        <v>544</v>
      </c>
      <c r="C15" s="15">
        <v>46043</v>
      </c>
      <c r="D15" s="16" t="s">
        <v>542</v>
      </c>
      <c r="E15" s="14" t="s">
        <v>533</v>
      </c>
      <c r="F15" s="17" t="s">
        <v>543</v>
      </c>
      <c r="G15" s="17">
        <v>4050836</v>
      </c>
      <c r="H15" s="16" t="s">
        <v>548</v>
      </c>
      <c r="I15" s="18">
        <v>3</v>
      </c>
      <c r="J15" s="17" t="s">
        <v>533</v>
      </c>
      <c r="K15" s="61">
        <v>14535000</v>
      </c>
      <c r="L15" s="62"/>
      <c r="M15" s="7"/>
    </row>
    <row r="16" spans="1:13" ht="30" x14ac:dyDescent="0.25">
      <c r="A16" s="13">
        <f>+IF(B16="","",SUBTOTAL(3,$B$7:B16))</f>
        <v>10</v>
      </c>
      <c r="B16" s="14" t="s">
        <v>544</v>
      </c>
      <c r="C16" s="15">
        <v>46043</v>
      </c>
      <c r="D16" s="16" t="s">
        <v>542</v>
      </c>
      <c r="E16" s="14" t="s">
        <v>533</v>
      </c>
      <c r="F16" s="51" t="s">
        <v>543</v>
      </c>
      <c r="G16" s="17">
        <v>4050839</v>
      </c>
      <c r="H16" s="16" t="s">
        <v>548</v>
      </c>
      <c r="I16" s="18">
        <v>3</v>
      </c>
      <c r="J16" s="17" t="s">
        <v>533</v>
      </c>
      <c r="K16" s="61">
        <v>14535000</v>
      </c>
      <c r="L16" s="62"/>
      <c r="M16" s="7"/>
    </row>
    <row r="17" spans="1:13" ht="60" x14ac:dyDescent="0.25">
      <c r="A17" s="13">
        <f>+IF(B17="","",SUBTOTAL(3,$B$7:B17))</f>
        <v>11</v>
      </c>
      <c r="B17" s="14" t="s">
        <v>532</v>
      </c>
      <c r="C17" s="15">
        <v>46063</v>
      </c>
      <c r="D17" s="16" t="s">
        <v>549</v>
      </c>
      <c r="E17" s="14" t="s">
        <v>533</v>
      </c>
      <c r="F17" s="17" t="s">
        <v>550</v>
      </c>
      <c r="G17" s="14" t="s">
        <v>551</v>
      </c>
      <c r="H17" s="16" t="s">
        <v>552</v>
      </c>
      <c r="I17" s="18">
        <v>168.96</v>
      </c>
      <c r="J17" s="17" t="s">
        <v>553</v>
      </c>
      <c r="K17" s="61">
        <v>17026923.719999999</v>
      </c>
      <c r="L17" s="63"/>
      <c r="M17" s="7"/>
    </row>
    <row r="18" spans="1:13" x14ac:dyDescent="0.25">
      <c r="A18" s="13">
        <f>+IF(B18="","",SUBTOTAL(3,$B$7:B18))</f>
        <v>12</v>
      </c>
      <c r="B18" s="14" t="s">
        <v>544</v>
      </c>
      <c r="C18" s="15">
        <v>46063</v>
      </c>
      <c r="D18" s="16" t="s">
        <v>554</v>
      </c>
      <c r="E18" s="14" t="s">
        <v>556</v>
      </c>
      <c r="F18" s="17" t="s">
        <v>555</v>
      </c>
      <c r="G18" s="17">
        <v>4102173</v>
      </c>
      <c r="H18" s="16" t="s">
        <v>557</v>
      </c>
      <c r="I18" s="18">
        <v>150</v>
      </c>
      <c r="J18" s="17" t="s">
        <v>508</v>
      </c>
      <c r="K18" s="61">
        <v>5020500</v>
      </c>
      <c r="L18" s="62"/>
      <c r="M18" s="7"/>
    </row>
    <row r="19" spans="1:13" x14ac:dyDescent="0.25">
      <c r="A19" s="13">
        <f>+IF(B19="","",SUBTOTAL(3,$B$7:B19))</f>
        <v>13</v>
      </c>
      <c r="B19" s="14" t="s">
        <v>544</v>
      </c>
      <c r="C19" s="15">
        <v>46077</v>
      </c>
      <c r="D19" s="16" t="s">
        <v>558</v>
      </c>
      <c r="E19" s="14" t="s">
        <v>556</v>
      </c>
      <c r="F19" s="17" t="s">
        <v>559</v>
      </c>
      <c r="G19" s="17" t="s">
        <v>560</v>
      </c>
      <c r="H19" s="16" t="s">
        <v>561</v>
      </c>
      <c r="I19" s="18">
        <v>20</v>
      </c>
      <c r="J19" s="17" t="s">
        <v>507</v>
      </c>
      <c r="K19" s="61">
        <v>340000</v>
      </c>
      <c r="L19" s="62"/>
      <c r="M19" s="7"/>
    </row>
    <row r="20" spans="1:13" ht="105" x14ac:dyDescent="0.25">
      <c r="A20" s="13">
        <f>+IF(B20="","",SUBTOTAL(3,$B$7:B20))</f>
        <v>14</v>
      </c>
      <c r="B20" s="14" t="s">
        <v>532</v>
      </c>
      <c r="C20" s="15">
        <v>46073</v>
      </c>
      <c r="D20" s="16" t="s">
        <v>562</v>
      </c>
      <c r="E20" s="14" t="s">
        <v>533</v>
      </c>
      <c r="F20" s="17" t="s">
        <v>563</v>
      </c>
      <c r="G20" s="17" t="s">
        <v>564</v>
      </c>
      <c r="H20" s="16" t="s">
        <v>565</v>
      </c>
      <c r="I20" s="18">
        <v>1</v>
      </c>
      <c r="J20" s="17" t="s">
        <v>533</v>
      </c>
      <c r="K20" s="61">
        <v>10231807</v>
      </c>
      <c r="L20" s="62"/>
      <c r="M20" s="7"/>
    </row>
    <row r="21" spans="1:13" x14ac:dyDescent="0.25">
      <c r="A21" s="13">
        <f>+IF(B21="","",SUBTOTAL(3,$B$7:B21))</f>
        <v>15</v>
      </c>
      <c r="B21" s="14" t="s">
        <v>544</v>
      </c>
      <c r="C21" s="15">
        <v>46080</v>
      </c>
      <c r="D21" s="16" t="s">
        <v>566</v>
      </c>
      <c r="E21" s="14" t="s">
        <v>556</v>
      </c>
      <c r="F21" s="17" t="s">
        <v>567</v>
      </c>
      <c r="G21" s="17" t="s">
        <v>568</v>
      </c>
      <c r="H21" s="16" t="s">
        <v>569</v>
      </c>
      <c r="I21" s="18">
        <v>50</v>
      </c>
      <c r="J21" s="17" t="s">
        <v>507</v>
      </c>
      <c r="K21" s="61">
        <v>421837</v>
      </c>
      <c r="L21" s="62"/>
      <c r="M21" s="7"/>
    </row>
    <row r="22" spans="1:13" x14ac:dyDescent="0.25">
      <c r="A22" s="13">
        <f>+IF(B22="","",SUBTOTAL(3,$B$7:B22))</f>
        <v>16</v>
      </c>
      <c r="B22" s="14" t="s">
        <v>544</v>
      </c>
      <c r="C22" s="15">
        <v>46087</v>
      </c>
      <c r="D22" s="16" t="s">
        <v>566</v>
      </c>
      <c r="E22" s="14" t="s">
        <v>556</v>
      </c>
      <c r="F22" s="17" t="s">
        <v>567</v>
      </c>
      <c r="G22" s="17" t="s">
        <v>570</v>
      </c>
      <c r="H22" s="16" t="s">
        <v>571</v>
      </c>
      <c r="I22" s="18">
        <v>20</v>
      </c>
      <c r="J22" s="17" t="s">
        <v>512</v>
      </c>
      <c r="K22" s="61">
        <v>600860</v>
      </c>
      <c r="L22" s="62"/>
      <c r="M22" s="7"/>
    </row>
    <row r="23" spans="1:13" x14ac:dyDescent="0.25">
      <c r="A23" s="13">
        <f>+IF(B23="","",SUBTOTAL(3,$B$7:B23))</f>
        <v>17</v>
      </c>
      <c r="B23" s="14" t="s">
        <v>544</v>
      </c>
      <c r="C23" s="15">
        <v>46091</v>
      </c>
      <c r="D23" s="16" t="s">
        <v>572</v>
      </c>
      <c r="E23" s="14" t="s">
        <v>556</v>
      </c>
      <c r="F23" s="17" t="s">
        <v>573</v>
      </c>
      <c r="G23" s="17" t="s">
        <v>574</v>
      </c>
      <c r="H23" s="16" t="s">
        <v>575</v>
      </c>
      <c r="I23" s="18">
        <v>100</v>
      </c>
      <c r="J23" s="17" t="s">
        <v>507</v>
      </c>
      <c r="K23" s="61">
        <v>789000</v>
      </c>
      <c r="L23" s="62"/>
      <c r="M23" s="7"/>
    </row>
    <row r="24" spans="1:13" x14ac:dyDescent="0.25">
      <c r="A24" s="13">
        <f>+IF(B24="","",SUBTOTAL(3,$B$7:B24))</f>
        <v>18</v>
      </c>
      <c r="B24" s="14" t="s">
        <v>544</v>
      </c>
      <c r="C24" s="15">
        <v>46093</v>
      </c>
      <c r="D24" s="16" t="s">
        <v>576</v>
      </c>
      <c r="E24" s="14" t="s">
        <v>556</v>
      </c>
      <c r="F24" s="17" t="s">
        <v>577</v>
      </c>
      <c r="G24" s="17" t="s">
        <v>578</v>
      </c>
      <c r="H24" s="16" t="s">
        <v>579</v>
      </c>
      <c r="I24" s="18">
        <v>5</v>
      </c>
      <c r="J24" s="17" t="s">
        <v>507</v>
      </c>
      <c r="K24" s="61">
        <v>455000</v>
      </c>
      <c r="L24" s="62"/>
      <c r="M24" s="7"/>
    </row>
    <row r="25" spans="1:13" ht="60" x14ac:dyDescent="0.25">
      <c r="A25" s="13">
        <f>+IF(B25="","",SUBTOTAL(3,$B$7:B25))</f>
        <v>19</v>
      </c>
      <c r="B25" s="14" t="s">
        <v>532</v>
      </c>
      <c r="C25" s="15">
        <v>46093</v>
      </c>
      <c r="D25" s="16" t="s">
        <v>580</v>
      </c>
      <c r="E25" s="14" t="s">
        <v>533</v>
      </c>
      <c r="F25" s="17" t="s">
        <v>581</v>
      </c>
      <c r="G25" s="17" t="s">
        <v>582</v>
      </c>
      <c r="H25" s="16" t="s">
        <v>583</v>
      </c>
      <c r="I25" s="18">
        <v>1</v>
      </c>
      <c r="J25" s="17" t="s">
        <v>533</v>
      </c>
      <c r="K25" s="61">
        <v>7650542</v>
      </c>
      <c r="L25" s="62"/>
      <c r="M25" s="7"/>
    </row>
    <row r="26" spans="1:13" x14ac:dyDescent="0.25">
      <c r="A26" s="13">
        <f>+IF(B26="","",SUBTOTAL(3,$B$7:B26))</f>
        <v>20</v>
      </c>
      <c r="B26" s="14" t="s">
        <v>544</v>
      </c>
      <c r="C26" s="15">
        <v>46106</v>
      </c>
      <c r="D26" s="16" t="s">
        <v>584</v>
      </c>
      <c r="E26" s="14" t="s">
        <v>556</v>
      </c>
      <c r="F26" s="17" t="s">
        <v>585</v>
      </c>
      <c r="G26" s="17" t="s">
        <v>586</v>
      </c>
      <c r="H26" s="16" t="s">
        <v>587</v>
      </c>
      <c r="I26" s="18">
        <v>2</v>
      </c>
      <c r="J26" s="17" t="s">
        <v>507</v>
      </c>
      <c r="K26" s="61">
        <v>39780000</v>
      </c>
      <c r="L26" s="68"/>
      <c r="M26" s="7"/>
    </row>
    <row r="27" spans="1:13" x14ac:dyDescent="0.25">
      <c r="A27" s="13">
        <f>+IF(B27="","",SUBTOTAL(3,$B$7:B27))</f>
        <v>21</v>
      </c>
      <c r="B27" s="14" t="s">
        <v>544</v>
      </c>
      <c r="C27" s="15">
        <v>46106</v>
      </c>
      <c r="D27" s="16" t="s">
        <v>588</v>
      </c>
      <c r="E27" s="14" t="s">
        <v>556</v>
      </c>
      <c r="F27" s="17" t="s">
        <v>589</v>
      </c>
      <c r="G27" s="17" t="s">
        <v>590</v>
      </c>
      <c r="H27" s="16" t="s">
        <v>591</v>
      </c>
      <c r="I27" s="18">
        <v>50</v>
      </c>
      <c r="J27" s="17" t="s">
        <v>507</v>
      </c>
      <c r="K27" s="61">
        <v>940000</v>
      </c>
      <c r="L27" s="62"/>
      <c r="M27" s="7"/>
    </row>
    <row r="28" spans="1:13" x14ac:dyDescent="0.25">
      <c r="A28" s="13">
        <f>+IF(B28="","",SUBTOTAL(3,$B$7:B28))</f>
        <v>22</v>
      </c>
      <c r="B28" s="14" t="s">
        <v>544</v>
      </c>
      <c r="C28" s="15">
        <v>46106</v>
      </c>
      <c r="D28" s="16" t="s">
        <v>566</v>
      </c>
      <c r="E28" s="14" t="s">
        <v>556</v>
      </c>
      <c r="F28" s="17" t="s">
        <v>567</v>
      </c>
      <c r="G28" s="17" t="s">
        <v>592</v>
      </c>
      <c r="H28" s="16" t="s">
        <v>569</v>
      </c>
      <c r="I28" s="18">
        <v>100</v>
      </c>
      <c r="J28" s="17" t="s">
        <v>507</v>
      </c>
      <c r="K28" s="61">
        <v>233500</v>
      </c>
      <c r="L28" s="62"/>
      <c r="M28" s="7"/>
    </row>
    <row r="29" spans="1:13" x14ac:dyDescent="0.25">
      <c r="A29" s="13">
        <f>+IF(B29="","",SUBTOTAL(3,$B$7:B29))</f>
        <v>23</v>
      </c>
      <c r="B29" s="14" t="s">
        <v>544</v>
      </c>
      <c r="C29" s="15">
        <v>46106</v>
      </c>
      <c r="D29" s="16" t="s">
        <v>593</v>
      </c>
      <c r="E29" s="14" t="s">
        <v>556</v>
      </c>
      <c r="F29" s="17" t="s">
        <v>594</v>
      </c>
      <c r="G29" s="17">
        <v>4273689</v>
      </c>
      <c r="H29" s="16" t="s">
        <v>595</v>
      </c>
      <c r="I29" s="18">
        <v>50</v>
      </c>
      <c r="J29" s="17" t="s">
        <v>507</v>
      </c>
      <c r="K29" s="61">
        <v>350000</v>
      </c>
      <c r="L29" s="62"/>
      <c r="M29" s="7"/>
    </row>
    <row r="30" spans="1:13" ht="30" x14ac:dyDescent="0.25">
      <c r="A30" s="13">
        <f>+IF(B30="","",SUBTOTAL(3,$B$7:B30))</f>
        <v>24</v>
      </c>
      <c r="B30" s="14" t="s">
        <v>599</v>
      </c>
      <c r="C30" s="15">
        <v>46076</v>
      </c>
      <c r="D30" s="16" t="s">
        <v>596</v>
      </c>
      <c r="E30" s="14" t="s">
        <v>556</v>
      </c>
      <c r="F30" s="69">
        <v>31711951580030</v>
      </c>
      <c r="G30" s="17">
        <v>4158025</v>
      </c>
      <c r="H30" s="16" t="s">
        <v>597</v>
      </c>
      <c r="I30" s="18">
        <v>60</v>
      </c>
      <c r="J30" s="17" t="s">
        <v>598</v>
      </c>
      <c r="K30" s="61">
        <v>864000</v>
      </c>
      <c r="L30" s="62"/>
      <c r="M30" s="7"/>
    </row>
    <row r="31" spans="1:13" x14ac:dyDescent="0.25">
      <c r="A31" s="13">
        <f>+IF(B31="","",SUBTOTAL(3,$B$7:B31))</f>
        <v>25</v>
      </c>
      <c r="B31" s="14" t="s">
        <v>599</v>
      </c>
      <c r="C31" s="15">
        <v>46076</v>
      </c>
      <c r="D31" s="16" t="s">
        <v>600</v>
      </c>
      <c r="E31" s="14" t="s">
        <v>556</v>
      </c>
      <c r="F31" s="69">
        <v>42502573170022</v>
      </c>
      <c r="G31" s="17">
        <v>4158043</v>
      </c>
      <c r="H31" s="16" t="s">
        <v>488</v>
      </c>
      <c r="I31" s="18">
        <v>1</v>
      </c>
      <c r="J31" s="17" t="s">
        <v>601</v>
      </c>
      <c r="K31" s="61">
        <v>1400000</v>
      </c>
      <c r="L31" s="64"/>
      <c r="M31" s="7"/>
    </row>
    <row r="32" spans="1:13" x14ac:dyDescent="0.25">
      <c r="A32" s="13">
        <f>+IF(B32="","",SUBTOTAL(3,$B$7:B32))</f>
        <v>26</v>
      </c>
      <c r="B32" s="14" t="s">
        <v>599</v>
      </c>
      <c r="C32" s="15">
        <v>46076</v>
      </c>
      <c r="D32" s="16" t="s">
        <v>602</v>
      </c>
      <c r="E32" s="14" t="s">
        <v>556</v>
      </c>
      <c r="F32" s="17">
        <v>312216934</v>
      </c>
      <c r="G32" s="17">
        <v>4158066</v>
      </c>
      <c r="H32" s="16" t="s">
        <v>603</v>
      </c>
      <c r="I32" s="18">
        <v>10</v>
      </c>
      <c r="J32" s="17" t="s">
        <v>507</v>
      </c>
      <c r="K32" s="61">
        <v>299980</v>
      </c>
      <c r="L32" s="62"/>
      <c r="M32" s="7"/>
    </row>
    <row r="33" spans="1:13" x14ac:dyDescent="0.25">
      <c r="A33" s="13">
        <f>+IF(B33="","",SUBTOTAL(3,$B$7:B33))</f>
        <v>27</v>
      </c>
      <c r="B33" s="14" t="s">
        <v>599</v>
      </c>
      <c r="C33" s="15">
        <v>46076</v>
      </c>
      <c r="D33" s="16" t="s">
        <v>604</v>
      </c>
      <c r="E33" s="14" t="s">
        <v>556</v>
      </c>
      <c r="F33" s="17">
        <v>203526175</v>
      </c>
      <c r="G33" s="17">
        <v>4158622</v>
      </c>
      <c r="H33" s="16" t="s">
        <v>605</v>
      </c>
      <c r="I33" s="18">
        <v>80000</v>
      </c>
      <c r="J33" s="17" t="s">
        <v>507</v>
      </c>
      <c r="K33" s="61">
        <v>2640000</v>
      </c>
      <c r="L33" s="62"/>
      <c r="M33" s="7"/>
    </row>
    <row r="34" spans="1:13" x14ac:dyDescent="0.25">
      <c r="A34" s="13">
        <f>+IF(B34="","",SUBTOTAL(3,$B$7:B34))</f>
        <v>28</v>
      </c>
      <c r="B34" s="14" t="s">
        <v>599</v>
      </c>
      <c r="C34" s="15">
        <v>46076</v>
      </c>
      <c r="D34" s="16" t="s">
        <v>607</v>
      </c>
      <c r="E34" s="14" t="s">
        <v>556</v>
      </c>
      <c r="F34" s="17">
        <v>303018986</v>
      </c>
      <c r="G34" s="17">
        <v>4158624</v>
      </c>
      <c r="H34" s="16" t="s">
        <v>606</v>
      </c>
      <c r="I34" s="18">
        <v>800000</v>
      </c>
      <c r="J34" s="17" t="s">
        <v>507</v>
      </c>
      <c r="K34" s="61">
        <v>10400000</v>
      </c>
      <c r="L34" s="62"/>
      <c r="M34" s="7"/>
    </row>
    <row r="35" spans="1:13" x14ac:dyDescent="0.25">
      <c r="A35" s="13">
        <f>+IF(B35="","",SUBTOTAL(3,$B$7:B35))</f>
        <v>29</v>
      </c>
      <c r="B35" s="14" t="s">
        <v>599</v>
      </c>
      <c r="C35" s="15">
        <v>46076</v>
      </c>
      <c r="D35" s="16" t="s">
        <v>608</v>
      </c>
      <c r="E35" s="14" t="s">
        <v>556</v>
      </c>
      <c r="F35" s="17">
        <v>312239668</v>
      </c>
      <c r="G35" s="17" t="s">
        <v>609</v>
      </c>
      <c r="H35" s="16" t="s">
        <v>561</v>
      </c>
      <c r="I35" s="18">
        <v>20</v>
      </c>
      <c r="J35" s="17" t="s">
        <v>507</v>
      </c>
      <c r="K35" s="61">
        <v>664000</v>
      </c>
      <c r="L35" s="62"/>
      <c r="M35" s="7"/>
    </row>
    <row r="36" spans="1:13" x14ac:dyDescent="0.25">
      <c r="A36" s="13">
        <f>+IF(B36="","",SUBTOTAL(3,$B$7:B36))</f>
        <v>30</v>
      </c>
      <c r="B36" s="14" t="s">
        <v>599</v>
      </c>
      <c r="C36" s="15">
        <v>46085</v>
      </c>
      <c r="D36" s="16" t="s">
        <v>610</v>
      </c>
      <c r="E36" s="14" t="s">
        <v>556</v>
      </c>
      <c r="F36" s="69">
        <v>40501776520030</v>
      </c>
      <c r="G36" s="17">
        <v>4198575</v>
      </c>
      <c r="H36" s="16" t="s">
        <v>611</v>
      </c>
      <c r="I36" s="18">
        <v>20</v>
      </c>
      <c r="J36" s="17" t="s">
        <v>507</v>
      </c>
      <c r="K36" s="61">
        <v>133333.20000000001</v>
      </c>
      <c r="L36" s="62"/>
      <c r="M36" s="7"/>
    </row>
    <row r="37" spans="1:13" ht="30" x14ac:dyDescent="0.25">
      <c r="A37" s="13">
        <f>+IF(B37="","",SUBTOTAL(3,$B$7:B37))</f>
        <v>31</v>
      </c>
      <c r="B37" s="14" t="s">
        <v>599</v>
      </c>
      <c r="C37" s="15">
        <v>46085</v>
      </c>
      <c r="D37" s="16" t="s">
        <v>566</v>
      </c>
      <c r="E37" s="14" t="s">
        <v>556</v>
      </c>
      <c r="F37" s="17" t="s">
        <v>567</v>
      </c>
      <c r="G37" s="17">
        <v>4198584</v>
      </c>
      <c r="H37" s="16" t="s">
        <v>612</v>
      </c>
      <c r="I37" s="18">
        <v>50</v>
      </c>
      <c r="J37" s="17" t="s">
        <v>507</v>
      </c>
      <c r="K37" s="61">
        <v>576550</v>
      </c>
      <c r="L37" s="62"/>
      <c r="M37" s="7"/>
    </row>
    <row r="38" spans="1:13" ht="30" x14ac:dyDescent="0.25">
      <c r="A38" s="13">
        <f>+IF(B38="","",SUBTOTAL(3,$B$7:B38))</f>
        <v>32</v>
      </c>
      <c r="B38" s="14" t="s">
        <v>599</v>
      </c>
      <c r="C38" s="15">
        <v>46085</v>
      </c>
      <c r="D38" s="16" t="s">
        <v>613</v>
      </c>
      <c r="E38" s="14" t="s">
        <v>556</v>
      </c>
      <c r="F38" s="69">
        <v>31109966290037</v>
      </c>
      <c r="G38" s="17">
        <v>4198587</v>
      </c>
      <c r="H38" s="16" t="s">
        <v>614</v>
      </c>
      <c r="I38" s="18">
        <v>500</v>
      </c>
      <c r="J38" s="17" t="s">
        <v>507</v>
      </c>
      <c r="K38" s="61">
        <v>699500</v>
      </c>
      <c r="L38" s="62"/>
      <c r="M38" s="7"/>
    </row>
    <row r="39" spans="1:13" x14ac:dyDescent="0.25">
      <c r="A39" s="13" t="str">
        <f>+IF(B39="","",SUBTOTAL(3,$B$7:B39))</f>
        <v/>
      </c>
      <c r="B39" s="14"/>
      <c r="C39" s="15"/>
      <c r="D39" s="16"/>
      <c r="E39" s="14"/>
      <c r="F39" s="17"/>
      <c r="G39" s="17"/>
      <c r="H39" s="16"/>
      <c r="I39" s="18"/>
      <c r="J39" s="17"/>
      <c r="K39" s="61"/>
      <c r="L39" s="62"/>
      <c r="M39" s="7"/>
    </row>
    <row r="40" spans="1:13" x14ac:dyDescent="0.25">
      <c r="A40" s="13" t="str">
        <f>+IF(B40="","",SUBTOTAL(3,$B$7:B40))</f>
        <v/>
      </c>
      <c r="B40" s="14"/>
      <c r="C40" s="15"/>
      <c r="D40" s="16"/>
      <c r="E40" s="14"/>
      <c r="F40" s="17"/>
      <c r="G40" s="17"/>
      <c r="H40" s="16"/>
      <c r="I40" s="18"/>
      <c r="J40" s="17"/>
      <c r="K40" s="61"/>
      <c r="L40" s="62"/>
      <c r="M40" s="7"/>
    </row>
    <row r="41" spans="1:13" x14ac:dyDescent="0.25">
      <c r="A41" s="13" t="str">
        <f>+IF(B41="","",SUBTOTAL(3,$B$7:B41))</f>
        <v/>
      </c>
      <c r="B41" s="14"/>
      <c r="C41" s="15"/>
      <c r="D41" s="16"/>
      <c r="E41" s="14"/>
      <c r="F41" s="17"/>
      <c r="G41" s="17"/>
      <c r="H41" s="16"/>
      <c r="I41" s="18"/>
      <c r="J41" s="17"/>
      <c r="K41" s="61"/>
      <c r="L41" s="62"/>
      <c r="M41" s="7"/>
    </row>
    <row r="42" spans="1:13" x14ac:dyDescent="0.25">
      <c r="A42" s="13" t="str">
        <f>+IF(B42="","",SUBTOTAL(3,$B$7:B42))</f>
        <v/>
      </c>
      <c r="B42" s="14"/>
      <c r="C42" s="15"/>
      <c r="D42" s="16"/>
      <c r="E42" s="14"/>
      <c r="F42" s="17"/>
      <c r="G42" s="17"/>
      <c r="H42" s="16"/>
      <c r="I42" s="18"/>
      <c r="J42" s="17"/>
      <c r="K42" s="61"/>
      <c r="L42" s="62"/>
      <c r="M42" s="7"/>
    </row>
    <row r="43" spans="1:13" x14ac:dyDescent="0.25">
      <c r="A43" s="13" t="str">
        <f>+IF(B43="","",SUBTOTAL(3,$B$7:B43))</f>
        <v/>
      </c>
      <c r="B43" s="14"/>
      <c r="C43" s="15"/>
      <c r="D43" s="16"/>
      <c r="E43" s="14"/>
      <c r="F43" s="17"/>
      <c r="G43" s="17"/>
      <c r="H43" s="16"/>
      <c r="I43" s="18"/>
      <c r="J43" s="17"/>
      <c r="K43" s="61"/>
      <c r="L43" s="62"/>
      <c r="M43" s="7"/>
    </row>
    <row r="44" spans="1:13" x14ac:dyDescent="0.25">
      <c r="A44" s="13" t="str">
        <f>+IF(B44="","",SUBTOTAL(3,$B$7:B44))</f>
        <v/>
      </c>
      <c r="B44" s="14"/>
      <c r="C44" s="15"/>
      <c r="D44" s="16"/>
      <c r="E44" s="14"/>
      <c r="F44" s="17"/>
      <c r="G44" s="17"/>
      <c r="H44" s="16"/>
      <c r="I44" s="18"/>
      <c r="J44" s="17"/>
      <c r="K44" s="61"/>
      <c r="L44" s="62"/>
      <c r="M44" s="7"/>
    </row>
    <row r="45" spans="1:13" x14ac:dyDescent="0.25">
      <c r="A45" s="13" t="str">
        <f>+IF(B45="","",SUBTOTAL(3,$B$7:B45))</f>
        <v/>
      </c>
      <c r="B45" s="14"/>
      <c r="C45" s="15"/>
      <c r="D45" s="16"/>
      <c r="E45" s="14"/>
      <c r="F45" s="17"/>
      <c r="G45" s="17"/>
      <c r="H45" s="16"/>
      <c r="I45" s="18"/>
      <c r="J45" s="17"/>
      <c r="K45" s="61"/>
      <c r="L45" s="62"/>
      <c r="M45" s="7"/>
    </row>
    <row r="46" spans="1:13" x14ac:dyDescent="0.25">
      <c r="A46" s="13" t="str">
        <f>+IF(B46="","",SUBTOTAL(3,$B$7:B46))</f>
        <v/>
      </c>
      <c r="B46" s="14"/>
      <c r="C46" s="15"/>
      <c r="D46" s="16"/>
      <c r="E46" s="14"/>
      <c r="F46" s="17"/>
      <c r="G46" s="17"/>
      <c r="H46" s="16"/>
      <c r="I46" s="18"/>
      <c r="J46" s="17"/>
      <c r="K46" s="61"/>
      <c r="L46" s="62"/>
      <c r="M46" s="7"/>
    </row>
    <row r="47" spans="1:13" x14ac:dyDescent="0.25">
      <c r="A47" s="13" t="str">
        <f>+IF(B47="","",SUBTOTAL(3,$B$7:B47))</f>
        <v/>
      </c>
      <c r="B47" s="14"/>
      <c r="C47" s="15"/>
      <c r="D47" s="16"/>
      <c r="E47" s="14"/>
      <c r="F47" s="17"/>
      <c r="G47" s="17"/>
      <c r="H47" s="16"/>
      <c r="I47" s="18"/>
      <c r="J47" s="17"/>
      <c r="K47" s="61"/>
      <c r="L47" s="62"/>
      <c r="M47" s="7"/>
    </row>
    <row r="48" spans="1:13" x14ac:dyDescent="0.25">
      <c r="A48" s="13" t="str">
        <f>+IF(B48="","",SUBTOTAL(3,$B$7:B48))</f>
        <v/>
      </c>
      <c r="B48" s="14"/>
      <c r="C48" s="15"/>
      <c r="D48" s="16"/>
      <c r="E48" s="14"/>
      <c r="F48" s="17"/>
      <c r="G48" s="17"/>
      <c r="H48" s="16"/>
      <c r="I48" s="18"/>
      <c r="J48" s="17"/>
      <c r="K48" s="61"/>
      <c r="L48" s="62"/>
      <c r="M48" s="7"/>
    </row>
    <row r="49" spans="1:13" x14ac:dyDescent="0.25">
      <c r="A49" s="13" t="str">
        <f>+IF(B49="","",SUBTOTAL(3,$B$7:B49))</f>
        <v/>
      </c>
      <c r="B49" s="14"/>
      <c r="C49" s="15"/>
      <c r="D49" s="16"/>
      <c r="E49" s="14"/>
      <c r="F49" s="17"/>
      <c r="G49" s="17"/>
      <c r="H49" s="16"/>
      <c r="I49" s="18"/>
      <c r="J49" s="17"/>
      <c r="K49" s="61"/>
      <c r="L49" s="62"/>
      <c r="M49" s="7"/>
    </row>
    <row r="50" spans="1:13" x14ac:dyDescent="0.25">
      <c r="A50" s="13" t="str">
        <f>+IF(B50="","",SUBTOTAL(3,$B$7:B50))</f>
        <v/>
      </c>
      <c r="B50" s="14"/>
      <c r="C50" s="15"/>
      <c r="D50" s="16"/>
      <c r="E50" s="14"/>
      <c r="F50" s="17"/>
      <c r="G50" s="17"/>
      <c r="H50" s="16"/>
      <c r="I50" s="18"/>
      <c r="J50" s="17"/>
      <c r="K50" s="61"/>
      <c r="L50" s="62"/>
      <c r="M50" s="7"/>
    </row>
    <row r="51" spans="1:13" x14ac:dyDescent="0.25">
      <c r="A51" s="13" t="str">
        <f>+IF(B51="","",SUBTOTAL(3,$B$7:B51))</f>
        <v/>
      </c>
      <c r="B51" s="14"/>
      <c r="C51" s="15"/>
      <c r="D51" s="16"/>
      <c r="E51" s="14"/>
      <c r="F51" s="17"/>
      <c r="G51" s="17"/>
      <c r="H51" s="16"/>
      <c r="I51" s="18"/>
      <c r="J51" s="17"/>
      <c r="K51" s="61"/>
      <c r="L51" s="62"/>
      <c r="M51" s="7"/>
    </row>
    <row r="52" spans="1:13" x14ac:dyDescent="0.25">
      <c r="A52" s="13" t="str">
        <f>+IF(B52="","",SUBTOTAL(3,$B$7:B52))</f>
        <v/>
      </c>
      <c r="B52" s="14"/>
      <c r="C52" s="15"/>
      <c r="D52" s="16"/>
      <c r="E52" s="14"/>
      <c r="F52" s="17"/>
      <c r="G52" s="17"/>
      <c r="H52" s="16"/>
      <c r="I52" s="18"/>
      <c r="J52" s="17"/>
      <c r="K52" s="61"/>
      <c r="L52" s="62"/>
      <c r="M52" s="7"/>
    </row>
    <row r="53" spans="1:13" x14ac:dyDescent="0.25">
      <c r="A53" s="13" t="str">
        <f>+IF(B53="","",SUBTOTAL(3,$B$7:B53))</f>
        <v/>
      </c>
      <c r="B53" s="14"/>
      <c r="C53" s="15"/>
      <c r="D53" s="16"/>
      <c r="E53" s="14"/>
      <c r="F53" s="17"/>
      <c r="G53" s="17"/>
      <c r="H53" s="16"/>
      <c r="I53" s="18"/>
      <c r="J53" s="17"/>
      <c r="K53" s="61"/>
      <c r="L53" s="62"/>
      <c r="M53" s="7"/>
    </row>
    <row r="54" spans="1:13" x14ac:dyDescent="0.25">
      <c r="A54" s="13" t="str">
        <f>+IF(B54="","",SUBTOTAL(3,$B$7:B54))</f>
        <v/>
      </c>
      <c r="B54" s="14"/>
      <c r="C54" s="15"/>
      <c r="D54" s="16"/>
      <c r="E54" s="14"/>
      <c r="F54" s="17"/>
      <c r="G54" s="17"/>
      <c r="H54" s="16"/>
      <c r="I54" s="18"/>
      <c r="J54" s="17"/>
      <c r="K54" s="61"/>
      <c r="L54" s="62"/>
      <c r="M54" s="7"/>
    </row>
    <row r="55" spans="1:13" x14ac:dyDescent="0.25">
      <c r="A55" s="13" t="str">
        <f>+IF(B55="","",SUBTOTAL(3,$B$7:B55))</f>
        <v/>
      </c>
      <c r="B55" s="14"/>
      <c r="C55" s="15"/>
      <c r="D55" s="16"/>
      <c r="E55" s="14"/>
      <c r="F55" s="17"/>
      <c r="G55" s="17"/>
      <c r="H55" s="16"/>
      <c r="I55" s="18"/>
      <c r="J55" s="17"/>
      <c r="K55" s="61"/>
      <c r="L55" s="62"/>
      <c r="M55" s="7"/>
    </row>
    <row r="56" spans="1:13" x14ac:dyDescent="0.25">
      <c r="A56" s="13" t="str">
        <f>+IF(B56="","",SUBTOTAL(3,$B$7:B56))</f>
        <v/>
      </c>
      <c r="B56" s="14"/>
      <c r="C56" s="15"/>
      <c r="D56" s="16"/>
      <c r="E56" s="14"/>
      <c r="F56" s="17"/>
      <c r="G56" s="17"/>
      <c r="H56" s="16"/>
      <c r="I56" s="18"/>
      <c r="J56" s="17"/>
      <c r="K56" s="61"/>
      <c r="L56" s="62"/>
      <c r="M56" s="7"/>
    </row>
    <row r="57" spans="1:13" x14ac:dyDescent="0.25">
      <c r="A57" s="13" t="str">
        <f>+IF(B57="","",SUBTOTAL(3,$B$7:B57))</f>
        <v/>
      </c>
      <c r="B57" s="14"/>
      <c r="C57" s="15"/>
      <c r="D57" s="16"/>
      <c r="E57" s="14"/>
      <c r="F57" s="17"/>
      <c r="G57" s="17"/>
      <c r="H57" s="16"/>
      <c r="I57" s="18"/>
      <c r="J57" s="17"/>
      <c r="K57" s="61"/>
      <c r="L57" s="62"/>
      <c r="M57" s="7"/>
    </row>
    <row r="58" spans="1:13" x14ac:dyDescent="0.25">
      <c r="A58" s="13" t="str">
        <f>+IF(B58="","",SUBTOTAL(3,$B$7:B58))</f>
        <v/>
      </c>
      <c r="B58" s="14"/>
      <c r="C58" s="15"/>
      <c r="D58" s="16"/>
      <c r="E58" s="14"/>
      <c r="F58" s="17"/>
      <c r="G58" s="17"/>
      <c r="H58" s="16"/>
      <c r="I58" s="18"/>
      <c r="J58" s="17"/>
      <c r="K58" s="61"/>
      <c r="L58" s="62"/>
      <c r="M58" s="7"/>
    </row>
    <row r="59" spans="1:13" x14ac:dyDescent="0.25">
      <c r="A59" s="13" t="str">
        <f>+IF(B59="","",SUBTOTAL(3,$B$7:B59))</f>
        <v/>
      </c>
      <c r="B59" s="14"/>
      <c r="C59" s="15"/>
      <c r="D59" s="16"/>
      <c r="E59" s="14"/>
      <c r="F59" s="17"/>
      <c r="G59" s="17"/>
      <c r="H59" s="16"/>
      <c r="I59" s="18"/>
      <c r="J59" s="17"/>
      <c r="K59" s="61"/>
      <c r="L59" s="62"/>
      <c r="M59" s="7"/>
    </row>
    <row r="60" spans="1:13" x14ac:dyDescent="0.25">
      <c r="A60" s="13" t="str">
        <f>+IF(B60="","",SUBTOTAL(3,$B$7:B60))</f>
        <v/>
      </c>
      <c r="B60" s="14"/>
      <c r="C60" s="15"/>
      <c r="D60" s="16"/>
      <c r="E60" s="14"/>
      <c r="F60" s="17"/>
      <c r="G60" s="17"/>
      <c r="H60" s="16"/>
      <c r="I60" s="18"/>
      <c r="J60" s="17"/>
      <c r="K60" s="61"/>
      <c r="L60" s="62"/>
      <c r="M60" s="7"/>
    </row>
    <row r="61" spans="1:13" x14ac:dyDescent="0.25">
      <c r="A61" s="13" t="str">
        <f>+IF(B61="","",SUBTOTAL(3,$B$7:B61))</f>
        <v/>
      </c>
      <c r="B61" s="14"/>
      <c r="C61" s="15"/>
      <c r="D61" s="16"/>
      <c r="E61" s="14"/>
      <c r="F61" s="17"/>
      <c r="G61" s="17"/>
      <c r="H61" s="16"/>
      <c r="I61" s="18"/>
      <c r="J61" s="17"/>
      <c r="K61" s="61"/>
      <c r="L61" s="62"/>
      <c r="M61" s="7"/>
    </row>
    <row r="62" spans="1:13" x14ac:dyDescent="0.25">
      <c r="A62" s="13" t="str">
        <f>+IF(B62="","",SUBTOTAL(3,$B$7:B62))</f>
        <v/>
      </c>
      <c r="B62" s="14"/>
      <c r="C62" s="15"/>
      <c r="D62" s="16"/>
      <c r="E62" s="14"/>
      <c r="F62" s="17"/>
      <c r="G62" s="17"/>
      <c r="H62" s="16"/>
      <c r="I62" s="18"/>
      <c r="J62" s="17"/>
      <c r="K62" s="61"/>
      <c r="L62" s="62"/>
      <c r="M62" s="7"/>
    </row>
    <row r="63" spans="1:13" x14ac:dyDescent="0.25">
      <c r="A63" s="13" t="str">
        <f>+IF(B63="","",SUBTOTAL(3,$B$7:B63))</f>
        <v/>
      </c>
      <c r="B63" s="14"/>
      <c r="C63" s="15"/>
      <c r="D63" s="16"/>
      <c r="E63" s="14"/>
      <c r="F63" s="17"/>
      <c r="G63" s="17"/>
      <c r="H63" s="16"/>
      <c r="I63" s="18"/>
      <c r="J63" s="17"/>
      <c r="K63" s="61"/>
      <c r="L63" s="62"/>
      <c r="M63" s="7"/>
    </row>
    <row r="64" spans="1:13" x14ac:dyDescent="0.25">
      <c r="A64" s="13" t="str">
        <f>+IF(B64="","",SUBTOTAL(3,$B$7:B64))</f>
        <v/>
      </c>
      <c r="B64" s="14"/>
      <c r="C64" s="15"/>
      <c r="D64" s="16"/>
      <c r="E64" s="14"/>
      <c r="F64" s="17"/>
      <c r="G64" s="17"/>
      <c r="H64" s="16"/>
      <c r="I64" s="18"/>
      <c r="J64" s="17"/>
      <c r="K64" s="61"/>
      <c r="L64" s="62"/>
      <c r="M64" s="7"/>
    </row>
    <row r="65" spans="1:13" x14ac:dyDescent="0.25">
      <c r="A65" s="13" t="str">
        <f>+IF(B65="","",SUBTOTAL(3,$B$7:B65))</f>
        <v/>
      </c>
      <c r="B65" s="14"/>
      <c r="C65" s="15"/>
      <c r="D65" s="16"/>
      <c r="E65" s="14"/>
      <c r="F65" s="17"/>
      <c r="G65" s="17"/>
      <c r="H65" s="16"/>
      <c r="I65" s="18"/>
      <c r="J65" s="17"/>
      <c r="K65" s="61"/>
      <c r="L65" s="62"/>
      <c r="M65" s="7"/>
    </row>
    <row r="66" spans="1:13" x14ac:dyDescent="0.25">
      <c r="A66" s="13" t="str">
        <f>+IF(B66="","",SUBTOTAL(3,$B$7:B66))</f>
        <v/>
      </c>
      <c r="B66" s="14"/>
      <c r="C66" s="15"/>
      <c r="D66" s="16"/>
      <c r="E66" s="14"/>
      <c r="F66" s="17"/>
      <c r="G66" s="17"/>
      <c r="H66" s="16"/>
      <c r="I66" s="18"/>
      <c r="J66" s="17"/>
      <c r="K66" s="61"/>
      <c r="L66" s="62"/>
      <c r="M66" s="7"/>
    </row>
    <row r="67" spans="1:13" x14ac:dyDescent="0.25">
      <c r="A67" s="13" t="str">
        <f>+IF(B67="","",SUBTOTAL(3,$B$7:B67))</f>
        <v/>
      </c>
      <c r="B67" s="14"/>
      <c r="C67" s="15"/>
      <c r="D67" s="16"/>
      <c r="E67" s="14"/>
      <c r="F67" s="17"/>
      <c r="G67" s="17"/>
      <c r="H67" s="16"/>
      <c r="I67" s="18"/>
      <c r="J67" s="17"/>
      <c r="K67" s="61"/>
      <c r="L67" s="62"/>
      <c r="M67" s="7"/>
    </row>
    <row r="68" spans="1:13" x14ac:dyDescent="0.25">
      <c r="A68" s="13" t="str">
        <f>+IF(B68="","",SUBTOTAL(3,$B$7:B68))</f>
        <v/>
      </c>
      <c r="B68" s="14"/>
      <c r="C68" s="15"/>
      <c r="D68" s="16"/>
      <c r="E68" s="14"/>
      <c r="F68" s="17"/>
      <c r="G68" s="17"/>
      <c r="H68" s="16"/>
      <c r="I68" s="18"/>
      <c r="J68" s="17"/>
      <c r="K68" s="61"/>
      <c r="L68" s="62"/>
      <c r="M68" s="7"/>
    </row>
    <row r="69" spans="1:13" x14ac:dyDescent="0.25">
      <c r="A69" s="13" t="str">
        <f>+IF(B69="","",SUBTOTAL(3,$B$7:B69))</f>
        <v/>
      </c>
      <c r="B69" s="14"/>
      <c r="C69" s="15"/>
      <c r="D69" s="16"/>
      <c r="E69" s="14"/>
      <c r="F69" s="17"/>
      <c r="G69" s="17"/>
      <c r="H69" s="16"/>
      <c r="I69" s="18"/>
      <c r="J69" s="17"/>
      <c r="K69" s="61"/>
      <c r="L69" s="62"/>
      <c r="M69" s="7"/>
    </row>
    <row r="70" spans="1:13" x14ac:dyDescent="0.25">
      <c r="A70" s="13" t="str">
        <f>+IF(B70="","",SUBTOTAL(3,$B$7:B70))</f>
        <v/>
      </c>
      <c r="B70" s="14"/>
      <c r="C70" s="15"/>
      <c r="D70" s="16"/>
      <c r="E70" s="14"/>
      <c r="F70" s="17"/>
      <c r="G70" s="17"/>
      <c r="H70" s="16"/>
      <c r="I70" s="18"/>
      <c r="J70" s="17"/>
      <c r="K70" s="61"/>
      <c r="L70" s="62"/>
      <c r="M70" s="7"/>
    </row>
    <row r="71" spans="1:13" x14ac:dyDescent="0.25">
      <c r="A71" s="13" t="str">
        <f>+IF(B71="","",SUBTOTAL(3,$B$7:B71))</f>
        <v/>
      </c>
      <c r="B71" s="14"/>
      <c r="C71" s="15"/>
      <c r="D71" s="16"/>
      <c r="E71" s="14"/>
      <c r="F71" s="17"/>
      <c r="G71" s="15"/>
      <c r="H71" s="16"/>
      <c r="I71" s="18"/>
      <c r="J71" s="17"/>
      <c r="K71" s="61"/>
      <c r="L71" s="62"/>
      <c r="M71" s="7"/>
    </row>
    <row r="72" spans="1:13" x14ac:dyDescent="0.25">
      <c r="A72" s="13" t="str">
        <f>+IF(B72="","",SUBTOTAL(3,$B$7:B72))</f>
        <v/>
      </c>
      <c r="B72" s="14"/>
      <c r="C72" s="15"/>
      <c r="D72" s="16"/>
      <c r="E72" s="14"/>
      <c r="F72" s="17"/>
      <c r="G72" s="17"/>
      <c r="H72" s="16"/>
      <c r="I72" s="18"/>
      <c r="J72" s="14"/>
      <c r="K72" s="61"/>
      <c r="L72" s="62"/>
      <c r="M72" s="7"/>
    </row>
    <row r="73" spans="1:13" x14ac:dyDescent="0.25">
      <c r="A73" s="13" t="str">
        <f>+IF(B73="","",SUBTOTAL(3,$B$7:B73))</f>
        <v/>
      </c>
      <c r="B73" s="14"/>
      <c r="C73" s="15"/>
      <c r="D73" s="16"/>
      <c r="E73" s="14"/>
      <c r="F73" s="17"/>
      <c r="G73" s="17"/>
      <c r="H73" s="16"/>
      <c r="I73" s="18"/>
      <c r="J73" s="17"/>
      <c r="K73" s="61"/>
      <c r="L73" s="62"/>
      <c r="M73" s="7"/>
    </row>
    <row r="74" spans="1:13" x14ac:dyDescent="0.25">
      <c r="A74" s="13" t="str">
        <f>+IF(B74="","",SUBTOTAL(3,$B$7:B74))</f>
        <v/>
      </c>
      <c r="B74" s="14"/>
      <c r="C74" s="15"/>
      <c r="D74" s="16"/>
      <c r="E74" s="14"/>
      <c r="F74" s="17"/>
      <c r="G74" s="17"/>
      <c r="H74" s="16"/>
      <c r="I74" s="18"/>
      <c r="J74" s="17"/>
      <c r="K74" s="61"/>
      <c r="L74" s="62"/>
      <c r="M74" s="7"/>
    </row>
    <row r="75" spans="1:13" x14ac:dyDescent="0.25">
      <c r="A75" s="13" t="str">
        <f>+IF(B75="","",SUBTOTAL(3,$B$7:B75))</f>
        <v/>
      </c>
      <c r="B75" s="14"/>
      <c r="C75" s="15"/>
      <c r="D75" s="16"/>
      <c r="E75" s="14"/>
      <c r="F75" s="17"/>
      <c r="G75" s="17"/>
      <c r="H75" s="16"/>
      <c r="I75" s="18"/>
      <c r="J75" s="17"/>
      <c r="K75" s="61"/>
      <c r="L75" s="62"/>
      <c r="M75" s="7"/>
    </row>
    <row r="76" spans="1:13" x14ac:dyDescent="0.25">
      <c r="A76" s="13" t="str">
        <f>+IF(B76="","",SUBTOTAL(3,$B$7:B76))</f>
        <v/>
      </c>
      <c r="B76" s="14"/>
      <c r="C76" s="15"/>
      <c r="D76" s="16"/>
      <c r="E76" s="14"/>
      <c r="F76" s="17"/>
      <c r="G76" s="17"/>
      <c r="H76" s="16"/>
      <c r="I76" s="18"/>
      <c r="J76" s="17"/>
      <c r="K76" s="61"/>
      <c r="L76" s="62"/>
      <c r="M76" s="7"/>
    </row>
    <row r="77" spans="1:13" x14ac:dyDescent="0.25">
      <c r="A77" s="13" t="str">
        <f>+IF(B77="","",SUBTOTAL(3,$B$7:B77))</f>
        <v/>
      </c>
      <c r="B77" s="14"/>
      <c r="C77" s="15"/>
      <c r="D77" s="16"/>
      <c r="E77" s="14"/>
      <c r="F77" s="17"/>
      <c r="G77" s="17"/>
      <c r="H77" s="16"/>
      <c r="I77" s="18"/>
      <c r="J77" s="17"/>
      <c r="K77" s="61"/>
      <c r="L77" s="62"/>
      <c r="M77" s="7"/>
    </row>
    <row r="78" spans="1:13" x14ac:dyDescent="0.25">
      <c r="A78" s="13" t="str">
        <f>+IF(B78="","",SUBTOTAL(3,$B$7:B78))</f>
        <v/>
      </c>
      <c r="B78" s="14"/>
      <c r="C78" s="15"/>
      <c r="D78" s="16"/>
      <c r="E78" s="14"/>
      <c r="F78" s="17"/>
      <c r="G78" s="17"/>
      <c r="H78" s="16"/>
      <c r="I78" s="18"/>
      <c r="J78" s="17"/>
      <c r="K78" s="61"/>
      <c r="L78" s="62"/>
      <c r="M78" s="7"/>
    </row>
    <row r="79" spans="1:13" x14ac:dyDescent="0.25">
      <c r="A79" s="13" t="str">
        <f>+IF(B79="","",SUBTOTAL(3,$B$7:B79))</f>
        <v/>
      </c>
      <c r="B79" s="14"/>
      <c r="C79" s="15"/>
      <c r="D79" s="16"/>
      <c r="E79" s="14"/>
      <c r="F79" s="17"/>
      <c r="G79" s="17"/>
      <c r="H79" s="16"/>
      <c r="I79" s="18"/>
      <c r="J79" s="17"/>
      <c r="K79" s="61"/>
      <c r="L79" s="62"/>
      <c r="M79" s="7"/>
    </row>
    <row r="80" spans="1:13" x14ac:dyDescent="0.25">
      <c r="A80" s="13" t="str">
        <f>+IF(B80="","",SUBTOTAL(3,$B$7:B80))</f>
        <v/>
      </c>
      <c r="B80" s="14"/>
      <c r="C80" s="15"/>
      <c r="D80" s="16"/>
      <c r="E80" s="14"/>
      <c r="F80" s="17"/>
      <c r="G80" s="17"/>
      <c r="H80" s="16"/>
      <c r="I80" s="18"/>
      <c r="J80" s="17"/>
      <c r="K80" s="61"/>
      <c r="L80" s="62"/>
      <c r="M80" s="7"/>
    </row>
    <row r="81" spans="1:13" x14ac:dyDescent="0.25">
      <c r="A81" s="13" t="str">
        <f>+IF(B81="","",SUBTOTAL(3,$B$7:B81))</f>
        <v/>
      </c>
      <c r="B81" s="14"/>
      <c r="C81" s="15"/>
      <c r="D81" s="16"/>
      <c r="E81" s="14"/>
      <c r="F81" s="17"/>
      <c r="G81" s="17"/>
      <c r="H81" s="16"/>
      <c r="I81" s="18"/>
      <c r="J81" s="17"/>
      <c r="K81" s="61"/>
      <c r="L81" s="62"/>
      <c r="M81" s="7"/>
    </row>
    <row r="82" spans="1:13" x14ac:dyDescent="0.25">
      <c r="A82" s="13" t="str">
        <f>+IF(B82="","",SUBTOTAL(3,$B$7:B82))</f>
        <v/>
      </c>
      <c r="B82" s="14"/>
      <c r="C82" s="15"/>
      <c r="D82" s="16"/>
      <c r="E82" s="14"/>
      <c r="F82" s="17"/>
      <c r="G82" s="17"/>
      <c r="H82" s="16"/>
      <c r="I82" s="18"/>
      <c r="J82" s="17"/>
      <c r="K82" s="61"/>
      <c r="L82" s="62"/>
      <c r="M82" s="7"/>
    </row>
    <row r="83" spans="1:13" x14ac:dyDescent="0.25">
      <c r="A83" s="13" t="str">
        <f>+IF(B83="","",SUBTOTAL(3,$B$7:B83))</f>
        <v/>
      </c>
      <c r="B83" s="14"/>
      <c r="C83" s="15"/>
      <c r="D83" s="16"/>
      <c r="E83" s="14"/>
      <c r="F83" s="17"/>
      <c r="G83" s="17"/>
      <c r="H83" s="16"/>
      <c r="I83" s="18"/>
      <c r="J83" s="17"/>
      <c r="K83" s="61"/>
      <c r="L83" s="62"/>
      <c r="M83" s="7"/>
    </row>
    <row r="84" spans="1:13" x14ac:dyDescent="0.25">
      <c r="A84" s="13" t="str">
        <f>+IF(B84="","",SUBTOTAL(3,$B$7:B84))</f>
        <v/>
      </c>
      <c r="B84" s="14"/>
      <c r="C84" s="15"/>
      <c r="D84" s="16"/>
      <c r="E84" s="14"/>
      <c r="F84" s="17"/>
      <c r="G84" s="17"/>
      <c r="H84" s="16"/>
      <c r="I84" s="18"/>
      <c r="J84" s="17"/>
      <c r="K84" s="61"/>
      <c r="L84" s="62"/>
      <c r="M84" s="7"/>
    </row>
    <row r="85" spans="1:13" x14ac:dyDescent="0.25">
      <c r="A85" s="65" t="str">
        <f>+IF(B85="","",SUBTOTAL(3,$B$7:B85))</f>
        <v/>
      </c>
      <c r="B85" s="19"/>
      <c r="C85" s="20"/>
      <c r="D85" s="21"/>
      <c r="E85" s="19"/>
      <c r="F85" s="22"/>
      <c r="G85" s="22"/>
      <c r="H85" s="21"/>
      <c r="I85" s="23"/>
      <c r="J85" s="22"/>
      <c r="K85" s="66"/>
      <c r="L85" s="67"/>
      <c r="M85" s="7"/>
    </row>
    <row r="86" spans="1:13" x14ac:dyDescent="0.25">
      <c r="A86" s="24"/>
      <c r="B86" s="1"/>
      <c r="C86" s="25"/>
      <c r="D86" s="26"/>
      <c r="E86" s="1"/>
      <c r="F86" s="24"/>
      <c r="G86" s="24"/>
      <c r="H86" s="26"/>
      <c r="I86" s="2"/>
      <c r="J86" s="24"/>
      <c r="K86" s="6"/>
    </row>
    <row r="87" spans="1:13" x14ac:dyDescent="0.25">
      <c r="A87" s="24"/>
      <c r="B87" s="1"/>
      <c r="C87" s="25"/>
      <c r="D87" s="26"/>
      <c r="E87" s="1"/>
      <c r="F87" s="24"/>
      <c r="G87" s="24"/>
      <c r="H87" s="26"/>
      <c r="I87" s="2"/>
      <c r="J87" s="24"/>
      <c r="K87" s="6"/>
    </row>
    <row r="88" spans="1:13" x14ac:dyDescent="0.25">
      <c r="A88" s="24"/>
      <c r="B88" s="1"/>
      <c r="C88" s="25"/>
      <c r="D88" s="26"/>
      <c r="E88" s="1"/>
      <c r="F88" s="24"/>
      <c r="G88" s="24"/>
      <c r="H88" s="26"/>
      <c r="I88" s="2"/>
      <c r="J88" s="24"/>
      <c r="K88" s="6"/>
    </row>
    <row r="89" spans="1:13" x14ac:dyDescent="0.25">
      <c r="A89" s="24"/>
      <c r="B89" s="1"/>
      <c r="C89" s="25"/>
      <c r="D89" s="26"/>
      <c r="E89" s="1"/>
      <c r="F89" s="24"/>
      <c r="G89" s="24"/>
      <c r="H89" s="26"/>
      <c r="I89" s="2"/>
      <c r="J89" s="24"/>
      <c r="K89" s="6"/>
    </row>
    <row r="90" spans="1:13" x14ac:dyDescent="0.25">
      <c r="A90" s="24"/>
      <c r="B90" s="1"/>
      <c r="C90" s="25"/>
      <c r="D90" s="26"/>
      <c r="E90" s="1"/>
      <c r="F90" s="24"/>
      <c r="G90" s="24"/>
      <c r="H90" s="26"/>
      <c r="I90" s="2"/>
      <c r="J90" s="24"/>
      <c r="K90" s="6"/>
    </row>
    <row r="91" spans="1:13" x14ac:dyDescent="0.25">
      <c r="A91" s="24"/>
      <c r="B91" s="1"/>
      <c r="C91" s="25"/>
      <c r="D91" s="26"/>
      <c r="E91" s="1"/>
      <c r="F91" s="24"/>
      <c r="G91" s="24"/>
      <c r="H91" s="26"/>
      <c r="I91" s="2"/>
      <c r="J91" s="24"/>
      <c r="K91" s="6"/>
    </row>
    <row r="92" spans="1:13" x14ac:dyDescent="0.25">
      <c r="A92" s="24"/>
      <c r="B92" s="1"/>
      <c r="C92" s="25"/>
      <c r="D92" s="26"/>
      <c r="E92" s="1"/>
      <c r="F92" s="24"/>
      <c r="G92" s="24"/>
      <c r="H92" s="26"/>
      <c r="I92" s="2"/>
      <c r="J92" s="24"/>
      <c r="K92" s="6"/>
    </row>
    <row r="93" spans="1:13" x14ac:dyDescent="0.25">
      <c r="A93" s="24"/>
      <c r="B93" s="1"/>
      <c r="C93" s="25"/>
      <c r="D93" s="26"/>
      <c r="E93" s="1"/>
      <c r="F93" s="24"/>
      <c r="G93" s="24"/>
      <c r="H93" s="26"/>
      <c r="I93" s="2"/>
      <c r="J93" s="24"/>
      <c r="K93" s="6"/>
    </row>
    <row r="94" spans="1:13" x14ac:dyDescent="0.25">
      <c r="A94" s="24"/>
      <c r="B94" s="1"/>
      <c r="C94" s="25"/>
      <c r="D94" s="26"/>
      <c r="E94" s="1"/>
      <c r="F94" s="24"/>
      <c r="G94" s="24"/>
      <c r="H94" s="26"/>
      <c r="I94" s="2"/>
      <c r="J94" s="24"/>
      <c r="K94" s="6"/>
    </row>
    <row r="95" spans="1:13" x14ac:dyDescent="0.25">
      <c r="A95" s="24"/>
      <c r="B95" s="1"/>
      <c r="C95" s="25"/>
      <c r="D95" s="26"/>
      <c r="E95" s="1"/>
      <c r="F95" s="24"/>
      <c r="G95" s="24"/>
      <c r="H95" s="26"/>
      <c r="I95" s="2"/>
      <c r="J95" s="24"/>
      <c r="K95" s="6"/>
    </row>
    <row r="96" spans="1:13" x14ac:dyDescent="0.25">
      <c r="A96" s="24"/>
      <c r="B96" s="1"/>
      <c r="C96" s="25"/>
      <c r="D96" s="26"/>
      <c r="E96" s="1"/>
      <c r="F96" s="24"/>
      <c r="G96" s="24"/>
      <c r="H96" s="26"/>
      <c r="I96" s="2"/>
      <c r="J96" s="24"/>
      <c r="K96" s="6"/>
    </row>
    <row r="97" spans="1:11" x14ac:dyDescent="0.25">
      <c r="A97" s="24"/>
      <c r="B97" s="1"/>
      <c r="C97" s="25"/>
      <c r="D97" s="26"/>
      <c r="E97" s="1"/>
      <c r="F97" s="24"/>
      <c r="G97" s="24"/>
      <c r="H97" s="26"/>
      <c r="I97" s="2"/>
      <c r="J97" s="24"/>
      <c r="K97" s="6"/>
    </row>
    <row r="98" spans="1:11" x14ac:dyDescent="0.25">
      <c r="A98" s="24"/>
      <c r="B98" s="1"/>
      <c r="C98" s="25"/>
      <c r="D98" s="26"/>
      <c r="E98" s="1"/>
      <c r="F98" s="24"/>
      <c r="G98" s="24"/>
      <c r="H98" s="26"/>
      <c r="I98" s="2"/>
      <c r="J98" s="24"/>
      <c r="K98" s="6"/>
    </row>
    <row r="99" spans="1:11" x14ac:dyDescent="0.25">
      <c r="A99" s="24"/>
      <c r="B99" s="1"/>
      <c r="C99" s="25"/>
      <c r="D99" s="26"/>
      <c r="E99" s="1"/>
      <c r="F99" s="24"/>
      <c r="G99" s="24"/>
      <c r="H99" s="26"/>
      <c r="I99" s="2"/>
      <c r="J99" s="24"/>
      <c r="K99" s="6"/>
    </row>
    <row r="100" spans="1:11" x14ac:dyDescent="0.25">
      <c r="A100" s="24"/>
      <c r="B100" s="1"/>
      <c r="C100" s="25"/>
      <c r="D100" s="26"/>
      <c r="E100" s="1"/>
      <c r="F100" s="24"/>
      <c r="G100" s="24"/>
      <c r="H100" s="26"/>
      <c r="I100" s="2"/>
      <c r="J100" s="24"/>
      <c r="K100" s="6"/>
    </row>
    <row r="101" spans="1:11" x14ac:dyDescent="0.25">
      <c r="A101" s="24"/>
      <c r="B101" s="1"/>
      <c r="C101" s="25"/>
      <c r="D101" s="26"/>
      <c r="E101" s="1"/>
      <c r="F101" s="24"/>
      <c r="G101" s="24"/>
      <c r="H101" s="26"/>
      <c r="I101" s="2"/>
      <c r="J101" s="24"/>
      <c r="K101" s="6"/>
    </row>
    <row r="102" spans="1:11" x14ac:dyDescent="0.25">
      <c r="A102" s="24"/>
      <c r="B102" s="1"/>
      <c r="C102" s="25"/>
      <c r="D102" s="26"/>
      <c r="E102" s="1"/>
      <c r="F102" s="24"/>
      <c r="G102" s="24"/>
      <c r="H102" s="26"/>
      <c r="I102" s="2"/>
      <c r="J102" s="24"/>
      <c r="K102" s="6"/>
    </row>
    <row r="103" spans="1:11" x14ac:dyDescent="0.25">
      <c r="A103" s="24"/>
      <c r="B103" s="1"/>
      <c r="C103" s="25"/>
      <c r="D103" s="26"/>
      <c r="E103" s="1"/>
      <c r="F103" s="24"/>
      <c r="G103" s="24"/>
      <c r="H103" s="26"/>
      <c r="I103" s="2"/>
      <c r="J103" s="24"/>
      <c r="K103" s="6"/>
    </row>
    <row r="104" spans="1:11" x14ac:dyDescent="0.25">
      <c r="A104" s="24"/>
      <c r="B104" s="1"/>
      <c r="C104" s="25"/>
      <c r="D104" s="26"/>
      <c r="E104" s="1"/>
      <c r="F104" s="24"/>
      <c r="G104" s="24"/>
      <c r="H104" s="26"/>
      <c r="I104" s="2"/>
      <c r="J104" s="24"/>
      <c r="K104" s="6"/>
    </row>
    <row r="105" spans="1:11" x14ac:dyDescent="0.25">
      <c r="A105" s="24"/>
      <c r="B105" s="1"/>
      <c r="C105" s="25"/>
      <c r="D105" s="26"/>
      <c r="E105" s="1"/>
      <c r="F105" s="24"/>
      <c r="G105" s="24"/>
      <c r="H105" s="26"/>
      <c r="I105" s="2"/>
      <c r="J105" s="24"/>
      <c r="K105" s="6"/>
    </row>
    <row r="106" spans="1:11" x14ac:dyDescent="0.25">
      <c r="A106" s="24"/>
      <c r="B106" s="1"/>
      <c r="C106" s="25"/>
      <c r="D106" s="26"/>
      <c r="E106" s="1"/>
      <c r="F106" s="24"/>
      <c r="G106" s="24"/>
      <c r="H106" s="26"/>
      <c r="I106" s="2"/>
      <c r="J106" s="24"/>
      <c r="K106" s="6"/>
    </row>
    <row r="107" spans="1:11" x14ac:dyDescent="0.25">
      <c r="A107" s="24"/>
      <c r="B107" s="1"/>
      <c r="C107" s="25"/>
      <c r="D107" s="26"/>
      <c r="E107" s="1"/>
      <c r="F107" s="24"/>
      <c r="G107" s="24"/>
      <c r="H107" s="26"/>
      <c r="I107" s="2"/>
      <c r="J107" s="24"/>
      <c r="K107" s="6"/>
    </row>
    <row r="108" spans="1:11" x14ac:dyDescent="0.25">
      <c r="A108" s="24"/>
      <c r="B108" s="1"/>
      <c r="C108" s="25"/>
      <c r="D108" s="26"/>
      <c r="E108" s="1"/>
      <c r="F108" s="24"/>
      <c r="G108" s="24"/>
      <c r="H108" s="26"/>
      <c r="I108" s="2"/>
      <c r="J108" s="24"/>
      <c r="K108" s="6"/>
    </row>
    <row r="109" spans="1:11" x14ac:dyDescent="0.25">
      <c r="A109" s="24"/>
      <c r="B109" s="1"/>
      <c r="C109" s="25"/>
      <c r="D109" s="26"/>
      <c r="E109" s="1"/>
      <c r="F109" s="24"/>
      <c r="G109" s="24"/>
      <c r="H109" s="26"/>
      <c r="I109" s="2"/>
      <c r="J109" s="24"/>
      <c r="K109" s="6"/>
    </row>
    <row r="110" spans="1:11" x14ac:dyDescent="0.25">
      <c r="A110" s="24"/>
      <c r="B110" s="1"/>
      <c r="C110" s="25"/>
      <c r="D110" s="26"/>
      <c r="E110" s="1"/>
      <c r="F110" s="24"/>
      <c r="G110" s="24"/>
      <c r="H110" s="26"/>
      <c r="I110" s="2"/>
      <c r="J110" s="24"/>
      <c r="K110" s="6"/>
    </row>
    <row r="111" spans="1:11" x14ac:dyDescent="0.25">
      <c r="A111" s="24"/>
      <c r="B111" s="1"/>
      <c r="C111" s="25"/>
      <c r="D111" s="26"/>
      <c r="E111" s="1"/>
      <c r="F111" s="24"/>
      <c r="G111" s="24"/>
      <c r="H111" s="26"/>
      <c r="I111" s="2"/>
      <c r="J111" s="24"/>
      <c r="K111" s="6"/>
    </row>
    <row r="112" spans="1:11" x14ac:dyDescent="0.25">
      <c r="A112" s="24"/>
      <c r="B112" s="1"/>
      <c r="C112" s="25"/>
      <c r="D112" s="26"/>
      <c r="E112" s="1"/>
      <c r="F112" s="24"/>
      <c r="G112" s="24"/>
      <c r="H112" s="26"/>
      <c r="I112" s="2"/>
      <c r="J112" s="24"/>
      <c r="K112" s="6"/>
    </row>
    <row r="113" spans="1:11" x14ac:dyDescent="0.25">
      <c r="A113" s="24"/>
      <c r="B113" s="1"/>
      <c r="C113" s="25"/>
      <c r="D113" s="26"/>
      <c r="E113" s="1"/>
      <c r="F113" s="24"/>
      <c r="G113" s="24"/>
      <c r="H113" s="26"/>
      <c r="I113" s="2"/>
      <c r="J113" s="24"/>
      <c r="K113" s="6"/>
    </row>
    <row r="114" spans="1:11" x14ac:dyDescent="0.25">
      <c r="A114" s="24"/>
      <c r="B114" s="1"/>
      <c r="C114" s="25"/>
      <c r="D114" s="26"/>
      <c r="E114" s="1"/>
      <c r="F114" s="24"/>
      <c r="G114" s="24"/>
      <c r="H114" s="26"/>
      <c r="I114" s="2"/>
      <c r="J114" s="24"/>
      <c r="K114" s="6"/>
    </row>
    <row r="115" spans="1:11" x14ac:dyDescent="0.25">
      <c r="A115" s="24"/>
      <c r="B115" s="1"/>
      <c r="C115" s="25"/>
      <c r="D115" s="26"/>
      <c r="E115" s="1"/>
      <c r="F115" s="24"/>
      <c r="G115" s="24"/>
      <c r="H115" s="26"/>
      <c r="I115" s="2"/>
      <c r="J115" s="24"/>
      <c r="K115" s="6"/>
    </row>
    <row r="116" spans="1:11" x14ac:dyDescent="0.25">
      <c r="A116" s="24"/>
      <c r="B116" s="1"/>
      <c r="C116" s="25"/>
      <c r="D116" s="26"/>
      <c r="E116" s="1"/>
      <c r="F116" s="24"/>
      <c r="G116" s="24"/>
      <c r="H116" s="26"/>
      <c r="I116" s="2"/>
      <c r="J116" s="24"/>
      <c r="K116" s="6"/>
    </row>
    <row r="117" spans="1:11" x14ac:dyDescent="0.25">
      <c r="A117" s="24"/>
      <c r="B117" s="1"/>
      <c r="C117" s="25"/>
      <c r="D117" s="26"/>
      <c r="E117" s="1"/>
      <c r="F117" s="24"/>
      <c r="G117" s="24"/>
      <c r="H117" s="26"/>
      <c r="I117" s="2"/>
      <c r="J117" s="24"/>
      <c r="K117" s="6"/>
    </row>
    <row r="118" spans="1:11" x14ac:dyDescent="0.25">
      <c r="A118" s="24"/>
      <c r="B118" s="1"/>
      <c r="C118" s="25"/>
      <c r="D118" s="26"/>
      <c r="E118" s="1"/>
      <c r="F118" s="24"/>
      <c r="G118" s="24"/>
      <c r="H118" s="26"/>
      <c r="I118" s="2"/>
      <c r="J118" s="24"/>
      <c r="K118" s="6"/>
    </row>
    <row r="119" spans="1:11" x14ac:dyDescent="0.25">
      <c r="A119" s="24"/>
      <c r="B119" s="1"/>
      <c r="C119" s="25"/>
      <c r="D119" s="26"/>
      <c r="E119" s="1"/>
      <c r="F119" s="24"/>
      <c r="G119" s="24"/>
      <c r="H119" s="26"/>
      <c r="I119" s="2"/>
      <c r="J119" s="24"/>
      <c r="K119" s="6"/>
    </row>
    <row r="120" spans="1:11" x14ac:dyDescent="0.25">
      <c r="A120" s="24"/>
      <c r="B120" s="1"/>
      <c r="C120" s="25"/>
      <c r="D120" s="26"/>
      <c r="E120" s="1"/>
      <c r="F120" s="24"/>
      <c r="G120" s="24"/>
      <c r="H120" s="26"/>
      <c r="I120" s="2"/>
      <c r="J120" s="24"/>
      <c r="K120" s="6"/>
    </row>
    <row r="121" spans="1:11" x14ac:dyDescent="0.25">
      <c r="A121" s="24"/>
      <c r="B121" s="1"/>
      <c r="C121" s="25"/>
      <c r="D121" s="26"/>
      <c r="E121" s="1"/>
      <c r="F121" s="24"/>
      <c r="G121" s="24"/>
      <c r="H121" s="26"/>
      <c r="I121" s="2"/>
      <c r="J121" s="24"/>
      <c r="K121" s="6"/>
    </row>
    <row r="122" spans="1:11" x14ac:dyDescent="0.25">
      <c r="A122" s="24"/>
      <c r="B122" s="1"/>
      <c r="C122" s="25"/>
      <c r="D122" s="26"/>
      <c r="E122" s="1"/>
      <c r="F122" s="24"/>
      <c r="G122" s="24"/>
      <c r="H122" s="26"/>
      <c r="I122" s="2"/>
      <c r="J122" s="24"/>
      <c r="K122" s="6"/>
    </row>
    <row r="123" spans="1:11" x14ac:dyDescent="0.25">
      <c r="A123" s="24"/>
      <c r="B123" s="1"/>
      <c r="C123" s="25"/>
      <c r="D123" s="26"/>
      <c r="E123" s="1"/>
      <c r="F123" s="24"/>
      <c r="G123" s="24"/>
      <c r="H123" s="26"/>
      <c r="I123" s="2"/>
      <c r="J123" s="24"/>
      <c r="K123" s="6"/>
    </row>
    <row r="124" spans="1:11" x14ac:dyDescent="0.25">
      <c r="A124" s="24"/>
      <c r="B124" s="1"/>
      <c r="C124" s="25"/>
      <c r="D124" s="26"/>
      <c r="E124" s="1"/>
      <c r="F124" s="24"/>
      <c r="G124" s="24"/>
      <c r="H124" s="26"/>
      <c r="I124" s="2"/>
      <c r="J124" s="24"/>
      <c r="K124" s="6"/>
    </row>
    <row r="125" spans="1:11" x14ac:dyDescent="0.25">
      <c r="A125" s="24"/>
      <c r="B125" s="1"/>
      <c r="C125" s="25"/>
      <c r="D125" s="26"/>
      <c r="E125" s="1"/>
      <c r="F125" s="24"/>
      <c r="G125" s="24"/>
      <c r="H125" s="26"/>
      <c r="I125" s="2"/>
      <c r="J125" s="24"/>
      <c r="K125" s="6"/>
    </row>
    <row r="126" spans="1:11" x14ac:dyDescent="0.25">
      <c r="A126" s="24"/>
      <c r="B126" s="1"/>
      <c r="C126" s="25"/>
      <c r="D126" s="26"/>
      <c r="E126" s="1"/>
      <c r="F126" s="24"/>
      <c r="G126" s="24"/>
      <c r="H126" s="26"/>
      <c r="I126" s="2"/>
      <c r="J126" s="24"/>
      <c r="K126" s="6"/>
    </row>
    <row r="127" spans="1:11" x14ac:dyDescent="0.25">
      <c r="A127" s="24"/>
      <c r="B127" s="1"/>
      <c r="C127" s="25"/>
      <c r="D127" s="26"/>
      <c r="E127" s="1"/>
      <c r="F127" s="24"/>
      <c r="G127" s="24"/>
      <c r="H127" s="26"/>
      <c r="I127" s="2"/>
      <c r="J127" s="24"/>
      <c r="K127" s="6"/>
    </row>
    <row r="128" spans="1:11" x14ac:dyDescent="0.25">
      <c r="A128" s="24"/>
      <c r="B128" s="1"/>
      <c r="C128" s="25"/>
      <c r="D128" s="26"/>
      <c r="E128" s="1"/>
      <c r="F128" s="24"/>
      <c r="G128" s="24"/>
      <c r="H128" s="26"/>
      <c r="I128" s="2"/>
      <c r="J128" s="24"/>
      <c r="K128" s="6"/>
    </row>
    <row r="129" spans="1:11" x14ac:dyDescent="0.25">
      <c r="A129" s="24"/>
      <c r="B129" s="1"/>
      <c r="C129" s="25"/>
      <c r="D129" s="26"/>
      <c r="E129" s="1"/>
      <c r="F129" s="24"/>
      <c r="G129" s="24"/>
      <c r="H129" s="26"/>
      <c r="I129" s="2"/>
      <c r="J129" s="24"/>
      <c r="K129" s="6"/>
    </row>
    <row r="130" spans="1:11" x14ac:dyDescent="0.25">
      <c r="A130" s="24"/>
      <c r="B130" s="1"/>
      <c r="C130" s="25"/>
      <c r="D130" s="26"/>
      <c r="E130" s="1"/>
      <c r="F130" s="24"/>
      <c r="G130" s="24"/>
      <c r="H130" s="26"/>
      <c r="I130" s="2"/>
      <c r="J130" s="24"/>
      <c r="K130" s="6"/>
    </row>
    <row r="131" spans="1:11" x14ac:dyDescent="0.25">
      <c r="A131" s="24"/>
      <c r="B131" s="1"/>
      <c r="C131" s="25"/>
      <c r="D131" s="26"/>
      <c r="E131" s="1"/>
      <c r="F131" s="24"/>
      <c r="G131" s="24"/>
      <c r="H131" s="26"/>
      <c r="I131" s="2"/>
      <c r="J131" s="24"/>
      <c r="K131" s="6"/>
    </row>
    <row r="132" spans="1:11" x14ac:dyDescent="0.25">
      <c r="A132" s="24"/>
      <c r="B132" s="1"/>
      <c r="C132" s="25"/>
      <c r="D132" s="26"/>
      <c r="E132" s="1"/>
      <c r="F132" s="24"/>
      <c r="G132" s="24"/>
      <c r="H132" s="26"/>
      <c r="I132" s="2"/>
      <c r="J132" s="24"/>
      <c r="K132" s="6"/>
    </row>
    <row r="133" spans="1:11" x14ac:dyDescent="0.25">
      <c r="A133" s="24"/>
      <c r="B133" s="1"/>
      <c r="C133" s="25"/>
      <c r="D133" s="26"/>
      <c r="E133" s="1"/>
      <c r="F133" s="24"/>
      <c r="G133" s="24"/>
      <c r="H133" s="26"/>
      <c r="I133" s="2"/>
      <c r="J133" s="24"/>
      <c r="K133" s="6"/>
    </row>
    <row r="134" spans="1:11" x14ac:dyDescent="0.25">
      <c r="A134" s="24"/>
      <c r="B134" s="1"/>
      <c r="C134" s="25"/>
      <c r="D134" s="26"/>
      <c r="E134" s="1"/>
      <c r="F134" s="24"/>
      <c r="G134" s="24"/>
      <c r="H134" s="26"/>
      <c r="I134" s="2"/>
      <c r="J134" s="24"/>
      <c r="K134" s="6"/>
    </row>
    <row r="135" spans="1:11" x14ac:dyDescent="0.25">
      <c r="A135" s="24"/>
      <c r="B135" s="1"/>
      <c r="C135" s="25"/>
      <c r="D135" s="26"/>
      <c r="E135" s="1"/>
      <c r="F135" s="24"/>
      <c r="G135" s="24"/>
      <c r="H135" s="26"/>
      <c r="I135" s="2"/>
      <c r="J135" s="24"/>
      <c r="K135" s="6"/>
    </row>
    <row r="136" spans="1:11" x14ac:dyDescent="0.25">
      <c r="A136" s="24"/>
      <c r="B136" s="1"/>
      <c r="C136" s="25"/>
      <c r="D136" s="26"/>
      <c r="E136" s="1"/>
      <c r="F136" s="24"/>
      <c r="G136" s="24"/>
      <c r="H136" s="26"/>
      <c r="I136" s="2"/>
      <c r="J136" s="24"/>
      <c r="K136" s="6"/>
    </row>
  </sheetData>
  <autoFilter ref="A6:M85"/>
  <mergeCells count="1">
    <mergeCell ref="A1:L1"/>
  </mergeCells>
  <pageMargins left="0.19685039370078741" right="0.19685039370078741" top="0.59055118110236227" bottom="0.19685039370078741" header="0" footer="0"/>
  <pageSetup paperSize="9" scale="45" fitToHeight="100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82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6" sqref="C6"/>
    </sheetView>
  </sheetViews>
  <sheetFormatPr defaultRowHeight="15" x14ac:dyDescent="0.25"/>
  <cols>
    <col min="1" max="1" width="5.42578125" style="24" customWidth="1"/>
    <col min="2" max="2" width="33.42578125" style="26" customWidth="1"/>
    <col min="3" max="3" width="10.140625" style="24" bestFit="1" customWidth="1"/>
    <col min="4" max="4" width="31" style="27" bestFit="1" customWidth="1"/>
    <col min="5" max="5" width="11.5703125" customWidth="1"/>
    <col min="6" max="6" width="12" style="4" customWidth="1"/>
    <col min="7" max="7" width="13.7109375" style="4" customWidth="1"/>
    <col min="8" max="8" width="17.42578125" style="7" customWidth="1"/>
    <col min="9" max="9" width="13.7109375" bestFit="1" customWidth="1"/>
    <col min="10" max="10" width="19.28515625" customWidth="1"/>
    <col min="11" max="11" width="14.42578125" customWidth="1"/>
    <col min="12" max="12" width="17.5703125" customWidth="1"/>
    <col min="13" max="13" width="11.42578125" bestFit="1" customWidth="1"/>
    <col min="14" max="14" width="15.28515625" customWidth="1"/>
  </cols>
  <sheetData>
    <row r="1" spans="1:14" ht="58.5" customHeight="1" x14ac:dyDescent="0.25">
      <c r="A1" s="70" t="s">
        <v>270</v>
      </c>
      <c r="B1" s="70"/>
      <c r="C1" s="70"/>
      <c r="D1" s="70"/>
      <c r="E1" s="70"/>
      <c r="F1" s="70"/>
      <c r="G1" s="70"/>
      <c r="H1" s="70"/>
    </row>
    <row r="2" spans="1:14" x14ac:dyDescent="0.25">
      <c r="A2" s="41" t="s">
        <v>297</v>
      </c>
      <c r="B2"/>
      <c r="C2"/>
      <c r="D2"/>
      <c r="F2"/>
      <c r="G2"/>
      <c r="H2"/>
    </row>
    <row r="3" spans="1:14" s="12" customFormat="1" ht="35.25" customHeight="1" x14ac:dyDescent="0.25">
      <c r="A3" s="42" t="s">
        <v>69</v>
      </c>
      <c r="B3" s="42" t="s">
        <v>276</v>
      </c>
      <c r="C3" s="42" t="s">
        <v>271</v>
      </c>
      <c r="D3" s="42" t="s">
        <v>272</v>
      </c>
      <c r="E3" s="42" t="s">
        <v>87</v>
      </c>
      <c r="F3" s="42" t="s">
        <v>273</v>
      </c>
      <c r="G3" s="42" t="s">
        <v>274</v>
      </c>
      <c r="H3" s="42" t="s">
        <v>275</v>
      </c>
      <c r="J3" s="12" t="s">
        <v>440</v>
      </c>
      <c r="K3" s="5" t="s">
        <v>441</v>
      </c>
      <c r="L3" s="5"/>
    </row>
    <row r="4" spans="1:14" s="12" customFormat="1" ht="30" x14ac:dyDescent="0.25">
      <c r="A4" s="42" t="s">
        <v>90</v>
      </c>
      <c r="B4" s="42">
        <v>1</v>
      </c>
      <c r="C4" s="42">
        <f>+B4+1</f>
        <v>2</v>
      </c>
      <c r="D4" s="42">
        <f t="shared" ref="D4:H4" si="0">+C4+1</f>
        <v>3</v>
      </c>
      <c r="E4" s="42">
        <f t="shared" si="0"/>
        <v>4</v>
      </c>
      <c r="F4" s="42">
        <f t="shared" si="0"/>
        <v>5</v>
      </c>
      <c r="G4" s="42">
        <f t="shared" si="0"/>
        <v>6</v>
      </c>
      <c r="H4" s="42">
        <f t="shared" si="0"/>
        <v>7</v>
      </c>
      <c r="I4" s="12" t="s">
        <v>437</v>
      </c>
      <c r="J4" s="5">
        <v>30194451.879999999</v>
      </c>
      <c r="K4" s="5">
        <f>+J4-J5</f>
        <v>0</v>
      </c>
      <c r="L4" s="5"/>
      <c r="M4" s="5"/>
    </row>
    <row r="5" spans="1:14" s="12" customFormat="1" x14ac:dyDescent="0.25">
      <c r="A5" s="42"/>
      <c r="B5" s="42" t="s">
        <v>80</v>
      </c>
      <c r="C5" s="42"/>
      <c r="D5" s="42"/>
      <c r="E5" s="42"/>
      <c r="F5" s="43">
        <f>+SUBTOTAL(9,F7:F797)</f>
        <v>381205.1</v>
      </c>
      <c r="G5" s="43">
        <f>+SUBTOTAL(9,G7:G797)</f>
        <v>7240010.6699999999</v>
      </c>
      <c r="H5" s="43">
        <f>+SUBTOTAL(9,H7:H797)</f>
        <v>29953520.68</v>
      </c>
      <c r="I5" s="5">
        <v>240931.20000000001</v>
      </c>
      <c r="J5" s="5">
        <f>+H5+I5</f>
        <v>30194451.879999999</v>
      </c>
      <c r="K5" s="5"/>
      <c r="L5" s="5"/>
      <c r="M5" s="5"/>
      <c r="N5" s="5"/>
    </row>
    <row r="6" spans="1:14" s="12" customFormat="1" x14ac:dyDescent="0.25">
      <c r="A6" s="42"/>
      <c r="B6" s="42"/>
      <c r="C6" s="42"/>
      <c r="D6" s="42"/>
      <c r="E6" s="42"/>
      <c r="F6" s="43"/>
      <c r="G6" s="43"/>
      <c r="H6" s="43"/>
    </row>
    <row r="7" spans="1:14" ht="30" x14ac:dyDescent="0.25">
      <c r="A7" s="32">
        <f>+IF(B7="","",SUBTOTAL(3,$B$7:B7))</f>
        <v>1</v>
      </c>
      <c r="B7" s="44" t="s">
        <v>431</v>
      </c>
      <c r="C7" s="35">
        <v>46029</v>
      </c>
      <c r="D7" s="34" t="s">
        <v>448</v>
      </c>
      <c r="E7" s="32" t="s">
        <v>508</v>
      </c>
      <c r="F7" s="45">
        <v>18.72</v>
      </c>
      <c r="G7" s="45">
        <v>23000</v>
      </c>
      <c r="H7" s="45">
        <f>+G7*F7</f>
        <v>430560</v>
      </c>
    </row>
    <row r="8" spans="1:14" ht="30" x14ac:dyDescent="0.25">
      <c r="A8" s="32">
        <f>+IF(B8="","",SUBTOTAL(3,$B$7:B8))</f>
        <v>2</v>
      </c>
      <c r="B8" s="44" t="s">
        <v>431</v>
      </c>
      <c r="C8" s="35">
        <v>46029</v>
      </c>
      <c r="D8" s="34" t="s">
        <v>449</v>
      </c>
      <c r="E8" s="32" t="s">
        <v>508</v>
      </c>
      <c r="F8" s="45">
        <v>8.02</v>
      </c>
      <c r="G8" s="45">
        <v>23000</v>
      </c>
      <c r="H8" s="45">
        <f t="shared" ref="H8:H71" si="1">+G8*F8</f>
        <v>184460</v>
      </c>
    </row>
    <row r="9" spans="1:14" x14ac:dyDescent="0.25">
      <c r="A9" s="32">
        <f>+IF(B9="","",SUBTOTAL(3,$B$7:B9))</f>
        <v>3</v>
      </c>
      <c r="B9" s="44" t="s">
        <v>431</v>
      </c>
      <c r="C9" s="35">
        <v>46029</v>
      </c>
      <c r="D9" s="34" t="s">
        <v>450</v>
      </c>
      <c r="E9" s="32" t="s">
        <v>512</v>
      </c>
      <c r="F9" s="45">
        <v>1</v>
      </c>
      <c r="G9" s="45">
        <v>41000</v>
      </c>
      <c r="H9" s="45">
        <f t="shared" si="1"/>
        <v>41000</v>
      </c>
    </row>
    <row r="10" spans="1:14" x14ac:dyDescent="0.25">
      <c r="A10" s="32">
        <f>+IF(B10="","",SUBTOTAL(3,$B$7:B10))</f>
        <v>4</v>
      </c>
      <c r="B10" s="44" t="s">
        <v>431</v>
      </c>
      <c r="C10" s="35">
        <v>46029</v>
      </c>
      <c r="D10" s="34" t="s">
        <v>447</v>
      </c>
      <c r="E10" s="32" t="s">
        <v>512</v>
      </c>
      <c r="F10" s="45">
        <v>2</v>
      </c>
      <c r="G10" s="45">
        <v>3143</v>
      </c>
      <c r="H10" s="45">
        <f t="shared" si="1"/>
        <v>6286</v>
      </c>
    </row>
    <row r="11" spans="1:14" x14ac:dyDescent="0.25">
      <c r="A11" s="32">
        <f>+IF(B11="","",SUBTOTAL(3,$B$7:B11))</f>
        <v>5</v>
      </c>
      <c r="B11" s="44" t="s">
        <v>431</v>
      </c>
      <c r="C11" s="35">
        <v>46029</v>
      </c>
      <c r="D11" s="34" t="s">
        <v>451</v>
      </c>
      <c r="E11" s="32" t="s">
        <v>507</v>
      </c>
      <c r="F11" s="45">
        <v>3</v>
      </c>
      <c r="G11" s="45">
        <v>8099</v>
      </c>
      <c r="H11" s="45">
        <f t="shared" si="1"/>
        <v>24297</v>
      </c>
    </row>
    <row r="12" spans="1:14" x14ac:dyDescent="0.25">
      <c r="A12" s="32">
        <f>+IF(B12="","",SUBTOTAL(3,$B$7:B12))</f>
        <v>6</v>
      </c>
      <c r="B12" s="44" t="s">
        <v>431</v>
      </c>
      <c r="C12" s="35">
        <v>46029</v>
      </c>
      <c r="D12" s="34" t="s">
        <v>443</v>
      </c>
      <c r="E12" s="32" t="s">
        <v>507</v>
      </c>
      <c r="F12" s="45">
        <v>30</v>
      </c>
      <c r="G12" s="45">
        <v>1710</v>
      </c>
      <c r="H12" s="45">
        <f t="shared" si="1"/>
        <v>51300</v>
      </c>
    </row>
    <row r="13" spans="1:14" x14ac:dyDescent="0.25">
      <c r="A13" s="32">
        <f>+IF(B13="","",SUBTOTAL(3,$B$7:B13))</f>
        <v>7</v>
      </c>
      <c r="B13" s="44" t="s">
        <v>431</v>
      </c>
      <c r="C13" s="35">
        <v>46029</v>
      </c>
      <c r="D13" s="34" t="s">
        <v>452</v>
      </c>
      <c r="E13" s="32" t="s">
        <v>507</v>
      </c>
      <c r="F13" s="45">
        <v>6</v>
      </c>
      <c r="G13" s="45">
        <v>1111.1099999999999</v>
      </c>
      <c r="H13" s="45">
        <f t="shared" si="1"/>
        <v>6666.66</v>
      </c>
    </row>
    <row r="14" spans="1:14" x14ac:dyDescent="0.25">
      <c r="A14" s="32">
        <f>+IF(B14="","",SUBTOTAL(3,$B$7:B14))</f>
        <v>8</v>
      </c>
      <c r="B14" s="44" t="s">
        <v>431</v>
      </c>
      <c r="C14" s="35">
        <v>46029</v>
      </c>
      <c r="D14" s="34" t="s">
        <v>453</v>
      </c>
      <c r="E14" s="32" t="s">
        <v>507</v>
      </c>
      <c r="F14" s="45">
        <v>1</v>
      </c>
      <c r="G14" s="45">
        <v>1950</v>
      </c>
      <c r="H14" s="45">
        <f t="shared" si="1"/>
        <v>1950</v>
      </c>
    </row>
    <row r="15" spans="1:14" x14ac:dyDescent="0.25">
      <c r="A15" s="32">
        <f>+IF(B15="","",SUBTOTAL(3,$B$7:B15))</f>
        <v>9</v>
      </c>
      <c r="B15" s="44" t="s">
        <v>431</v>
      </c>
      <c r="C15" s="35">
        <v>46029</v>
      </c>
      <c r="D15" s="34" t="s">
        <v>454</v>
      </c>
      <c r="E15" s="32" t="s">
        <v>507</v>
      </c>
      <c r="F15" s="45">
        <v>2</v>
      </c>
      <c r="G15" s="45">
        <v>13500</v>
      </c>
      <c r="H15" s="45">
        <f t="shared" si="1"/>
        <v>27000</v>
      </c>
    </row>
    <row r="16" spans="1:14" x14ac:dyDescent="0.25">
      <c r="A16" s="32">
        <f>+IF(B16="","",SUBTOTAL(3,$B$7:B16))</f>
        <v>10</v>
      </c>
      <c r="B16" s="34" t="s">
        <v>432</v>
      </c>
      <c r="C16" s="35">
        <v>46034</v>
      </c>
      <c r="D16" s="34" t="s">
        <v>455</v>
      </c>
      <c r="E16" s="32" t="s">
        <v>507</v>
      </c>
      <c r="F16" s="45">
        <v>4</v>
      </c>
      <c r="G16" s="45">
        <v>14000</v>
      </c>
      <c r="H16" s="45">
        <f t="shared" si="1"/>
        <v>56000</v>
      </c>
    </row>
    <row r="17" spans="1:8" ht="30" x14ac:dyDescent="0.25">
      <c r="A17" s="32">
        <f>+IF(B17="","",SUBTOTAL(3,$B$7:B17))</f>
        <v>11</v>
      </c>
      <c r="B17" s="34" t="s">
        <v>432</v>
      </c>
      <c r="C17" s="35">
        <v>46034</v>
      </c>
      <c r="D17" s="34" t="s">
        <v>456</v>
      </c>
      <c r="E17" s="32" t="s">
        <v>513</v>
      </c>
      <c r="F17" s="45">
        <v>2</v>
      </c>
      <c r="G17" s="45">
        <v>13104</v>
      </c>
      <c r="H17" s="45">
        <f t="shared" si="1"/>
        <v>26208</v>
      </c>
    </row>
    <row r="18" spans="1:8" x14ac:dyDescent="0.25">
      <c r="A18" s="32">
        <f>+IF(B18="","",SUBTOTAL(3,$B$7:B18))</f>
        <v>12</v>
      </c>
      <c r="B18" s="34" t="s">
        <v>188</v>
      </c>
      <c r="C18" s="35">
        <v>46041</v>
      </c>
      <c r="D18" s="34" t="s">
        <v>457</v>
      </c>
      <c r="E18" s="32" t="s">
        <v>507</v>
      </c>
      <c r="F18" s="45">
        <v>300</v>
      </c>
      <c r="G18" s="45">
        <v>1188</v>
      </c>
      <c r="H18" s="45">
        <f t="shared" si="1"/>
        <v>356400</v>
      </c>
    </row>
    <row r="19" spans="1:8" x14ac:dyDescent="0.25">
      <c r="A19" s="32">
        <f>+IF(B19="","",SUBTOTAL(3,$B$7:B19))</f>
        <v>13</v>
      </c>
      <c r="B19" s="34" t="s">
        <v>188</v>
      </c>
      <c r="C19" s="35">
        <v>46041</v>
      </c>
      <c r="D19" s="34" t="s">
        <v>450</v>
      </c>
      <c r="E19" s="32" t="s">
        <v>512</v>
      </c>
      <c r="F19" s="45">
        <v>1</v>
      </c>
      <c r="G19" s="45">
        <v>41000</v>
      </c>
      <c r="H19" s="45">
        <f t="shared" si="1"/>
        <v>41000</v>
      </c>
    </row>
    <row r="20" spans="1:8" x14ac:dyDescent="0.25">
      <c r="A20" s="32">
        <f>+IF(B20="","",SUBTOTAL(3,$B$7:B20))</f>
        <v>14</v>
      </c>
      <c r="B20" s="34" t="s">
        <v>188</v>
      </c>
      <c r="C20" s="35">
        <v>46041</v>
      </c>
      <c r="D20" s="34" t="s">
        <v>453</v>
      </c>
      <c r="E20" s="32" t="s">
        <v>507</v>
      </c>
      <c r="F20" s="45">
        <v>2</v>
      </c>
      <c r="G20" s="45">
        <v>1950</v>
      </c>
      <c r="H20" s="45">
        <f t="shared" si="1"/>
        <v>3900</v>
      </c>
    </row>
    <row r="21" spans="1:8" ht="30" x14ac:dyDescent="0.25">
      <c r="A21" s="32">
        <f>+IF(B21="","",SUBTOTAL(3,$B$7:B21))</f>
        <v>15</v>
      </c>
      <c r="B21" s="55" t="s">
        <v>433</v>
      </c>
      <c r="C21" s="35">
        <v>46041</v>
      </c>
      <c r="D21" s="34" t="s">
        <v>450</v>
      </c>
      <c r="E21" s="32" t="s">
        <v>512</v>
      </c>
      <c r="F21" s="45">
        <v>1</v>
      </c>
      <c r="G21" s="45">
        <v>41000</v>
      </c>
      <c r="H21" s="45">
        <f t="shared" si="1"/>
        <v>41000</v>
      </c>
    </row>
    <row r="22" spans="1:8" ht="30" x14ac:dyDescent="0.25">
      <c r="A22" s="32">
        <f>+IF(B22="","",SUBTOTAL(3,$B$7:B22))</f>
        <v>16</v>
      </c>
      <c r="B22" s="55" t="s">
        <v>433</v>
      </c>
      <c r="C22" s="35">
        <v>46041</v>
      </c>
      <c r="D22" s="34" t="s">
        <v>443</v>
      </c>
      <c r="E22" s="32" t="s">
        <v>507</v>
      </c>
      <c r="F22" s="45">
        <v>20</v>
      </c>
      <c r="G22" s="45">
        <v>1710</v>
      </c>
      <c r="H22" s="45">
        <f t="shared" si="1"/>
        <v>34200</v>
      </c>
    </row>
    <row r="23" spans="1:8" ht="30" x14ac:dyDescent="0.25">
      <c r="A23" s="32">
        <f>+IF(B23="","",SUBTOTAL(3,$B$7:B23))</f>
        <v>17</v>
      </c>
      <c r="B23" s="34" t="s">
        <v>403</v>
      </c>
      <c r="C23" s="35">
        <v>46042</v>
      </c>
      <c r="D23" s="34" t="s">
        <v>456</v>
      </c>
      <c r="E23" s="32" t="s">
        <v>513</v>
      </c>
      <c r="F23" s="45">
        <v>8</v>
      </c>
      <c r="G23" s="45">
        <v>13104</v>
      </c>
      <c r="H23" s="45">
        <f t="shared" si="1"/>
        <v>104832</v>
      </c>
    </row>
    <row r="24" spans="1:8" x14ac:dyDescent="0.25">
      <c r="A24" s="32">
        <f>+IF(B24="","",SUBTOTAL(3,$B$7:B24))</f>
        <v>18</v>
      </c>
      <c r="B24" s="34" t="s">
        <v>403</v>
      </c>
      <c r="C24" s="35">
        <v>46042</v>
      </c>
      <c r="D24" s="34" t="s">
        <v>458</v>
      </c>
      <c r="E24" s="32" t="s">
        <v>507</v>
      </c>
      <c r="F24" s="45">
        <v>8</v>
      </c>
      <c r="G24" s="45">
        <v>3300</v>
      </c>
      <c r="H24" s="45">
        <f t="shared" si="1"/>
        <v>26400</v>
      </c>
    </row>
    <row r="25" spans="1:8" x14ac:dyDescent="0.25">
      <c r="A25" s="32">
        <f>+IF(B25="","",SUBTOTAL(3,$B$7:B25))</f>
        <v>19</v>
      </c>
      <c r="B25" s="34" t="s">
        <v>403</v>
      </c>
      <c r="C25" s="35">
        <v>46042</v>
      </c>
      <c r="D25" s="34" t="s">
        <v>459</v>
      </c>
      <c r="E25" s="32" t="s">
        <v>507</v>
      </c>
      <c r="F25" s="45">
        <v>12</v>
      </c>
      <c r="G25" s="45">
        <v>9890</v>
      </c>
      <c r="H25" s="45">
        <f t="shared" si="1"/>
        <v>118680</v>
      </c>
    </row>
    <row r="26" spans="1:8" x14ac:dyDescent="0.25">
      <c r="A26" s="32">
        <f>+IF(B26="","",SUBTOTAL(3,$B$7:B26))</f>
        <v>20</v>
      </c>
      <c r="B26" s="34" t="s">
        <v>403</v>
      </c>
      <c r="C26" s="35">
        <v>46042</v>
      </c>
      <c r="D26" s="34" t="s">
        <v>460</v>
      </c>
      <c r="E26" s="32" t="s">
        <v>508</v>
      </c>
      <c r="F26" s="45">
        <v>4</v>
      </c>
      <c r="G26" s="45">
        <v>15000</v>
      </c>
      <c r="H26" s="45">
        <f t="shared" si="1"/>
        <v>60000</v>
      </c>
    </row>
    <row r="27" spans="1:8" x14ac:dyDescent="0.25">
      <c r="A27" s="32">
        <f>+IF(B27="","",SUBTOTAL(3,$B$7:B27))</f>
        <v>21</v>
      </c>
      <c r="B27" s="34" t="s">
        <v>403</v>
      </c>
      <c r="C27" s="35">
        <v>46042</v>
      </c>
      <c r="D27" s="34" t="s">
        <v>461</v>
      </c>
      <c r="E27" s="32" t="s">
        <v>511</v>
      </c>
      <c r="F27" s="45">
        <v>4</v>
      </c>
      <c r="G27" s="45">
        <v>5454</v>
      </c>
      <c r="H27" s="45">
        <f t="shared" si="1"/>
        <v>21816</v>
      </c>
    </row>
    <row r="28" spans="1:8" x14ac:dyDescent="0.25">
      <c r="A28" s="32">
        <f>+IF(B28="","",SUBTOTAL(3,$B$7:B28))</f>
        <v>22</v>
      </c>
      <c r="B28" s="34" t="s">
        <v>403</v>
      </c>
      <c r="C28" s="35">
        <v>46042</v>
      </c>
      <c r="D28" s="34" t="s">
        <v>462</v>
      </c>
      <c r="E28" s="32" t="s">
        <v>507</v>
      </c>
      <c r="F28" s="45">
        <v>4</v>
      </c>
      <c r="G28" s="45">
        <v>19200.009999999998</v>
      </c>
      <c r="H28" s="45">
        <f t="shared" si="1"/>
        <v>76800.039999999994</v>
      </c>
    </row>
    <row r="29" spans="1:8" x14ac:dyDescent="0.25">
      <c r="A29" s="32">
        <f>+IF(B29="","",SUBTOTAL(3,$B$7:B29))</f>
        <v>23</v>
      </c>
      <c r="B29" s="34" t="s">
        <v>403</v>
      </c>
      <c r="C29" s="35">
        <v>46042</v>
      </c>
      <c r="D29" s="34" t="s">
        <v>463</v>
      </c>
      <c r="E29" s="32" t="s">
        <v>507</v>
      </c>
      <c r="F29" s="45">
        <v>4</v>
      </c>
      <c r="G29" s="45">
        <v>8000</v>
      </c>
      <c r="H29" s="45">
        <f t="shared" si="1"/>
        <v>32000</v>
      </c>
    </row>
    <row r="30" spans="1:8" x14ac:dyDescent="0.25">
      <c r="A30" s="32">
        <f>+IF(B30="","",SUBTOTAL(3,$B$7:B30))</f>
        <v>24</v>
      </c>
      <c r="B30" s="34" t="s">
        <v>403</v>
      </c>
      <c r="C30" s="35">
        <v>46042</v>
      </c>
      <c r="D30" s="34" t="s">
        <v>452</v>
      </c>
      <c r="E30" s="32" t="s">
        <v>507</v>
      </c>
      <c r="F30" s="45">
        <v>5</v>
      </c>
      <c r="G30" s="45">
        <v>1111.1099999999999</v>
      </c>
      <c r="H30" s="45">
        <f t="shared" si="1"/>
        <v>5555.5499999999993</v>
      </c>
    </row>
    <row r="31" spans="1:8" x14ac:dyDescent="0.25">
      <c r="A31" s="32">
        <f>+IF(B31="","",SUBTOTAL(3,$B$7:B31))</f>
        <v>25</v>
      </c>
      <c r="B31" s="34" t="s">
        <v>403</v>
      </c>
      <c r="C31" s="35">
        <v>46042</v>
      </c>
      <c r="D31" s="34" t="s">
        <v>458</v>
      </c>
      <c r="E31" s="32" t="s">
        <v>507</v>
      </c>
      <c r="F31" s="45">
        <v>4</v>
      </c>
      <c r="G31" s="45">
        <v>3300</v>
      </c>
      <c r="H31" s="45">
        <f t="shared" si="1"/>
        <v>13200</v>
      </c>
    </row>
    <row r="32" spans="1:8" x14ac:dyDescent="0.25">
      <c r="A32" s="32">
        <f>+IF(B32="","",SUBTOTAL(3,$B$7:B32))</f>
        <v>26</v>
      </c>
      <c r="B32" s="34" t="s">
        <v>403</v>
      </c>
      <c r="C32" s="35">
        <v>46042</v>
      </c>
      <c r="D32" s="34" t="s">
        <v>464</v>
      </c>
      <c r="E32" s="32" t="s">
        <v>511</v>
      </c>
      <c r="F32" s="45">
        <v>5</v>
      </c>
      <c r="G32" s="45">
        <v>2150</v>
      </c>
      <c r="H32" s="45">
        <f t="shared" si="1"/>
        <v>10750</v>
      </c>
    </row>
    <row r="33" spans="1:8" x14ac:dyDescent="0.25">
      <c r="A33" s="32">
        <f>+IF(B33="","",SUBTOTAL(3,$B$7:B33))</f>
        <v>27</v>
      </c>
      <c r="B33" s="34" t="s">
        <v>403</v>
      </c>
      <c r="C33" s="35">
        <v>46042</v>
      </c>
      <c r="D33" s="34" t="s">
        <v>465</v>
      </c>
      <c r="E33" s="32" t="s">
        <v>510</v>
      </c>
      <c r="F33" s="45">
        <v>10</v>
      </c>
      <c r="G33" s="45">
        <v>9900</v>
      </c>
      <c r="H33" s="45">
        <f t="shared" si="1"/>
        <v>99000</v>
      </c>
    </row>
    <row r="34" spans="1:8" x14ac:dyDescent="0.25">
      <c r="A34" s="32">
        <f>+IF(B34="","",SUBTOTAL(3,$B$7:B34))</f>
        <v>28</v>
      </c>
      <c r="B34" s="34" t="s">
        <v>434</v>
      </c>
      <c r="C34" s="35">
        <v>46042</v>
      </c>
      <c r="D34" s="34" t="s">
        <v>466</v>
      </c>
      <c r="E34" s="32" t="s">
        <v>507</v>
      </c>
      <c r="F34" s="45">
        <v>30000</v>
      </c>
      <c r="G34" s="45">
        <v>19.8</v>
      </c>
      <c r="H34" s="45">
        <f t="shared" si="1"/>
        <v>594000</v>
      </c>
    </row>
    <row r="35" spans="1:8" x14ac:dyDescent="0.25">
      <c r="A35" s="32">
        <f>+IF(B35="","",SUBTOTAL(3,$B$7:B35))</f>
        <v>29</v>
      </c>
      <c r="B35" s="34" t="s">
        <v>434</v>
      </c>
      <c r="C35" s="35">
        <v>46042</v>
      </c>
      <c r="D35" s="34" t="s">
        <v>467</v>
      </c>
      <c r="E35" s="32" t="s">
        <v>507</v>
      </c>
      <c r="F35" s="45">
        <v>20000</v>
      </c>
      <c r="G35" s="45">
        <v>19.8</v>
      </c>
      <c r="H35" s="45">
        <f t="shared" si="1"/>
        <v>396000</v>
      </c>
    </row>
    <row r="36" spans="1:8" x14ac:dyDescent="0.25">
      <c r="A36" s="32">
        <f>+IF(B36="","",SUBTOTAL(3,$B$7:B36))</f>
        <v>30</v>
      </c>
      <c r="B36" s="34" t="s">
        <v>434</v>
      </c>
      <c r="C36" s="35">
        <v>46042</v>
      </c>
      <c r="D36" s="34" t="s">
        <v>468</v>
      </c>
      <c r="E36" s="32" t="s">
        <v>507</v>
      </c>
      <c r="F36" s="45">
        <v>10000</v>
      </c>
      <c r="G36" s="45">
        <v>19.8</v>
      </c>
      <c r="H36" s="45">
        <f t="shared" si="1"/>
        <v>198000</v>
      </c>
    </row>
    <row r="37" spans="1:8" x14ac:dyDescent="0.25">
      <c r="A37" s="32">
        <f>+IF(B37="","",SUBTOTAL(3,$B$7:B37))</f>
        <v>31</v>
      </c>
      <c r="B37" s="34" t="s">
        <v>434</v>
      </c>
      <c r="C37" s="35">
        <v>46042</v>
      </c>
      <c r="D37" s="34" t="s">
        <v>469</v>
      </c>
      <c r="E37" s="32" t="s">
        <v>507</v>
      </c>
      <c r="F37" s="45">
        <v>30000</v>
      </c>
      <c r="G37" s="45">
        <v>19.8</v>
      </c>
      <c r="H37" s="45">
        <f t="shared" si="1"/>
        <v>594000</v>
      </c>
    </row>
    <row r="38" spans="1:8" x14ac:dyDescent="0.25">
      <c r="A38" s="32">
        <f>+IF(B38="","",SUBTOTAL(3,$B$7:B38))</f>
        <v>32</v>
      </c>
      <c r="B38" s="34" t="s">
        <v>434</v>
      </c>
      <c r="C38" s="35">
        <v>46042</v>
      </c>
      <c r="D38" s="34" t="s">
        <v>470</v>
      </c>
      <c r="E38" s="32" t="s">
        <v>507</v>
      </c>
      <c r="F38" s="45">
        <v>3400</v>
      </c>
      <c r="G38" s="45">
        <v>34.950000000000003</v>
      </c>
      <c r="H38" s="45">
        <f t="shared" si="1"/>
        <v>118830.00000000001</v>
      </c>
    </row>
    <row r="39" spans="1:8" x14ac:dyDescent="0.25">
      <c r="A39" s="32">
        <f>+IF(B39="","",SUBTOTAL(3,$B$7:B39))</f>
        <v>33</v>
      </c>
      <c r="B39" s="34" t="s">
        <v>434</v>
      </c>
      <c r="C39" s="35">
        <v>46042</v>
      </c>
      <c r="D39" s="34" t="s">
        <v>471</v>
      </c>
      <c r="E39" s="32" t="s">
        <v>507</v>
      </c>
      <c r="F39" s="45">
        <v>6800</v>
      </c>
      <c r="G39" s="45">
        <v>34.950000000000003</v>
      </c>
      <c r="H39" s="45">
        <f t="shared" si="1"/>
        <v>237660.00000000003</v>
      </c>
    </row>
    <row r="40" spans="1:8" x14ac:dyDescent="0.25">
      <c r="A40" s="32">
        <f>+IF(B40="","",SUBTOTAL(3,$B$7:B40))</f>
        <v>34</v>
      </c>
      <c r="B40" s="34" t="s">
        <v>434</v>
      </c>
      <c r="C40" s="35">
        <v>46042</v>
      </c>
      <c r="D40" s="34" t="s">
        <v>472</v>
      </c>
      <c r="E40" s="32" t="s">
        <v>507</v>
      </c>
      <c r="F40" s="45">
        <v>3400</v>
      </c>
      <c r="G40" s="45">
        <v>34.950000000000003</v>
      </c>
      <c r="H40" s="45">
        <f t="shared" si="1"/>
        <v>118830.00000000001</v>
      </c>
    </row>
    <row r="41" spans="1:8" x14ac:dyDescent="0.25">
      <c r="A41" s="32">
        <f>+IF(B41="","",SUBTOTAL(3,$B$7:B41))</f>
        <v>35</v>
      </c>
      <c r="B41" s="34" t="s">
        <v>434</v>
      </c>
      <c r="C41" s="35">
        <v>46042</v>
      </c>
      <c r="D41" s="34" t="s">
        <v>473</v>
      </c>
      <c r="E41" s="32" t="s">
        <v>507</v>
      </c>
      <c r="F41" s="45">
        <v>10000</v>
      </c>
      <c r="G41" s="45">
        <v>140</v>
      </c>
      <c r="H41" s="45">
        <f t="shared" si="1"/>
        <v>1400000</v>
      </c>
    </row>
    <row r="42" spans="1:8" x14ac:dyDescent="0.25">
      <c r="A42" s="32">
        <f>+IF(B42="","",SUBTOTAL(3,$B$7:B42))</f>
        <v>36</v>
      </c>
      <c r="B42" s="34" t="s">
        <v>434</v>
      </c>
      <c r="C42" s="35">
        <v>46042</v>
      </c>
      <c r="D42" s="34" t="s">
        <v>452</v>
      </c>
      <c r="E42" s="32" t="s">
        <v>507</v>
      </c>
      <c r="F42" s="45">
        <v>30</v>
      </c>
      <c r="G42" s="45">
        <v>1111.1099999999999</v>
      </c>
      <c r="H42" s="45">
        <f t="shared" si="1"/>
        <v>33333.299999999996</v>
      </c>
    </row>
    <row r="43" spans="1:8" x14ac:dyDescent="0.25">
      <c r="A43" s="32">
        <f>+IF(B43="","",SUBTOTAL(3,$B$7:B43))</f>
        <v>37</v>
      </c>
      <c r="B43" s="34" t="s">
        <v>434</v>
      </c>
      <c r="C43" s="35">
        <v>46042</v>
      </c>
      <c r="D43" s="34" t="s">
        <v>443</v>
      </c>
      <c r="E43" s="32" t="s">
        <v>507</v>
      </c>
      <c r="F43" s="45">
        <v>25</v>
      </c>
      <c r="G43" s="45">
        <v>1710</v>
      </c>
      <c r="H43" s="45">
        <f t="shared" si="1"/>
        <v>42750</v>
      </c>
    </row>
    <row r="44" spans="1:8" ht="30" x14ac:dyDescent="0.25">
      <c r="A44" s="32">
        <f>+IF(B44="","",SUBTOTAL(3,$B$7:B44))</f>
        <v>38</v>
      </c>
      <c r="B44" s="34" t="s">
        <v>197</v>
      </c>
      <c r="C44" s="35">
        <v>46043</v>
      </c>
      <c r="D44" s="34" t="s">
        <v>450</v>
      </c>
      <c r="E44" s="32" t="s">
        <v>512</v>
      </c>
      <c r="F44" s="45">
        <v>2</v>
      </c>
      <c r="G44" s="45">
        <v>41000</v>
      </c>
      <c r="H44" s="45">
        <f t="shared" si="1"/>
        <v>82000</v>
      </c>
    </row>
    <row r="45" spans="1:8" ht="30" x14ac:dyDescent="0.25">
      <c r="A45" s="32">
        <f>+IF(B45="","",SUBTOTAL(3,$B$7:B45))</f>
        <v>39</v>
      </c>
      <c r="B45" s="34" t="s">
        <v>197</v>
      </c>
      <c r="C45" s="35">
        <v>46043</v>
      </c>
      <c r="D45" s="34" t="s">
        <v>446</v>
      </c>
      <c r="E45" s="32" t="s">
        <v>512</v>
      </c>
      <c r="F45" s="45">
        <v>1</v>
      </c>
      <c r="G45" s="45">
        <v>4000</v>
      </c>
      <c r="H45" s="45">
        <f t="shared" si="1"/>
        <v>4000</v>
      </c>
    </row>
    <row r="46" spans="1:8" ht="30" x14ac:dyDescent="0.25">
      <c r="A46" s="32">
        <f>+IF(B46="","",SUBTOTAL(3,$B$7:B46))</f>
        <v>40</v>
      </c>
      <c r="B46" s="34" t="s">
        <v>197</v>
      </c>
      <c r="C46" s="35">
        <v>46043</v>
      </c>
      <c r="D46" s="34" t="s">
        <v>445</v>
      </c>
      <c r="E46" s="32" t="s">
        <v>512</v>
      </c>
      <c r="F46" s="45">
        <v>1</v>
      </c>
      <c r="G46" s="45">
        <v>2011</v>
      </c>
      <c r="H46" s="45">
        <f t="shared" si="1"/>
        <v>2011</v>
      </c>
    </row>
    <row r="47" spans="1:8" ht="30" x14ac:dyDescent="0.25">
      <c r="A47" s="32">
        <f>+IF(B47="","",SUBTOTAL(3,$B$7:B47))</f>
        <v>41</v>
      </c>
      <c r="B47" s="34" t="s">
        <v>197</v>
      </c>
      <c r="C47" s="35">
        <v>46043</v>
      </c>
      <c r="D47" s="34" t="s">
        <v>452</v>
      </c>
      <c r="E47" s="32" t="s">
        <v>507</v>
      </c>
      <c r="F47" s="45">
        <v>6</v>
      </c>
      <c r="G47" s="45">
        <v>1111.1099999999999</v>
      </c>
      <c r="H47" s="45">
        <f t="shared" si="1"/>
        <v>6666.66</v>
      </c>
    </row>
    <row r="48" spans="1:8" ht="45" x14ac:dyDescent="0.25">
      <c r="A48" s="32">
        <f>+IF(B48="","",SUBTOTAL(3,$B$7:B48))</f>
        <v>42</v>
      </c>
      <c r="B48" s="34" t="s">
        <v>194</v>
      </c>
      <c r="C48" s="35">
        <v>46044</v>
      </c>
      <c r="D48" s="34" t="s">
        <v>450</v>
      </c>
      <c r="E48" s="32" t="s">
        <v>512</v>
      </c>
      <c r="F48" s="45">
        <v>1</v>
      </c>
      <c r="G48" s="45">
        <v>41000</v>
      </c>
      <c r="H48" s="45">
        <f t="shared" si="1"/>
        <v>41000</v>
      </c>
    </row>
    <row r="49" spans="1:8" ht="45" x14ac:dyDescent="0.25">
      <c r="A49" s="32">
        <f>+IF(B49="","",SUBTOTAL(3,$B$7:B49))</f>
        <v>43</v>
      </c>
      <c r="B49" s="34" t="s">
        <v>194</v>
      </c>
      <c r="C49" s="35">
        <v>46044</v>
      </c>
      <c r="D49" s="34" t="s">
        <v>443</v>
      </c>
      <c r="E49" s="32" t="s">
        <v>507</v>
      </c>
      <c r="F49" s="45">
        <v>25</v>
      </c>
      <c r="G49" s="45">
        <v>1710</v>
      </c>
      <c r="H49" s="45">
        <f t="shared" si="1"/>
        <v>42750</v>
      </c>
    </row>
    <row r="50" spans="1:8" ht="45" x14ac:dyDescent="0.25">
      <c r="A50" s="32">
        <f>+IF(B50="","",SUBTOTAL(3,$B$7:B50))</f>
        <v>44</v>
      </c>
      <c r="B50" s="34" t="s">
        <v>194</v>
      </c>
      <c r="C50" s="35">
        <v>46044</v>
      </c>
      <c r="D50" s="34" t="s">
        <v>452</v>
      </c>
      <c r="E50" s="32" t="s">
        <v>507</v>
      </c>
      <c r="F50" s="45">
        <v>6</v>
      </c>
      <c r="G50" s="45">
        <v>1111.1099999999999</v>
      </c>
      <c r="H50" s="45">
        <f t="shared" si="1"/>
        <v>6666.66</v>
      </c>
    </row>
    <row r="51" spans="1:8" ht="45" x14ac:dyDescent="0.25">
      <c r="A51" s="32">
        <f>+IF(B51="","",SUBTOTAL(3,$B$7:B51))</f>
        <v>45</v>
      </c>
      <c r="B51" s="34" t="s">
        <v>194</v>
      </c>
      <c r="C51" s="35">
        <v>46044</v>
      </c>
      <c r="D51" s="34" t="s">
        <v>474</v>
      </c>
      <c r="E51" s="32" t="s">
        <v>507</v>
      </c>
      <c r="F51" s="45">
        <v>3</v>
      </c>
      <c r="G51" s="45">
        <v>1000</v>
      </c>
      <c r="H51" s="45">
        <f t="shared" si="1"/>
        <v>3000</v>
      </c>
    </row>
    <row r="52" spans="1:8" ht="45" x14ac:dyDescent="0.25">
      <c r="A52" s="32">
        <f>+IF(B52="","",SUBTOTAL(3,$B$7:B52))</f>
        <v>46</v>
      </c>
      <c r="B52" s="34" t="s">
        <v>194</v>
      </c>
      <c r="C52" s="35">
        <v>46044</v>
      </c>
      <c r="D52" s="34" t="s">
        <v>447</v>
      </c>
      <c r="E52" s="32" t="s">
        <v>512</v>
      </c>
      <c r="F52" s="45">
        <v>2</v>
      </c>
      <c r="G52" s="45">
        <v>3143</v>
      </c>
      <c r="H52" s="45">
        <f t="shared" si="1"/>
        <v>6286</v>
      </c>
    </row>
    <row r="53" spans="1:8" ht="45" x14ac:dyDescent="0.25">
      <c r="A53" s="32">
        <f>+IF(B53="","",SUBTOTAL(3,$B$7:B53))</f>
        <v>47</v>
      </c>
      <c r="B53" s="34" t="s">
        <v>194</v>
      </c>
      <c r="C53" s="35">
        <v>46044</v>
      </c>
      <c r="D53" s="34" t="s">
        <v>451</v>
      </c>
      <c r="E53" s="32" t="s">
        <v>507</v>
      </c>
      <c r="F53" s="45">
        <v>2</v>
      </c>
      <c r="G53" s="45">
        <v>8099</v>
      </c>
      <c r="H53" s="45">
        <f t="shared" si="1"/>
        <v>16198</v>
      </c>
    </row>
    <row r="54" spans="1:8" ht="45" x14ac:dyDescent="0.25">
      <c r="A54" s="32">
        <f>+IF(B54="","",SUBTOTAL(3,$B$7:B54))</f>
        <v>48</v>
      </c>
      <c r="B54" s="34" t="s">
        <v>194</v>
      </c>
      <c r="C54" s="35">
        <v>46044</v>
      </c>
      <c r="D54" s="34" t="s">
        <v>475</v>
      </c>
      <c r="E54" s="32" t="s">
        <v>512</v>
      </c>
      <c r="F54" s="45">
        <v>1</v>
      </c>
      <c r="G54" s="45">
        <v>3800</v>
      </c>
      <c r="H54" s="45">
        <f t="shared" si="1"/>
        <v>3800</v>
      </c>
    </row>
    <row r="55" spans="1:8" x14ac:dyDescent="0.25">
      <c r="A55" s="32">
        <f>+IF(B55="","",SUBTOTAL(3,$B$7:B55))</f>
        <v>49</v>
      </c>
      <c r="B55" s="46" t="s">
        <v>435</v>
      </c>
      <c r="C55" s="35">
        <v>46045</v>
      </c>
      <c r="D55" s="34" t="s">
        <v>452</v>
      </c>
      <c r="E55" s="32" t="s">
        <v>507</v>
      </c>
      <c r="F55" s="45">
        <v>1</v>
      </c>
      <c r="G55" s="45">
        <v>1111.1099999999999</v>
      </c>
      <c r="H55" s="45">
        <f t="shared" si="1"/>
        <v>1111.1099999999999</v>
      </c>
    </row>
    <row r="56" spans="1:8" x14ac:dyDescent="0.25">
      <c r="A56" s="32">
        <f>+IF(B56="","",SUBTOTAL(3,$B$7:B56))</f>
        <v>50</v>
      </c>
      <c r="B56" s="46" t="s">
        <v>435</v>
      </c>
      <c r="C56" s="35">
        <v>46045</v>
      </c>
      <c r="D56" s="34" t="s">
        <v>451</v>
      </c>
      <c r="E56" s="32" t="s">
        <v>507</v>
      </c>
      <c r="F56" s="45">
        <v>2</v>
      </c>
      <c r="G56" s="45">
        <v>8099</v>
      </c>
      <c r="H56" s="45">
        <f t="shared" si="1"/>
        <v>16198</v>
      </c>
    </row>
    <row r="57" spans="1:8" ht="30" x14ac:dyDescent="0.25">
      <c r="A57" s="32">
        <f>+IF(B57="","",SUBTOTAL(3,$B$7:B57))</f>
        <v>51</v>
      </c>
      <c r="B57" s="34" t="s">
        <v>436</v>
      </c>
      <c r="C57" s="35">
        <v>46048</v>
      </c>
      <c r="D57" s="34" t="s">
        <v>450</v>
      </c>
      <c r="E57" s="32" t="s">
        <v>512</v>
      </c>
      <c r="F57" s="45">
        <v>1</v>
      </c>
      <c r="G57" s="45">
        <v>41000</v>
      </c>
      <c r="H57" s="45">
        <f t="shared" si="1"/>
        <v>41000</v>
      </c>
    </row>
    <row r="58" spans="1:8" ht="30" x14ac:dyDescent="0.25">
      <c r="A58" s="32">
        <f>+IF(B58="","",SUBTOTAL(3,$B$7:B58))</f>
        <v>52</v>
      </c>
      <c r="B58" s="34" t="s">
        <v>436</v>
      </c>
      <c r="C58" s="35">
        <v>46048</v>
      </c>
      <c r="D58" s="34" t="s">
        <v>452</v>
      </c>
      <c r="E58" s="32" t="s">
        <v>507</v>
      </c>
      <c r="F58" s="45">
        <v>5</v>
      </c>
      <c r="G58" s="45">
        <v>1111.1099999999999</v>
      </c>
      <c r="H58" s="45">
        <f t="shared" si="1"/>
        <v>5555.5499999999993</v>
      </c>
    </row>
    <row r="59" spans="1:8" ht="30" x14ac:dyDescent="0.25">
      <c r="A59" s="32">
        <f>+IF(B59="","",SUBTOTAL(3,$B$7:B59))</f>
        <v>53</v>
      </c>
      <c r="B59" s="34" t="s">
        <v>436</v>
      </c>
      <c r="C59" s="35">
        <v>46048</v>
      </c>
      <c r="D59" s="34" t="s">
        <v>443</v>
      </c>
      <c r="E59" s="32" t="s">
        <v>507</v>
      </c>
      <c r="F59" s="45">
        <v>40</v>
      </c>
      <c r="G59" s="45">
        <v>1710</v>
      </c>
      <c r="H59" s="45">
        <f t="shared" si="1"/>
        <v>68400</v>
      </c>
    </row>
    <row r="60" spans="1:8" x14ac:dyDescent="0.25">
      <c r="A60" s="32">
        <f>+IF(B60="","",SUBTOTAL(3,$B$7:B60))</f>
        <v>54</v>
      </c>
      <c r="B60" s="34" t="s">
        <v>188</v>
      </c>
      <c r="C60" s="35">
        <v>46055</v>
      </c>
      <c r="D60" s="34" t="s">
        <v>450</v>
      </c>
      <c r="E60" s="32" t="s">
        <v>512</v>
      </c>
      <c r="F60" s="45">
        <v>1</v>
      </c>
      <c r="G60" s="45">
        <v>41000</v>
      </c>
      <c r="H60" s="45">
        <f t="shared" si="1"/>
        <v>41000</v>
      </c>
    </row>
    <row r="61" spans="1:8" x14ac:dyDescent="0.25">
      <c r="A61" s="32">
        <f>+IF(B61="","",SUBTOTAL(3,$B$7:B61))</f>
        <v>55</v>
      </c>
      <c r="B61" s="34" t="s">
        <v>188</v>
      </c>
      <c r="C61" s="35">
        <v>46055</v>
      </c>
      <c r="D61" s="34" t="s">
        <v>476</v>
      </c>
      <c r="E61" s="32" t="s">
        <v>507</v>
      </c>
      <c r="F61" s="45">
        <v>1</v>
      </c>
      <c r="G61" s="45">
        <v>81000</v>
      </c>
      <c r="H61" s="45">
        <f t="shared" si="1"/>
        <v>81000</v>
      </c>
    </row>
    <row r="62" spans="1:8" ht="30" x14ac:dyDescent="0.25">
      <c r="A62" s="32">
        <f>+IF(B62="","",SUBTOTAL(3,$B$7:B62))</f>
        <v>56</v>
      </c>
      <c r="B62" s="34" t="s">
        <v>188</v>
      </c>
      <c r="C62" s="35">
        <v>46055</v>
      </c>
      <c r="D62" s="34" t="s">
        <v>477</v>
      </c>
      <c r="E62" s="32" t="s">
        <v>507</v>
      </c>
      <c r="F62" s="45">
        <v>200</v>
      </c>
      <c r="G62" s="45">
        <v>12992</v>
      </c>
      <c r="H62" s="45">
        <f t="shared" si="1"/>
        <v>2598400</v>
      </c>
    </row>
    <row r="63" spans="1:8" x14ac:dyDescent="0.25">
      <c r="A63" s="32">
        <f>+IF(B63="","",SUBTOTAL(3,$B$7:B63))</f>
        <v>57</v>
      </c>
      <c r="B63" s="46" t="s">
        <v>403</v>
      </c>
      <c r="C63" s="35">
        <v>46066</v>
      </c>
      <c r="D63" s="34" t="s">
        <v>478</v>
      </c>
      <c r="E63" s="32" t="s">
        <v>507</v>
      </c>
      <c r="F63" s="45">
        <v>8</v>
      </c>
      <c r="G63" s="45">
        <v>26000</v>
      </c>
      <c r="H63" s="45">
        <f t="shared" si="1"/>
        <v>208000</v>
      </c>
    </row>
    <row r="64" spans="1:8" ht="30" x14ac:dyDescent="0.25">
      <c r="A64" s="32">
        <f>+IF(B64="","",SUBTOTAL(3,$B$7:B64))</f>
        <v>58</v>
      </c>
      <c r="B64" s="46" t="s">
        <v>403</v>
      </c>
      <c r="C64" s="35">
        <v>46066</v>
      </c>
      <c r="D64" s="34" t="s">
        <v>456</v>
      </c>
      <c r="E64" s="32" t="s">
        <v>513</v>
      </c>
      <c r="F64" s="45">
        <v>8</v>
      </c>
      <c r="G64" s="45">
        <v>13104</v>
      </c>
      <c r="H64" s="45">
        <f t="shared" si="1"/>
        <v>104832</v>
      </c>
    </row>
    <row r="65" spans="1:8" x14ac:dyDescent="0.25">
      <c r="A65" s="32">
        <f>+IF(B65="","",SUBTOTAL(3,$B$7:B65))</f>
        <v>59</v>
      </c>
      <c r="B65" s="46" t="s">
        <v>403</v>
      </c>
      <c r="C65" s="35">
        <v>46066</v>
      </c>
      <c r="D65" s="34" t="s">
        <v>479</v>
      </c>
      <c r="E65" s="32" t="s">
        <v>507</v>
      </c>
      <c r="F65" s="45">
        <v>4</v>
      </c>
      <c r="G65" s="45">
        <v>8092</v>
      </c>
      <c r="H65" s="45">
        <f t="shared" si="1"/>
        <v>32368</v>
      </c>
    </row>
    <row r="66" spans="1:8" x14ac:dyDescent="0.25">
      <c r="A66" s="32">
        <f>+IF(B66="","",SUBTOTAL(3,$B$7:B66))</f>
        <v>60</v>
      </c>
      <c r="B66" s="46" t="s">
        <v>403</v>
      </c>
      <c r="C66" s="35">
        <v>46066</v>
      </c>
      <c r="D66" s="34" t="s">
        <v>442</v>
      </c>
      <c r="E66" s="32" t="s">
        <v>507</v>
      </c>
      <c r="F66" s="45">
        <v>1</v>
      </c>
      <c r="G66" s="45">
        <v>20000</v>
      </c>
      <c r="H66" s="45">
        <f t="shared" si="1"/>
        <v>20000</v>
      </c>
    </row>
    <row r="67" spans="1:8" ht="30" x14ac:dyDescent="0.25">
      <c r="A67" s="32">
        <f>+IF(B67="","",SUBTOTAL(3,$B$7:B67))</f>
        <v>61</v>
      </c>
      <c r="B67" s="46" t="s">
        <v>403</v>
      </c>
      <c r="C67" s="35">
        <v>46066</v>
      </c>
      <c r="D67" s="34" t="s">
        <v>480</v>
      </c>
      <c r="E67" s="32" t="s">
        <v>507</v>
      </c>
      <c r="F67" s="45">
        <v>5</v>
      </c>
      <c r="G67" s="45">
        <v>68000</v>
      </c>
      <c r="H67" s="45">
        <f t="shared" si="1"/>
        <v>340000</v>
      </c>
    </row>
    <row r="68" spans="1:8" x14ac:dyDescent="0.25">
      <c r="A68" s="32">
        <f>+IF(B68="","",SUBTOTAL(3,$B$7:B68))</f>
        <v>62</v>
      </c>
      <c r="B68" s="46" t="s">
        <v>432</v>
      </c>
      <c r="C68" s="35">
        <v>46066</v>
      </c>
      <c r="D68" s="34" t="s">
        <v>481</v>
      </c>
      <c r="E68" s="32" t="s">
        <v>507</v>
      </c>
      <c r="F68" s="45">
        <v>4</v>
      </c>
      <c r="G68" s="45">
        <v>4000</v>
      </c>
      <c r="H68" s="45">
        <f t="shared" si="1"/>
        <v>16000</v>
      </c>
    </row>
    <row r="69" spans="1:8" x14ac:dyDescent="0.25">
      <c r="A69" s="32">
        <f>+IF(B69="","",SUBTOTAL(3,$B$7:B69))</f>
        <v>63</v>
      </c>
      <c r="B69" s="46" t="s">
        <v>432</v>
      </c>
      <c r="C69" s="35">
        <v>46066</v>
      </c>
      <c r="D69" s="34" t="s">
        <v>482</v>
      </c>
      <c r="E69" s="32" t="s">
        <v>513</v>
      </c>
      <c r="F69" s="45">
        <v>2</v>
      </c>
      <c r="G69" s="45">
        <v>7896</v>
      </c>
      <c r="H69" s="45">
        <f t="shared" si="1"/>
        <v>15792</v>
      </c>
    </row>
    <row r="70" spans="1:8" x14ac:dyDescent="0.25">
      <c r="A70" s="32">
        <f>+IF(B70="","",SUBTOTAL(3,$B$7:B70))</f>
        <v>64</v>
      </c>
      <c r="B70" s="34" t="s">
        <v>431</v>
      </c>
      <c r="C70" s="35">
        <v>46069</v>
      </c>
      <c r="D70" s="34" t="s">
        <v>452</v>
      </c>
      <c r="E70" s="32" t="s">
        <v>507</v>
      </c>
      <c r="F70" s="45">
        <v>7</v>
      </c>
      <c r="G70" s="45">
        <v>1111.1099999999999</v>
      </c>
      <c r="H70" s="45">
        <f t="shared" si="1"/>
        <v>7777.7699999999995</v>
      </c>
    </row>
    <row r="71" spans="1:8" ht="30" x14ac:dyDescent="0.25">
      <c r="A71" s="32">
        <f>+IF(B71="","",SUBTOTAL(3,$B$7:B71))</f>
        <v>65</v>
      </c>
      <c r="B71" s="34" t="s">
        <v>431</v>
      </c>
      <c r="C71" s="35">
        <v>46069</v>
      </c>
      <c r="D71" s="34" t="s">
        <v>448</v>
      </c>
      <c r="E71" s="32" t="s">
        <v>508</v>
      </c>
      <c r="F71" s="45">
        <v>13.36</v>
      </c>
      <c r="G71" s="45">
        <v>23000</v>
      </c>
      <c r="H71" s="45">
        <f t="shared" si="1"/>
        <v>307280</v>
      </c>
    </row>
    <row r="72" spans="1:8" x14ac:dyDescent="0.25">
      <c r="A72" s="32">
        <f>+IF(B72="","",SUBTOTAL(3,$B$7:B72))</f>
        <v>66</v>
      </c>
      <c r="B72" s="34" t="s">
        <v>431</v>
      </c>
      <c r="C72" s="35">
        <v>46069</v>
      </c>
      <c r="D72" s="34" t="s">
        <v>450</v>
      </c>
      <c r="E72" s="32" t="s">
        <v>512</v>
      </c>
      <c r="F72" s="45">
        <v>1</v>
      </c>
      <c r="G72" s="45">
        <v>41000</v>
      </c>
      <c r="H72" s="45">
        <f t="shared" ref="H72:H135" si="2">+G72*F72</f>
        <v>41000</v>
      </c>
    </row>
    <row r="73" spans="1:8" x14ac:dyDescent="0.25">
      <c r="A73" s="32">
        <f>+IF(B73="","",SUBTOTAL(3,$B$7:B73))</f>
        <v>67</v>
      </c>
      <c r="B73" s="34" t="s">
        <v>431</v>
      </c>
      <c r="C73" s="35">
        <v>46069</v>
      </c>
      <c r="D73" s="34" t="s">
        <v>447</v>
      </c>
      <c r="E73" s="32" t="s">
        <v>512</v>
      </c>
      <c r="F73" s="45">
        <v>2</v>
      </c>
      <c r="G73" s="45">
        <v>3143</v>
      </c>
      <c r="H73" s="45">
        <f t="shared" si="2"/>
        <v>6286</v>
      </c>
    </row>
    <row r="74" spans="1:8" x14ac:dyDescent="0.25">
      <c r="A74" s="32">
        <f>+IF(B74="","",SUBTOTAL(3,$B$7:B74))</f>
        <v>68</v>
      </c>
      <c r="B74" s="34" t="s">
        <v>431</v>
      </c>
      <c r="C74" s="35">
        <v>46069</v>
      </c>
      <c r="D74" s="34" t="s">
        <v>443</v>
      </c>
      <c r="E74" s="32" t="s">
        <v>507</v>
      </c>
      <c r="F74" s="45">
        <v>40</v>
      </c>
      <c r="G74" s="45">
        <v>1710</v>
      </c>
      <c r="H74" s="45">
        <f t="shared" si="2"/>
        <v>68400</v>
      </c>
    </row>
    <row r="75" spans="1:8" x14ac:dyDescent="0.25">
      <c r="A75" s="32">
        <f>+IF(B75="","",SUBTOTAL(3,$B$7:B75))</f>
        <v>69</v>
      </c>
      <c r="B75" s="34" t="s">
        <v>431</v>
      </c>
      <c r="C75" s="35">
        <v>46069</v>
      </c>
      <c r="D75" s="34" t="s">
        <v>454</v>
      </c>
      <c r="E75" s="32" t="s">
        <v>507</v>
      </c>
      <c r="F75" s="45">
        <v>4</v>
      </c>
      <c r="G75" s="45">
        <v>13500</v>
      </c>
      <c r="H75" s="45">
        <f t="shared" si="2"/>
        <v>54000</v>
      </c>
    </row>
    <row r="76" spans="1:8" ht="30" x14ac:dyDescent="0.25">
      <c r="A76" s="32">
        <f>+IF(B76="","",SUBTOTAL(3,$B$7:B76))</f>
        <v>70</v>
      </c>
      <c r="B76" s="34" t="s">
        <v>197</v>
      </c>
      <c r="C76" s="35">
        <v>46069</v>
      </c>
      <c r="D76" s="34" t="s">
        <v>450</v>
      </c>
      <c r="E76" s="32" t="s">
        <v>512</v>
      </c>
      <c r="F76" s="45">
        <v>2</v>
      </c>
      <c r="G76" s="45">
        <v>41000</v>
      </c>
      <c r="H76" s="45">
        <f t="shared" si="2"/>
        <v>82000</v>
      </c>
    </row>
    <row r="77" spans="1:8" ht="30" x14ac:dyDescent="0.25">
      <c r="A77" s="32">
        <f>+IF(B77="","",SUBTOTAL(3,$B$7:B77))</f>
        <v>71</v>
      </c>
      <c r="B77" s="34" t="s">
        <v>197</v>
      </c>
      <c r="C77" s="35">
        <v>46069</v>
      </c>
      <c r="D77" s="34" t="s">
        <v>445</v>
      </c>
      <c r="E77" s="32" t="s">
        <v>512</v>
      </c>
      <c r="F77" s="45">
        <v>2</v>
      </c>
      <c r="G77" s="45">
        <v>2011</v>
      </c>
      <c r="H77" s="45">
        <f t="shared" si="2"/>
        <v>4022</v>
      </c>
    </row>
    <row r="78" spans="1:8" ht="30" x14ac:dyDescent="0.25">
      <c r="A78" s="32">
        <f>+IF(B78="","",SUBTOTAL(3,$B$7:B78))</f>
        <v>72</v>
      </c>
      <c r="B78" s="34" t="s">
        <v>197</v>
      </c>
      <c r="C78" s="35">
        <v>46069</v>
      </c>
      <c r="D78" s="34" t="s">
        <v>476</v>
      </c>
      <c r="E78" s="32" t="s">
        <v>507</v>
      </c>
      <c r="F78" s="45">
        <v>1</v>
      </c>
      <c r="G78" s="45">
        <v>81000</v>
      </c>
      <c r="H78" s="45">
        <f t="shared" si="2"/>
        <v>81000</v>
      </c>
    </row>
    <row r="79" spans="1:8" ht="30" x14ac:dyDescent="0.25">
      <c r="A79" s="32">
        <f>+IF(B79="","",SUBTOTAL(3,$B$7:B79))</f>
        <v>73</v>
      </c>
      <c r="B79" s="34" t="s">
        <v>197</v>
      </c>
      <c r="C79" s="35">
        <v>46069</v>
      </c>
      <c r="D79" s="34" t="s">
        <v>452</v>
      </c>
      <c r="E79" s="32" t="s">
        <v>507</v>
      </c>
      <c r="F79" s="45">
        <v>6</v>
      </c>
      <c r="G79" s="45">
        <v>1111.1099999999999</v>
      </c>
      <c r="H79" s="45">
        <f t="shared" si="2"/>
        <v>6666.66</v>
      </c>
    </row>
    <row r="80" spans="1:8" ht="30" x14ac:dyDescent="0.25">
      <c r="A80" s="32">
        <f>+IF(B80="","",SUBTOTAL(3,$B$7:B80))</f>
        <v>74</v>
      </c>
      <c r="B80" s="34" t="s">
        <v>202</v>
      </c>
      <c r="C80" s="35">
        <v>46069</v>
      </c>
      <c r="D80" s="34" t="s">
        <v>452</v>
      </c>
      <c r="E80" s="32" t="s">
        <v>507</v>
      </c>
      <c r="F80" s="45">
        <v>4</v>
      </c>
      <c r="G80" s="45">
        <v>1111.1099999999999</v>
      </c>
      <c r="H80" s="45">
        <f t="shared" si="2"/>
        <v>4444.4399999999996</v>
      </c>
    </row>
    <row r="81" spans="1:8" ht="30" x14ac:dyDescent="0.25">
      <c r="A81" s="32">
        <f>+IF(B81="","",SUBTOTAL(3,$B$7:B81))</f>
        <v>75</v>
      </c>
      <c r="B81" s="34" t="s">
        <v>202</v>
      </c>
      <c r="C81" s="35">
        <v>46069</v>
      </c>
      <c r="D81" s="34" t="s">
        <v>483</v>
      </c>
      <c r="E81" s="32" t="s">
        <v>512</v>
      </c>
      <c r="F81" s="45">
        <v>1</v>
      </c>
      <c r="G81" s="45">
        <v>85000</v>
      </c>
      <c r="H81" s="45">
        <f t="shared" si="2"/>
        <v>85000</v>
      </c>
    </row>
    <row r="82" spans="1:8" ht="30" x14ac:dyDescent="0.25">
      <c r="A82" s="32">
        <f>+IF(B82="","",SUBTOTAL(3,$B$7:B82))</f>
        <v>76</v>
      </c>
      <c r="B82" s="34" t="s">
        <v>202</v>
      </c>
      <c r="C82" s="35">
        <v>46069</v>
      </c>
      <c r="D82" s="34" t="s">
        <v>450</v>
      </c>
      <c r="E82" s="32" t="s">
        <v>512</v>
      </c>
      <c r="F82" s="45">
        <v>1</v>
      </c>
      <c r="G82" s="45">
        <v>41000</v>
      </c>
      <c r="H82" s="45">
        <f t="shared" si="2"/>
        <v>41000</v>
      </c>
    </row>
    <row r="83" spans="1:8" ht="30" x14ac:dyDescent="0.25">
      <c r="A83" s="32">
        <f>+IF(B83="","",SUBTOTAL(3,$B$7:B83))</f>
        <v>77</v>
      </c>
      <c r="B83" s="34" t="s">
        <v>202</v>
      </c>
      <c r="C83" s="35">
        <v>46069</v>
      </c>
      <c r="D83" s="34" t="s">
        <v>474</v>
      </c>
      <c r="E83" s="32" t="s">
        <v>507</v>
      </c>
      <c r="F83" s="45">
        <v>4</v>
      </c>
      <c r="G83" s="45">
        <v>1000</v>
      </c>
      <c r="H83" s="45">
        <f t="shared" si="2"/>
        <v>4000</v>
      </c>
    </row>
    <row r="84" spans="1:8" ht="30" x14ac:dyDescent="0.25">
      <c r="A84" s="32">
        <f>+IF(B84="","",SUBTOTAL(3,$B$7:B84))</f>
        <v>78</v>
      </c>
      <c r="B84" s="34" t="s">
        <v>202</v>
      </c>
      <c r="C84" s="35">
        <v>46069</v>
      </c>
      <c r="D84" s="34" t="s">
        <v>445</v>
      </c>
      <c r="E84" s="32" t="s">
        <v>512</v>
      </c>
      <c r="F84" s="45">
        <v>2</v>
      </c>
      <c r="G84" s="45">
        <v>2011</v>
      </c>
      <c r="H84" s="45">
        <f t="shared" si="2"/>
        <v>4022</v>
      </c>
    </row>
    <row r="85" spans="1:8" ht="30" x14ac:dyDescent="0.25">
      <c r="A85" s="32">
        <f>+IF(B85="","",SUBTOTAL(3,$B$7:B85))</f>
        <v>79</v>
      </c>
      <c r="B85" s="34" t="s">
        <v>202</v>
      </c>
      <c r="C85" s="35">
        <v>46069</v>
      </c>
      <c r="D85" s="47" t="s">
        <v>484</v>
      </c>
      <c r="E85" s="32" t="s">
        <v>507</v>
      </c>
      <c r="F85" s="45">
        <v>1</v>
      </c>
      <c r="G85" s="45">
        <v>9500</v>
      </c>
      <c r="H85" s="45">
        <f t="shared" si="2"/>
        <v>9500</v>
      </c>
    </row>
    <row r="86" spans="1:8" ht="30" x14ac:dyDescent="0.25">
      <c r="A86" s="32">
        <f>+IF(B86="","",SUBTOTAL(3,$B$7:B86))</f>
        <v>80</v>
      </c>
      <c r="B86" s="34" t="s">
        <v>438</v>
      </c>
      <c r="C86" s="35">
        <v>46071</v>
      </c>
      <c r="D86" s="47" t="s">
        <v>450</v>
      </c>
      <c r="E86" s="32" t="s">
        <v>512</v>
      </c>
      <c r="F86" s="45">
        <v>1</v>
      </c>
      <c r="G86" s="45">
        <v>41000</v>
      </c>
      <c r="H86" s="45">
        <f t="shared" si="2"/>
        <v>41000</v>
      </c>
    </row>
    <row r="87" spans="1:8" ht="30" x14ac:dyDescent="0.25">
      <c r="A87" s="32">
        <f>+IF(B87="","",SUBTOTAL(3,$B$7:B87))</f>
        <v>81</v>
      </c>
      <c r="B87" s="34" t="s">
        <v>438</v>
      </c>
      <c r="C87" s="35">
        <v>46071</v>
      </c>
      <c r="D87" s="47" t="s">
        <v>452</v>
      </c>
      <c r="E87" s="32" t="s">
        <v>507</v>
      </c>
      <c r="F87" s="45">
        <v>2</v>
      </c>
      <c r="G87" s="45">
        <v>1111.1099999999999</v>
      </c>
      <c r="H87" s="45">
        <f t="shared" si="2"/>
        <v>2222.2199999999998</v>
      </c>
    </row>
    <row r="88" spans="1:8" x14ac:dyDescent="0.25">
      <c r="A88" s="32">
        <f>+IF(B88="","",SUBTOTAL(3,$B$7:B88))</f>
        <v>82</v>
      </c>
      <c r="B88" s="34" t="s">
        <v>434</v>
      </c>
      <c r="C88" s="35">
        <v>46071</v>
      </c>
      <c r="D88" s="47" t="s">
        <v>466</v>
      </c>
      <c r="E88" s="32" t="s">
        <v>507</v>
      </c>
      <c r="F88" s="45">
        <v>50000</v>
      </c>
      <c r="G88" s="45">
        <v>19.8</v>
      </c>
      <c r="H88" s="45">
        <f t="shared" si="2"/>
        <v>990000</v>
      </c>
    </row>
    <row r="89" spans="1:8" x14ac:dyDescent="0.25">
      <c r="A89" s="32">
        <f>+IF(B89="","",SUBTOTAL(3,$B$7:B89))</f>
        <v>83</v>
      </c>
      <c r="B89" s="34" t="s">
        <v>434</v>
      </c>
      <c r="C89" s="35">
        <v>46071</v>
      </c>
      <c r="D89" s="34" t="s">
        <v>467</v>
      </c>
      <c r="E89" s="32" t="s">
        <v>507</v>
      </c>
      <c r="F89" s="45">
        <v>20000</v>
      </c>
      <c r="G89" s="45">
        <v>19.8</v>
      </c>
      <c r="H89" s="45">
        <f t="shared" si="2"/>
        <v>396000</v>
      </c>
    </row>
    <row r="90" spans="1:8" x14ac:dyDescent="0.25">
      <c r="A90" s="32">
        <f>+IF(B90="","",SUBTOTAL(3,$B$7:B90))</f>
        <v>84</v>
      </c>
      <c r="B90" s="34" t="s">
        <v>434</v>
      </c>
      <c r="C90" s="35">
        <v>46071</v>
      </c>
      <c r="D90" s="34" t="s">
        <v>469</v>
      </c>
      <c r="E90" s="32" t="s">
        <v>507</v>
      </c>
      <c r="F90" s="45">
        <v>50000</v>
      </c>
      <c r="G90" s="45">
        <v>19.8</v>
      </c>
      <c r="H90" s="45">
        <f t="shared" si="2"/>
        <v>990000</v>
      </c>
    </row>
    <row r="91" spans="1:8" x14ac:dyDescent="0.25">
      <c r="A91" s="32">
        <f>+IF(B91="","",SUBTOTAL(3,$B$7:B91))</f>
        <v>85</v>
      </c>
      <c r="B91" s="34" t="s">
        <v>434</v>
      </c>
      <c r="C91" s="35">
        <v>46071</v>
      </c>
      <c r="D91" s="34" t="s">
        <v>485</v>
      </c>
      <c r="E91" s="32" t="s">
        <v>507</v>
      </c>
      <c r="F91" s="45">
        <v>5000</v>
      </c>
      <c r="G91" s="45">
        <v>34.950000000000003</v>
      </c>
      <c r="H91" s="45">
        <f t="shared" si="2"/>
        <v>174750</v>
      </c>
    </row>
    <row r="92" spans="1:8" x14ac:dyDescent="0.25">
      <c r="A92" s="32">
        <f>+IF(B92="","",SUBTOTAL(3,$B$7:B92))</f>
        <v>86</v>
      </c>
      <c r="B92" s="34" t="s">
        <v>434</v>
      </c>
      <c r="C92" s="35">
        <v>46071</v>
      </c>
      <c r="D92" s="34" t="s">
        <v>471</v>
      </c>
      <c r="E92" s="32" t="s">
        <v>507</v>
      </c>
      <c r="F92" s="45">
        <v>10200</v>
      </c>
      <c r="G92" s="45">
        <v>34.950000000000003</v>
      </c>
      <c r="H92" s="45">
        <f t="shared" si="2"/>
        <v>356490</v>
      </c>
    </row>
    <row r="93" spans="1:8" x14ac:dyDescent="0.25">
      <c r="A93" s="32">
        <f>+IF(B93="","",SUBTOTAL(3,$B$7:B93))</f>
        <v>87</v>
      </c>
      <c r="B93" s="34" t="s">
        <v>434</v>
      </c>
      <c r="C93" s="35">
        <v>46071</v>
      </c>
      <c r="D93" s="34" t="s">
        <v>472</v>
      </c>
      <c r="E93" s="32" t="s">
        <v>507</v>
      </c>
      <c r="F93" s="45">
        <v>10200</v>
      </c>
      <c r="G93" s="45">
        <v>34.950000000000003</v>
      </c>
      <c r="H93" s="45">
        <f t="shared" si="2"/>
        <v>356490</v>
      </c>
    </row>
    <row r="94" spans="1:8" x14ac:dyDescent="0.25">
      <c r="A94" s="32">
        <f>+IF(B94="","",SUBTOTAL(3,$B$7:B94))</f>
        <v>88</v>
      </c>
      <c r="B94" s="34" t="s">
        <v>434</v>
      </c>
      <c r="C94" s="35">
        <v>46071</v>
      </c>
      <c r="D94" s="34" t="s">
        <v>470</v>
      </c>
      <c r="E94" s="32" t="s">
        <v>507</v>
      </c>
      <c r="F94" s="45">
        <v>5100</v>
      </c>
      <c r="G94" s="45">
        <v>34.950000000000003</v>
      </c>
      <c r="H94" s="45">
        <f t="shared" si="2"/>
        <v>178245</v>
      </c>
    </row>
    <row r="95" spans="1:8" x14ac:dyDescent="0.25">
      <c r="A95" s="32">
        <f>+IF(B95="","",SUBTOTAL(3,$B$7:B95))</f>
        <v>89</v>
      </c>
      <c r="B95" s="34" t="s">
        <v>434</v>
      </c>
      <c r="C95" s="35">
        <v>46071</v>
      </c>
      <c r="D95" s="34" t="s">
        <v>486</v>
      </c>
      <c r="E95" s="32" t="s">
        <v>508</v>
      </c>
      <c r="F95" s="45">
        <v>20</v>
      </c>
      <c r="G95" s="45">
        <v>33470</v>
      </c>
      <c r="H95" s="45">
        <f t="shared" si="2"/>
        <v>669400</v>
      </c>
    </row>
    <row r="96" spans="1:8" x14ac:dyDescent="0.25">
      <c r="A96" s="32">
        <f>+IF(B96="","",SUBTOTAL(3,$B$7:B96))</f>
        <v>90</v>
      </c>
      <c r="B96" s="34" t="s">
        <v>434</v>
      </c>
      <c r="C96" s="35">
        <v>46071</v>
      </c>
      <c r="D96" s="34" t="s">
        <v>487</v>
      </c>
      <c r="E96" s="32" t="s">
        <v>508</v>
      </c>
      <c r="F96" s="45">
        <v>4</v>
      </c>
      <c r="G96" s="45">
        <v>58470</v>
      </c>
      <c r="H96" s="45">
        <f t="shared" si="2"/>
        <v>233880</v>
      </c>
    </row>
    <row r="97" spans="1:8" x14ac:dyDescent="0.25">
      <c r="A97" s="32">
        <f>+IF(B97="","",SUBTOTAL(3,$B$7:B97))</f>
        <v>91</v>
      </c>
      <c r="B97" s="34" t="s">
        <v>434</v>
      </c>
      <c r="C97" s="35">
        <v>46071</v>
      </c>
      <c r="D97" s="34" t="s">
        <v>488</v>
      </c>
      <c r="E97" s="32" t="s">
        <v>510</v>
      </c>
      <c r="F97" s="45">
        <v>2</v>
      </c>
      <c r="G97" s="45">
        <v>615000</v>
      </c>
      <c r="H97" s="45">
        <f t="shared" si="2"/>
        <v>1230000</v>
      </c>
    </row>
    <row r="98" spans="1:8" x14ac:dyDescent="0.25">
      <c r="A98" s="32">
        <f>+IF(B98="","",SUBTOTAL(3,$B$7:B98))</f>
        <v>92</v>
      </c>
      <c r="B98" s="34" t="s">
        <v>434</v>
      </c>
      <c r="C98" s="35">
        <v>46071</v>
      </c>
      <c r="D98" s="34" t="s">
        <v>444</v>
      </c>
      <c r="E98" s="32" t="s">
        <v>508</v>
      </c>
      <c r="F98" s="45">
        <v>10</v>
      </c>
      <c r="G98" s="45">
        <v>34000</v>
      </c>
      <c r="H98" s="45">
        <f t="shared" si="2"/>
        <v>340000</v>
      </c>
    </row>
    <row r="99" spans="1:8" x14ac:dyDescent="0.25">
      <c r="A99" s="32">
        <f>+IF(B99="","",SUBTOTAL(3,$B$7:B99))</f>
        <v>93</v>
      </c>
      <c r="B99" s="34" t="s">
        <v>434</v>
      </c>
      <c r="C99" s="35">
        <v>46071</v>
      </c>
      <c r="D99" s="34" t="s">
        <v>464</v>
      </c>
      <c r="E99" s="32" t="s">
        <v>511</v>
      </c>
      <c r="F99" s="45">
        <v>6</v>
      </c>
      <c r="G99" s="45">
        <v>2150</v>
      </c>
      <c r="H99" s="45">
        <f t="shared" si="2"/>
        <v>12900</v>
      </c>
    </row>
    <row r="100" spans="1:8" x14ac:dyDescent="0.25">
      <c r="A100" s="32">
        <f>+IF(B100="","",SUBTOTAL(3,$B$7:B100))</f>
        <v>94</v>
      </c>
      <c r="B100" s="34" t="s">
        <v>434</v>
      </c>
      <c r="C100" s="35">
        <v>46071</v>
      </c>
      <c r="D100" s="34" t="s">
        <v>458</v>
      </c>
      <c r="E100" s="32" t="s">
        <v>507</v>
      </c>
      <c r="F100" s="45">
        <v>4</v>
      </c>
      <c r="G100" s="45">
        <v>3300</v>
      </c>
      <c r="H100" s="45">
        <f t="shared" si="2"/>
        <v>13200</v>
      </c>
    </row>
    <row r="101" spans="1:8" x14ac:dyDescent="0.25">
      <c r="A101" s="32">
        <f>+IF(B101="","",SUBTOTAL(3,$B$7:B101))</f>
        <v>95</v>
      </c>
      <c r="B101" s="34" t="s">
        <v>434</v>
      </c>
      <c r="C101" s="35">
        <v>46071</v>
      </c>
      <c r="D101" s="34" t="s">
        <v>452</v>
      </c>
      <c r="E101" s="32" t="s">
        <v>507</v>
      </c>
      <c r="F101" s="45">
        <v>12</v>
      </c>
      <c r="G101" s="45">
        <v>1111.1099999999999</v>
      </c>
      <c r="H101" s="45">
        <f t="shared" si="2"/>
        <v>13333.32</v>
      </c>
    </row>
    <row r="102" spans="1:8" x14ac:dyDescent="0.25">
      <c r="A102" s="32">
        <f>+IF(B102="","",SUBTOTAL(3,$B$7:B102))</f>
        <v>96</v>
      </c>
      <c r="B102" s="34" t="s">
        <v>434</v>
      </c>
      <c r="C102" s="35">
        <v>46071</v>
      </c>
      <c r="D102" s="34" t="s">
        <v>443</v>
      </c>
      <c r="E102" s="32" t="s">
        <v>507</v>
      </c>
      <c r="F102" s="45">
        <v>25</v>
      </c>
      <c r="G102" s="45">
        <v>1710</v>
      </c>
      <c r="H102" s="45">
        <f t="shared" si="2"/>
        <v>42750</v>
      </c>
    </row>
    <row r="103" spans="1:8" ht="30" x14ac:dyDescent="0.25">
      <c r="A103" s="32">
        <f>+IF(B103="","",SUBTOTAL(3,$B$7:B103))</f>
        <v>97</v>
      </c>
      <c r="B103" s="34" t="s">
        <v>434</v>
      </c>
      <c r="C103" s="35">
        <v>46071</v>
      </c>
      <c r="D103" s="34" t="s">
        <v>489</v>
      </c>
      <c r="E103" s="32" t="s">
        <v>507</v>
      </c>
      <c r="F103" s="45">
        <v>12</v>
      </c>
      <c r="G103" s="45">
        <v>19600</v>
      </c>
      <c r="H103" s="45">
        <f t="shared" si="2"/>
        <v>235200</v>
      </c>
    </row>
    <row r="104" spans="1:8" ht="30" x14ac:dyDescent="0.25">
      <c r="A104" s="32">
        <f>+IF(B104="","",SUBTOTAL(3,$B$7:B104))</f>
        <v>98</v>
      </c>
      <c r="B104" s="34" t="s">
        <v>434</v>
      </c>
      <c r="C104" s="35">
        <v>46071</v>
      </c>
      <c r="D104" s="34" t="s">
        <v>490</v>
      </c>
      <c r="E104" s="32" t="s">
        <v>507</v>
      </c>
      <c r="F104" s="45">
        <v>10</v>
      </c>
      <c r="G104" s="45">
        <v>2700</v>
      </c>
      <c r="H104" s="45">
        <f t="shared" si="2"/>
        <v>27000</v>
      </c>
    </row>
    <row r="105" spans="1:8" x14ac:dyDescent="0.25">
      <c r="A105" s="32">
        <f>+IF(B105="","",SUBTOTAL(3,$B$7:B105))</f>
        <v>99</v>
      </c>
      <c r="B105" s="34" t="s">
        <v>403</v>
      </c>
      <c r="C105" s="35">
        <v>46076</v>
      </c>
      <c r="D105" s="34" t="s">
        <v>458</v>
      </c>
      <c r="E105" s="32" t="s">
        <v>507</v>
      </c>
      <c r="F105" s="45">
        <v>8</v>
      </c>
      <c r="G105" s="45">
        <v>3300</v>
      </c>
      <c r="H105" s="45">
        <f t="shared" si="2"/>
        <v>26400</v>
      </c>
    </row>
    <row r="106" spans="1:8" x14ac:dyDescent="0.25">
      <c r="A106" s="32">
        <f>+IF(B106="","",SUBTOTAL(3,$B$7:B106))</f>
        <v>100</v>
      </c>
      <c r="B106" s="34" t="s">
        <v>403</v>
      </c>
      <c r="C106" s="35">
        <v>46076</v>
      </c>
      <c r="D106" s="34" t="s">
        <v>461</v>
      </c>
      <c r="E106" s="32" t="s">
        <v>511</v>
      </c>
      <c r="F106" s="45">
        <v>5</v>
      </c>
      <c r="G106" s="45">
        <v>5454</v>
      </c>
      <c r="H106" s="45">
        <f t="shared" si="2"/>
        <v>27270</v>
      </c>
    </row>
    <row r="107" spans="1:8" x14ac:dyDescent="0.25">
      <c r="A107" s="32">
        <f>+IF(B107="","",SUBTOTAL(3,$B$7:B107))</f>
        <v>101</v>
      </c>
      <c r="B107" s="34" t="s">
        <v>403</v>
      </c>
      <c r="C107" s="35">
        <v>46076</v>
      </c>
      <c r="D107" s="34" t="s">
        <v>460</v>
      </c>
      <c r="E107" s="32" t="s">
        <v>508</v>
      </c>
      <c r="F107" s="45">
        <v>5</v>
      </c>
      <c r="G107" s="45">
        <v>15000</v>
      </c>
      <c r="H107" s="45">
        <f t="shared" si="2"/>
        <v>75000</v>
      </c>
    </row>
    <row r="108" spans="1:8" x14ac:dyDescent="0.25">
      <c r="A108" s="32">
        <f>+IF(B108="","",SUBTOTAL(3,$B$7:B108))</f>
        <v>102</v>
      </c>
      <c r="B108" s="34" t="s">
        <v>403</v>
      </c>
      <c r="C108" s="35">
        <v>46076</v>
      </c>
      <c r="D108" s="34" t="s">
        <v>442</v>
      </c>
      <c r="E108" s="32" t="s">
        <v>507</v>
      </c>
      <c r="F108" s="45">
        <v>1</v>
      </c>
      <c r="G108" s="45">
        <v>20000</v>
      </c>
      <c r="H108" s="45">
        <f t="shared" si="2"/>
        <v>20000</v>
      </c>
    </row>
    <row r="109" spans="1:8" x14ac:dyDescent="0.25">
      <c r="A109" s="32">
        <f>+IF(B109="","",SUBTOTAL(3,$B$7:B109))</f>
        <v>103</v>
      </c>
      <c r="B109" s="34" t="s">
        <v>403</v>
      </c>
      <c r="C109" s="35">
        <v>46076</v>
      </c>
      <c r="D109" s="34" t="s">
        <v>459</v>
      </c>
      <c r="E109" s="32" t="s">
        <v>507</v>
      </c>
      <c r="F109" s="45">
        <v>6</v>
      </c>
      <c r="G109" s="45">
        <v>9890</v>
      </c>
      <c r="H109" s="45">
        <f t="shared" si="2"/>
        <v>59340</v>
      </c>
    </row>
    <row r="110" spans="1:8" x14ac:dyDescent="0.25">
      <c r="A110" s="32">
        <f>+IF(B110="","",SUBTOTAL(3,$B$7:B110))</f>
        <v>104</v>
      </c>
      <c r="B110" s="34" t="s">
        <v>403</v>
      </c>
      <c r="C110" s="35">
        <v>46076</v>
      </c>
      <c r="D110" s="34" t="s">
        <v>463</v>
      </c>
      <c r="E110" s="32" t="s">
        <v>507</v>
      </c>
      <c r="F110" s="45">
        <v>5</v>
      </c>
      <c r="G110" s="45">
        <v>8000</v>
      </c>
      <c r="H110" s="45">
        <f t="shared" si="2"/>
        <v>40000</v>
      </c>
    </row>
    <row r="111" spans="1:8" ht="30" x14ac:dyDescent="0.25">
      <c r="A111" s="32">
        <f>+IF(B111="","",SUBTOTAL(3,$B$7:B111))</f>
        <v>105</v>
      </c>
      <c r="B111" s="34" t="s">
        <v>403</v>
      </c>
      <c r="C111" s="35">
        <v>46076</v>
      </c>
      <c r="D111" s="34" t="s">
        <v>456</v>
      </c>
      <c r="E111" s="32" t="s">
        <v>513</v>
      </c>
      <c r="F111" s="45">
        <v>4</v>
      </c>
      <c r="G111" s="45">
        <v>13104</v>
      </c>
      <c r="H111" s="45">
        <f t="shared" si="2"/>
        <v>52416</v>
      </c>
    </row>
    <row r="112" spans="1:8" x14ac:dyDescent="0.25">
      <c r="A112" s="32">
        <f>+IF(B112="","",SUBTOTAL(3,$B$7:B112))</f>
        <v>106</v>
      </c>
      <c r="B112" s="34" t="s">
        <v>403</v>
      </c>
      <c r="C112" s="35">
        <v>46076</v>
      </c>
      <c r="D112" s="34" t="s">
        <v>491</v>
      </c>
      <c r="E112" s="32" t="s">
        <v>507</v>
      </c>
      <c r="F112" s="45">
        <v>8</v>
      </c>
      <c r="G112" s="45">
        <v>31000</v>
      </c>
      <c r="H112" s="45">
        <f t="shared" si="2"/>
        <v>248000</v>
      </c>
    </row>
    <row r="113" spans="1:8" x14ac:dyDescent="0.25">
      <c r="A113" s="32">
        <f>+IF(B113="","",SUBTOTAL(3,$B$7:B113))</f>
        <v>107</v>
      </c>
      <c r="B113" s="34" t="s">
        <v>403</v>
      </c>
      <c r="C113" s="35">
        <v>46076</v>
      </c>
      <c r="D113" s="34" t="s">
        <v>479</v>
      </c>
      <c r="E113" s="32" t="s">
        <v>507</v>
      </c>
      <c r="F113" s="45">
        <v>4</v>
      </c>
      <c r="G113" s="45">
        <v>8092</v>
      </c>
      <c r="H113" s="45">
        <f t="shared" si="2"/>
        <v>32368</v>
      </c>
    </row>
    <row r="114" spans="1:8" ht="30" x14ac:dyDescent="0.25">
      <c r="A114" s="32">
        <f>+IF(B114="","",SUBTOTAL(3,$B$7:B114))</f>
        <v>108</v>
      </c>
      <c r="B114" s="34" t="s">
        <v>403</v>
      </c>
      <c r="C114" s="35">
        <v>46076</v>
      </c>
      <c r="D114" s="34" t="s">
        <v>492</v>
      </c>
      <c r="E114" s="32" t="s">
        <v>507</v>
      </c>
      <c r="F114" s="45">
        <v>11</v>
      </c>
      <c r="G114" s="45">
        <v>12000</v>
      </c>
      <c r="H114" s="45">
        <f t="shared" si="2"/>
        <v>132000</v>
      </c>
    </row>
    <row r="115" spans="1:8" x14ac:dyDescent="0.25">
      <c r="A115" s="32">
        <f>+IF(B115="","",SUBTOTAL(3,$B$7:B115))</f>
        <v>109</v>
      </c>
      <c r="B115" s="34" t="s">
        <v>403</v>
      </c>
      <c r="C115" s="35">
        <v>46076</v>
      </c>
      <c r="D115" s="34" t="s">
        <v>482</v>
      </c>
      <c r="E115" s="32" t="s">
        <v>513</v>
      </c>
      <c r="F115" s="45">
        <v>2</v>
      </c>
      <c r="G115" s="45">
        <v>7896</v>
      </c>
      <c r="H115" s="45">
        <f t="shared" si="2"/>
        <v>15792</v>
      </c>
    </row>
    <row r="116" spans="1:8" ht="30" x14ac:dyDescent="0.25">
      <c r="A116" s="32">
        <f>+IF(B116="","",SUBTOTAL(3,$B$7:B116))</f>
        <v>110</v>
      </c>
      <c r="B116" s="34" t="s">
        <v>433</v>
      </c>
      <c r="C116" s="35">
        <v>46079</v>
      </c>
      <c r="D116" s="34" t="s">
        <v>493</v>
      </c>
      <c r="E116" s="32" t="s">
        <v>507</v>
      </c>
      <c r="F116" s="45">
        <v>2</v>
      </c>
      <c r="G116" s="45">
        <v>310100</v>
      </c>
      <c r="H116" s="45">
        <f t="shared" si="2"/>
        <v>620200</v>
      </c>
    </row>
    <row r="117" spans="1:8" ht="30" x14ac:dyDescent="0.25">
      <c r="A117" s="32">
        <f>+IF(B117="","",SUBTOTAL(3,$B$7:B117))</f>
        <v>111</v>
      </c>
      <c r="B117" s="34" t="s">
        <v>433</v>
      </c>
      <c r="C117" s="35">
        <v>46079</v>
      </c>
      <c r="D117" s="34" t="s">
        <v>450</v>
      </c>
      <c r="E117" s="32" t="s">
        <v>512</v>
      </c>
      <c r="F117" s="45">
        <v>1</v>
      </c>
      <c r="G117" s="45">
        <v>41000</v>
      </c>
      <c r="H117" s="45">
        <f t="shared" si="2"/>
        <v>41000</v>
      </c>
    </row>
    <row r="118" spans="1:8" ht="30" x14ac:dyDescent="0.25">
      <c r="A118" s="32">
        <f>+IF(B118="","",SUBTOTAL(3,$B$7:B118))</f>
        <v>112</v>
      </c>
      <c r="B118" s="34" t="s">
        <v>433</v>
      </c>
      <c r="C118" s="35">
        <v>46079</v>
      </c>
      <c r="D118" s="34" t="s">
        <v>447</v>
      </c>
      <c r="E118" s="32" t="s">
        <v>512</v>
      </c>
      <c r="F118" s="45">
        <v>2</v>
      </c>
      <c r="G118" s="45">
        <v>3143</v>
      </c>
      <c r="H118" s="45">
        <f t="shared" si="2"/>
        <v>6286</v>
      </c>
    </row>
    <row r="119" spans="1:8" x14ac:dyDescent="0.25">
      <c r="A119" s="32">
        <f>+IF(B119="","",SUBTOTAL(3,$B$7:B119))</f>
        <v>113</v>
      </c>
      <c r="B119" s="44" t="s">
        <v>431</v>
      </c>
      <c r="C119" s="35">
        <v>46080</v>
      </c>
      <c r="D119" s="34" t="s">
        <v>454</v>
      </c>
      <c r="E119" s="32" t="s">
        <v>507</v>
      </c>
      <c r="F119" s="45">
        <v>10</v>
      </c>
      <c r="G119" s="45">
        <v>13500</v>
      </c>
      <c r="H119" s="45">
        <f t="shared" si="2"/>
        <v>135000</v>
      </c>
    </row>
    <row r="120" spans="1:8" x14ac:dyDescent="0.25">
      <c r="A120" s="32">
        <f>+IF(B120="","",SUBTOTAL(3,$B$7:B120))</f>
        <v>114</v>
      </c>
      <c r="B120" s="34" t="s">
        <v>439</v>
      </c>
      <c r="C120" s="35">
        <v>46080</v>
      </c>
      <c r="D120" s="34" t="s">
        <v>450</v>
      </c>
      <c r="E120" s="32" t="s">
        <v>512</v>
      </c>
      <c r="F120" s="45">
        <v>1</v>
      </c>
      <c r="G120" s="45">
        <v>41000</v>
      </c>
      <c r="H120" s="45">
        <f t="shared" si="2"/>
        <v>41000</v>
      </c>
    </row>
    <row r="121" spans="1:8" x14ac:dyDescent="0.25">
      <c r="A121" s="32">
        <f>+IF(B121="","",SUBTOTAL(3,$B$7:B121))</f>
        <v>115</v>
      </c>
      <c r="B121" s="34" t="s">
        <v>439</v>
      </c>
      <c r="C121" s="35">
        <v>46080</v>
      </c>
      <c r="D121" s="34" t="s">
        <v>457</v>
      </c>
      <c r="E121" s="32" t="s">
        <v>507</v>
      </c>
      <c r="F121" s="45">
        <v>400</v>
      </c>
      <c r="G121" s="45">
        <v>1188</v>
      </c>
      <c r="H121" s="45">
        <f t="shared" si="2"/>
        <v>475200</v>
      </c>
    </row>
    <row r="122" spans="1:8" ht="30" x14ac:dyDescent="0.25">
      <c r="A122" s="32">
        <f>+IF(B122="","",SUBTOTAL(3,$B$7:B122))</f>
        <v>116</v>
      </c>
      <c r="B122" s="34" t="s">
        <v>439</v>
      </c>
      <c r="C122" s="35">
        <v>46080</v>
      </c>
      <c r="D122" s="34" t="s">
        <v>494</v>
      </c>
      <c r="E122" s="32" t="s">
        <v>507</v>
      </c>
      <c r="F122" s="45">
        <v>300</v>
      </c>
      <c r="G122" s="45">
        <v>1904</v>
      </c>
      <c r="H122" s="45">
        <f t="shared" si="2"/>
        <v>571200</v>
      </c>
    </row>
    <row r="123" spans="1:8" x14ac:dyDescent="0.25">
      <c r="A123" s="32">
        <f>+IF(B123="","",SUBTOTAL(3,$B$7:B123))</f>
        <v>117</v>
      </c>
      <c r="B123" s="34" t="s">
        <v>432</v>
      </c>
      <c r="C123" s="35">
        <v>46091</v>
      </c>
      <c r="D123" s="34" t="s">
        <v>455</v>
      </c>
      <c r="E123" s="32" t="s">
        <v>507</v>
      </c>
      <c r="F123" s="45">
        <v>8</v>
      </c>
      <c r="G123" s="45">
        <v>14000</v>
      </c>
      <c r="H123" s="45">
        <f t="shared" si="2"/>
        <v>112000</v>
      </c>
    </row>
    <row r="124" spans="1:8" x14ac:dyDescent="0.25">
      <c r="A124" s="32">
        <f>+IF(B124="","",SUBTOTAL(3,$B$7:B124))</f>
        <v>118</v>
      </c>
      <c r="B124" s="34" t="s">
        <v>432</v>
      </c>
      <c r="C124" s="35">
        <v>46091</v>
      </c>
      <c r="D124" s="34" t="s">
        <v>482</v>
      </c>
      <c r="E124" s="32" t="s">
        <v>513</v>
      </c>
      <c r="F124" s="45">
        <v>1</v>
      </c>
      <c r="G124" s="45">
        <v>7896</v>
      </c>
      <c r="H124" s="45">
        <f t="shared" si="2"/>
        <v>7896</v>
      </c>
    </row>
    <row r="125" spans="1:8" x14ac:dyDescent="0.25">
      <c r="A125" s="32">
        <f>+IF(B125="","",SUBTOTAL(3,$B$7:B125))</f>
        <v>119</v>
      </c>
      <c r="B125" s="34" t="s">
        <v>403</v>
      </c>
      <c r="C125" s="35">
        <v>46091</v>
      </c>
      <c r="D125" s="34" t="s">
        <v>495</v>
      </c>
      <c r="E125" s="32" t="s">
        <v>507</v>
      </c>
      <c r="F125" s="45">
        <v>10</v>
      </c>
      <c r="G125" s="45">
        <v>17000</v>
      </c>
      <c r="H125" s="45">
        <f t="shared" si="2"/>
        <v>170000</v>
      </c>
    </row>
    <row r="126" spans="1:8" ht="30" x14ac:dyDescent="0.25">
      <c r="A126" s="32">
        <f>+IF(B126="","",SUBTOTAL(3,$B$7:B126))</f>
        <v>120</v>
      </c>
      <c r="B126" s="34" t="s">
        <v>403</v>
      </c>
      <c r="C126" s="35">
        <v>46091</v>
      </c>
      <c r="D126" s="34" t="s">
        <v>496</v>
      </c>
      <c r="E126" s="32" t="s">
        <v>507</v>
      </c>
      <c r="F126" s="45">
        <v>10</v>
      </c>
      <c r="G126" s="45">
        <v>29998</v>
      </c>
      <c r="H126" s="45">
        <f t="shared" si="2"/>
        <v>299980</v>
      </c>
    </row>
    <row r="127" spans="1:8" ht="30" x14ac:dyDescent="0.25">
      <c r="A127" s="32">
        <f>+IF(B127="","",SUBTOTAL(3,$B$7:B127))</f>
        <v>121</v>
      </c>
      <c r="B127" s="34" t="s">
        <v>403</v>
      </c>
      <c r="C127" s="35">
        <v>46091</v>
      </c>
      <c r="D127" s="34" t="s">
        <v>456</v>
      </c>
      <c r="E127" s="32" t="s">
        <v>513</v>
      </c>
      <c r="F127" s="45">
        <v>6</v>
      </c>
      <c r="G127" s="45">
        <v>13104</v>
      </c>
      <c r="H127" s="45">
        <f t="shared" si="2"/>
        <v>78624</v>
      </c>
    </row>
    <row r="128" spans="1:8" x14ac:dyDescent="0.25">
      <c r="A128" s="32">
        <f>+IF(B128="","",SUBTOTAL(3,$B$7:B128))</f>
        <v>122</v>
      </c>
      <c r="B128" s="34" t="s">
        <v>403</v>
      </c>
      <c r="C128" s="35">
        <v>46091</v>
      </c>
      <c r="D128" s="34" t="s">
        <v>479</v>
      </c>
      <c r="E128" s="32" t="s">
        <v>507</v>
      </c>
      <c r="F128" s="45">
        <v>2</v>
      </c>
      <c r="G128" s="45">
        <v>8092</v>
      </c>
      <c r="H128" s="45">
        <f t="shared" si="2"/>
        <v>16184</v>
      </c>
    </row>
    <row r="129" spans="1:8" ht="45" x14ac:dyDescent="0.25">
      <c r="A129" s="32">
        <f>+IF(B129="","",SUBTOTAL(3,$B$7:B129))</f>
        <v>123</v>
      </c>
      <c r="B129" s="34" t="s">
        <v>194</v>
      </c>
      <c r="C129" s="35">
        <v>46093</v>
      </c>
      <c r="D129" s="34" t="s">
        <v>454</v>
      </c>
      <c r="E129" s="32" t="s">
        <v>507</v>
      </c>
      <c r="F129" s="45">
        <v>2</v>
      </c>
      <c r="G129" s="45">
        <v>13500</v>
      </c>
      <c r="H129" s="45">
        <f t="shared" si="2"/>
        <v>27000</v>
      </c>
    </row>
    <row r="130" spans="1:8" ht="45" x14ac:dyDescent="0.25">
      <c r="A130" s="32">
        <f>+IF(B130="","",SUBTOTAL(3,$B$7:B130))</f>
        <v>124</v>
      </c>
      <c r="B130" s="34" t="s">
        <v>194</v>
      </c>
      <c r="C130" s="35">
        <v>46093</v>
      </c>
      <c r="D130" s="34" t="s">
        <v>450</v>
      </c>
      <c r="E130" s="32" t="s">
        <v>512</v>
      </c>
      <c r="F130" s="45">
        <v>1</v>
      </c>
      <c r="G130" s="45">
        <v>41000</v>
      </c>
      <c r="H130" s="45">
        <f t="shared" si="2"/>
        <v>41000</v>
      </c>
    </row>
    <row r="131" spans="1:8" ht="45" x14ac:dyDescent="0.25">
      <c r="A131" s="32">
        <f>+IF(B131="","",SUBTOTAL(3,$B$7:B131))</f>
        <v>125</v>
      </c>
      <c r="B131" s="34" t="s">
        <v>194</v>
      </c>
      <c r="C131" s="35">
        <v>46093</v>
      </c>
      <c r="D131" s="34" t="s">
        <v>497</v>
      </c>
      <c r="E131" s="32" t="s">
        <v>507</v>
      </c>
      <c r="F131" s="45">
        <v>5</v>
      </c>
      <c r="G131" s="45">
        <v>1399</v>
      </c>
      <c r="H131" s="45">
        <f t="shared" si="2"/>
        <v>6995</v>
      </c>
    </row>
    <row r="132" spans="1:8" ht="45" x14ac:dyDescent="0.25">
      <c r="A132" s="32">
        <f>+IF(B132="","",SUBTOTAL(3,$B$7:B132))</f>
        <v>126</v>
      </c>
      <c r="B132" s="34" t="s">
        <v>194</v>
      </c>
      <c r="C132" s="35">
        <v>46093</v>
      </c>
      <c r="D132" s="34" t="s">
        <v>445</v>
      </c>
      <c r="E132" s="32" t="s">
        <v>512</v>
      </c>
      <c r="F132" s="45">
        <v>1</v>
      </c>
      <c r="G132" s="45">
        <v>2011</v>
      </c>
      <c r="H132" s="45">
        <f t="shared" si="2"/>
        <v>2011</v>
      </c>
    </row>
    <row r="133" spans="1:8" ht="45" x14ac:dyDescent="0.25">
      <c r="A133" s="32">
        <f>+IF(B133="","",SUBTOTAL(3,$B$7:B133))</f>
        <v>127</v>
      </c>
      <c r="B133" s="34" t="s">
        <v>194</v>
      </c>
      <c r="C133" s="35">
        <v>46093</v>
      </c>
      <c r="D133" s="34" t="s">
        <v>451</v>
      </c>
      <c r="E133" s="32" t="s">
        <v>507</v>
      </c>
      <c r="F133" s="45">
        <v>2</v>
      </c>
      <c r="G133" s="45">
        <v>8099</v>
      </c>
      <c r="H133" s="45">
        <f t="shared" si="2"/>
        <v>16198</v>
      </c>
    </row>
    <row r="134" spans="1:8" ht="45" x14ac:dyDescent="0.25">
      <c r="A134" s="32">
        <f>+IF(B134="","",SUBTOTAL(3,$B$7:B134))</f>
        <v>128</v>
      </c>
      <c r="B134" s="34" t="s">
        <v>194</v>
      </c>
      <c r="C134" s="35">
        <v>46093</v>
      </c>
      <c r="D134" s="34" t="s">
        <v>447</v>
      </c>
      <c r="E134" s="32" t="s">
        <v>512</v>
      </c>
      <c r="F134" s="45">
        <v>2</v>
      </c>
      <c r="G134" s="45">
        <v>3143</v>
      </c>
      <c r="H134" s="45">
        <f t="shared" si="2"/>
        <v>6286</v>
      </c>
    </row>
    <row r="135" spans="1:8" ht="45" x14ac:dyDescent="0.25">
      <c r="A135" s="32">
        <f>+IF(B135="","",SUBTOTAL(3,$B$7:B135))</f>
        <v>129</v>
      </c>
      <c r="B135" s="34" t="s">
        <v>194</v>
      </c>
      <c r="C135" s="35">
        <v>46093</v>
      </c>
      <c r="D135" s="34" t="s">
        <v>443</v>
      </c>
      <c r="E135" s="32" t="s">
        <v>507</v>
      </c>
      <c r="F135" s="45">
        <v>30</v>
      </c>
      <c r="G135" s="45">
        <v>1710</v>
      </c>
      <c r="H135" s="45">
        <f t="shared" si="2"/>
        <v>51300</v>
      </c>
    </row>
    <row r="136" spans="1:8" x14ac:dyDescent="0.25">
      <c r="A136" s="32">
        <f>+IF(B136="","",SUBTOTAL(3,$B$7:B136))</f>
        <v>130</v>
      </c>
      <c r="B136" s="34" t="s">
        <v>434</v>
      </c>
      <c r="C136" s="35">
        <v>46093</v>
      </c>
      <c r="D136" s="34" t="s">
        <v>473</v>
      </c>
      <c r="E136" s="32" t="s">
        <v>507</v>
      </c>
      <c r="F136" s="45">
        <v>10000</v>
      </c>
      <c r="G136" s="45">
        <v>140</v>
      </c>
      <c r="H136" s="45">
        <f t="shared" ref="H136:H199" si="3">+G136*F136</f>
        <v>1400000</v>
      </c>
    </row>
    <row r="137" spans="1:8" x14ac:dyDescent="0.25">
      <c r="A137" s="32">
        <f>+IF(B137="","",SUBTOTAL(3,$B$7:B137))</f>
        <v>131</v>
      </c>
      <c r="B137" s="34" t="s">
        <v>434</v>
      </c>
      <c r="C137" s="35">
        <v>46093</v>
      </c>
      <c r="D137" s="34" t="s">
        <v>498</v>
      </c>
      <c r="E137" s="32" t="s">
        <v>507</v>
      </c>
      <c r="F137" s="45">
        <v>20000</v>
      </c>
      <c r="G137" s="45">
        <v>13</v>
      </c>
      <c r="H137" s="45">
        <f t="shared" si="3"/>
        <v>260000</v>
      </c>
    </row>
    <row r="138" spans="1:8" x14ac:dyDescent="0.25">
      <c r="A138" s="32">
        <f>+IF(B138="","",SUBTOTAL(3,$B$7:B138))</f>
        <v>132</v>
      </c>
      <c r="B138" s="34" t="s">
        <v>434</v>
      </c>
      <c r="C138" s="35">
        <v>46093</v>
      </c>
      <c r="D138" s="34" t="s">
        <v>468</v>
      </c>
      <c r="E138" s="32" t="s">
        <v>507</v>
      </c>
      <c r="F138" s="45">
        <v>10000</v>
      </c>
      <c r="G138" s="45">
        <v>13</v>
      </c>
      <c r="H138" s="45">
        <f t="shared" si="3"/>
        <v>130000</v>
      </c>
    </row>
    <row r="139" spans="1:8" x14ac:dyDescent="0.25">
      <c r="A139" s="32">
        <f>+IF(B139="","",SUBTOTAL(3,$B$7:B139))</f>
        <v>133</v>
      </c>
      <c r="B139" s="34" t="s">
        <v>434</v>
      </c>
      <c r="C139" s="35">
        <v>46093</v>
      </c>
      <c r="D139" s="34" t="s">
        <v>466</v>
      </c>
      <c r="E139" s="32" t="s">
        <v>507</v>
      </c>
      <c r="F139" s="45">
        <v>25000</v>
      </c>
      <c r="G139" s="45">
        <v>19.8</v>
      </c>
      <c r="H139" s="45">
        <f t="shared" si="3"/>
        <v>495000</v>
      </c>
    </row>
    <row r="140" spans="1:8" x14ac:dyDescent="0.25">
      <c r="A140" s="32">
        <f>+IF(B140="","",SUBTOTAL(3,$B$7:B140))</f>
        <v>134</v>
      </c>
      <c r="B140" s="34" t="s">
        <v>434</v>
      </c>
      <c r="C140" s="35">
        <v>46093</v>
      </c>
      <c r="D140" s="34" t="s">
        <v>469</v>
      </c>
      <c r="E140" s="32" t="s">
        <v>507</v>
      </c>
      <c r="F140" s="45">
        <v>20000</v>
      </c>
      <c r="G140" s="45">
        <v>19.8</v>
      </c>
      <c r="H140" s="45">
        <f t="shared" si="3"/>
        <v>396000</v>
      </c>
    </row>
    <row r="141" spans="1:8" x14ac:dyDescent="0.25">
      <c r="A141" s="32">
        <f>+IF(B141="","",SUBTOTAL(3,$B$7:B141))</f>
        <v>135</v>
      </c>
      <c r="B141" s="34" t="s">
        <v>434</v>
      </c>
      <c r="C141" s="35">
        <v>46093</v>
      </c>
      <c r="D141" s="34" t="s">
        <v>499</v>
      </c>
      <c r="E141" s="32" t="s">
        <v>507</v>
      </c>
      <c r="F141" s="45">
        <v>10000</v>
      </c>
      <c r="G141" s="45">
        <v>13</v>
      </c>
      <c r="H141" s="45">
        <f t="shared" si="3"/>
        <v>130000</v>
      </c>
    </row>
    <row r="142" spans="1:8" x14ac:dyDescent="0.25">
      <c r="A142" s="32">
        <f>+IF(B142="","",SUBTOTAL(3,$B$7:B142))</f>
        <v>136</v>
      </c>
      <c r="B142" s="34" t="s">
        <v>434</v>
      </c>
      <c r="C142" s="35">
        <v>46093</v>
      </c>
      <c r="D142" s="34" t="s">
        <v>500</v>
      </c>
      <c r="E142" s="32" t="s">
        <v>507</v>
      </c>
      <c r="F142" s="45">
        <v>20000</v>
      </c>
      <c r="G142" s="45">
        <v>33</v>
      </c>
      <c r="H142" s="45">
        <f t="shared" si="3"/>
        <v>660000</v>
      </c>
    </row>
    <row r="143" spans="1:8" ht="30" x14ac:dyDescent="0.25">
      <c r="A143" s="32">
        <f>+IF(B143="","",SUBTOTAL(3,$B$7:B143))</f>
        <v>137</v>
      </c>
      <c r="B143" s="34" t="s">
        <v>434</v>
      </c>
      <c r="C143" s="35">
        <v>46093</v>
      </c>
      <c r="D143" s="34" t="s">
        <v>501</v>
      </c>
      <c r="E143" s="32" t="s">
        <v>507</v>
      </c>
      <c r="F143" s="45">
        <v>6</v>
      </c>
      <c r="G143" s="45">
        <v>35000</v>
      </c>
      <c r="H143" s="45">
        <f t="shared" si="3"/>
        <v>210000</v>
      </c>
    </row>
    <row r="144" spans="1:8" x14ac:dyDescent="0.25">
      <c r="A144" s="32">
        <f>+IF(B144="","",SUBTOTAL(3,$B$7:B144))</f>
        <v>138</v>
      </c>
      <c r="B144" s="34" t="s">
        <v>434</v>
      </c>
      <c r="C144" s="35">
        <v>46093</v>
      </c>
      <c r="D144" s="34" t="s">
        <v>464</v>
      </c>
      <c r="E144" s="32" t="s">
        <v>511</v>
      </c>
      <c r="F144" s="45">
        <v>5</v>
      </c>
      <c r="G144" s="45">
        <v>2150</v>
      </c>
      <c r="H144" s="45">
        <f t="shared" si="3"/>
        <v>10750</v>
      </c>
    </row>
    <row r="145" spans="1:8" x14ac:dyDescent="0.25">
      <c r="A145" s="32">
        <f>+IF(B145="","",SUBTOTAL(3,$B$7:B145))</f>
        <v>139</v>
      </c>
      <c r="B145" s="34" t="s">
        <v>434</v>
      </c>
      <c r="C145" s="35">
        <v>46093</v>
      </c>
      <c r="D145" s="34" t="s">
        <v>458</v>
      </c>
      <c r="E145" s="32" t="s">
        <v>507</v>
      </c>
      <c r="F145" s="45">
        <v>4</v>
      </c>
      <c r="G145" s="45">
        <v>3300</v>
      </c>
      <c r="H145" s="45">
        <f t="shared" si="3"/>
        <v>13200</v>
      </c>
    </row>
    <row r="146" spans="1:8" x14ac:dyDescent="0.25">
      <c r="A146" s="32">
        <f>+IF(B146="","",SUBTOTAL(3,$B$7:B146))</f>
        <v>140</v>
      </c>
      <c r="B146" s="34" t="s">
        <v>434</v>
      </c>
      <c r="C146" s="35">
        <v>46093</v>
      </c>
      <c r="D146" s="34" t="s">
        <v>447</v>
      </c>
      <c r="E146" s="32" t="s">
        <v>512</v>
      </c>
      <c r="F146" s="45">
        <v>4</v>
      </c>
      <c r="G146" s="45">
        <v>3143</v>
      </c>
      <c r="H146" s="45">
        <f t="shared" si="3"/>
        <v>12572</v>
      </c>
    </row>
    <row r="147" spans="1:8" x14ac:dyDescent="0.25">
      <c r="A147" s="32">
        <f>+IF(B147="","",SUBTOTAL(3,$B$7:B147))</f>
        <v>141</v>
      </c>
      <c r="B147" s="34" t="s">
        <v>434</v>
      </c>
      <c r="C147" s="35">
        <v>46093</v>
      </c>
      <c r="D147" s="34" t="s">
        <v>451</v>
      </c>
      <c r="E147" s="32" t="s">
        <v>507</v>
      </c>
      <c r="F147" s="45">
        <v>2</v>
      </c>
      <c r="G147" s="45">
        <v>8099</v>
      </c>
      <c r="H147" s="45">
        <f t="shared" si="3"/>
        <v>16198</v>
      </c>
    </row>
    <row r="148" spans="1:8" x14ac:dyDescent="0.25">
      <c r="A148" s="32">
        <f>+IF(B148="","",SUBTOTAL(3,$B$7:B148))</f>
        <v>142</v>
      </c>
      <c r="B148" s="34" t="s">
        <v>403</v>
      </c>
      <c r="C148" s="35">
        <v>46094</v>
      </c>
      <c r="D148" s="34" t="s">
        <v>460</v>
      </c>
      <c r="E148" s="32" t="s">
        <v>508</v>
      </c>
      <c r="F148" s="45">
        <v>6</v>
      </c>
      <c r="G148" s="45">
        <v>15000</v>
      </c>
      <c r="H148" s="45">
        <f t="shared" si="3"/>
        <v>90000</v>
      </c>
    </row>
    <row r="149" spans="1:8" x14ac:dyDescent="0.25">
      <c r="A149" s="32">
        <f>+IF(B149="","",SUBTOTAL(3,$B$7:B149))</f>
        <v>143</v>
      </c>
      <c r="B149" s="34" t="s">
        <v>439</v>
      </c>
      <c r="C149" s="35">
        <v>46097</v>
      </c>
      <c r="D149" s="34" t="s">
        <v>450</v>
      </c>
      <c r="E149" s="32" t="s">
        <v>512</v>
      </c>
      <c r="F149" s="45">
        <v>1</v>
      </c>
      <c r="G149" s="45">
        <v>41000</v>
      </c>
      <c r="H149" s="45">
        <f t="shared" si="3"/>
        <v>41000</v>
      </c>
    </row>
    <row r="150" spans="1:8" x14ac:dyDescent="0.25">
      <c r="A150" s="32">
        <f>+IF(B150="","",SUBTOTAL(3,$B$7:B150))</f>
        <v>144</v>
      </c>
      <c r="B150" s="34" t="s">
        <v>439</v>
      </c>
      <c r="C150" s="35">
        <v>46097</v>
      </c>
      <c r="D150" s="34" t="s">
        <v>447</v>
      </c>
      <c r="E150" s="32" t="s">
        <v>512</v>
      </c>
      <c r="F150" s="45">
        <v>1</v>
      </c>
      <c r="G150" s="45">
        <v>3143</v>
      </c>
      <c r="H150" s="45">
        <f t="shared" si="3"/>
        <v>3143</v>
      </c>
    </row>
    <row r="151" spans="1:8" x14ac:dyDescent="0.25">
      <c r="A151" s="32">
        <f>+IF(B151="","",SUBTOTAL(3,$B$7:B151))</f>
        <v>145</v>
      </c>
      <c r="B151" s="34" t="s">
        <v>439</v>
      </c>
      <c r="C151" s="35">
        <v>46097</v>
      </c>
      <c r="D151" s="34" t="s">
        <v>502</v>
      </c>
      <c r="E151" s="32" t="s">
        <v>507</v>
      </c>
      <c r="F151" s="45">
        <v>1</v>
      </c>
      <c r="G151" s="45">
        <v>8436.74</v>
      </c>
      <c r="H151" s="45">
        <f t="shared" si="3"/>
        <v>8436.74</v>
      </c>
    </row>
    <row r="152" spans="1:8" x14ac:dyDescent="0.25">
      <c r="A152" s="32">
        <f>+IF(B152="","",SUBTOTAL(3,$B$7:B152))</f>
        <v>146</v>
      </c>
      <c r="B152" s="34" t="s">
        <v>439</v>
      </c>
      <c r="C152" s="35">
        <v>46097</v>
      </c>
      <c r="D152" s="34" t="s">
        <v>497</v>
      </c>
      <c r="E152" s="32" t="s">
        <v>507</v>
      </c>
      <c r="F152" s="45">
        <v>2</v>
      </c>
      <c r="G152" s="45">
        <v>1399</v>
      </c>
      <c r="H152" s="45">
        <f t="shared" si="3"/>
        <v>2798</v>
      </c>
    </row>
    <row r="153" spans="1:8" x14ac:dyDescent="0.25">
      <c r="A153" s="32">
        <f>+IF(B153="","",SUBTOTAL(3,$B$7:B153))</f>
        <v>147</v>
      </c>
      <c r="B153" s="34" t="s">
        <v>439</v>
      </c>
      <c r="C153" s="35">
        <v>46097</v>
      </c>
      <c r="D153" s="34" t="s">
        <v>474</v>
      </c>
      <c r="E153" s="32" t="s">
        <v>507</v>
      </c>
      <c r="F153" s="45">
        <v>2</v>
      </c>
      <c r="G153" s="45">
        <v>1000</v>
      </c>
      <c r="H153" s="45">
        <f t="shared" si="3"/>
        <v>2000</v>
      </c>
    </row>
    <row r="154" spans="1:8" x14ac:dyDescent="0.25">
      <c r="A154" s="32">
        <f>+IF(B154="","",SUBTOTAL(3,$B$7:B154))</f>
        <v>148</v>
      </c>
      <c r="B154" s="46" t="s">
        <v>435</v>
      </c>
      <c r="C154" s="35">
        <v>46100</v>
      </c>
      <c r="D154" s="34" t="s">
        <v>450</v>
      </c>
      <c r="E154" s="32" t="s">
        <v>512</v>
      </c>
      <c r="F154" s="45">
        <v>1</v>
      </c>
      <c r="G154" s="45">
        <v>41000</v>
      </c>
      <c r="H154" s="45">
        <f t="shared" si="3"/>
        <v>41000</v>
      </c>
    </row>
    <row r="155" spans="1:8" x14ac:dyDescent="0.25">
      <c r="A155" s="32">
        <f>+IF(B155="","",SUBTOTAL(3,$B$7:B155))</f>
        <v>149</v>
      </c>
      <c r="B155" s="46" t="s">
        <v>435</v>
      </c>
      <c r="C155" s="35">
        <v>46100</v>
      </c>
      <c r="D155" s="34" t="s">
        <v>497</v>
      </c>
      <c r="E155" s="32" t="s">
        <v>507</v>
      </c>
      <c r="F155" s="45">
        <v>2</v>
      </c>
      <c r="G155" s="45">
        <v>1399</v>
      </c>
      <c r="H155" s="45">
        <f t="shared" si="3"/>
        <v>2798</v>
      </c>
    </row>
    <row r="156" spans="1:8" x14ac:dyDescent="0.25">
      <c r="A156" s="32">
        <f>+IF(B156="","",SUBTOTAL(3,$B$7:B156))</f>
        <v>150</v>
      </c>
      <c r="B156" s="46" t="s">
        <v>435</v>
      </c>
      <c r="C156" s="35">
        <v>46100</v>
      </c>
      <c r="D156" s="34" t="s">
        <v>484</v>
      </c>
      <c r="E156" s="32" t="s">
        <v>507</v>
      </c>
      <c r="F156" s="45">
        <v>1</v>
      </c>
      <c r="G156" s="45">
        <v>9500</v>
      </c>
      <c r="H156" s="45">
        <f t="shared" si="3"/>
        <v>9500</v>
      </c>
    </row>
    <row r="157" spans="1:8" x14ac:dyDescent="0.25">
      <c r="A157" s="32">
        <f>+IF(B157="","",SUBTOTAL(3,$B$7:B157))</f>
        <v>151</v>
      </c>
      <c r="B157" s="46" t="s">
        <v>435</v>
      </c>
      <c r="C157" s="35">
        <v>46100</v>
      </c>
      <c r="D157" s="34" t="s">
        <v>474</v>
      </c>
      <c r="E157" s="32" t="s">
        <v>507</v>
      </c>
      <c r="F157" s="45">
        <v>1</v>
      </c>
      <c r="G157" s="45">
        <v>1000</v>
      </c>
      <c r="H157" s="45">
        <f t="shared" si="3"/>
        <v>1000</v>
      </c>
    </row>
    <row r="158" spans="1:8" x14ac:dyDescent="0.25">
      <c r="A158" s="32">
        <f>+IF(B158="","",SUBTOTAL(3,$B$7:B158))</f>
        <v>152</v>
      </c>
      <c r="B158" s="46" t="s">
        <v>435</v>
      </c>
      <c r="C158" s="35">
        <v>46100</v>
      </c>
      <c r="D158" s="34" t="s">
        <v>445</v>
      </c>
      <c r="E158" s="32" t="s">
        <v>512</v>
      </c>
      <c r="F158" s="45">
        <v>1</v>
      </c>
      <c r="G158" s="45">
        <v>2011</v>
      </c>
      <c r="H158" s="45">
        <f t="shared" si="3"/>
        <v>2011</v>
      </c>
    </row>
    <row r="159" spans="1:8" x14ac:dyDescent="0.25">
      <c r="A159" s="32">
        <f>+IF(B159="","",SUBTOTAL(3,$B$7:B159))</f>
        <v>153</v>
      </c>
      <c r="B159" s="34" t="s">
        <v>403</v>
      </c>
      <c r="C159" s="35">
        <v>46105</v>
      </c>
      <c r="D159" s="34" t="s">
        <v>458</v>
      </c>
      <c r="E159" s="32" t="s">
        <v>507</v>
      </c>
      <c r="F159" s="45">
        <v>8</v>
      </c>
      <c r="G159" s="45">
        <v>3300</v>
      </c>
      <c r="H159" s="45">
        <f t="shared" si="3"/>
        <v>26400</v>
      </c>
    </row>
    <row r="160" spans="1:8" x14ac:dyDescent="0.25">
      <c r="A160" s="32">
        <f>+IF(B160="","",SUBTOTAL(3,$B$7:B160))</f>
        <v>154</v>
      </c>
      <c r="B160" s="34" t="s">
        <v>403</v>
      </c>
      <c r="C160" s="35">
        <v>46105</v>
      </c>
      <c r="D160" s="34" t="s">
        <v>478</v>
      </c>
      <c r="E160" s="32" t="s">
        <v>507</v>
      </c>
      <c r="F160" s="45">
        <v>8</v>
      </c>
      <c r="G160" s="45">
        <v>26000</v>
      </c>
      <c r="H160" s="45">
        <f t="shared" si="3"/>
        <v>208000</v>
      </c>
    </row>
    <row r="161" spans="1:8" x14ac:dyDescent="0.25">
      <c r="A161" s="32">
        <f>+IF(B161="","",SUBTOTAL(3,$B$7:B161))</f>
        <v>155</v>
      </c>
      <c r="B161" s="34" t="s">
        <v>403</v>
      </c>
      <c r="C161" s="35">
        <v>46105</v>
      </c>
      <c r="D161" s="34" t="s">
        <v>461</v>
      </c>
      <c r="E161" s="32" t="s">
        <v>511</v>
      </c>
      <c r="F161" s="45">
        <v>4</v>
      </c>
      <c r="G161" s="45">
        <v>5454</v>
      </c>
      <c r="H161" s="45">
        <f t="shared" si="3"/>
        <v>21816</v>
      </c>
    </row>
    <row r="162" spans="1:8" x14ac:dyDescent="0.25">
      <c r="A162" s="32">
        <f>+IF(B162="","",SUBTOTAL(3,$B$7:B162))</f>
        <v>156</v>
      </c>
      <c r="B162" s="34" t="s">
        <v>403</v>
      </c>
      <c r="C162" s="35">
        <v>46105</v>
      </c>
      <c r="D162" s="34" t="s">
        <v>503</v>
      </c>
      <c r="E162" s="32" t="s">
        <v>507</v>
      </c>
      <c r="F162" s="45">
        <v>1</v>
      </c>
      <c r="G162" s="45">
        <v>91000</v>
      </c>
      <c r="H162" s="45">
        <f t="shared" si="3"/>
        <v>91000</v>
      </c>
    </row>
    <row r="163" spans="1:8" x14ac:dyDescent="0.25">
      <c r="A163" s="32">
        <f>+IF(B163="","",SUBTOTAL(3,$B$7:B163))</f>
        <v>157</v>
      </c>
      <c r="B163" s="34" t="s">
        <v>403</v>
      </c>
      <c r="C163" s="35">
        <v>46105</v>
      </c>
      <c r="D163" s="34" t="s">
        <v>504</v>
      </c>
      <c r="E163" s="32" t="s">
        <v>507</v>
      </c>
      <c r="F163" s="45">
        <v>2</v>
      </c>
      <c r="G163" s="45">
        <v>33200</v>
      </c>
      <c r="H163" s="45">
        <f t="shared" si="3"/>
        <v>66400</v>
      </c>
    </row>
    <row r="164" spans="1:8" x14ac:dyDescent="0.25">
      <c r="A164" s="32">
        <f>+IF(B164="","",SUBTOTAL(3,$B$7:B164))</f>
        <v>158</v>
      </c>
      <c r="B164" s="34" t="s">
        <v>403</v>
      </c>
      <c r="C164" s="35">
        <v>46105</v>
      </c>
      <c r="D164" s="34" t="s">
        <v>463</v>
      </c>
      <c r="E164" s="32" t="s">
        <v>507</v>
      </c>
      <c r="F164" s="45">
        <v>8</v>
      </c>
      <c r="G164" s="45">
        <v>8000</v>
      </c>
      <c r="H164" s="45">
        <f t="shared" si="3"/>
        <v>64000</v>
      </c>
    </row>
    <row r="165" spans="1:8" ht="30" x14ac:dyDescent="0.25">
      <c r="A165" s="32">
        <f>+IF(B165="","",SUBTOTAL(3,$B$7:B165))</f>
        <v>159</v>
      </c>
      <c r="B165" s="34" t="s">
        <v>403</v>
      </c>
      <c r="C165" s="35">
        <v>46105</v>
      </c>
      <c r="D165" s="34" t="s">
        <v>456</v>
      </c>
      <c r="E165" s="32" t="s">
        <v>513</v>
      </c>
      <c r="F165" s="45">
        <v>4</v>
      </c>
      <c r="G165" s="45">
        <v>13104</v>
      </c>
      <c r="H165" s="45">
        <f t="shared" si="3"/>
        <v>52416</v>
      </c>
    </row>
    <row r="166" spans="1:8" x14ac:dyDescent="0.25">
      <c r="A166" s="32">
        <f>+IF(B166="","",SUBTOTAL(3,$B$7:B166))</f>
        <v>160</v>
      </c>
      <c r="B166" s="34" t="s">
        <v>403</v>
      </c>
      <c r="C166" s="35">
        <v>46105</v>
      </c>
      <c r="D166" s="34" t="s">
        <v>462</v>
      </c>
      <c r="E166" s="32" t="s">
        <v>507</v>
      </c>
      <c r="F166" s="45">
        <v>4</v>
      </c>
      <c r="G166" s="45">
        <v>19200.009999999998</v>
      </c>
      <c r="H166" s="45">
        <f t="shared" si="3"/>
        <v>76800.039999999994</v>
      </c>
    </row>
    <row r="167" spans="1:8" ht="45" x14ac:dyDescent="0.25">
      <c r="A167" s="32">
        <f>+IF(B167="","",SUBTOTAL(3,$B$7:B167))</f>
        <v>161</v>
      </c>
      <c r="B167" s="34" t="s">
        <v>403</v>
      </c>
      <c r="C167" s="35">
        <v>46105</v>
      </c>
      <c r="D167" s="34" t="s">
        <v>505</v>
      </c>
      <c r="E167" s="32" t="s">
        <v>507</v>
      </c>
      <c r="F167" s="45">
        <v>8</v>
      </c>
      <c r="G167" s="45">
        <v>7890</v>
      </c>
      <c r="H167" s="45">
        <f t="shared" si="3"/>
        <v>63120</v>
      </c>
    </row>
    <row r="168" spans="1:8" ht="30" x14ac:dyDescent="0.25">
      <c r="A168" s="32">
        <f>+IF(B168="","",SUBTOTAL(3,$B$7:B168))</f>
        <v>162</v>
      </c>
      <c r="B168" s="34" t="s">
        <v>403</v>
      </c>
      <c r="C168" s="35">
        <v>46105</v>
      </c>
      <c r="D168" s="34" t="s">
        <v>480</v>
      </c>
      <c r="E168" s="32" t="s">
        <v>507</v>
      </c>
      <c r="F168" s="45">
        <v>8</v>
      </c>
      <c r="G168" s="45">
        <v>68000</v>
      </c>
      <c r="H168" s="45">
        <f t="shared" si="3"/>
        <v>544000</v>
      </c>
    </row>
    <row r="169" spans="1:8" x14ac:dyDescent="0.25">
      <c r="A169" s="32">
        <f>+IF(B169="","",SUBTOTAL(3,$B$7:B169))</f>
        <v>163</v>
      </c>
      <c r="B169" s="34" t="s">
        <v>432</v>
      </c>
      <c r="C169" s="35">
        <v>46105</v>
      </c>
      <c r="D169" s="34" t="s">
        <v>481</v>
      </c>
      <c r="E169" s="32" t="s">
        <v>507</v>
      </c>
      <c r="F169" s="45">
        <v>4</v>
      </c>
      <c r="G169" s="45">
        <v>4000</v>
      </c>
      <c r="H169" s="45">
        <f t="shared" si="3"/>
        <v>16000</v>
      </c>
    </row>
    <row r="170" spans="1:8" x14ac:dyDescent="0.25">
      <c r="A170" s="32">
        <f>+IF(B170="","",SUBTOTAL(3,$B$7:B170))</f>
        <v>164</v>
      </c>
      <c r="B170" s="34" t="s">
        <v>432</v>
      </c>
      <c r="C170" s="35">
        <v>46105</v>
      </c>
      <c r="D170" s="34" t="s">
        <v>455</v>
      </c>
      <c r="E170" s="32" t="s">
        <v>507</v>
      </c>
      <c r="F170" s="45">
        <v>4</v>
      </c>
      <c r="G170" s="45">
        <v>14000</v>
      </c>
      <c r="H170" s="45">
        <f t="shared" si="3"/>
        <v>56000</v>
      </c>
    </row>
    <row r="171" spans="1:8" x14ac:dyDescent="0.25">
      <c r="A171" s="32">
        <f>+IF(B171="","",SUBTOTAL(3,$B$7:B171))</f>
        <v>165</v>
      </c>
      <c r="B171" s="34" t="s">
        <v>432</v>
      </c>
      <c r="C171" s="35">
        <v>46105</v>
      </c>
      <c r="D171" s="34" t="s">
        <v>497</v>
      </c>
      <c r="E171" s="32" t="s">
        <v>507</v>
      </c>
      <c r="F171" s="45">
        <v>6</v>
      </c>
      <c r="G171" s="45">
        <v>1399</v>
      </c>
      <c r="H171" s="45">
        <f t="shared" si="3"/>
        <v>8394</v>
      </c>
    </row>
    <row r="172" spans="1:8" ht="30" x14ac:dyDescent="0.25">
      <c r="A172" s="32">
        <f>+IF(B172="","",SUBTOTAL(3,$B$7:B172))</f>
        <v>166</v>
      </c>
      <c r="B172" s="34" t="s">
        <v>197</v>
      </c>
      <c r="C172" s="35">
        <v>46105</v>
      </c>
      <c r="D172" s="34" t="s">
        <v>450</v>
      </c>
      <c r="E172" s="32" t="s">
        <v>512</v>
      </c>
      <c r="F172" s="45">
        <v>2</v>
      </c>
      <c r="G172" s="45">
        <v>41000</v>
      </c>
      <c r="H172" s="45">
        <f t="shared" si="3"/>
        <v>82000</v>
      </c>
    </row>
    <row r="173" spans="1:8" ht="30" x14ac:dyDescent="0.25">
      <c r="A173" s="32">
        <f>+IF(B173="","",SUBTOTAL(3,$B$7:B173))</f>
        <v>167</v>
      </c>
      <c r="B173" s="34" t="s">
        <v>197</v>
      </c>
      <c r="C173" s="35">
        <v>46105</v>
      </c>
      <c r="D173" s="34" t="s">
        <v>476</v>
      </c>
      <c r="E173" s="32" t="s">
        <v>507</v>
      </c>
      <c r="F173" s="45">
        <v>1</v>
      </c>
      <c r="G173" s="45">
        <v>81000</v>
      </c>
      <c r="H173" s="45">
        <f t="shared" si="3"/>
        <v>81000</v>
      </c>
    </row>
    <row r="174" spans="1:8" ht="30" x14ac:dyDescent="0.25">
      <c r="A174" s="32">
        <f>+IF(B174="","",SUBTOTAL(3,$B$7:B174))</f>
        <v>168</v>
      </c>
      <c r="B174" s="34" t="s">
        <v>197</v>
      </c>
      <c r="C174" s="35">
        <v>46105</v>
      </c>
      <c r="D174" s="34" t="s">
        <v>445</v>
      </c>
      <c r="E174" s="32" t="s">
        <v>512</v>
      </c>
      <c r="F174" s="45">
        <v>2</v>
      </c>
      <c r="G174" s="45">
        <v>2011</v>
      </c>
      <c r="H174" s="45">
        <f t="shared" si="3"/>
        <v>4022</v>
      </c>
    </row>
    <row r="175" spans="1:8" ht="30" x14ac:dyDescent="0.25">
      <c r="A175" s="32">
        <f>+IF(B175="","",SUBTOTAL(3,$B$7:B175))</f>
        <v>169</v>
      </c>
      <c r="B175" s="34" t="s">
        <v>197</v>
      </c>
      <c r="C175" s="35">
        <v>46105</v>
      </c>
      <c r="D175" s="34" t="s">
        <v>497</v>
      </c>
      <c r="E175" s="32" t="s">
        <v>507</v>
      </c>
      <c r="F175" s="45">
        <v>6</v>
      </c>
      <c r="G175" s="45">
        <v>1399</v>
      </c>
      <c r="H175" s="45">
        <f t="shared" si="3"/>
        <v>8394</v>
      </c>
    </row>
    <row r="176" spans="1:8" ht="30" x14ac:dyDescent="0.25">
      <c r="A176" s="32">
        <f>+IF(B176="","",SUBTOTAL(3,$B$7:B176))</f>
        <v>170</v>
      </c>
      <c r="B176" s="34" t="s">
        <v>197</v>
      </c>
      <c r="C176" s="35">
        <v>46105</v>
      </c>
      <c r="D176" s="34" t="s">
        <v>502</v>
      </c>
      <c r="E176" s="32" t="s">
        <v>507</v>
      </c>
      <c r="F176" s="45">
        <v>4</v>
      </c>
      <c r="G176" s="45">
        <v>8436.74</v>
      </c>
      <c r="H176" s="45">
        <f t="shared" si="3"/>
        <v>33746.959999999999</v>
      </c>
    </row>
    <row r="177" spans="1:8" x14ac:dyDescent="0.25">
      <c r="A177" s="32">
        <f>+IF(B177="","",SUBTOTAL(3,$B$7:B177))</f>
        <v>171</v>
      </c>
      <c r="B177" s="44" t="s">
        <v>431</v>
      </c>
      <c r="C177" s="35">
        <v>46106</v>
      </c>
      <c r="D177" s="34" t="s">
        <v>497</v>
      </c>
      <c r="E177" s="32" t="s">
        <v>507</v>
      </c>
      <c r="F177" s="45">
        <v>5</v>
      </c>
      <c r="G177" s="45">
        <v>1399</v>
      </c>
      <c r="H177" s="45">
        <f t="shared" si="3"/>
        <v>6995</v>
      </c>
    </row>
    <row r="178" spans="1:8" ht="30" x14ac:dyDescent="0.25">
      <c r="A178" s="32">
        <f>+IF(B178="","",SUBTOTAL(3,$B$7:B178))</f>
        <v>172</v>
      </c>
      <c r="B178" s="44" t="s">
        <v>431</v>
      </c>
      <c r="C178" s="35">
        <v>46106</v>
      </c>
      <c r="D178" s="34" t="s">
        <v>448</v>
      </c>
      <c r="E178" s="32" t="s">
        <v>508</v>
      </c>
      <c r="F178" s="45">
        <v>20</v>
      </c>
      <c r="G178" s="45">
        <v>23000</v>
      </c>
      <c r="H178" s="45">
        <f t="shared" si="3"/>
        <v>460000</v>
      </c>
    </row>
    <row r="179" spans="1:8" x14ac:dyDescent="0.25">
      <c r="A179" s="32">
        <f>+IF(B179="","",SUBTOTAL(3,$B$7:B179))</f>
        <v>173</v>
      </c>
      <c r="B179" s="44" t="s">
        <v>431</v>
      </c>
      <c r="C179" s="35">
        <v>46106</v>
      </c>
      <c r="D179" s="34" t="s">
        <v>447</v>
      </c>
      <c r="E179" s="32" t="s">
        <v>512</v>
      </c>
      <c r="F179" s="45">
        <v>2</v>
      </c>
      <c r="G179" s="45">
        <v>3143</v>
      </c>
      <c r="H179" s="45">
        <f t="shared" si="3"/>
        <v>6286</v>
      </c>
    </row>
    <row r="180" spans="1:8" x14ac:dyDescent="0.25">
      <c r="A180" s="32">
        <f>+IF(B180="","",SUBTOTAL(3,$B$7:B180))</f>
        <v>174</v>
      </c>
      <c r="B180" s="44" t="s">
        <v>431</v>
      </c>
      <c r="C180" s="35">
        <v>46106</v>
      </c>
      <c r="D180" s="34" t="s">
        <v>445</v>
      </c>
      <c r="E180" s="32" t="s">
        <v>512</v>
      </c>
      <c r="F180" s="45">
        <v>2</v>
      </c>
      <c r="G180" s="45">
        <v>2011</v>
      </c>
      <c r="H180" s="45">
        <f t="shared" si="3"/>
        <v>4022</v>
      </c>
    </row>
    <row r="181" spans="1:8" x14ac:dyDescent="0.25">
      <c r="A181" s="32">
        <f>+IF(B181="","",SUBTOTAL(3,$B$7:B181))</f>
        <v>175</v>
      </c>
      <c r="B181" s="44" t="s">
        <v>431</v>
      </c>
      <c r="C181" s="35">
        <v>46106</v>
      </c>
      <c r="D181" s="34" t="s">
        <v>484</v>
      </c>
      <c r="E181" s="32" t="s">
        <v>507</v>
      </c>
      <c r="F181" s="45">
        <v>2</v>
      </c>
      <c r="G181" s="45">
        <v>9500</v>
      </c>
      <c r="H181" s="45">
        <f t="shared" si="3"/>
        <v>19000</v>
      </c>
    </row>
    <row r="182" spans="1:8" x14ac:dyDescent="0.25">
      <c r="A182" s="32">
        <f>+IF(B182="","",SUBTOTAL(3,$B$7:B182))</f>
        <v>176</v>
      </c>
      <c r="B182" s="44" t="s">
        <v>431</v>
      </c>
      <c r="C182" s="35">
        <v>46106</v>
      </c>
      <c r="D182" s="34" t="s">
        <v>450</v>
      </c>
      <c r="E182" s="32" t="s">
        <v>512</v>
      </c>
      <c r="F182" s="45">
        <v>1</v>
      </c>
      <c r="G182" s="45">
        <v>41000</v>
      </c>
      <c r="H182" s="45">
        <f t="shared" si="3"/>
        <v>41000</v>
      </c>
    </row>
    <row r="183" spans="1:8" x14ac:dyDescent="0.25">
      <c r="A183" s="32">
        <f>+IF(B183="","",SUBTOTAL(3,$B$7:B183))</f>
        <v>177</v>
      </c>
      <c r="B183" s="44" t="s">
        <v>431</v>
      </c>
      <c r="C183" s="35">
        <v>46106</v>
      </c>
      <c r="D183" s="34" t="s">
        <v>443</v>
      </c>
      <c r="E183" s="32" t="s">
        <v>507</v>
      </c>
      <c r="F183" s="45">
        <v>30</v>
      </c>
      <c r="G183" s="45">
        <v>1710</v>
      </c>
      <c r="H183" s="45">
        <f t="shared" si="3"/>
        <v>51300</v>
      </c>
    </row>
    <row r="184" spans="1:8" x14ac:dyDescent="0.25">
      <c r="A184" s="32">
        <f>+IF(B184="","",SUBTOTAL(3,$B$7:B184))</f>
        <v>178</v>
      </c>
      <c r="B184" s="44" t="s">
        <v>431</v>
      </c>
      <c r="C184" s="35">
        <v>46106</v>
      </c>
      <c r="D184" s="34" t="s">
        <v>453</v>
      </c>
      <c r="E184" s="32" t="s">
        <v>507</v>
      </c>
      <c r="F184" s="45">
        <v>2</v>
      </c>
      <c r="G184" s="45">
        <v>1950</v>
      </c>
      <c r="H184" s="45">
        <f t="shared" si="3"/>
        <v>3900</v>
      </c>
    </row>
    <row r="185" spans="1:8" ht="30" x14ac:dyDescent="0.25">
      <c r="A185" s="32">
        <f>+IF(B185="","",SUBTOTAL(3,$B$7:B185))</f>
        <v>179</v>
      </c>
      <c r="B185" s="34" t="s">
        <v>433</v>
      </c>
      <c r="C185" s="35">
        <v>46112</v>
      </c>
      <c r="D185" s="34" t="s">
        <v>506</v>
      </c>
      <c r="E185" s="32" t="s">
        <v>509</v>
      </c>
      <c r="F185" s="45">
        <v>1</v>
      </c>
      <c r="G185" s="45">
        <v>3873000</v>
      </c>
      <c r="H185" s="45">
        <f t="shared" si="3"/>
        <v>3873000</v>
      </c>
    </row>
    <row r="186" spans="1:8" ht="30" x14ac:dyDescent="0.25">
      <c r="A186" s="32">
        <f>+IF(B186="","",SUBTOTAL(3,$B$7:B186))</f>
        <v>180</v>
      </c>
      <c r="B186" s="34" t="s">
        <v>433</v>
      </c>
      <c r="C186" s="35">
        <v>46112</v>
      </c>
      <c r="D186" s="34" t="s">
        <v>497</v>
      </c>
      <c r="E186" s="32" t="s">
        <v>507</v>
      </c>
      <c r="F186" s="45">
        <v>3</v>
      </c>
      <c r="G186" s="45">
        <v>1399</v>
      </c>
      <c r="H186" s="45">
        <f t="shared" si="3"/>
        <v>4197</v>
      </c>
    </row>
    <row r="187" spans="1:8" ht="30" x14ac:dyDescent="0.25">
      <c r="A187" s="32">
        <f>+IF(B187="","",SUBTOTAL(3,$B$7:B187))</f>
        <v>181</v>
      </c>
      <c r="B187" s="34" t="s">
        <v>433</v>
      </c>
      <c r="C187" s="35">
        <v>46112</v>
      </c>
      <c r="D187" s="34" t="s">
        <v>450</v>
      </c>
      <c r="E187" s="32" t="s">
        <v>512</v>
      </c>
      <c r="F187" s="45">
        <v>1</v>
      </c>
      <c r="G187" s="45">
        <v>41000</v>
      </c>
      <c r="H187" s="45">
        <f t="shared" si="3"/>
        <v>41000</v>
      </c>
    </row>
    <row r="188" spans="1:8" x14ac:dyDescent="0.25">
      <c r="A188" s="32" t="str">
        <f>+IF(B188="","",SUBTOTAL(3,$B$7:B188))</f>
        <v/>
      </c>
      <c r="B188" s="34"/>
      <c r="C188" s="35"/>
      <c r="D188" s="34"/>
      <c r="E188" s="32"/>
      <c r="F188" s="45"/>
      <c r="G188" s="45"/>
      <c r="H188" s="45">
        <f t="shared" si="3"/>
        <v>0</v>
      </c>
    </row>
    <row r="189" spans="1:8" x14ac:dyDescent="0.25">
      <c r="A189" s="32" t="str">
        <f>+IF(B189="","",SUBTOTAL(3,$B$7:B189))</f>
        <v/>
      </c>
      <c r="B189" s="34"/>
      <c r="C189" s="35"/>
      <c r="D189" s="34"/>
      <c r="E189" s="32"/>
      <c r="F189" s="45"/>
      <c r="G189" s="45"/>
      <c r="H189" s="45">
        <f t="shared" si="3"/>
        <v>0</v>
      </c>
    </row>
    <row r="190" spans="1:8" x14ac:dyDescent="0.25">
      <c r="A190" s="32" t="str">
        <f>+IF(B190="","",SUBTOTAL(3,$B$7:B190))</f>
        <v/>
      </c>
      <c r="B190" s="34"/>
      <c r="C190" s="35"/>
      <c r="D190" s="34"/>
      <c r="E190" s="32"/>
      <c r="F190" s="45"/>
      <c r="G190" s="45"/>
      <c r="H190" s="45">
        <f t="shared" si="3"/>
        <v>0</v>
      </c>
    </row>
    <row r="191" spans="1:8" x14ac:dyDescent="0.25">
      <c r="A191" s="32" t="str">
        <f>+IF(B191="","",SUBTOTAL(3,$B$7:B191))</f>
        <v/>
      </c>
      <c r="B191" s="34"/>
      <c r="C191" s="35"/>
      <c r="D191" s="34"/>
      <c r="E191" s="32"/>
      <c r="F191" s="45"/>
      <c r="G191" s="45"/>
      <c r="H191" s="45">
        <f t="shared" si="3"/>
        <v>0</v>
      </c>
    </row>
    <row r="192" spans="1:8" x14ac:dyDescent="0.25">
      <c r="A192" s="32" t="str">
        <f>+IF(B192="","",SUBTOTAL(3,$B$7:B192))</f>
        <v/>
      </c>
      <c r="B192" s="34"/>
      <c r="C192" s="35"/>
      <c r="D192" s="34"/>
      <c r="E192" s="32"/>
      <c r="F192" s="45"/>
      <c r="G192" s="45"/>
      <c r="H192" s="45">
        <f t="shared" si="3"/>
        <v>0</v>
      </c>
    </row>
    <row r="193" spans="1:8" x14ac:dyDescent="0.25">
      <c r="A193" s="32" t="str">
        <f>+IF(B193="","",SUBTOTAL(3,$B$7:B193))</f>
        <v/>
      </c>
      <c r="B193" s="34"/>
      <c r="C193" s="35"/>
      <c r="D193" s="34"/>
      <c r="E193" s="32"/>
      <c r="F193" s="45"/>
      <c r="G193" s="45"/>
      <c r="H193" s="45">
        <f t="shared" si="3"/>
        <v>0</v>
      </c>
    </row>
    <row r="194" spans="1:8" x14ac:dyDescent="0.25">
      <c r="A194" s="32" t="str">
        <f>+IF(B194="","",SUBTOTAL(3,$B$7:B194))</f>
        <v/>
      </c>
      <c r="B194" s="34"/>
      <c r="C194" s="35"/>
      <c r="D194" s="34"/>
      <c r="E194" s="32"/>
      <c r="F194" s="45"/>
      <c r="G194" s="45"/>
      <c r="H194" s="45">
        <f t="shared" si="3"/>
        <v>0</v>
      </c>
    </row>
    <row r="195" spans="1:8" x14ac:dyDescent="0.25">
      <c r="A195" s="32" t="str">
        <f>+IF(B195="","",SUBTOTAL(3,$B$7:B195))</f>
        <v/>
      </c>
      <c r="B195" s="34"/>
      <c r="C195" s="35"/>
      <c r="D195" s="34"/>
      <c r="E195" s="32"/>
      <c r="F195" s="45"/>
      <c r="G195" s="45"/>
      <c r="H195" s="45">
        <f t="shared" si="3"/>
        <v>0</v>
      </c>
    </row>
    <row r="196" spans="1:8" x14ac:dyDescent="0.25">
      <c r="A196" s="32" t="str">
        <f>+IF(B196="","",SUBTOTAL(3,$B$7:B196))</f>
        <v/>
      </c>
      <c r="B196" s="34"/>
      <c r="C196" s="35"/>
      <c r="D196" s="34"/>
      <c r="E196" s="32"/>
      <c r="F196" s="45"/>
      <c r="G196" s="45"/>
      <c r="H196" s="45">
        <f t="shared" si="3"/>
        <v>0</v>
      </c>
    </row>
    <row r="197" spans="1:8" x14ac:dyDescent="0.25">
      <c r="A197" s="32" t="str">
        <f>+IF(B197="","",SUBTOTAL(3,$B$7:B197))</f>
        <v/>
      </c>
      <c r="B197" s="34"/>
      <c r="C197" s="35"/>
      <c r="D197" s="34"/>
      <c r="E197" s="32"/>
      <c r="F197" s="45"/>
      <c r="G197" s="45"/>
      <c r="H197" s="45">
        <f t="shared" si="3"/>
        <v>0</v>
      </c>
    </row>
    <row r="198" spans="1:8" x14ac:dyDescent="0.25">
      <c r="A198" s="32" t="str">
        <f>+IF(B198="","",SUBTOTAL(3,$B$7:B198))</f>
        <v/>
      </c>
      <c r="B198" s="34"/>
      <c r="C198" s="35"/>
      <c r="D198" s="34"/>
      <c r="E198" s="32"/>
      <c r="F198" s="45"/>
      <c r="G198" s="45"/>
      <c r="H198" s="45">
        <f t="shared" si="3"/>
        <v>0</v>
      </c>
    </row>
    <row r="199" spans="1:8" x14ac:dyDescent="0.25">
      <c r="A199" s="32" t="str">
        <f>+IF(B199="","",SUBTOTAL(3,$B$7:B199))</f>
        <v/>
      </c>
      <c r="B199" s="34"/>
      <c r="C199" s="35"/>
      <c r="D199" s="34"/>
      <c r="E199" s="32"/>
      <c r="F199" s="45"/>
      <c r="G199" s="45"/>
      <c r="H199" s="45">
        <f t="shared" si="3"/>
        <v>0</v>
      </c>
    </row>
    <row r="200" spans="1:8" x14ac:dyDescent="0.25">
      <c r="A200" s="32" t="str">
        <f>+IF(B200="","",SUBTOTAL(3,$B$7:B200))</f>
        <v/>
      </c>
      <c r="B200" s="34"/>
      <c r="C200" s="35"/>
      <c r="D200" s="34"/>
      <c r="E200" s="32"/>
      <c r="F200" s="45"/>
      <c r="G200" s="45"/>
      <c r="H200" s="45">
        <f t="shared" ref="H200:H263" si="4">+G200*F200</f>
        <v>0</v>
      </c>
    </row>
    <row r="201" spans="1:8" x14ac:dyDescent="0.25">
      <c r="A201" s="32" t="str">
        <f>+IF(B201="","",SUBTOTAL(3,$B$7:B201))</f>
        <v/>
      </c>
      <c r="B201" s="34"/>
      <c r="C201" s="35"/>
      <c r="D201" s="34"/>
      <c r="E201" s="32"/>
      <c r="F201" s="45"/>
      <c r="G201" s="45"/>
      <c r="H201" s="45">
        <f t="shared" si="4"/>
        <v>0</v>
      </c>
    </row>
    <row r="202" spans="1:8" x14ac:dyDescent="0.25">
      <c r="A202" s="32" t="str">
        <f>+IF(B202="","",SUBTOTAL(3,$B$7:B202))</f>
        <v/>
      </c>
      <c r="B202" s="34"/>
      <c r="C202" s="35"/>
      <c r="D202" s="34"/>
      <c r="E202" s="32"/>
      <c r="F202" s="45"/>
      <c r="G202" s="45"/>
      <c r="H202" s="45">
        <f t="shared" si="4"/>
        <v>0</v>
      </c>
    </row>
    <row r="203" spans="1:8" x14ac:dyDescent="0.25">
      <c r="A203" s="32" t="str">
        <f>+IF(B203="","",SUBTOTAL(3,$B$7:B203))</f>
        <v/>
      </c>
      <c r="B203" s="34"/>
      <c r="C203" s="35"/>
      <c r="D203" s="34"/>
      <c r="E203" s="32"/>
      <c r="F203" s="45"/>
      <c r="G203" s="45"/>
      <c r="H203" s="45">
        <f t="shared" si="4"/>
        <v>0</v>
      </c>
    </row>
    <row r="204" spans="1:8" x14ac:dyDescent="0.25">
      <c r="A204" s="32" t="str">
        <f>+IF(B204="","",SUBTOTAL(3,$B$7:B204))</f>
        <v/>
      </c>
      <c r="B204" s="34"/>
      <c r="C204" s="35"/>
      <c r="D204" s="34"/>
      <c r="E204" s="32"/>
      <c r="F204" s="45"/>
      <c r="G204" s="45"/>
      <c r="H204" s="45">
        <f t="shared" si="4"/>
        <v>0</v>
      </c>
    </row>
    <row r="205" spans="1:8" x14ac:dyDescent="0.25">
      <c r="A205" s="32" t="str">
        <f>+IF(B205="","",SUBTOTAL(3,$B$7:B205))</f>
        <v/>
      </c>
      <c r="B205" s="34"/>
      <c r="C205" s="35"/>
      <c r="D205" s="34"/>
      <c r="E205" s="32"/>
      <c r="F205" s="45"/>
      <c r="G205" s="45"/>
      <c r="H205" s="45">
        <f t="shared" si="4"/>
        <v>0</v>
      </c>
    </row>
    <row r="206" spans="1:8" x14ac:dyDescent="0.25">
      <c r="A206" s="32" t="str">
        <f>+IF(B206="","",SUBTOTAL(3,$B$7:B206))</f>
        <v/>
      </c>
      <c r="B206" s="34"/>
      <c r="C206" s="35"/>
      <c r="D206" s="34"/>
      <c r="E206" s="32"/>
      <c r="F206" s="45"/>
      <c r="G206" s="45"/>
      <c r="H206" s="45">
        <f t="shared" si="4"/>
        <v>0</v>
      </c>
    </row>
    <row r="207" spans="1:8" x14ac:dyDescent="0.25">
      <c r="A207" s="32" t="str">
        <f>+IF(B207="","",SUBTOTAL(3,$B$7:B207))</f>
        <v/>
      </c>
      <c r="B207" s="34"/>
      <c r="C207" s="35"/>
      <c r="D207" s="34"/>
      <c r="E207" s="32"/>
      <c r="F207" s="45"/>
      <c r="G207" s="45"/>
      <c r="H207" s="45">
        <f t="shared" si="4"/>
        <v>0</v>
      </c>
    </row>
    <row r="208" spans="1:8" x14ac:dyDescent="0.25">
      <c r="A208" s="32" t="str">
        <f>+IF(B208="","",SUBTOTAL(3,$B$7:B208))</f>
        <v/>
      </c>
      <c r="B208" s="34"/>
      <c r="C208" s="35"/>
      <c r="D208" s="34"/>
      <c r="E208" s="32"/>
      <c r="F208" s="45"/>
      <c r="G208" s="45"/>
      <c r="H208" s="45">
        <f t="shared" si="4"/>
        <v>0</v>
      </c>
    </row>
    <row r="209" spans="1:8" x14ac:dyDescent="0.25">
      <c r="A209" s="32" t="str">
        <f>+IF(B209="","",SUBTOTAL(3,$B$7:B209))</f>
        <v/>
      </c>
      <c r="B209" s="34"/>
      <c r="C209" s="35"/>
      <c r="D209" s="34"/>
      <c r="E209" s="32"/>
      <c r="F209" s="45"/>
      <c r="G209" s="45"/>
      <c r="H209" s="45">
        <f t="shared" si="4"/>
        <v>0</v>
      </c>
    </row>
    <row r="210" spans="1:8" x14ac:dyDescent="0.25">
      <c r="A210" s="32" t="str">
        <f>+IF(B210="","",SUBTOTAL(3,$B$7:B210))</f>
        <v/>
      </c>
      <c r="B210" s="34"/>
      <c r="C210" s="35"/>
      <c r="D210" s="34"/>
      <c r="E210" s="32"/>
      <c r="F210" s="45"/>
      <c r="G210" s="45"/>
      <c r="H210" s="45">
        <f t="shared" si="4"/>
        <v>0</v>
      </c>
    </row>
    <row r="211" spans="1:8" x14ac:dyDescent="0.25">
      <c r="A211" s="32" t="str">
        <f>+IF(B211="","",SUBTOTAL(3,$B$7:B211))</f>
        <v/>
      </c>
      <c r="B211" s="34"/>
      <c r="C211" s="35"/>
      <c r="D211" s="34"/>
      <c r="E211" s="32"/>
      <c r="F211" s="45"/>
      <c r="G211" s="45"/>
      <c r="H211" s="45">
        <f t="shared" si="4"/>
        <v>0</v>
      </c>
    </row>
    <row r="212" spans="1:8" x14ac:dyDescent="0.25">
      <c r="A212" s="32" t="str">
        <f>+IF(B212="","",SUBTOTAL(3,$B$7:B212))</f>
        <v/>
      </c>
      <c r="B212" s="34"/>
      <c r="C212" s="35"/>
      <c r="D212" s="34"/>
      <c r="E212" s="32"/>
      <c r="F212" s="45"/>
      <c r="G212" s="45"/>
      <c r="H212" s="45">
        <f t="shared" si="4"/>
        <v>0</v>
      </c>
    </row>
    <row r="213" spans="1:8" x14ac:dyDescent="0.25">
      <c r="A213" s="32" t="str">
        <f>+IF(B213="","",SUBTOTAL(3,$B$7:B213))</f>
        <v/>
      </c>
      <c r="B213" s="34"/>
      <c r="C213" s="35"/>
      <c r="D213" s="34"/>
      <c r="E213" s="32"/>
      <c r="F213" s="45"/>
      <c r="G213" s="45"/>
      <c r="H213" s="45">
        <f t="shared" si="4"/>
        <v>0</v>
      </c>
    </row>
    <row r="214" spans="1:8" x14ac:dyDescent="0.25">
      <c r="A214" s="32" t="str">
        <f>+IF(B214="","",SUBTOTAL(3,$B$7:B214))</f>
        <v/>
      </c>
      <c r="B214" s="34"/>
      <c r="C214" s="35"/>
      <c r="D214" s="34"/>
      <c r="E214" s="32"/>
      <c r="F214" s="45"/>
      <c r="G214" s="45"/>
      <c r="H214" s="45">
        <f t="shared" si="4"/>
        <v>0</v>
      </c>
    </row>
    <row r="215" spans="1:8" x14ac:dyDescent="0.25">
      <c r="A215" s="32" t="str">
        <f>+IF(B215="","",SUBTOTAL(3,$B$7:B215))</f>
        <v/>
      </c>
      <c r="B215" s="34"/>
      <c r="C215" s="35"/>
      <c r="D215" s="34"/>
      <c r="E215" s="32"/>
      <c r="F215" s="45"/>
      <c r="G215" s="45"/>
      <c r="H215" s="45">
        <f t="shared" si="4"/>
        <v>0</v>
      </c>
    </row>
    <row r="216" spans="1:8" x14ac:dyDescent="0.25">
      <c r="A216" s="32" t="str">
        <f>+IF(B216="","",SUBTOTAL(3,$B$7:B216))</f>
        <v/>
      </c>
      <c r="B216" s="34"/>
      <c r="C216" s="35"/>
      <c r="D216" s="34"/>
      <c r="E216" s="32"/>
      <c r="F216" s="45"/>
      <c r="G216" s="45"/>
      <c r="H216" s="45">
        <f t="shared" si="4"/>
        <v>0</v>
      </c>
    </row>
    <row r="217" spans="1:8" x14ac:dyDescent="0.25">
      <c r="A217" s="32" t="str">
        <f>+IF(B217="","",SUBTOTAL(3,$B$7:B217))</f>
        <v/>
      </c>
      <c r="B217" s="34"/>
      <c r="C217" s="35"/>
      <c r="D217" s="34"/>
      <c r="E217" s="32"/>
      <c r="F217" s="45"/>
      <c r="G217" s="45"/>
      <c r="H217" s="45">
        <f t="shared" si="4"/>
        <v>0</v>
      </c>
    </row>
    <row r="218" spans="1:8" x14ac:dyDescent="0.25">
      <c r="A218" s="32" t="str">
        <f>+IF(B218="","",SUBTOTAL(3,$B$7:B218))</f>
        <v/>
      </c>
      <c r="B218" s="34"/>
      <c r="C218" s="35"/>
      <c r="D218" s="34"/>
      <c r="E218" s="32"/>
      <c r="F218" s="45"/>
      <c r="G218" s="45"/>
      <c r="H218" s="45">
        <f t="shared" si="4"/>
        <v>0</v>
      </c>
    </row>
    <row r="219" spans="1:8" x14ac:dyDescent="0.25">
      <c r="A219" s="32" t="str">
        <f>+IF(B219="","",SUBTOTAL(3,$B$7:B219))</f>
        <v/>
      </c>
      <c r="B219" s="34"/>
      <c r="C219" s="35"/>
      <c r="D219" s="34"/>
      <c r="E219" s="32"/>
      <c r="F219" s="45"/>
      <c r="G219" s="45"/>
      <c r="H219" s="45">
        <f t="shared" si="4"/>
        <v>0</v>
      </c>
    </row>
    <row r="220" spans="1:8" x14ac:dyDescent="0.25">
      <c r="A220" s="32" t="str">
        <f>+IF(B220="","",SUBTOTAL(3,$B$7:B220))</f>
        <v/>
      </c>
      <c r="B220" s="34"/>
      <c r="C220" s="35"/>
      <c r="D220" s="34"/>
      <c r="E220" s="32"/>
      <c r="F220" s="45"/>
      <c r="G220" s="45"/>
      <c r="H220" s="45">
        <f t="shared" si="4"/>
        <v>0</v>
      </c>
    </row>
    <row r="221" spans="1:8" x14ac:dyDescent="0.25">
      <c r="A221" s="32" t="str">
        <f>+IF(B221="","",SUBTOTAL(3,$B$7:B221))</f>
        <v/>
      </c>
      <c r="B221" s="34"/>
      <c r="C221" s="35"/>
      <c r="D221" s="34"/>
      <c r="E221" s="32"/>
      <c r="F221" s="45"/>
      <c r="G221" s="45"/>
      <c r="H221" s="45">
        <f t="shared" si="4"/>
        <v>0</v>
      </c>
    </row>
    <row r="222" spans="1:8" x14ac:dyDescent="0.25">
      <c r="A222" s="32" t="str">
        <f>+IF(B222="","",SUBTOTAL(3,$B$7:B222))</f>
        <v/>
      </c>
      <c r="B222" s="34"/>
      <c r="C222" s="35"/>
      <c r="D222" s="34"/>
      <c r="E222" s="32"/>
      <c r="F222" s="45"/>
      <c r="G222" s="45"/>
      <c r="H222" s="45">
        <f t="shared" si="4"/>
        <v>0</v>
      </c>
    </row>
    <row r="223" spans="1:8" x14ac:dyDescent="0.25">
      <c r="A223" s="32" t="str">
        <f>+IF(B223="","",SUBTOTAL(3,$B$7:B223))</f>
        <v/>
      </c>
      <c r="B223" s="34"/>
      <c r="C223" s="35"/>
      <c r="D223" s="34"/>
      <c r="E223" s="32"/>
      <c r="F223" s="45"/>
      <c r="G223" s="45"/>
      <c r="H223" s="45">
        <f t="shared" si="4"/>
        <v>0</v>
      </c>
    </row>
    <row r="224" spans="1:8" x14ac:dyDescent="0.25">
      <c r="A224" s="32" t="str">
        <f>+IF(B224="","",SUBTOTAL(3,$B$7:B224))</f>
        <v/>
      </c>
      <c r="B224" s="34"/>
      <c r="C224" s="35"/>
      <c r="D224" s="34"/>
      <c r="E224" s="32"/>
      <c r="F224" s="45"/>
      <c r="G224" s="45"/>
      <c r="H224" s="45">
        <f t="shared" si="4"/>
        <v>0</v>
      </c>
    </row>
    <row r="225" spans="1:8" x14ac:dyDescent="0.25">
      <c r="A225" s="32" t="str">
        <f>+IF(B225="","",SUBTOTAL(3,$B$7:B225))</f>
        <v/>
      </c>
      <c r="B225" s="34"/>
      <c r="C225" s="35"/>
      <c r="D225" s="34"/>
      <c r="E225" s="32"/>
      <c r="F225" s="45"/>
      <c r="G225" s="45"/>
      <c r="H225" s="45">
        <f t="shared" si="4"/>
        <v>0</v>
      </c>
    </row>
    <row r="226" spans="1:8" x14ac:dyDescent="0.25">
      <c r="A226" s="32" t="str">
        <f>+IF(B226="","",SUBTOTAL(3,$B$7:B226))</f>
        <v/>
      </c>
      <c r="B226" s="34"/>
      <c r="C226" s="35"/>
      <c r="D226" s="34"/>
      <c r="E226" s="32"/>
      <c r="F226" s="45"/>
      <c r="G226" s="45"/>
      <c r="H226" s="45">
        <f t="shared" si="4"/>
        <v>0</v>
      </c>
    </row>
    <row r="227" spans="1:8" x14ac:dyDescent="0.25">
      <c r="A227" s="32" t="str">
        <f>+IF(B227="","",SUBTOTAL(3,$B$7:B227))</f>
        <v/>
      </c>
      <c r="B227" s="34"/>
      <c r="C227" s="35"/>
      <c r="D227" s="34"/>
      <c r="E227" s="32"/>
      <c r="F227" s="45"/>
      <c r="G227" s="45"/>
      <c r="H227" s="45">
        <f t="shared" si="4"/>
        <v>0</v>
      </c>
    </row>
    <row r="228" spans="1:8" x14ac:dyDescent="0.25">
      <c r="A228" s="32" t="str">
        <f>+IF(B228="","",SUBTOTAL(3,$B$7:B228))</f>
        <v/>
      </c>
      <c r="B228" s="34"/>
      <c r="C228" s="35"/>
      <c r="D228" s="34"/>
      <c r="E228" s="32"/>
      <c r="F228" s="45"/>
      <c r="G228" s="45"/>
      <c r="H228" s="45">
        <f t="shared" si="4"/>
        <v>0</v>
      </c>
    </row>
    <row r="229" spans="1:8" x14ac:dyDescent="0.25">
      <c r="A229" s="32" t="str">
        <f>+IF(B229="","",SUBTOTAL(3,$B$7:B229))</f>
        <v/>
      </c>
      <c r="B229" s="34"/>
      <c r="C229" s="35"/>
      <c r="D229" s="34"/>
      <c r="E229" s="32"/>
      <c r="F229" s="45"/>
      <c r="G229" s="45"/>
      <c r="H229" s="45">
        <f t="shared" si="4"/>
        <v>0</v>
      </c>
    </row>
    <row r="230" spans="1:8" x14ac:dyDescent="0.25">
      <c r="A230" s="32" t="str">
        <f>+IF(B230="","",SUBTOTAL(3,$B$7:B230))</f>
        <v/>
      </c>
      <c r="B230" s="34"/>
      <c r="C230" s="35"/>
      <c r="D230" s="34"/>
      <c r="E230" s="32"/>
      <c r="F230" s="45"/>
      <c r="G230" s="45"/>
      <c r="H230" s="45">
        <f t="shared" si="4"/>
        <v>0</v>
      </c>
    </row>
    <row r="231" spans="1:8" x14ac:dyDescent="0.25">
      <c r="A231" s="32" t="str">
        <f>+IF(B231="","",SUBTOTAL(3,$B$7:B231))</f>
        <v/>
      </c>
      <c r="B231" s="34"/>
      <c r="C231" s="35"/>
      <c r="D231" s="34"/>
      <c r="E231" s="32"/>
      <c r="F231" s="45"/>
      <c r="G231" s="45"/>
      <c r="H231" s="45">
        <f t="shared" si="4"/>
        <v>0</v>
      </c>
    </row>
    <row r="232" spans="1:8" x14ac:dyDescent="0.25">
      <c r="A232" s="32" t="str">
        <f>+IF(B232="","",SUBTOTAL(3,$B$7:B232))</f>
        <v/>
      </c>
      <c r="B232" s="34"/>
      <c r="C232" s="35"/>
      <c r="D232" s="34"/>
      <c r="E232" s="32"/>
      <c r="F232" s="45"/>
      <c r="G232" s="45"/>
      <c r="H232" s="45">
        <f t="shared" si="4"/>
        <v>0</v>
      </c>
    </row>
    <row r="233" spans="1:8" x14ac:dyDescent="0.25">
      <c r="A233" s="32" t="str">
        <f>+IF(B233="","",SUBTOTAL(3,$B$7:B233))</f>
        <v/>
      </c>
      <c r="B233" s="34"/>
      <c r="C233" s="35"/>
      <c r="D233" s="34"/>
      <c r="E233" s="32"/>
      <c r="F233" s="45"/>
      <c r="G233" s="45"/>
      <c r="H233" s="45">
        <f t="shared" si="4"/>
        <v>0</v>
      </c>
    </row>
    <row r="234" spans="1:8" x14ac:dyDescent="0.25">
      <c r="A234" s="32" t="str">
        <f>+IF(B234="","",SUBTOTAL(3,$B$7:B234))</f>
        <v/>
      </c>
      <c r="B234" s="34"/>
      <c r="C234" s="35"/>
      <c r="D234" s="34"/>
      <c r="E234" s="32"/>
      <c r="F234" s="45"/>
      <c r="G234" s="45"/>
      <c r="H234" s="45">
        <f t="shared" si="4"/>
        <v>0</v>
      </c>
    </row>
    <row r="235" spans="1:8" x14ac:dyDescent="0.25">
      <c r="A235" s="32" t="str">
        <f>+IF(B235="","",SUBTOTAL(3,$B$7:B235))</f>
        <v/>
      </c>
      <c r="B235" s="34"/>
      <c r="C235" s="35"/>
      <c r="D235" s="34"/>
      <c r="E235" s="32"/>
      <c r="F235" s="45"/>
      <c r="G235" s="45"/>
      <c r="H235" s="45">
        <f t="shared" si="4"/>
        <v>0</v>
      </c>
    </row>
    <row r="236" spans="1:8" x14ac:dyDescent="0.25">
      <c r="A236" s="32" t="str">
        <f>+IF(B236="","",SUBTOTAL(3,$B$7:B236))</f>
        <v/>
      </c>
      <c r="B236" s="34"/>
      <c r="C236" s="35"/>
      <c r="D236" s="34"/>
      <c r="E236" s="32"/>
      <c r="F236" s="45"/>
      <c r="G236" s="45"/>
      <c r="H236" s="45">
        <f t="shared" si="4"/>
        <v>0</v>
      </c>
    </row>
    <row r="237" spans="1:8" x14ac:dyDescent="0.25">
      <c r="A237" s="32" t="str">
        <f>+IF(B237="","",SUBTOTAL(3,$B$7:B237))</f>
        <v/>
      </c>
      <c r="B237" s="34"/>
      <c r="C237" s="35"/>
      <c r="D237" s="34"/>
      <c r="E237" s="32"/>
      <c r="F237" s="45"/>
      <c r="G237" s="45"/>
      <c r="H237" s="45">
        <f t="shared" si="4"/>
        <v>0</v>
      </c>
    </row>
    <row r="238" spans="1:8" x14ac:dyDescent="0.25">
      <c r="A238" s="32" t="str">
        <f>+IF(B238="","",SUBTOTAL(3,$B$7:B238))</f>
        <v/>
      </c>
      <c r="B238" s="34"/>
      <c r="C238" s="35"/>
      <c r="D238" s="34"/>
      <c r="E238" s="32"/>
      <c r="F238" s="45"/>
      <c r="G238" s="45"/>
      <c r="H238" s="45">
        <f t="shared" si="4"/>
        <v>0</v>
      </c>
    </row>
    <row r="239" spans="1:8" x14ac:dyDescent="0.25">
      <c r="A239" s="32" t="str">
        <f>+IF(B239="","",SUBTOTAL(3,$B$7:B239))</f>
        <v/>
      </c>
      <c r="B239" s="34"/>
      <c r="C239" s="35"/>
      <c r="D239" s="34"/>
      <c r="E239" s="32"/>
      <c r="F239" s="45"/>
      <c r="G239" s="45"/>
      <c r="H239" s="45">
        <f t="shared" si="4"/>
        <v>0</v>
      </c>
    </row>
    <row r="240" spans="1:8" x14ac:dyDescent="0.25">
      <c r="A240" s="32" t="str">
        <f>+IF(B240="","",SUBTOTAL(3,$B$7:B240))</f>
        <v/>
      </c>
      <c r="B240" s="34"/>
      <c r="C240" s="35"/>
      <c r="D240" s="34"/>
      <c r="E240" s="32"/>
      <c r="F240" s="45"/>
      <c r="G240" s="45"/>
      <c r="H240" s="45">
        <f t="shared" si="4"/>
        <v>0</v>
      </c>
    </row>
    <row r="241" spans="1:8" x14ac:dyDescent="0.25">
      <c r="A241" s="32" t="str">
        <f>+IF(B241="","",SUBTOTAL(3,$B$7:B241))</f>
        <v/>
      </c>
      <c r="B241" s="34"/>
      <c r="C241" s="35"/>
      <c r="D241" s="34"/>
      <c r="E241" s="32"/>
      <c r="F241" s="45"/>
      <c r="G241" s="45"/>
      <c r="H241" s="45">
        <f t="shared" si="4"/>
        <v>0</v>
      </c>
    </row>
    <row r="242" spans="1:8" x14ac:dyDescent="0.25">
      <c r="A242" s="32" t="str">
        <f>+IF(B242="","",SUBTOTAL(3,$B$7:B242))</f>
        <v/>
      </c>
      <c r="B242" s="34"/>
      <c r="C242" s="35"/>
      <c r="D242" s="34"/>
      <c r="E242" s="32"/>
      <c r="F242" s="45"/>
      <c r="G242" s="45"/>
      <c r="H242" s="45">
        <f t="shared" si="4"/>
        <v>0</v>
      </c>
    </row>
    <row r="243" spans="1:8" x14ac:dyDescent="0.25">
      <c r="A243" s="32" t="str">
        <f>+IF(B243="","",SUBTOTAL(3,$B$7:B243))</f>
        <v/>
      </c>
      <c r="B243" s="34"/>
      <c r="C243" s="35"/>
      <c r="D243" s="34"/>
      <c r="E243" s="32"/>
      <c r="F243" s="45"/>
      <c r="G243" s="45"/>
      <c r="H243" s="45">
        <f t="shared" si="4"/>
        <v>0</v>
      </c>
    </row>
    <row r="244" spans="1:8" x14ac:dyDescent="0.25">
      <c r="A244" s="32" t="str">
        <f>+IF(B244="","",SUBTOTAL(3,$B$7:B244))</f>
        <v/>
      </c>
      <c r="B244" s="34"/>
      <c r="C244" s="35"/>
      <c r="D244" s="34"/>
      <c r="E244" s="32"/>
      <c r="F244" s="45"/>
      <c r="G244" s="45"/>
      <c r="H244" s="45">
        <f t="shared" si="4"/>
        <v>0</v>
      </c>
    </row>
    <row r="245" spans="1:8" x14ac:dyDescent="0.25">
      <c r="A245" s="32" t="str">
        <f>+IF(B245="","",SUBTOTAL(3,$B$7:B245))</f>
        <v/>
      </c>
      <c r="B245" s="34"/>
      <c r="C245" s="35"/>
      <c r="D245" s="34"/>
      <c r="E245" s="32"/>
      <c r="F245" s="45"/>
      <c r="G245" s="45"/>
      <c r="H245" s="45">
        <f t="shared" si="4"/>
        <v>0</v>
      </c>
    </row>
    <row r="246" spans="1:8" x14ac:dyDescent="0.25">
      <c r="A246" s="32" t="str">
        <f>+IF(B246="","",SUBTOTAL(3,$B$7:B246))</f>
        <v/>
      </c>
      <c r="B246" s="34"/>
      <c r="C246" s="35"/>
      <c r="D246" s="34"/>
      <c r="E246" s="32"/>
      <c r="F246" s="45"/>
      <c r="G246" s="45"/>
      <c r="H246" s="45">
        <f t="shared" si="4"/>
        <v>0</v>
      </c>
    </row>
    <row r="247" spans="1:8" x14ac:dyDescent="0.25">
      <c r="A247" s="32" t="str">
        <f>+IF(B247="","",SUBTOTAL(3,$B$7:B247))</f>
        <v/>
      </c>
      <c r="B247" s="34"/>
      <c r="C247" s="35"/>
      <c r="D247" s="34"/>
      <c r="E247" s="32"/>
      <c r="F247" s="45"/>
      <c r="G247" s="45"/>
      <c r="H247" s="45">
        <f t="shared" si="4"/>
        <v>0</v>
      </c>
    </row>
    <row r="248" spans="1:8" x14ac:dyDescent="0.25">
      <c r="A248" s="32" t="str">
        <f>+IF(B248="","",SUBTOTAL(3,$B$7:B248))</f>
        <v/>
      </c>
      <c r="B248" s="34"/>
      <c r="C248" s="35"/>
      <c r="D248" s="34"/>
      <c r="E248" s="32"/>
      <c r="F248" s="45"/>
      <c r="G248" s="45"/>
      <c r="H248" s="45">
        <f t="shared" si="4"/>
        <v>0</v>
      </c>
    </row>
    <row r="249" spans="1:8" x14ac:dyDescent="0.25">
      <c r="A249" s="32" t="str">
        <f>+IF(B249="","",SUBTOTAL(3,$B$7:B249))</f>
        <v/>
      </c>
      <c r="B249" s="34"/>
      <c r="C249" s="35"/>
      <c r="D249" s="34"/>
      <c r="E249" s="32"/>
      <c r="F249" s="45"/>
      <c r="G249" s="45"/>
      <c r="H249" s="45">
        <f t="shared" si="4"/>
        <v>0</v>
      </c>
    </row>
    <row r="250" spans="1:8" x14ac:dyDescent="0.25">
      <c r="A250" s="32" t="str">
        <f>+IF(B250="","",SUBTOTAL(3,$B$7:B250))</f>
        <v/>
      </c>
      <c r="B250" s="34"/>
      <c r="C250" s="35"/>
      <c r="D250" s="34"/>
      <c r="E250" s="32"/>
      <c r="F250" s="45"/>
      <c r="G250" s="45"/>
      <c r="H250" s="45">
        <f t="shared" si="4"/>
        <v>0</v>
      </c>
    </row>
    <row r="251" spans="1:8" x14ac:dyDescent="0.25">
      <c r="A251" s="32" t="str">
        <f>+IF(B251="","",SUBTOTAL(3,$B$7:B251))</f>
        <v/>
      </c>
      <c r="B251" s="34"/>
      <c r="C251" s="35"/>
      <c r="D251" s="34"/>
      <c r="E251" s="32"/>
      <c r="F251" s="45"/>
      <c r="G251" s="45"/>
      <c r="H251" s="45">
        <f t="shared" si="4"/>
        <v>0</v>
      </c>
    </row>
    <row r="252" spans="1:8" x14ac:dyDescent="0.25">
      <c r="A252" s="32" t="str">
        <f>+IF(B252="","",SUBTOTAL(3,$B$7:B252))</f>
        <v/>
      </c>
      <c r="B252" s="34"/>
      <c r="C252" s="35"/>
      <c r="D252" s="34"/>
      <c r="E252" s="32"/>
      <c r="F252" s="45"/>
      <c r="G252" s="45"/>
      <c r="H252" s="45">
        <f t="shared" si="4"/>
        <v>0</v>
      </c>
    </row>
    <row r="253" spans="1:8" x14ac:dyDescent="0.25">
      <c r="A253" s="32" t="str">
        <f>+IF(B253="","",SUBTOTAL(3,$B$7:B253))</f>
        <v/>
      </c>
      <c r="B253" s="34"/>
      <c r="C253" s="35"/>
      <c r="D253" s="34"/>
      <c r="E253" s="32"/>
      <c r="F253" s="45"/>
      <c r="G253" s="45"/>
      <c r="H253" s="45">
        <f t="shared" si="4"/>
        <v>0</v>
      </c>
    </row>
    <row r="254" spans="1:8" x14ac:dyDescent="0.25">
      <c r="A254" s="32" t="str">
        <f>+IF(B254="","",SUBTOTAL(3,$B$7:B254))</f>
        <v/>
      </c>
      <c r="B254" s="34"/>
      <c r="C254" s="35"/>
      <c r="D254" s="34"/>
      <c r="E254" s="32"/>
      <c r="F254" s="45"/>
      <c r="G254" s="45"/>
      <c r="H254" s="45">
        <f t="shared" si="4"/>
        <v>0</v>
      </c>
    </row>
    <row r="255" spans="1:8" x14ac:dyDescent="0.25">
      <c r="A255" s="32" t="str">
        <f>+IF(B255="","",SUBTOTAL(3,$B$7:B255))</f>
        <v/>
      </c>
      <c r="B255" s="34"/>
      <c r="C255" s="35"/>
      <c r="D255" s="34"/>
      <c r="E255" s="32"/>
      <c r="F255" s="45"/>
      <c r="G255" s="45"/>
      <c r="H255" s="45">
        <f t="shared" si="4"/>
        <v>0</v>
      </c>
    </row>
    <row r="256" spans="1:8" x14ac:dyDescent="0.25">
      <c r="A256" s="32" t="str">
        <f>+IF(B256="","",SUBTOTAL(3,$B$7:B256))</f>
        <v/>
      </c>
      <c r="B256" s="34"/>
      <c r="C256" s="35"/>
      <c r="D256" s="34"/>
      <c r="E256" s="32"/>
      <c r="F256" s="45"/>
      <c r="G256" s="45"/>
      <c r="H256" s="45">
        <f t="shared" si="4"/>
        <v>0</v>
      </c>
    </row>
    <row r="257" spans="1:8" x14ac:dyDescent="0.25">
      <c r="A257" s="32" t="str">
        <f>+IF(B257="","",SUBTOTAL(3,$B$7:B257))</f>
        <v/>
      </c>
      <c r="B257" s="34"/>
      <c r="C257" s="35"/>
      <c r="D257" s="34"/>
      <c r="E257" s="32"/>
      <c r="F257" s="45"/>
      <c r="G257" s="45"/>
      <c r="H257" s="45">
        <f t="shared" si="4"/>
        <v>0</v>
      </c>
    </row>
    <row r="258" spans="1:8" x14ac:dyDescent="0.25">
      <c r="A258" s="32" t="str">
        <f>+IF(B258="","",SUBTOTAL(3,$B$7:B258))</f>
        <v/>
      </c>
      <c r="B258" s="34"/>
      <c r="C258" s="35"/>
      <c r="D258" s="34"/>
      <c r="E258" s="32"/>
      <c r="F258" s="45"/>
      <c r="G258" s="45"/>
      <c r="H258" s="45">
        <f t="shared" si="4"/>
        <v>0</v>
      </c>
    </row>
    <row r="259" spans="1:8" x14ac:dyDescent="0.25">
      <c r="A259" s="32" t="str">
        <f>+IF(B259="","",SUBTOTAL(3,$B$7:B259))</f>
        <v/>
      </c>
      <c r="B259" s="34"/>
      <c r="C259" s="35"/>
      <c r="D259" s="34"/>
      <c r="E259" s="32"/>
      <c r="F259" s="45"/>
      <c r="G259" s="45"/>
      <c r="H259" s="45">
        <f t="shared" si="4"/>
        <v>0</v>
      </c>
    </row>
    <row r="260" spans="1:8" x14ac:dyDescent="0.25">
      <c r="A260" s="32" t="str">
        <f>+IF(B260="","",SUBTOTAL(3,$B$7:B260))</f>
        <v/>
      </c>
      <c r="B260" s="34"/>
      <c r="C260" s="35"/>
      <c r="D260" s="34"/>
      <c r="E260" s="32"/>
      <c r="F260" s="45"/>
      <c r="G260" s="45"/>
      <c r="H260" s="45">
        <f t="shared" si="4"/>
        <v>0</v>
      </c>
    </row>
    <row r="261" spans="1:8" x14ac:dyDescent="0.25">
      <c r="A261" s="32" t="str">
        <f>+IF(B261="","",SUBTOTAL(3,$B$7:B261))</f>
        <v/>
      </c>
      <c r="B261" s="34"/>
      <c r="C261" s="35"/>
      <c r="D261" s="34"/>
      <c r="E261" s="32"/>
      <c r="F261" s="45"/>
      <c r="G261" s="45"/>
      <c r="H261" s="45">
        <f t="shared" si="4"/>
        <v>0</v>
      </c>
    </row>
    <row r="262" spans="1:8" x14ac:dyDescent="0.25">
      <c r="A262" s="32" t="str">
        <f>+IF(B262="","",SUBTOTAL(3,$B$7:B262))</f>
        <v/>
      </c>
      <c r="B262" s="34"/>
      <c r="C262" s="35"/>
      <c r="D262" s="34"/>
      <c r="E262" s="32"/>
      <c r="F262" s="45"/>
      <c r="G262" s="45"/>
      <c r="H262" s="45">
        <f t="shared" si="4"/>
        <v>0</v>
      </c>
    </row>
    <row r="263" spans="1:8" x14ac:dyDescent="0.25">
      <c r="A263" s="32" t="str">
        <f>+IF(B263="","",SUBTOTAL(3,$B$7:B263))</f>
        <v/>
      </c>
      <c r="B263" s="34"/>
      <c r="C263" s="35"/>
      <c r="D263" s="34"/>
      <c r="E263" s="32"/>
      <c r="F263" s="45"/>
      <c r="G263" s="45"/>
      <c r="H263" s="45">
        <f t="shared" si="4"/>
        <v>0</v>
      </c>
    </row>
    <row r="264" spans="1:8" x14ac:dyDescent="0.25">
      <c r="A264" s="32" t="str">
        <f>+IF(B264="","",SUBTOTAL(3,$B$7:B264))</f>
        <v/>
      </c>
      <c r="B264" s="34"/>
      <c r="C264" s="35"/>
      <c r="D264" s="34"/>
      <c r="E264" s="32"/>
      <c r="F264" s="45"/>
      <c r="G264" s="45"/>
      <c r="H264" s="45">
        <f t="shared" ref="H264:H327" si="5">+G264*F264</f>
        <v>0</v>
      </c>
    </row>
    <row r="265" spans="1:8" x14ac:dyDescent="0.25">
      <c r="A265" s="32" t="str">
        <f>+IF(B265="","",SUBTOTAL(3,$B$7:B265))</f>
        <v/>
      </c>
      <c r="B265" s="34"/>
      <c r="C265" s="35"/>
      <c r="D265" s="34"/>
      <c r="E265" s="32"/>
      <c r="F265" s="45"/>
      <c r="G265" s="45"/>
      <c r="H265" s="45">
        <f t="shared" si="5"/>
        <v>0</v>
      </c>
    </row>
    <row r="266" spans="1:8" x14ac:dyDescent="0.25">
      <c r="A266" s="32" t="str">
        <f>+IF(B266="","",SUBTOTAL(3,$B$7:B266))</f>
        <v/>
      </c>
      <c r="B266" s="34"/>
      <c r="C266" s="35"/>
      <c r="D266" s="34"/>
      <c r="E266" s="32"/>
      <c r="F266" s="45"/>
      <c r="G266" s="45"/>
      <c r="H266" s="45">
        <f t="shared" si="5"/>
        <v>0</v>
      </c>
    </row>
    <row r="267" spans="1:8" x14ac:dyDescent="0.25">
      <c r="A267" s="32" t="str">
        <f>+IF(B267="","",SUBTOTAL(3,$B$7:B267))</f>
        <v/>
      </c>
      <c r="B267" s="34"/>
      <c r="C267" s="35"/>
      <c r="D267" s="34"/>
      <c r="E267" s="32"/>
      <c r="F267" s="45"/>
      <c r="G267" s="45"/>
      <c r="H267" s="45">
        <f t="shared" si="5"/>
        <v>0</v>
      </c>
    </row>
    <row r="268" spans="1:8" x14ac:dyDescent="0.25">
      <c r="A268" s="32" t="str">
        <f>+IF(B268="","",SUBTOTAL(3,$B$7:B268))</f>
        <v/>
      </c>
      <c r="B268" s="34"/>
      <c r="C268" s="35"/>
      <c r="D268" s="34"/>
      <c r="E268" s="32"/>
      <c r="F268" s="45"/>
      <c r="G268" s="45"/>
      <c r="H268" s="45">
        <f t="shared" si="5"/>
        <v>0</v>
      </c>
    </row>
    <row r="269" spans="1:8" x14ac:dyDescent="0.25">
      <c r="A269" s="32" t="str">
        <f>+IF(B269="","",SUBTOTAL(3,$B$7:B269))</f>
        <v/>
      </c>
      <c r="B269" s="34"/>
      <c r="C269" s="35"/>
      <c r="D269" s="34"/>
      <c r="E269" s="32"/>
      <c r="F269" s="45"/>
      <c r="G269" s="45"/>
      <c r="H269" s="45">
        <f t="shared" si="5"/>
        <v>0</v>
      </c>
    </row>
    <row r="270" spans="1:8" x14ac:dyDescent="0.25">
      <c r="A270" s="32" t="str">
        <f>+IF(B270="","",SUBTOTAL(3,$B$7:B270))</f>
        <v/>
      </c>
      <c r="B270" s="34"/>
      <c r="C270" s="35"/>
      <c r="D270" s="34"/>
      <c r="E270" s="32"/>
      <c r="F270" s="45"/>
      <c r="G270" s="45"/>
      <c r="H270" s="45">
        <f t="shared" si="5"/>
        <v>0</v>
      </c>
    </row>
    <row r="271" spans="1:8" x14ac:dyDescent="0.25">
      <c r="A271" s="32" t="str">
        <f>+IF(B271="","",SUBTOTAL(3,$B$7:B271))</f>
        <v/>
      </c>
      <c r="B271" s="34"/>
      <c r="C271" s="35"/>
      <c r="D271" s="34"/>
      <c r="E271" s="32"/>
      <c r="F271" s="45"/>
      <c r="G271" s="45"/>
      <c r="H271" s="45">
        <f t="shared" si="5"/>
        <v>0</v>
      </c>
    </row>
    <row r="272" spans="1:8" x14ac:dyDescent="0.25">
      <c r="A272" s="32" t="str">
        <f>+IF(B272="","",SUBTOTAL(3,$B$7:B272))</f>
        <v/>
      </c>
      <c r="B272" s="34"/>
      <c r="C272" s="35"/>
      <c r="D272" s="34"/>
      <c r="E272" s="32"/>
      <c r="F272" s="45"/>
      <c r="G272" s="45"/>
      <c r="H272" s="45">
        <f t="shared" si="5"/>
        <v>0</v>
      </c>
    </row>
    <row r="273" spans="1:8" x14ac:dyDescent="0.25">
      <c r="A273" s="32" t="str">
        <f>+IF(B273="","",SUBTOTAL(3,$B$7:B273))</f>
        <v/>
      </c>
      <c r="B273" s="34"/>
      <c r="C273" s="35"/>
      <c r="D273" s="34"/>
      <c r="E273" s="32"/>
      <c r="F273" s="45"/>
      <c r="G273" s="45"/>
      <c r="H273" s="45">
        <f t="shared" si="5"/>
        <v>0</v>
      </c>
    </row>
    <row r="274" spans="1:8" x14ac:dyDescent="0.25">
      <c r="A274" s="32" t="str">
        <f>+IF(B274="","",SUBTOTAL(3,$B$7:B274))</f>
        <v/>
      </c>
      <c r="B274" s="34"/>
      <c r="C274" s="35"/>
      <c r="D274" s="34"/>
      <c r="E274" s="32"/>
      <c r="F274" s="45"/>
      <c r="G274" s="45"/>
      <c r="H274" s="45">
        <f t="shared" si="5"/>
        <v>0</v>
      </c>
    </row>
    <row r="275" spans="1:8" x14ac:dyDescent="0.25">
      <c r="A275" s="32" t="str">
        <f>+IF(B275="","",SUBTOTAL(3,$B$7:B275))</f>
        <v/>
      </c>
      <c r="B275" s="34"/>
      <c r="C275" s="35"/>
      <c r="D275" s="34"/>
      <c r="E275" s="32"/>
      <c r="F275" s="45"/>
      <c r="G275" s="45"/>
      <c r="H275" s="45">
        <f t="shared" si="5"/>
        <v>0</v>
      </c>
    </row>
    <row r="276" spans="1:8" x14ac:dyDescent="0.25">
      <c r="A276" s="32" t="str">
        <f>+IF(B276="","",SUBTOTAL(3,$B$7:B276))</f>
        <v/>
      </c>
      <c r="B276" s="34"/>
      <c r="C276" s="35"/>
      <c r="D276" s="34"/>
      <c r="E276" s="32"/>
      <c r="F276" s="45"/>
      <c r="G276" s="45"/>
      <c r="H276" s="45">
        <f t="shared" si="5"/>
        <v>0</v>
      </c>
    </row>
    <row r="277" spans="1:8" x14ac:dyDescent="0.25">
      <c r="A277" s="32" t="str">
        <f>+IF(B277="","",SUBTOTAL(3,$B$7:B277))</f>
        <v/>
      </c>
      <c r="B277" s="34"/>
      <c r="C277" s="35"/>
      <c r="D277" s="34"/>
      <c r="E277" s="32"/>
      <c r="F277" s="45"/>
      <c r="G277" s="45"/>
      <c r="H277" s="45">
        <f t="shared" si="5"/>
        <v>0</v>
      </c>
    </row>
    <row r="278" spans="1:8" x14ac:dyDescent="0.25">
      <c r="A278" s="32" t="str">
        <f>+IF(B278="","",SUBTOTAL(3,$B$7:B278))</f>
        <v/>
      </c>
      <c r="B278" s="34"/>
      <c r="C278" s="35"/>
      <c r="D278" s="34"/>
      <c r="E278" s="32"/>
      <c r="F278" s="45"/>
      <c r="G278" s="45"/>
      <c r="H278" s="45">
        <f t="shared" si="5"/>
        <v>0</v>
      </c>
    </row>
    <row r="279" spans="1:8" x14ac:dyDescent="0.25">
      <c r="A279" s="32" t="str">
        <f>+IF(B279="","",SUBTOTAL(3,$B$7:B279))</f>
        <v/>
      </c>
      <c r="B279" s="34"/>
      <c r="C279" s="35"/>
      <c r="D279" s="34"/>
      <c r="E279" s="32"/>
      <c r="F279" s="45"/>
      <c r="G279" s="45"/>
      <c r="H279" s="45">
        <f t="shared" si="5"/>
        <v>0</v>
      </c>
    </row>
    <row r="280" spans="1:8" x14ac:dyDescent="0.25">
      <c r="A280" s="32" t="str">
        <f>+IF(B280="","",SUBTOTAL(3,$B$7:B280))</f>
        <v/>
      </c>
      <c r="B280" s="34"/>
      <c r="C280" s="35"/>
      <c r="D280" s="34"/>
      <c r="E280" s="32"/>
      <c r="F280" s="45"/>
      <c r="G280" s="45"/>
      <c r="H280" s="45">
        <f t="shared" si="5"/>
        <v>0</v>
      </c>
    </row>
    <row r="281" spans="1:8" x14ac:dyDescent="0.25">
      <c r="A281" s="32" t="str">
        <f>+IF(B281="","",SUBTOTAL(3,$B$7:B281))</f>
        <v/>
      </c>
      <c r="B281" s="34"/>
      <c r="C281" s="35"/>
      <c r="D281" s="34"/>
      <c r="E281" s="32"/>
      <c r="F281" s="45"/>
      <c r="G281" s="45"/>
      <c r="H281" s="45">
        <f t="shared" si="5"/>
        <v>0</v>
      </c>
    </row>
    <row r="282" spans="1:8" x14ac:dyDescent="0.25">
      <c r="A282" s="32" t="str">
        <f>+IF(B282="","",SUBTOTAL(3,$B$7:B282))</f>
        <v/>
      </c>
      <c r="B282" s="34"/>
      <c r="C282" s="35"/>
      <c r="D282" s="34"/>
      <c r="E282" s="32"/>
      <c r="F282" s="45"/>
      <c r="G282" s="45"/>
      <c r="H282" s="45">
        <f t="shared" si="5"/>
        <v>0</v>
      </c>
    </row>
    <row r="283" spans="1:8" x14ac:dyDescent="0.25">
      <c r="A283" s="32" t="str">
        <f>+IF(B283="","",SUBTOTAL(3,$B$7:B283))</f>
        <v/>
      </c>
      <c r="B283" s="34"/>
      <c r="C283" s="35"/>
      <c r="D283" s="34"/>
      <c r="E283" s="32"/>
      <c r="F283" s="45"/>
      <c r="G283" s="45"/>
      <c r="H283" s="45">
        <f t="shared" si="5"/>
        <v>0</v>
      </c>
    </row>
    <row r="284" spans="1:8" x14ac:dyDescent="0.25">
      <c r="A284" s="32" t="str">
        <f>+IF(B284="","",SUBTOTAL(3,$B$7:B284))</f>
        <v/>
      </c>
      <c r="B284" s="34"/>
      <c r="C284" s="35"/>
      <c r="D284" s="34"/>
      <c r="E284" s="32"/>
      <c r="F284" s="45"/>
      <c r="G284" s="45"/>
      <c r="H284" s="45">
        <f t="shared" si="5"/>
        <v>0</v>
      </c>
    </row>
    <row r="285" spans="1:8" x14ac:dyDescent="0.25">
      <c r="A285" s="32" t="str">
        <f>+IF(B285="","",SUBTOTAL(3,$B$7:B285))</f>
        <v/>
      </c>
      <c r="B285" s="34"/>
      <c r="C285" s="35"/>
      <c r="D285" s="34"/>
      <c r="E285" s="32"/>
      <c r="F285" s="45"/>
      <c r="G285" s="45"/>
      <c r="H285" s="45">
        <f t="shared" si="5"/>
        <v>0</v>
      </c>
    </row>
    <row r="286" spans="1:8" x14ac:dyDescent="0.25">
      <c r="A286" s="32" t="str">
        <f>+IF(B286="","",SUBTOTAL(3,$B$7:B286))</f>
        <v/>
      </c>
      <c r="B286" s="34"/>
      <c r="C286" s="35"/>
      <c r="D286" s="34"/>
      <c r="E286" s="32"/>
      <c r="F286" s="45"/>
      <c r="G286" s="45"/>
      <c r="H286" s="45">
        <f t="shared" si="5"/>
        <v>0</v>
      </c>
    </row>
    <row r="287" spans="1:8" x14ac:dyDescent="0.25">
      <c r="A287" s="32" t="str">
        <f>+IF(B287="","",SUBTOTAL(3,$B$7:B287))</f>
        <v/>
      </c>
      <c r="B287" s="34"/>
      <c r="C287" s="35"/>
      <c r="D287" s="34"/>
      <c r="E287" s="32"/>
      <c r="F287" s="45"/>
      <c r="G287" s="45"/>
      <c r="H287" s="45">
        <f t="shared" si="5"/>
        <v>0</v>
      </c>
    </row>
    <row r="288" spans="1:8" x14ac:dyDescent="0.25">
      <c r="A288" s="32" t="str">
        <f>+IF(B288="","",SUBTOTAL(3,$B$7:B288))</f>
        <v/>
      </c>
      <c r="B288" s="34"/>
      <c r="C288" s="35"/>
      <c r="D288" s="34"/>
      <c r="E288" s="32"/>
      <c r="F288" s="45"/>
      <c r="G288" s="45"/>
      <c r="H288" s="45">
        <f t="shared" si="5"/>
        <v>0</v>
      </c>
    </row>
    <row r="289" spans="1:8" x14ac:dyDescent="0.25">
      <c r="A289" s="32" t="str">
        <f>+IF(B289="","",SUBTOTAL(3,$B$7:B289))</f>
        <v/>
      </c>
      <c r="B289" s="34"/>
      <c r="C289" s="35"/>
      <c r="D289" s="34"/>
      <c r="E289" s="32"/>
      <c r="F289" s="45"/>
      <c r="G289" s="45"/>
      <c r="H289" s="45">
        <f t="shared" si="5"/>
        <v>0</v>
      </c>
    </row>
    <row r="290" spans="1:8" x14ac:dyDescent="0.25">
      <c r="A290" s="32" t="str">
        <f>+IF(B290="","",SUBTOTAL(3,$B$7:B290))</f>
        <v/>
      </c>
      <c r="B290" s="34"/>
      <c r="C290" s="35"/>
      <c r="D290" s="34"/>
      <c r="E290" s="32"/>
      <c r="F290" s="45"/>
      <c r="G290" s="45"/>
      <c r="H290" s="45">
        <f t="shared" si="5"/>
        <v>0</v>
      </c>
    </row>
    <row r="291" spans="1:8" x14ac:dyDescent="0.25">
      <c r="A291" s="32" t="str">
        <f>+IF(B291="","",SUBTOTAL(3,$B$7:B291))</f>
        <v/>
      </c>
      <c r="B291" s="34"/>
      <c r="C291" s="35"/>
      <c r="D291" s="34"/>
      <c r="E291" s="32"/>
      <c r="F291" s="45"/>
      <c r="G291" s="45"/>
      <c r="H291" s="45">
        <f t="shared" si="5"/>
        <v>0</v>
      </c>
    </row>
    <row r="292" spans="1:8" x14ac:dyDescent="0.25">
      <c r="A292" s="32" t="str">
        <f>+IF(B292="","",SUBTOTAL(3,$B$7:B292))</f>
        <v/>
      </c>
      <c r="B292" s="34"/>
      <c r="C292" s="35"/>
      <c r="D292" s="34"/>
      <c r="E292" s="32"/>
      <c r="F292" s="45"/>
      <c r="G292" s="45"/>
      <c r="H292" s="45">
        <f t="shared" si="5"/>
        <v>0</v>
      </c>
    </row>
    <row r="293" spans="1:8" x14ac:dyDescent="0.25">
      <c r="A293" s="32" t="str">
        <f>+IF(B293="","",SUBTOTAL(3,$B$7:B293))</f>
        <v/>
      </c>
      <c r="B293" s="34"/>
      <c r="C293" s="35"/>
      <c r="D293" s="34"/>
      <c r="E293" s="32"/>
      <c r="F293" s="45"/>
      <c r="G293" s="45"/>
      <c r="H293" s="45">
        <f t="shared" si="5"/>
        <v>0</v>
      </c>
    </row>
    <row r="294" spans="1:8" x14ac:dyDescent="0.25">
      <c r="A294" s="32" t="str">
        <f>+IF(B294="","",SUBTOTAL(3,$B$7:B294))</f>
        <v/>
      </c>
      <c r="B294" s="34"/>
      <c r="C294" s="35"/>
      <c r="D294" s="34"/>
      <c r="E294" s="32"/>
      <c r="F294" s="45"/>
      <c r="G294" s="45"/>
      <c r="H294" s="45">
        <f t="shared" si="5"/>
        <v>0</v>
      </c>
    </row>
    <row r="295" spans="1:8" x14ac:dyDescent="0.25">
      <c r="A295" s="32" t="str">
        <f>+IF(B295="","",SUBTOTAL(3,$B$7:B295))</f>
        <v/>
      </c>
      <c r="B295" s="34"/>
      <c r="C295" s="35"/>
      <c r="D295" s="34"/>
      <c r="E295" s="32"/>
      <c r="F295" s="45"/>
      <c r="G295" s="45"/>
      <c r="H295" s="45">
        <f t="shared" si="5"/>
        <v>0</v>
      </c>
    </row>
    <row r="296" spans="1:8" x14ac:dyDescent="0.25">
      <c r="A296" s="32" t="str">
        <f>+IF(B296="","",SUBTOTAL(3,$B$7:B296))</f>
        <v/>
      </c>
      <c r="B296" s="34"/>
      <c r="C296" s="35"/>
      <c r="D296" s="34"/>
      <c r="E296" s="32"/>
      <c r="F296" s="45"/>
      <c r="G296" s="45"/>
      <c r="H296" s="45">
        <f t="shared" si="5"/>
        <v>0</v>
      </c>
    </row>
    <row r="297" spans="1:8" x14ac:dyDescent="0.25">
      <c r="A297" s="32" t="str">
        <f>+IF(B297="","",SUBTOTAL(3,$B$7:B297))</f>
        <v/>
      </c>
      <c r="B297" s="34"/>
      <c r="C297" s="35"/>
      <c r="D297" s="34"/>
      <c r="E297" s="32"/>
      <c r="F297" s="45"/>
      <c r="G297" s="45"/>
      <c r="H297" s="45">
        <f t="shared" si="5"/>
        <v>0</v>
      </c>
    </row>
    <row r="298" spans="1:8" x14ac:dyDescent="0.25">
      <c r="A298" s="32" t="str">
        <f>+IF(B298="","",SUBTOTAL(3,$B$7:B298))</f>
        <v/>
      </c>
      <c r="B298" s="34"/>
      <c r="C298" s="35"/>
      <c r="D298" s="34"/>
      <c r="E298" s="32"/>
      <c r="F298" s="45"/>
      <c r="G298" s="45"/>
      <c r="H298" s="45">
        <f t="shared" si="5"/>
        <v>0</v>
      </c>
    </row>
    <row r="299" spans="1:8" x14ac:dyDescent="0.25">
      <c r="A299" s="32" t="str">
        <f>+IF(B299="","",SUBTOTAL(3,$B$7:B299))</f>
        <v/>
      </c>
      <c r="B299" s="34"/>
      <c r="C299" s="35"/>
      <c r="D299" s="34"/>
      <c r="E299" s="32"/>
      <c r="F299" s="45"/>
      <c r="G299" s="45"/>
      <c r="H299" s="45">
        <f t="shared" si="5"/>
        <v>0</v>
      </c>
    </row>
    <row r="300" spans="1:8" x14ac:dyDescent="0.25">
      <c r="A300" s="32" t="str">
        <f>+IF(B300="","",SUBTOTAL(3,$B$7:B300))</f>
        <v/>
      </c>
      <c r="B300" s="34"/>
      <c r="C300" s="35"/>
      <c r="D300" s="34"/>
      <c r="E300" s="32"/>
      <c r="F300" s="45"/>
      <c r="G300" s="45"/>
      <c r="H300" s="45">
        <f t="shared" si="5"/>
        <v>0</v>
      </c>
    </row>
    <row r="301" spans="1:8" x14ac:dyDescent="0.25">
      <c r="A301" s="32" t="str">
        <f>+IF(B301="","",SUBTOTAL(3,$B$7:B301))</f>
        <v/>
      </c>
      <c r="B301" s="34"/>
      <c r="C301" s="35"/>
      <c r="D301" s="34"/>
      <c r="E301" s="32"/>
      <c r="F301" s="45"/>
      <c r="G301" s="45"/>
      <c r="H301" s="45">
        <f t="shared" si="5"/>
        <v>0</v>
      </c>
    </row>
    <row r="302" spans="1:8" x14ac:dyDescent="0.25">
      <c r="A302" s="32" t="str">
        <f>+IF(B302="","",SUBTOTAL(3,$B$7:B302))</f>
        <v/>
      </c>
      <c r="B302" s="34"/>
      <c r="C302" s="35"/>
      <c r="D302" s="34"/>
      <c r="E302" s="32"/>
      <c r="F302" s="45"/>
      <c r="G302" s="45"/>
      <c r="H302" s="45">
        <f t="shared" si="5"/>
        <v>0</v>
      </c>
    </row>
    <row r="303" spans="1:8" x14ac:dyDescent="0.25">
      <c r="A303" s="32" t="str">
        <f>+IF(B303="","",SUBTOTAL(3,$B$7:B303))</f>
        <v/>
      </c>
      <c r="B303" s="34"/>
      <c r="C303" s="35"/>
      <c r="D303" s="34"/>
      <c r="E303" s="32"/>
      <c r="F303" s="45"/>
      <c r="G303" s="45"/>
      <c r="H303" s="45">
        <f t="shared" si="5"/>
        <v>0</v>
      </c>
    </row>
    <row r="304" spans="1:8" x14ac:dyDescent="0.25">
      <c r="A304" s="32" t="str">
        <f>+IF(B304="","",SUBTOTAL(3,$B$7:B304))</f>
        <v/>
      </c>
      <c r="B304" s="34"/>
      <c r="C304" s="35"/>
      <c r="D304" s="34"/>
      <c r="E304" s="32"/>
      <c r="F304" s="45"/>
      <c r="G304" s="45"/>
      <c r="H304" s="45">
        <f t="shared" si="5"/>
        <v>0</v>
      </c>
    </row>
    <row r="305" spans="1:8" x14ac:dyDescent="0.25">
      <c r="A305" s="32" t="str">
        <f>+IF(B305="","",SUBTOTAL(3,$B$7:B305))</f>
        <v/>
      </c>
      <c r="B305" s="34"/>
      <c r="C305" s="35"/>
      <c r="D305" s="34"/>
      <c r="E305" s="32"/>
      <c r="F305" s="45"/>
      <c r="G305" s="45"/>
      <c r="H305" s="45">
        <f t="shared" si="5"/>
        <v>0</v>
      </c>
    </row>
    <row r="306" spans="1:8" x14ac:dyDescent="0.25">
      <c r="A306" s="32" t="str">
        <f>+IF(B306="","",SUBTOTAL(3,$B$7:B306))</f>
        <v/>
      </c>
      <c r="B306" s="34"/>
      <c r="C306" s="35"/>
      <c r="D306" s="34"/>
      <c r="E306" s="32"/>
      <c r="F306" s="45"/>
      <c r="G306" s="45"/>
      <c r="H306" s="45">
        <f t="shared" si="5"/>
        <v>0</v>
      </c>
    </row>
    <row r="307" spans="1:8" x14ac:dyDescent="0.25">
      <c r="A307" s="32" t="str">
        <f>+IF(B307="","",SUBTOTAL(3,$B$7:B307))</f>
        <v/>
      </c>
      <c r="B307" s="34"/>
      <c r="C307" s="35"/>
      <c r="D307" s="34"/>
      <c r="E307" s="32"/>
      <c r="F307" s="45"/>
      <c r="G307" s="45"/>
      <c r="H307" s="45">
        <f t="shared" si="5"/>
        <v>0</v>
      </c>
    </row>
    <row r="308" spans="1:8" x14ac:dyDescent="0.25">
      <c r="A308" s="32" t="str">
        <f>+IF(B308="","",SUBTOTAL(3,$B$7:B308))</f>
        <v/>
      </c>
      <c r="B308" s="34"/>
      <c r="C308" s="35"/>
      <c r="D308" s="34"/>
      <c r="E308" s="32"/>
      <c r="F308" s="45"/>
      <c r="G308" s="45"/>
      <c r="H308" s="45">
        <f t="shared" si="5"/>
        <v>0</v>
      </c>
    </row>
    <row r="309" spans="1:8" x14ac:dyDescent="0.25">
      <c r="A309" s="32" t="str">
        <f>+IF(B309="","",SUBTOTAL(3,$B$7:B309))</f>
        <v/>
      </c>
      <c r="B309" s="34"/>
      <c r="C309" s="35"/>
      <c r="D309" s="34"/>
      <c r="E309" s="32"/>
      <c r="F309" s="45"/>
      <c r="G309" s="45"/>
      <c r="H309" s="45">
        <f t="shared" si="5"/>
        <v>0</v>
      </c>
    </row>
    <row r="310" spans="1:8" x14ac:dyDescent="0.25">
      <c r="A310" s="32" t="str">
        <f>+IF(B310="","",SUBTOTAL(3,$B$7:B310))</f>
        <v/>
      </c>
      <c r="B310" s="34"/>
      <c r="C310" s="35"/>
      <c r="D310" s="34"/>
      <c r="E310" s="32"/>
      <c r="F310" s="45"/>
      <c r="G310" s="45"/>
      <c r="H310" s="45">
        <f t="shared" si="5"/>
        <v>0</v>
      </c>
    </row>
    <row r="311" spans="1:8" x14ac:dyDescent="0.25">
      <c r="A311" s="32" t="str">
        <f>+IF(B311="","",SUBTOTAL(3,$B$7:B311))</f>
        <v/>
      </c>
      <c r="B311" s="34"/>
      <c r="C311" s="35"/>
      <c r="D311" s="34"/>
      <c r="E311" s="32"/>
      <c r="F311" s="45"/>
      <c r="G311" s="45"/>
      <c r="H311" s="45">
        <f t="shared" si="5"/>
        <v>0</v>
      </c>
    </row>
    <row r="312" spans="1:8" x14ac:dyDescent="0.25">
      <c r="A312" s="32" t="str">
        <f>+IF(B312="","",SUBTOTAL(3,$B$7:B312))</f>
        <v/>
      </c>
      <c r="B312" s="34"/>
      <c r="C312" s="35"/>
      <c r="D312" s="34"/>
      <c r="E312" s="32"/>
      <c r="F312" s="45"/>
      <c r="G312" s="45"/>
      <c r="H312" s="45">
        <f t="shared" si="5"/>
        <v>0</v>
      </c>
    </row>
    <row r="313" spans="1:8" x14ac:dyDescent="0.25">
      <c r="A313" s="32" t="str">
        <f>+IF(B313="","",SUBTOTAL(3,$B$7:B313))</f>
        <v/>
      </c>
      <c r="B313" s="34"/>
      <c r="C313" s="35"/>
      <c r="D313" s="34"/>
      <c r="E313" s="32"/>
      <c r="F313" s="45"/>
      <c r="G313" s="45"/>
      <c r="H313" s="45">
        <f t="shared" si="5"/>
        <v>0</v>
      </c>
    </row>
    <row r="314" spans="1:8" x14ac:dyDescent="0.25">
      <c r="A314" s="32" t="str">
        <f>+IF(B314="","",SUBTOTAL(3,$B$7:B314))</f>
        <v/>
      </c>
      <c r="B314" s="34"/>
      <c r="C314" s="35"/>
      <c r="D314" s="34"/>
      <c r="E314" s="32"/>
      <c r="F314" s="45"/>
      <c r="G314" s="45"/>
      <c r="H314" s="45">
        <f t="shared" si="5"/>
        <v>0</v>
      </c>
    </row>
    <row r="315" spans="1:8" x14ac:dyDescent="0.25">
      <c r="A315" s="32" t="str">
        <f>+IF(B315="","",SUBTOTAL(3,$B$7:B315))</f>
        <v/>
      </c>
      <c r="B315" s="34"/>
      <c r="C315" s="35"/>
      <c r="D315" s="34"/>
      <c r="E315" s="32"/>
      <c r="F315" s="45"/>
      <c r="G315" s="45"/>
      <c r="H315" s="45">
        <f t="shared" si="5"/>
        <v>0</v>
      </c>
    </row>
    <row r="316" spans="1:8" x14ac:dyDescent="0.25">
      <c r="A316" s="32" t="str">
        <f>+IF(B316="","",SUBTOTAL(3,$B$7:B316))</f>
        <v/>
      </c>
      <c r="B316" s="34"/>
      <c r="C316" s="35"/>
      <c r="D316" s="34"/>
      <c r="E316" s="32"/>
      <c r="F316" s="45"/>
      <c r="G316" s="45"/>
      <c r="H316" s="45">
        <f t="shared" si="5"/>
        <v>0</v>
      </c>
    </row>
    <row r="317" spans="1:8" x14ac:dyDescent="0.25">
      <c r="A317" s="32" t="str">
        <f>+IF(B317="","",SUBTOTAL(3,$B$7:B317))</f>
        <v/>
      </c>
      <c r="B317" s="34"/>
      <c r="C317" s="35"/>
      <c r="D317" s="34"/>
      <c r="E317" s="32"/>
      <c r="F317" s="45"/>
      <c r="G317" s="45"/>
      <c r="H317" s="45">
        <f t="shared" si="5"/>
        <v>0</v>
      </c>
    </row>
    <row r="318" spans="1:8" x14ac:dyDescent="0.25">
      <c r="A318" s="32" t="str">
        <f>+IF(B318="","",SUBTOTAL(3,$B$7:B318))</f>
        <v/>
      </c>
      <c r="B318" s="34"/>
      <c r="C318" s="35"/>
      <c r="D318" s="34"/>
      <c r="E318" s="32"/>
      <c r="F318" s="45"/>
      <c r="G318" s="45"/>
      <c r="H318" s="45">
        <f t="shared" si="5"/>
        <v>0</v>
      </c>
    </row>
    <row r="319" spans="1:8" x14ac:dyDescent="0.25">
      <c r="A319" s="32" t="str">
        <f>+IF(B319="","",SUBTOTAL(3,$B$7:B319))</f>
        <v/>
      </c>
      <c r="B319" s="34"/>
      <c r="C319" s="35"/>
      <c r="D319" s="34"/>
      <c r="E319" s="32"/>
      <c r="F319" s="45"/>
      <c r="G319" s="45"/>
      <c r="H319" s="45">
        <f t="shared" si="5"/>
        <v>0</v>
      </c>
    </row>
    <row r="320" spans="1:8" x14ac:dyDescent="0.25">
      <c r="A320" s="32" t="str">
        <f>+IF(B320="","",SUBTOTAL(3,$B$7:B320))</f>
        <v/>
      </c>
      <c r="B320" s="34"/>
      <c r="C320" s="35"/>
      <c r="D320" s="34"/>
      <c r="E320" s="32"/>
      <c r="F320" s="45"/>
      <c r="G320" s="45"/>
      <c r="H320" s="45">
        <f t="shared" si="5"/>
        <v>0</v>
      </c>
    </row>
    <row r="321" spans="1:8" x14ac:dyDescent="0.25">
      <c r="A321" s="32" t="str">
        <f>+IF(B321="","",SUBTOTAL(3,$B$7:B321))</f>
        <v/>
      </c>
      <c r="B321" s="34"/>
      <c r="C321" s="35"/>
      <c r="D321" s="34"/>
      <c r="E321" s="32"/>
      <c r="F321" s="45"/>
      <c r="G321" s="45"/>
      <c r="H321" s="45">
        <f t="shared" si="5"/>
        <v>0</v>
      </c>
    </row>
    <row r="322" spans="1:8" x14ac:dyDescent="0.25">
      <c r="A322" s="32" t="str">
        <f>+IF(B322="","",SUBTOTAL(3,$B$7:B322))</f>
        <v/>
      </c>
      <c r="B322" s="34"/>
      <c r="C322" s="35"/>
      <c r="D322" s="34"/>
      <c r="E322" s="32"/>
      <c r="F322" s="45"/>
      <c r="G322" s="45"/>
      <c r="H322" s="45">
        <f t="shared" si="5"/>
        <v>0</v>
      </c>
    </row>
    <row r="323" spans="1:8" x14ac:dyDescent="0.25">
      <c r="A323" s="32" t="str">
        <f>+IF(B323="","",SUBTOTAL(3,$B$7:B323))</f>
        <v/>
      </c>
      <c r="B323" s="34"/>
      <c r="C323" s="35"/>
      <c r="D323" s="34"/>
      <c r="E323" s="32"/>
      <c r="F323" s="45"/>
      <c r="G323" s="45"/>
      <c r="H323" s="45">
        <f t="shared" si="5"/>
        <v>0</v>
      </c>
    </row>
    <row r="324" spans="1:8" x14ac:dyDescent="0.25">
      <c r="A324" s="32" t="str">
        <f>+IF(B324="","",SUBTOTAL(3,$B$7:B324))</f>
        <v/>
      </c>
      <c r="B324" s="34"/>
      <c r="C324" s="35"/>
      <c r="D324" s="34"/>
      <c r="E324" s="32"/>
      <c r="F324" s="45"/>
      <c r="G324" s="45"/>
      <c r="H324" s="45">
        <f t="shared" si="5"/>
        <v>0</v>
      </c>
    </row>
    <row r="325" spans="1:8" x14ac:dyDescent="0.25">
      <c r="A325" s="32" t="str">
        <f>+IF(B325="","",SUBTOTAL(3,$B$7:B325))</f>
        <v/>
      </c>
      <c r="B325" s="34"/>
      <c r="C325" s="35"/>
      <c r="D325" s="34"/>
      <c r="E325" s="32"/>
      <c r="F325" s="45"/>
      <c r="G325" s="45"/>
      <c r="H325" s="45">
        <f t="shared" si="5"/>
        <v>0</v>
      </c>
    </row>
    <row r="326" spans="1:8" x14ac:dyDescent="0.25">
      <c r="A326" s="32" t="str">
        <f>+IF(B326="","",SUBTOTAL(3,$B$7:B326))</f>
        <v/>
      </c>
      <c r="B326" s="34"/>
      <c r="C326" s="35"/>
      <c r="D326" s="34"/>
      <c r="E326" s="32"/>
      <c r="F326" s="45"/>
      <c r="G326" s="45"/>
      <c r="H326" s="45">
        <f t="shared" si="5"/>
        <v>0</v>
      </c>
    </row>
    <row r="327" spans="1:8" x14ac:dyDescent="0.25">
      <c r="A327" s="32" t="str">
        <f>+IF(B327="","",SUBTOTAL(3,$B$7:B327))</f>
        <v/>
      </c>
      <c r="B327" s="34"/>
      <c r="C327" s="35"/>
      <c r="D327" s="34"/>
      <c r="E327" s="32"/>
      <c r="F327" s="45"/>
      <c r="G327" s="45"/>
      <c r="H327" s="45">
        <f t="shared" si="5"/>
        <v>0</v>
      </c>
    </row>
    <row r="328" spans="1:8" x14ac:dyDescent="0.25">
      <c r="A328" s="32" t="str">
        <f>+IF(B328="","",SUBTOTAL(3,$B$7:B328))</f>
        <v/>
      </c>
      <c r="B328" s="34"/>
      <c r="C328" s="35"/>
      <c r="D328" s="34"/>
      <c r="E328" s="32"/>
      <c r="F328" s="45"/>
      <c r="G328" s="45"/>
      <c r="H328" s="45">
        <f t="shared" ref="H328:H391" si="6">+G328*F328</f>
        <v>0</v>
      </c>
    </row>
    <row r="329" spans="1:8" x14ac:dyDescent="0.25">
      <c r="A329" s="32" t="str">
        <f>+IF(B329="","",SUBTOTAL(3,$B$7:B329))</f>
        <v/>
      </c>
      <c r="B329" s="34"/>
      <c r="C329" s="35"/>
      <c r="D329" s="34"/>
      <c r="E329" s="32"/>
      <c r="F329" s="45"/>
      <c r="G329" s="45"/>
      <c r="H329" s="45">
        <f t="shared" si="6"/>
        <v>0</v>
      </c>
    </row>
    <row r="330" spans="1:8" x14ac:dyDescent="0.25">
      <c r="A330" s="32" t="str">
        <f>+IF(B330="","",SUBTOTAL(3,$B$7:B330))</f>
        <v/>
      </c>
      <c r="B330" s="34"/>
      <c r="C330" s="35"/>
      <c r="D330" s="34"/>
      <c r="E330" s="32"/>
      <c r="F330" s="45"/>
      <c r="G330" s="45"/>
      <c r="H330" s="45">
        <f t="shared" si="6"/>
        <v>0</v>
      </c>
    </row>
    <row r="331" spans="1:8" x14ac:dyDescent="0.25">
      <c r="A331" s="32" t="str">
        <f>+IF(B331="","",SUBTOTAL(3,$B$7:B331))</f>
        <v/>
      </c>
      <c r="B331" s="34"/>
      <c r="C331" s="35"/>
      <c r="D331" s="34"/>
      <c r="E331" s="32"/>
      <c r="F331" s="45"/>
      <c r="G331" s="45"/>
      <c r="H331" s="45">
        <f t="shared" si="6"/>
        <v>0</v>
      </c>
    </row>
    <row r="332" spans="1:8" x14ac:dyDescent="0.25">
      <c r="A332" s="32" t="str">
        <f>+IF(B332="","",SUBTOTAL(3,$B$7:B332))</f>
        <v/>
      </c>
      <c r="B332" s="34"/>
      <c r="C332" s="35"/>
      <c r="D332" s="34"/>
      <c r="E332" s="32"/>
      <c r="F332" s="45"/>
      <c r="G332" s="45"/>
      <c r="H332" s="45">
        <f t="shared" si="6"/>
        <v>0</v>
      </c>
    </row>
    <row r="333" spans="1:8" x14ac:dyDescent="0.25">
      <c r="A333" s="32" t="str">
        <f>+IF(B333="","",SUBTOTAL(3,$B$7:B333))</f>
        <v/>
      </c>
      <c r="B333" s="34"/>
      <c r="C333" s="35"/>
      <c r="D333" s="34"/>
      <c r="E333" s="32"/>
      <c r="F333" s="45"/>
      <c r="G333" s="45"/>
      <c r="H333" s="45">
        <f t="shared" si="6"/>
        <v>0</v>
      </c>
    </row>
    <row r="334" spans="1:8" x14ac:dyDescent="0.25">
      <c r="A334" s="32" t="str">
        <f>+IF(B334="","",SUBTOTAL(3,$B$7:B334))</f>
        <v/>
      </c>
      <c r="B334" s="34"/>
      <c r="C334" s="35"/>
      <c r="D334" s="34"/>
      <c r="E334" s="32"/>
      <c r="F334" s="45"/>
      <c r="G334" s="45"/>
      <c r="H334" s="45">
        <f t="shared" si="6"/>
        <v>0</v>
      </c>
    </row>
    <row r="335" spans="1:8" x14ac:dyDescent="0.25">
      <c r="A335" s="32" t="str">
        <f>+IF(B335="","",SUBTOTAL(3,$B$7:B335))</f>
        <v/>
      </c>
      <c r="B335" s="34"/>
      <c r="C335" s="35"/>
      <c r="D335" s="34"/>
      <c r="E335" s="32"/>
      <c r="F335" s="45"/>
      <c r="G335" s="45"/>
      <c r="H335" s="45">
        <f t="shared" si="6"/>
        <v>0</v>
      </c>
    </row>
    <row r="336" spans="1:8" x14ac:dyDescent="0.25">
      <c r="A336" s="32" t="str">
        <f>+IF(B336="","",SUBTOTAL(3,$B$7:B336))</f>
        <v/>
      </c>
      <c r="B336" s="34"/>
      <c r="C336" s="35"/>
      <c r="D336" s="34"/>
      <c r="E336" s="32"/>
      <c r="F336" s="45"/>
      <c r="G336" s="45"/>
      <c r="H336" s="45">
        <f t="shared" si="6"/>
        <v>0</v>
      </c>
    </row>
    <row r="337" spans="1:8" x14ac:dyDescent="0.25">
      <c r="A337" s="32" t="str">
        <f>+IF(B337="","",SUBTOTAL(3,$B$7:B337))</f>
        <v/>
      </c>
      <c r="B337" s="34"/>
      <c r="C337" s="35"/>
      <c r="D337" s="34"/>
      <c r="E337" s="32"/>
      <c r="F337" s="45"/>
      <c r="G337" s="45"/>
      <c r="H337" s="45">
        <f t="shared" si="6"/>
        <v>0</v>
      </c>
    </row>
    <row r="338" spans="1:8" x14ac:dyDescent="0.25">
      <c r="A338" s="32" t="str">
        <f>+IF(B338="","",SUBTOTAL(3,$B$7:B338))</f>
        <v/>
      </c>
      <c r="B338" s="34"/>
      <c r="C338" s="35"/>
      <c r="D338" s="34"/>
      <c r="E338" s="32"/>
      <c r="F338" s="45"/>
      <c r="G338" s="45"/>
      <c r="H338" s="45">
        <f t="shared" si="6"/>
        <v>0</v>
      </c>
    </row>
    <row r="339" spans="1:8" x14ac:dyDescent="0.25">
      <c r="A339" s="32" t="str">
        <f>+IF(B339="","",SUBTOTAL(3,$B$7:B339))</f>
        <v/>
      </c>
      <c r="B339" s="34"/>
      <c r="C339" s="35"/>
      <c r="D339" s="34"/>
      <c r="E339" s="32"/>
      <c r="F339" s="45"/>
      <c r="G339" s="45"/>
      <c r="H339" s="45">
        <f t="shared" si="6"/>
        <v>0</v>
      </c>
    </row>
    <row r="340" spans="1:8" x14ac:dyDescent="0.25">
      <c r="A340" s="32" t="str">
        <f>+IF(B340="","",SUBTOTAL(3,$B$7:B340))</f>
        <v/>
      </c>
      <c r="B340" s="34"/>
      <c r="C340" s="35"/>
      <c r="D340" s="34"/>
      <c r="E340" s="32"/>
      <c r="F340" s="45"/>
      <c r="G340" s="45"/>
      <c r="H340" s="45">
        <f t="shared" si="6"/>
        <v>0</v>
      </c>
    </row>
    <row r="341" spans="1:8" x14ac:dyDescent="0.25">
      <c r="A341" s="32" t="str">
        <f>+IF(B341="","",SUBTOTAL(3,$B$7:B341))</f>
        <v/>
      </c>
      <c r="B341" s="34"/>
      <c r="C341" s="35"/>
      <c r="D341" s="34"/>
      <c r="E341" s="32"/>
      <c r="F341" s="45"/>
      <c r="G341" s="45"/>
      <c r="H341" s="45">
        <f t="shared" si="6"/>
        <v>0</v>
      </c>
    </row>
    <row r="342" spans="1:8" x14ac:dyDescent="0.25">
      <c r="A342" s="32" t="str">
        <f>+IF(B342="","",SUBTOTAL(3,$B$7:B342))</f>
        <v/>
      </c>
      <c r="B342" s="34"/>
      <c r="C342" s="35"/>
      <c r="D342" s="34"/>
      <c r="E342" s="32"/>
      <c r="F342" s="45"/>
      <c r="G342" s="45"/>
      <c r="H342" s="45">
        <f t="shared" si="6"/>
        <v>0</v>
      </c>
    </row>
    <row r="343" spans="1:8" x14ac:dyDescent="0.25">
      <c r="A343" s="32" t="str">
        <f>+IF(B343="","",SUBTOTAL(3,$B$7:B343))</f>
        <v/>
      </c>
      <c r="B343" s="34"/>
      <c r="C343" s="35"/>
      <c r="D343" s="34"/>
      <c r="E343" s="32"/>
      <c r="F343" s="45"/>
      <c r="G343" s="45"/>
      <c r="H343" s="45">
        <f t="shared" si="6"/>
        <v>0</v>
      </c>
    </row>
    <row r="344" spans="1:8" x14ac:dyDescent="0.25">
      <c r="A344" s="32" t="str">
        <f>+IF(B344="","",SUBTOTAL(3,$B$7:B344))</f>
        <v/>
      </c>
      <c r="B344" s="34"/>
      <c r="C344" s="35"/>
      <c r="D344" s="34"/>
      <c r="E344" s="32"/>
      <c r="F344" s="45"/>
      <c r="G344" s="45"/>
      <c r="H344" s="45">
        <f t="shared" si="6"/>
        <v>0</v>
      </c>
    </row>
    <row r="345" spans="1:8" x14ac:dyDescent="0.25">
      <c r="A345" s="32" t="str">
        <f>+IF(B345="","",SUBTOTAL(3,$B$7:B345))</f>
        <v/>
      </c>
      <c r="B345" s="34"/>
      <c r="C345" s="35"/>
      <c r="D345" s="34"/>
      <c r="E345" s="32"/>
      <c r="F345" s="45"/>
      <c r="G345" s="45"/>
      <c r="H345" s="45">
        <f t="shared" si="6"/>
        <v>0</v>
      </c>
    </row>
    <row r="346" spans="1:8" x14ac:dyDescent="0.25">
      <c r="A346" s="32" t="str">
        <f>+IF(B346="","",SUBTOTAL(3,$B$7:B346))</f>
        <v/>
      </c>
      <c r="B346" s="34"/>
      <c r="C346" s="35"/>
      <c r="D346" s="34"/>
      <c r="E346" s="32"/>
      <c r="F346" s="45"/>
      <c r="G346" s="45"/>
      <c r="H346" s="45">
        <f t="shared" si="6"/>
        <v>0</v>
      </c>
    </row>
    <row r="347" spans="1:8" x14ac:dyDescent="0.25">
      <c r="A347" s="32" t="str">
        <f>+IF(B347="","",SUBTOTAL(3,$B$7:B347))</f>
        <v/>
      </c>
      <c r="B347" s="34"/>
      <c r="C347" s="35"/>
      <c r="D347" s="34"/>
      <c r="E347" s="32"/>
      <c r="F347" s="45"/>
      <c r="G347" s="45"/>
      <c r="H347" s="45">
        <f t="shared" si="6"/>
        <v>0</v>
      </c>
    </row>
    <row r="348" spans="1:8" x14ac:dyDescent="0.25">
      <c r="A348" s="32" t="str">
        <f>+IF(B348="","",SUBTOTAL(3,$B$7:B348))</f>
        <v/>
      </c>
      <c r="B348" s="34"/>
      <c r="C348" s="35"/>
      <c r="D348" s="34"/>
      <c r="E348" s="32"/>
      <c r="F348" s="45"/>
      <c r="G348" s="45"/>
      <c r="H348" s="45">
        <f t="shared" si="6"/>
        <v>0</v>
      </c>
    </row>
    <row r="349" spans="1:8" x14ac:dyDescent="0.25">
      <c r="A349" s="32" t="str">
        <f>+IF(B349="","",SUBTOTAL(3,$B$7:B349))</f>
        <v/>
      </c>
      <c r="B349" s="34"/>
      <c r="C349" s="35"/>
      <c r="D349" s="34"/>
      <c r="E349" s="32"/>
      <c r="F349" s="45"/>
      <c r="G349" s="45"/>
      <c r="H349" s="45">
        <f t="shared" si="6"/>
        <v>0</v>
      </c>
    </row>
    <row r="350" spans="1:8" x14ac:dyDescent="0.25">
      <c r="A350" s="32" t="str">
        <f>+IF(B350="","",SUBTOTAL(3,$B$7:B350))</f>
        <v/>
      </c>
      <c r="B350" s="34"/>
      <c r="C350" s="35"/>
      <c r="D350" s="34"/>
      <c r="E350" s="32"/>
      <c r="F350" s="45"/>
      <c r="G350" s="45"/>
      <c r="H350" s="45">
        <f t="shared" si="6"/>
        <v>0</v>
      </c>
    </row>
    <row r="351" spans="1:8" x14ac:dyDescent="0.25">
      <c r="A351" s="32" t="str">
        <f>+IF(B351="","",SUBTOTAL(3,$B$7:B351))</f>
        <v/>
      </c>
      <c r="B351" s="34"/>
      <c r="C351" s="35"/>
      <c r="D351" s="34"/>
      <c r="E351" s="32"/>
      <c r="F351" s="45"/>
      <c r="G351" s="45"/>
      <c r="H351" s="45">
        <f t="shared" si="6"/>
        <v>0</v>
      </c>
    </row>
    <row r="352" spans="1:8" x14ac:dyDescent="0.25">
      <c r="A352" s="32" t="str">
        <f>+IF(B352="","",SUBTOTAL(3,$B$7:B352))</f>
        <v/>
      </c>
      <c r="B352" s="34"/>
      <c r="C352" s="35"/>
      <c r="D352" s="34"/>
      <c r="E352" s="32"/>
      <c r="F352" s="45"/>
      <c r="G352" s="45"/>
      <c r="H352" s="45">
        <f t="shared" si="6"/>
        <v>0</v>
      </c>
    </row>
    <row r="353" spans="1:8" x14ac:dyDescent="0.25">
      <c r="A353" s="32" t="str">
        <f>+IF(B353="","",SUBTOTAL(3,$B$7:B353))</f>
        <v/>
      </c>
      <c r="B353" s="34"/>
      <c r="C353" s="35"/>
      <c r="D353" s="34"/>
      <c r="E353" s="32"/>
      <c r="F353" s="45"/>
      <c r="G353" s="45"/>
      <c r="H353" s="45">
        <f t="shared" si="6"/>
        <v>0</v>
      </c>
    </row>
    <row r="354" spans="1:8" x14ac:dyDescent="0.25">
      <c r="A354" s="32" t="str">
        <f>+IF(B354="","",SUBTOTAL(3,$B$7:B354))</f>
        <v/>
      </c>
      <c r="B354" s="34"/>
      <c r="C354" s="35"/>
      <c r="D354" s="34"/>
      <c r="E354" s="32"/>
      <c r="F354" s="45"/>
      <c r="G354" s="45"/>
      <c r="H354" s="45">
        <f t="shared" si="6"/>
        <v>0</v>
      </c>
    </row>
    <row r="355" spans="1:8" x14ac:dyDescent="0.25">
      <c r="A355" s="32" t="str">
        <f>+IF(B355="","",SUBTOTAL(3,$B$7:B355))</f>
        <v/>
      </c>
      <c r="B355" s="34"/>
      <c r="C355" s="35"/>
      <c r="D355" s="34"/>
      <c r="E355" s="32"/>
      <c r="F355" s="45"/>
      <c r="G355" s="45"/>
      <c r="H355" s="45">
        <f t="shared" si="6"/>
        <v>0</v>
      </c>
    </row>
    <row r="356" spans="1:8" x14ac:dyDescent="0.25">
      <c r="A356" s="32" t="str">
        <f>+IF(B356="","",SUBTOTAL(3,$B$7:B356))</f>
        <v/>
      </c>
      <c r="B356" s="34"/>
      <c r="C356" s="35"/>
      <c r="D356" s="34"/>
      <c r="E356" s="32"/>
      <c r="F356" s="45"/>
      <c r="G356" s="45"/>
      <c r="H356" s="45">
        <f t="shared" si="6"/>
        <v>0</v>
      </c>
    </row>
    <row r="357" spans="1:8" x14ac:dyDescent="0.25">
      <c r="A357" s="32" t="str">
        <f>+IF(B357="","",SUBTOTAL(3,$B$7:B357))</f>
        <v/>
      </c>
      <c r="B357" s="34"/>
      <c r="C357" s="35"/>
      <c r="D357" s="34"/>
      <c r="E357" s="32"/>
      <c r="F357" s="45"/>
      <c r="G357" s="45"/>
      <c r="H357" s="45">
        <f t="shared" si="6"/>
        <v>0</v>
      </c>
    </row>
    <row r="358" spans="1:8" x14ac:dyDescent="0.25">
      <c r="A358" s="32" t="str">
        <f>+IF(B358="","",SUBTOTAL(3,$B$7:B358))</f>
        <v/>
      </c>
      <c r="B358" s="34"/>
      <c r="C358" s="35"/>
      <c r="D358" s="34"/>
      <c r="E358" s="32"/>
      <c r="F358" s="45"/>
      <c r="G358" s="45"/>
      <c r="H358" s="45">
        <f t="shared" si="6"/>
        <v>0</v>
      </c>
    </row>
    <row r="359" spans="1:8" x14ac:dyDescent="0.25">
      <c r="A359" s="32" t="str">
        <f>+IF(B359="","",SUBTOTAL(3,$B$7:B359))</f>
        <v/>
      </c>
      <c r="B359" s="34"/>
      <c r="C359" s="35"/>
      <c r="D359" s="34"/>
      <c r="E359" s="32"/>
      <c r="F359" s="45"/>
      <c r="G359" s="45"/>
      <c r="H359" s="45">
        <f t="shared" si="6"/>
        <v>0</v>
      </c>
    </row>
    <row r="360" spans="1:8" x14ac:dyDescent="0.25">
      <c r="A360" s="32" t="str">
        <f>+IF(B360="","",SUBTOTAL(3,$B$7:B360))</f>
        <v/>
      </c>
      <c r="B360" s="34"/>
      <c r="C360" s="35"/>
      <c r="D360" s="34"/>
      <c r="E360" s="32"/>
      <c r="F360" s="45"/>
      <c r="G360" s="45"/>
      <c r="H360" s="45">
        <f t="shared" si="6"/>
        <v>0</v>
      </c>
    </row>
    <row r="361" spans="1:8" x14ac:dyDescent="0.25">
      <c r="A361" s="32" t="str">
        <f>+IF(B361="","",SUBTOTAL(3,$B$7:B361))</f>
        <v/>
      </c>
      <c r="B361" s="34"/>
      <c r="C361" s="35"/>
      <c r="D361" s="34"/>
      <c r="E361" s="32"/>
      <c r="F361" s="45"/>
      <c r="G361" s="45"/>
      <c r="H361" s="45">
        <f t="shared" si="6"/>
        <v>0</v>
      </c>
    </row>
    <row r="362" spans="1:8" x14ac:dyDescent="0.25">
      <c r="A362" s="32" t="str">
        <f>+IF(B362="","",SUBTOTAL(3,$B$7:B362))</f>
        <v/>
      </c>
      <c r="B362" s="34"/>
      <c r="C362" s="35"/>
      <c r="D362" s="34"/>
      <c r="E362" s="32"/>
      <c r="F362" s="45"/>
      <c r="G362" s="45"/>
      <c r="H362" s="45">
        <f t="shared" si="6"/>
        <v>0</v>
      </c>
    </row>
    <row r="363" spans="1:8" x14ac:dyDescent="0.25">
      <c r="A363" s="32" t="str">
        <f>+IF(B363="","",SUBTOTAL(3,$B$7:B363))</f>
        <v/>
      </c>
      <c r="B363" s="34"/>
      <c r="C363" s="35"/>
      <c r="D363" s="34"/>
      <c r="E363" s="32"/>
      <c r="F363" s="45"/>
      <c r="G363" s="45"/>
      <c r="H363" s="45">
        <f t="shared" si="6"/>
        <v>0</v>
      </c>
    </row>
    <row r="364" spans="1:8" x14ac:dyDescent="0.25">
      <c r="A364" s="32" t="str">
        <f>+IF(B364="","",SUBTOTAL(3,$B$7:B364))</f>
        <v/>
      </c>
      <c r="B364" s="34"/>
      <c r="C364" s="35"/>
      <c r="D364" s="34"/>
      <c r="E364" s="32"/>
      <c r="F364" s="45"/>
      <c r="G364" s="45"/>
      <c r="H364" s="45">
        <f t="shared" si="6"/>
        <v>0</v>
      </c>
    </row>
    <row r="365" spans="1:8" x14ac:dyDescent="0.25">
      <c r="A365" s="32" t="str">
        <f>+IF(B365="","",SUBTOTAL(3,$B$7:B365))</f>
        <v/>
      </c>
      <c r="B365" s="34"/>
      <c r="C365" s="35"/>
      <c r="D365" s="34"/>
      <c r="E365" s="32"/>
      <c r="F365" s="45"/>
      <c r="G365" s="45"/>
      <c r="H365" s="45">
        <f t="shared" si="6"/>
        <v>0</v>
      </c>
    </row>
    <row r="366" spans="1:8" x14ac:dyDescent="0.25">
      <c r="A366" s="32" t="str">
        <f>+IF(B366="","",SUBTOTAL(3,$B$7:B366))</f>
        <v/>
      </c>
      <c r="B366" s="34"/>
      <c r="C366" s="35"/>
      <c r="D366" s="34"/>
      <c r="E366" s="32"/>
      <c r="F366" s="45"/>
      <c r="G366" s="45"/>
      <c r="H366" s="45">
        <f t="shared" si="6"/>
        <v>0</v>
      </c>
    </row>
    <row r="367" spans="1:8" x14ac:dyDescent="0.25">
      <c r="A367" s="32" t="str">
        <f>+IF(B367="","",SUBTOTAL(3,$B$7:B367))</f>
        <v/>
      </c>
      <c r="B367" s="34"/>
      <c r="C367" s="35"/>
      <c r="D367" s="34"/>
      <c r="E367" s="32"/>
      <c r="F367" s="45"/>
      <c r="G367" s="45"/>
      <c r="H367" s="45">
        <f t="shared" si="6"/>
        <v>0</v>
      </c>
    </row>
    <row r="368" spans="1:8" x14ac:dyDescent="0.25">
      <c r="A368" s="32" t="str">
        <f>+IF(B368="","",SUBTOTAL(3,$B$7:B368))</f>
        <v/>
      </c>
      <c r="B368" s="34"/>
      <c r="C368" s="35"/>
      <c r="D368" s="34"/>
      <c r="E368" s="32"/>
      <c r="F368" s="45"/>
      <c r="G368" s="45"/>
      <c r="H368" s="45">
        <f t="shared" si="6"/>
        <v>0</v>
      </c>
    </row>
    <row r="369" spans="1:8" x14ac:dyDescent="0.25">
      <c r="A369" s="32" t="str">
        <f>+IF(B369="","",SUBTOTAL(3,$B$7:B369))</f>
        <v/>
      </c>
      <c r="B369" s="34"/>
      <c r="C369" s="35"/>
      <c r="D369" s="34"/>
      <c r="E369" s="32"/>
      <c r="F369" s="45"/>
      <c r="G369" s="45"/>
      <c r="H369" s="45">
        <f t="shared" si="6"/>
        <v>0</v>
      </c>
    </row>
    <row r="370" spans="1:8" x14ac:dyDescent="0.25">
      <c r="A370" s="32" t="str">
        <f>+IF(B370="","",SUBTOTAL(3,$B$7:B370))</f>
        <v/>
      </c>
      <c r="B370" s="34"/>
      <c r="C370" s="35"/>
      <c r="D370" s="34"/>
      <c r="E370" s="32"/>
      <c r="F370" s="45"/>
      <c r="G370" s="45"/>
      <c r="H370" s="45">
        <f t="shared" si="6"/>
        <v>0</v>
      </c>
    </row>
    <row r="371" spans="1:8" x14ac:dyDescent="0.25">
      <c r="A371" s="32" t="str">
        <f>+IF(B371="","",SUBTOTAL(3,$B$7:B371))</f>
        <v/>
      </c>
      <c r="B371" s="34"/>
      <c r="C371" s="35"/>
      <c r="D371" s="34"/>
      <c r="E371" s="32"/>
      <c r="F371" s="45"/>
      <c r="G371" s="45"/>
      <c r="H371" s="45">
        <f t="shared" si="6"/>
        <v>0</v>
      </c>
    </row>
    <row r="372" spans="1:8" x14ac:dyDescent="0.25">
      <c r="A372" s="32" t="str">
        <f>+IF(B372="","",SUBTOTAL(3,$B$7:B372))</f>
        <v/>
      </c>
      <c r="B372" s="34"/>
      <c r="C372" s="35"/>
      <c r="D372" s="34"/>
      <c r="E372" s="32"/>
      <c r="F372" s="45"/>
      <c r="G372" s="45"/>
      <c r="H372" s="45">
        <f t="shared" si="6"/>
        <v>0</v>
      </c>
    </row>
    <row r="373" spans="1:8" x14ac:dyDescent="0.25">
      <c r="A373" s="32" t="str">
        <f>+IF(B373="","",SUBTOTAL(3,$B$7:B373))</f>
        <v/>
      </c>
      <c r="B373" s="34"/>
      <c r="C373" s="35"/>
      <c r="D373" s="34"/>
      <c r="E373" s="32"/>
      <c r="F373" s="45"/>
      <c r="G373" s="45"/>
      <c r="H373" s="45">
        <f t="shared" si="6"/>
        <v>0</v>
      </c>
    </row>
    <row r="374" spans="1:8" x14ac:dyDescent="0.25">
      <c r="A374" s="32" t="str">
        <f>+IF(B374="","",SUBTOTAL(3,$B$7:B374))</f>
        <v/>
      </c>
      <c r="B374" s="34"/>
      <c r="C374" s="35"/>
      <c r="D374" s="34"/>
      <c r="E374" s="32"/>
      <c r="F374" s="45"/>
      <c r="G374" s="45"/>
      <c r="H374" s="45">
        <f t="shared" si="6"/>
        <v>0</v>
      </c>
    </row>
    <row r="375" spans="1:8" x14ac:dyDescent="0.25">
      <c r="A375" s="32" t="str">
        <f>+IF(B375="","",SUBTOTAL(3,$B$7:B375))</f>
        <v/>
      </c>
      <c r="B375" s="34"/>
      <c r="C375" s="35"/>
      <c r="D375" s="34"/>
      <c r="E375" s="32"/>
      <c r="F375" s="45"/>
      <c r="G375" s="45"/>
      <c r="H375" s="45">
        <f t="shared" si="6"/>
        <v>0</v>
      </c>
    </row>
    <row r="376" spans="1:8" x14ac:dyDescent="0.25">
      <c r="A376" s="32" t="str">
        <f>+IF(B376="","",SUBTOTAL(3,$B$7:B376))</f>
        <v/>
      </c>
      <c r="B376" s="34"/>
      <c r="C376" s="35"/>
      <c r="D376" s="34"/>
      <c r="E376" s="32"/>
      <c r="F376" s="45"/>
      <c r="G376" s="45"/>
      <c r="H376" s="45">
        <f t="shared" si="6"/>
        <v>0</v>
      </c>
    </row>
    <row r="377" spans="1:8" x14ac:dyDescent="0.25">
      <c r="A377" s="32" t="str">
        <f>+IF(B377="","",SUBTOTAL(3,$B$7:B377))</f>
        <v/>
      </c>
      <c r="B377" s="34"/>
      <c r="C377" s="35"/>
      <c r="D377" s="34"/>
      <c r="E377" s="32"/>
      <c r="F377" s="45"/>
      <c r="G377" s="45"/>
      <c r="H377" s="45">
        <f t="shared" si="6"/>
        <v>0</v>
      </c>
    </row>
    <row r="378" spans="1:8" x14ac:dyDescent="0.25">
      <c r="A378" s="32" t="str">
        <f>+IF(B378="","",SUBTOTAL(3,$B$7:B378))</f>
        <v/>
      </c>
      <c r="B378" s="34"/>
      <c r="C378" s="35"/>
      <c r="D378" s="34"/>
      <c r="E378" s="32"/>
      <c r="F378" s="45"/>
      <c r="G378" s="45"/>
      <c r="H378" s="45">
        <f t="shared" si="6"/>
        <v>0</v>
      </c>
    </row>
    <row r="379" spans="1:8" x14ac:dyDescent="0.25">
      <c r="A379" s="32" t="str">
        <f>+IF(B379="","",SUBTOTAL(3,$B$7:B379))</f>
        <v/>
      </c>
      <c r="B379" s="34"/>
      <c r="C379" s="35"/>
      <c r="D379" s="34"/>
      <c r="E379" s="32"/>
      <c r="F379" s="45"/>
      <c r="G379" s="45"/>
      <c r="H379" s="45">
        <f t="shared" si="6"/>
        <v>0</v>
      </c>
    </row>
    <row r="380" spans="1:8" x14ac:dyDescent="0.25">
      <c r="A380" s="32" t="str">
        <f>+IF(B380="","",SUBTOTAL(3,$B$7:B380))</f>
        <v/>
      </c>
      <c r="B380" s="34"/>
      <c r="C380" s="35"/>
      <c r="D380" s="34"/>
      <c r="E380" s="32"/>
      <c r="F380" s="45"/>
      <c r="G380" s="45"/>
      <c r="H380" s="45">
        <f t="shared" si="6"/>
        <v>0</v>
      </c>
    </row>
    <row r="381" spans="1:8" x14ac:dyDescent="0.25">
      <c r="A381" s="32" t="str">
        <f>+IF(B381="","",SUBTOTAL(3,$B$7:B381))</f>
        <v/>
      </c>
      <c r="B381" s="34"/>
      <c r="C381" s="35"/>
      <c r="D381" s="34"/>
      <c r="E381" s="32"/>
      <c r="F381" s="45"/>
      <c r="G381" s="45"/>
      <c r="H381" s="45">
        <f t="shared" si="6"/>
        <v>0</v>
      </c>
    </row>
    <row r="382" spans="1:8" x14ac:dyDescent="0.25">
      <c r="A382" s="32" t="str">
        <f>+IF(B382="","",SUBTOTAL(3,$B$7:B382))</f>
        <v/>
      </c>
      <c r="B382" s="34"/>
      <c r="C382" s="35"/>
      <c r="D382" s="34"/>
      <c r="E382" s="32"/>
      <c r="F382" s="45"/>
      <c r="G382" s="45"/>
      <c r="H382" s="45">
        <f t="shared" si="6"/>
        <v>0</v>
      </c>
    </row>
    <row r="383" spans="1:8" x14ac:dyDescent="0.25">
      <c r="A383" s="32" t="str">
        <f>+IF(B383="","",SUBTOTAL(3,$B$7:B383))</f>
        <v/>
      </c>
      <c r="B383" s="34"/>
      <c r="C383" s="35"/>
      <c r="D383" s="34"/>
      <c r="E383" s="32"/>
      <c r="F383" s="45"/>
      <c r="G383" s="45"/>
      <c r="H383" s="45">
        <f t="shared" si="6"/>
        <v>0</v>
      </c>
    </row>
    <row r="384" spans="1:8" x14ac:dyDescent="0.25">
      <c r="A384" s="32" t="str">
        <f>+IF(B384="","",SUBTOTAL(3,$B$7:B384))</f>
        <v/>
      </c>
      <c r="B384" s="34"/>
      <c r="C384" s="35"/>
      <c r="D384" s="34"/>
      <c r="E384" s="32"/>
      <c r="F384" s="45"/>
      <c r="G384" s="45"/>
      <c r="H384" s="45">
        <f t="shared" si="6"/>
        <v>0</v>
      </c>
    </row>
    <row r="385" spans="1:8" x14ac:dyDescent="0.25">
      <c r="A385" s="32" t="str">
        <f>+IF(B385="","",SUBTOTAL(3,$B$7:B385))</f>
        <v/>
      </c>
      <c r="B385" s="34"/>
      <c r="C385" s="35"/>
      <c r="D385" s="34"/>
      <c r="E385" s="32"/>
      <c r="F385" s="45"/>
      <c r="G385" s="45"/>
      <c r="H385" s="45">
        <f t="shared" si="6"/>
        <v>0</v>
      </c>
    </row>
    <row r="386" spans="1:8" x14ac:dyDescent="0.25">
      <c r="A386" s="32" t="str">
        <f>+IF(B386="","",SUBTOTAL(3,$B$7:B386))</f>
        <v/>
      </c>
      <c r="B386" s="34"/>
      <c r="C386" s="35"/>
      <c r="D386" s="34"/>
      <c r="E386" s="32"/>
      <c r="F386" s="45"/>
      <c r="G386" s="45"/>
      <c r="H386" s="45">
        <f t="shared" si="6"/>
        <v>0</v>
      </c>
    </row>
    <row r="387" spans="1:8" x14ac:dyDescent="0.25">
      <c r="A387" s="32" t="str">
        <f>+IF(B387="","",SUBTOTAL(3,$B$7:B387))</f>
        <v/>
      </c>
      <c r="B387" s="34"/>
      <c r="C387" s="35"/>
      <c r="D387" s="34"/>
      <c r="E387" s="32"/>
      <c r="F387" s="45"/>
      <c r="G387" s="45"/>
      <c r="H387" s="45">
        <f t="shared" si="6"/>
        <v>0</v>
      </c>
    </row>
    <row r="388" spans="1:8" x14ac:dyDescent="0.25">
      <c r="A388" s="32" t="str">
        <f>+IF(B388="","",SUBTOTAL(3,$B$7:B388))</f>
        <v/>
      </c>
      <c r="B388" s="34"/>
      <c r="C388" s="35"/>
      <c r="D388" s="34"/>
      <c r="E388" s="32"/>
      <c r="F388" s="45"/>
      <c r="G388" s="45"/>
      <c r="H388" s="45">
        <f t="shared" si="6"/>
        <v>0</v>
      </c>
    </row>
    <row r="389" spans="1:8" x14ac:dyDescent="0.25">
      <c r="A389" s="32" t="str">
        <f>+IF(B389="","",SUBTOTAL(3,$B$7:B389))</f>
        <v/>
      </c>
      <c r="B389" s="34"/>
      <c r="C389" s="35"/>
      <c r="D389" s="34"/>
      <c r="E389" s="32"/>
      <c r="F389" s="45"/>
      <c r="G389" s="45"/>
      <c r="H389" s="45">
        <f t="shared" si="6"/>
        <v>0</v>
      </c>
    </row>
    <row r="390" spans="1:8" x14ac:dyDescent="0.25">
      <c r="A390" s="32" t="str">
        <f>+IF(B390="","",SUBTOTAL(3,$B$7:B390))</f>
        <v/>
      </c>
      <c r="B390" s="34"/>
      <c r="C390" s="35"/>
      <c r="D390" s="34"/>
      <c r="E390" s="32"/>
      <c r="F390" s="45"/>
      <c r="G390" s="45"/>
      <c r="H390" s="45">
        <f t="shared" si="6"/>
        <v>0</v>
      </c>
    </row>
    <row r="391" spans="1:8" x14ac:dyDescent="0.25">
      <c r="A391" s="32" t="str">
        <f>+IF(B391="","",SUBTOTAL(3,$B$7:B391))</f>
        <v/>
      </c>
      <c r="B391" s="34"/>
      <c r="C391" s="35"/>
      <c r="D391" s="34"/>
      <c r="E391" s="32"/>
      <c r="F391" s="45"/>
      <c r="G391" s="45"/>
      <c r="H391" s="45">
        <f t="shared" si="6"/>
        <v>0</v>
      </c>
    </row>
    <row r="392" spans="1:8" x14ac:dyDescent="0.25">
      <c r="A392" s="32" t="str">
        <f>+IF(B392="","",SUBTOTAL(3,$B$7:B392))</f>
        <v/>
      </c>
      <c r="B392" s="34"/>
      <c r="C392" s="35"/>
      <c r="D392" s="34"/>
      <c r="E392" s="32"/>
      <c r="F392" s="45"/>
      <c r="G392" s="45"/>
      <c r="H392" s="45">
        <f t="shared" ref="H392:H455" si="7">+G392*F392</f>
        <v>0</v>
      </c>
    </row>
    <row r="393" spans="1:8" x14ac:dyDescent="0.25">
      <c r="A393" s="32" t="str">
        <f>+IF(B393="","",SUBTOTAL(3,$B$7:B393))</f>
        <v/>
      </c>
      <c r="B393" s="34"/>
      <c r="C393" s="35"/>
      <c r="D393" s="34"/>
      <c r="E393" s="32"/>
      <c r="F393" s="45"/>
      <c r="G393" s="45"/>
      <c r="H393" s="45">
        <f t="shared" si="7"/>
        <v>0</v>
      </c>
    </row>
    <row r="394" spans="1:8" x14ac:dyDescent="0.25">
      <c r="A394" s="32" t="str">
        <f>+IF(B394="","",SUBTOTAL(3,$B$7:B394))</f>
        <v/>
      </c>
      <c r="B394" s="34"/>
      <c r="C394" s="35"/>
      <c r="D394" s="34"/>
      <c r="E394" s="32"/>
      <c r="F394" s="45"/>
      <c r="G394" s="45"/>
      <c r="H394" s="45">
        <f t="shared" si="7"/>
        <v>0</v>
      </c>
    </row>
    <row r="395" spans="1:8" x14ac:dyDescent="0.25">
      <c r="A395" s="32" t="str">
        <f>+IF(B395="","",SUBTOTAL(3,$B$7:B395))</f>
        <v/>
      </c>
      <c r="B395" s="34"/>
      <c r="C395" s="35"/>
      <c r="D395" s="34"/>
      <c r="E395" s="32"/>
      <c r="F395" s="45"/>
      <c r="G395" s="45"/>
      <c r="H395" s="45">
        <f t="shared" si="7"/>
        <v>0</v>
      </c>
    </row>
    <row r="396" spans="1:8" x14ac:dyDescent="0.25">
      <c r="A396" s="32" t="str">
        <f>+IF(B396="","",SUBTOTAL(3,$B$7:B396))</f>
        <v/>
      </c>
      <c r="B396" s="34"/>
      <c r="C396" s="35"/>
      <c r="D396" s="34"/>
      <c r="E396" s="32"/>
      <c r="F396" s="45"/>
      <c r="G396" s="45"/>
      <c r="H396" s="45">
        <f t="shared" si="7"/>
        <v>0</v>
      </c>
    </row>
    <row r="397" spans="1:8" x14ac:dyDescent="0.25">
      <c r="A397" s="32" t="str">
        <f>+IF(B397="","",SUBTOTAL(3,$B$7:B397))</f>
        <v/>
      </c>
      <c r="B397" s="34"/>
      <c r="C397" s="35"/>
      <c r="D397" s="34"/>
      <c r="E397" s="32"/>
      <c r="F397" s="45"/>
      <c r="G397" s="45"/>
      <c r="H397" s="45">
        <f t="shared" si="7"/>
        <v>0</v>
      </c>
    </row>
    <row r="398" spans="1:8" x14ac:dyDescent="0.25">
      <c r="A398" s="32" t="str">
        <f>+IF(B398="","",SUBTOTAL(3,$B$7:B398))</f>
        <v/>
      </c>
      <c r="B398" s="34"/>
      <c r="C398" s="35"/>
      <c r="D398" s="34"/>
      <c r="E398" s="32"/>
      <c r="F398" s="45"/>
      <c r="G398" s="45"/>
      <c r="H398" s="45">
        <f t="shared" si="7"/>
        <v>0</v>
      </c>
    </row>
    <row r="399" spans="1:8" x14ac:dyDescent="0.25">
      <c r="A399" s="32" t="str">
        <f>+IF(B399="","",SUBTOTAL(3,$B$7:B399))</f>
        <v/>
      </c>
      <c r="B399" s="34"/>
      <c r="C399" s="35"/>
      <c r="D399" s="34"/>
      <c r="E399" s="32"/>
      <c r="F399" s="45"/>
      <c r="G399" s="45"/>
      <c r="H399" s="45">
        <f t="shared" si="7"/>
        <v>0</v>
      </c>
    </row>
    <row r="400" spans="1:8" x14ac:dyDescent="0.25">
      <c r="A400" s="32" t="str">
        <f>+IF(B400="","",SUBTOTAL(3,$B$7:B400))</f>
        <v/>
      </c>
      <c r="B400" s="34"/>
      <c r="C400" s="35"/>
      <c r="D400" s="34"/>
      <c r="E400" s="32"/>
      <c r="F400" s="45"/>
      <c r="G400" s="45"/>
      <c r="H400" s="45">
        <f t="shared" si="7"/>
        <v>0</v>
      </c>
    </row>
    <row r="401" spans="1:8" x14ac:dyDescent="0.25">
      <c r="A401" s="32" t="str">
        <f>+IF(B401="","",SUBTOTAL(3,$B$7:B401))</f>
        <v/>
      </c>
      <c r="B401" s="34"/>
      <c r="C401" s="35"/>
      <c r="D401" s="34"/>
      <c r="E401" s="32"/>
      <c r="F401" s="45"/>
      <c r="G401" s="45"/>
      <c r="H401" s="45">
        <f t="shared" si="7"/>
        <v>0</v>
      </c>
    </row>
    <row r="402" spans="1:8" x14ac:dyDescent="0.25">
      <c r="A402" s="32" t="str">
        <f>+IF(B402="","",SUBTOTAL(3,$B$7:B402))</f>
        <v/>
      </c>
      <c r="B402" s="34"/>
      <c r="C402" s="35"/>
      <c r="D402" s="34"/>
      <c r="E402" s="32"/>
      <c r="F402" s="45"/>
      <c r="G402" s="45"/>
      <c r="H402" s="45">
        <f t="shared" si="7"/>
        <v>0</v>
      </c>
    </row>
    <row r="403" spans="1:8" x14ac:dyDescent="0.25">
      <c r="A403" s="32" t="str">
        <f>+IF(B403="","",SUBTOTAL(3,$B$7:B403))</f>
        <v/>
      </c>
      <c r="B403" s="34"/>
      <c r="C403" s="35"/>
      <c r="D403" s="34"/>
      <c r="E403" s="32"/>
      <c r="F403" s="45"/>
      <c r="G403" s="45"/>
      <c r="H403" s="45">
        <f t="shared" si="7"/>
        <v>0</v>
      </c>
    </row>
    <row r="404" spans="1:8" x14ac:dyDescent="0.25">
      <c r="A404" s="32" t="str">
        <f>+IF(B404="","",SUBTOTAL(3,$B$7:B404))</f>
        <v/>
      </c>
      <c r="B404" s="34"/>
      <c r="C404" s="35"/>
      <c r="D404" s="34"/>
      <c r="E404" s="32"/>
      <c r="F404" s="45"/>
      <c r="G404" s="45"/>
      <c r="H404" s="45">
        <f t="shared" si="7"/>
        <v>0</v>
      </c>
    </row>
    <row r="405" spans="1:8" x14ac:dyDescent="0.25">
      <c r="A405" s="32" t="str">
        <f>+IF(B405="","",SUBTOTAL(3,$B$7:B405))</f>
        <v/>
      </c>
      <c r="B405" s="34"/>
      <c r="C405" s="35"/>
      <c r="D405" s="34"/>
      <c r="E405" s="32"/>
      <c r="F405" s="45"/>
      <c r="G405" s="45"/>
      <c r="H405" s="45">
        <f t="shared" si="7"/>
        <v>0</v>
      </c>
    </row>
    <row r="406" spans="1:8" x14ac:dyDescent="0.25">
      <c r="A406" s="32" t="str">
        <f>+IF(B406="","",SUBTOTAL(3,$B$7:B406))</f>
        <v/>
      </c>
      <c r="B406" s="34"/>
      <c r="C406" s="35"/>
      <c r="D406" s="34"/>
      <c r="E406" s="32"/>
      <c r="F406" s="45"/>
      <c r="G406" s="45"/>
      <c r="H406" s="45">
        <f t="shared" si="7"/>
        <v>0</v>
      </c>
    </row>
    <row r="407" spans="1:8" x14ac:dyDescent="0.25">
      <c r="A407" s="32" t="str">
        <f>+IF(B407="","",SUBTOTAL(3,$B$7:B407))</f>
        <v/>
      </c>
      <c r="B407" s="34"/>
      <c r="C407" s="35"/>
      <c r="D407" s="34"/>
      <c r="E407" s="32"/>
      <c r="F407" s="45"/>
      <c r="G407" s="45"/>
      <c r="H407" s="45">
        <f t="shared" si="7"/>
        <v>0</v>
      </c>
    </row>
    <row r="408" spans="1:8" x14ac:dyDescent="0.25">
      <c r="A408" s="32" t="str">
        <f>+IF(B408="","",SUBTOTAL(3,$B$7:B408))</f>
        <v/>
      </c>
      <c r="B408" s="34"/>
      <c r="C408" s="35"/>
      <c r="D408" s="34"/>
      <c r="E408" s="32"/>
      <c r="F408" s="45"/>
      <c r="G408" s="45"/>
      <c r="H408" s="45">
        <f t="shared" si="7"/>
        <v>0</v>
      </c>
    </row>
    <row r="409" spans="1:8" x14ac:dyDescent="0.25">
      <c r="A409" s="32" t="str">
        <f>+IF(B409="","",SUBTOTAL(3,$B$7:B409))</f>
        <v/>
      </c>
      <c r="B409" s="34"/>
      <c r="C409" s="35"/>
      <c r="D409" s="34"/>
      <c r="E409" s="32"/>
      <c r="F409" s="45"/>
      <c r="G409" s="45"/>
      <c r="H409" s="45">
        <f t="shared" si="7"/>
        <v>0</v>
      </c>
    </row>
    <row r="410" spans="1:8" x14ac:dyDescent="0.25">
      <c r="A410" s="32" t="str">
        <f>+IF(B410="","",SUBTOTAL(3,$B$7:B410))</f>
        <v/>
      </c>
      <c r="B410" s="34"/>
      <c r="C410" s="35"/>
      <c r="D410" s="34"/>
      <c r="E410" s="32"/>
      <c r="F410" s="45"/>
      <c r="G410" s="45"/>
      <c r="H410" s="45">
        <f t="shared" si="7"/>
        <v>0</v>
      </c>
    </row>
    <row r="411" spans="1:8" x14ac:dyDescent="0.25">
      <c r="A411" s="32" t="str">
        <f>+IF(B411="","",SUBTOTAL(3,$B$7:B411))</f>
        <v/>
      </c>
      <c r="B411" s="34"/>
      <c r="C411" s="35"/>
      <c r="D411" s="34"/>
      <c r="E411" s="32"/>
      <c r="F411" s="45"/>
      <c r="G411" s="45"/>
      <c r="H411" s="45">
        <f t="shared" si="7"/>
        <v>0</v>
      </c>
    </row>
    <row r="412" spans="1:8" x14ac:dyDescent="0.25">
      <c r="A412" s="32" t="str">
        <f>+IF(B412="","",SUBTOTAL(3,$B$7:B412))</f>
        <v/>
      </c>
      <c r="B412" s="34"/>
      <c r="C412" s="35"/>
      <c r="D412" s="34"/>
      <c r="E412" s="32"/>
      <c r="F412" s="45"/>
      <c r="G412" s="45"/>
      <c r="H412" s="45">
        <f t="shared" si="7"/>
        <v>0</v>
      </c>
    </row>
    <row r="413" spans="1:8" x14ac:dyDescent="0.25">
      <c r="A413" s="32" t="str">
        <f>+IF(B413="","",SUBTOTAL(3,$B$7:B413))</f>
        <v/>
      </c>
      <c r="B413" s="34"/>
      <c r="C413" s="35"/>
      <c r="D413" s="34"/>
      <c r="E413" s="32"/>
      <c r="F413" s="45"/>
      <c r="G413" s="45"/>
      <c r="H413" s="45">
        <f t="shared" si="7"/>
        <v>0</v>
      </c>
    </row>
    <row r="414" spans="1:8" x14ac:dyDescent="0.25">
      <c r="A414" s="32" t="str">
        <f>+IF(B414="","",SUBTOTAL(3,$B$7:B414))</f>
        <v/>
      </c>
      <c r="B414" s="34"/>
      <c r="C414" s="35"/>
      <c r="D414" s="34"/>
      <c r="E414" s="32"/>
      <c r="F414" s="45"/>
      <c r="G414" s="45"/>
      <c r="H414" s="45">
        <f t="shared" si="7"/>
        <v>0</v>
      </c>
    </row>
    <row r="415" spans="1:8" x14ac:dyDescent="0.25">
      <c r="A415" s="32" t="str">
        <f>+IF(B415="","",SUBTOTAL(3,$B$7:B415))</f>
        <v/>
      </c>
      <c r="B415" s="34"/>
      <c r="C415" s="35"/>
      <c r="D415" s="34"/>
      <c r="E415" s="32"/>
      <c r="F415" s="45"/>
      <c r="G415" s="45"/>
      <c r="H415" s="45">
        <f t="shared" si="7"/>
        <v>0</v>
      </c>
    </row>
    <row r="416" spans="1:8" x14ac:dyDescent="0.25">
      <c r="A416" s="32" t="str">
        <f>+IF(B416="","",SUBTOTAL(3,$B$7:B416))</f>
        <v/>
      </c>
      <c r="B416" s="34"/>
      <c r="C416" s="35"/>
      <c r="D416" s="34"/>
      <c r="E416" s="32"/>
      <c r="F416" s="45"/>
      <c r="G416" s="45"/>
      <c r="H416" s="45">
        <f t="shared" si="7"/>
        <v>0</v>
      </c>
    </row>
    <row r="417" spans="1:8" x14ac:dyDescent="0.25">
      <c r="A417" s="32" t="str">
        <f>+IF(B417="","",SUBTOTAL(3,$B$7:B417))</f>
        <v/>
      </c>
      <c r="B417" s="34"/>
      <c r="C417" s="35"/>
      <c r="D417" s="34"/>
      <c r="E417" s="32"/>
      <c r="F417" s="45"/>
      <c r="G417" s="45"/>
      <c r="H417" s="45">
        <f t="shared" si="7"/>
        <v>0</v>
      </c>
    </row>
    <row r="418" spans="1:8" x14ac:dyDescent="0.25">
      <c r="A418" s="32" t="str">
        <f>+IF(B418="","",SUBTOTAL(3,$B$7:B418))</f>
        <v/>
      </c>
      <c r="B418" s="34"/>
      <c r="C418" s="35"/>
      <c r="D418" s="34"/>
      <c r="E418" s="32"/>
      <c r="F418" s="45"/>
      <c r="G418" s="45"/>
      <c r="H418" s="45">
        <f t="shared" si="7"/>
        <v>0</v>
      </c>
    </row>
    <row r="419" spans="1:8" x14ac:dyDescent="0.25">
      <c r="A419" s="32" t="str">
        <f>+IF(B419="","",SUBTOTAL(3,$B$7:B419))</f>
        <v/>
      </c>
      <c r="B419" s="34"/>
      <c r="C419" s="35"/>
      <c r="D419" s="34"/>
      <c r="E419" s="32"/>
      <c r="F419" s="45"/>
      <c r="G419" s="45"/>
      <c r="H419" s="45">
        <f t="shared" si="7"/>
        <v>0</v>
      </c>
    </row>
    <row r="420" spans="1:8" x14ac:dyDescent="0.25">
      <c r="A420" s="32" t="str">
        <f>+IF(B420="","",SUBTOTAL(3,$B$7:B420))</f>
        <v/>
      </c>
      <c r="B420" s="34"/>
      <c r="C420" s="35"/>
      <c r="D420" s="34"/>
      <c r="E420" s="32"/>
      <c r="F420" s="45"/>
      <c r="G420" s="45"/>
      <c r="H420" s="45">
        <f t="shared" si="7"/>
        <v>0</v>
      </c>
    </row>
    <row r="421" spans="1:8" x14ac:dyDescent="0.25">
      <c r="A421" s="32" t="str">
        <f>+IF(B421="","",SUBTOTAL(3,$B$7:B421))</f>
        <v/>
      </c>
      <c r="B421" s="34"/>
      <c r="C421" s="35"/>
      <c r="D421" s="34"/>
      <c r="E421" s="32"/>
      <c r="F421" s="45"/>
      <c r="G421" s="45"/>
      <c r="H421" s="45">
        <f t="shared" si="7"/>
        <v>0</v>
      </c>
    </row>
    <row r="422" spans="1:8" x14ac:dyDescent="0.25">
      <c r="A422" s="32" t="str">
        <f>+IF(B422="","",SUBTOTAL(3,$B$7:B422))</f>
        <v/>
      </c>
      <c r="B422" s="34"/>
      <c r="C422" s="35"/>
      <c r="D422" s="34"/>
      <c r="E422" s="32"/>
      <c r="F422" s="45"/>
      <c r="G422" s="45"/>
      <c r="H422" s="45">
        <f t="shared" si="7"/>
        <v>0</v>
      </c>
    </row>
    <row r="423" spans="1:8" x14ac:dyDescent="0.25">
      <c r="A423" s="32" t="str">
        <f>+IF(B423="","",SUBTOTAL(3,$B$7:B423))</f>
        <v/>
      </c>
      <c r="B423" s="34"/>
      <c r="C423" s="35"/>
      <c r="D423" s="34"/>
      <c r="E423" s="32"/>
      <c r="F423" s="45"/>
      <c r="G423" s="45"/>
      <c r="H423" s="45">
        <f t="shared" si="7"/>
        <v>0</v>
      </c>
    </row>
    <row r="424" spans="1:8" x14ac:dyDescent="0.25">
      <c r="A424" s="32" t="str">
        <f>+IF(B424="","",SUBTOTAL(3,$B$7:B424))</f>
        <v/>
      </c>
      <c r="B424" s="34"/>
      <c r="C424" s="35"/>
      <c r="D424" s="34"/>
      <c r="E424" s="32"/>
      <c r="F424" s="45"/>
      <c r="G424" s="45"/>
      <c r="H424" s="45">
        <f t="shared" si="7"/>
        <v>0</v>
      </c>
    </row>
    <row r="425" spans="1:8" x14ac:dyDescent="0.25">
      <c r="A425" s="32" t="str">
        <f>+IF(B425="","",SUBTOTAL(3,$B$7:B425))</f>
        <v/>
      </c>
      <c r="B425" s="34"/>
      <c r="C425" s="35"/>
      <c r="D425" s="34"/>
      <c r="E425" s="32"/>
      <c r="F425" s="45"/>
      <c r="G425" s="45"/>
      <c r="H425" s="45">
        <f t="shared" si="7"/>
        <v>0</v>
      </c>
    </row>
    <row r="426" spans="1:8" x14ac:dyDescent="0.25">
      <c r="A426" s="32" t="str">
        <f>+IF(B426="","",SUBTOTAL(3,$B$7:B426))</f>
        <v/>
      </c>
      <c r="B426" s="34"/>
      <c r="C426" s="35"/>
      <c r="D426" s="34"/>
      <c r="E426" s="32"/>
      <c r="F426" s="45"/>
      <c r="G426" s="45"/>
      <c r="H426" s="45">
        <f t="shared" si="7"/>
        <v>0</v>
      </c>
    </row>
    <row r="427" spans="1:8" x14ac:dyDescent="0.25">
      <c r="A427" s="32" t="str">
        <f>+IF(B427="","",SUBTOTAL(3,$B$7:B427))</f>
        <v/>
      </c>
      <c r="B427" s="34"/>
      <c r="C427" s="35"/>
      <c r="D427" s="34"/>
      <c r="E427" s="32"/>
      <c r="F427" s="45"/>
      <c r="G427" s="45"/>
      <c r="H427" s="45">
        <f t="shared" si="7"/>
        <v>0</v>
      </c>
    </row>
    <row r="428" spans="1:8" x14ac:dyDescent="0.25">
      <c r="A428" s="32" t="str">
        <f>+IF(B428="","",SUBTOTAL(3,$B$7:B428))</f>
        <v/>
      </c>
      <c r="B428" s="34"/>
      <c r="C428" s="35"/>
      <c r="D428" s="34"/>
      <c r="E428" s="32"/>
      <c r="F428" s="45"/>
      <c r="G428" s="45"/>
      <c r="H428" s="45">
        <f t="shared" si="7"/>
        <v>0</v>
      </c>
    </row>
    <row r="429" spans="1:8" x14ac:dyDescent="0.25">
      <c r="A429" s="32" t="str">
        <f>+IF(B429="","",SUBTOTAL(3,$B$7:B429))</f>
        <v/>
      </c>
      <c r="B429" s="34"/>
      <c r="C429" s="35"/>
      <c r="D429" s="34"/>
      <c r="E429" s="32"/>
      <c r="F429" s="45"/>
      <c r="G429" s="45"/>
      <c r="H429" s="45">
        <f t="shared" si="7"/>
        <v>0</v>
      </c>
    </row>
    <row r="430" spans="1:8" x14ac:dyDescent="0.25">
      <c r="A430" s="32" t="str">
        <f>+IF(B430="","",SUBTOTAL(3,$B$7:B430))</f>
        <v/>
      </c>
      <c r="B430" s="34"/>
      <c r="C430" s="35"/>
      <c r="D430" s="34"/>
      <c r="E430" s="32"/>
      <c r="F430" s="45"/>
      <c r="G430" s="45"/>
      <c r="H430" s="45">
        <f t="shared" si="7"/>
        <v>0</v>
      </c>
    </row>
    <row r="431" spans="1:8" x14ac:dyDescent="0.25">
      <c r="A431" s="32" t="str">
        <f>+IF(B431="","",SUBTOTAL(3,$B$7:B431))</f>
        <v/>
      </c>
      <c r="B431" s="34"/>
      <c r="C431" s="35"/>
      <c r="D431" s="34"/>
      <c r="E431" s="32"/>
      <c r="F431" s="45"/>
      <c r="G431" s="45"/>
      <c r="H431" s="45">
        <f t="shared" si="7"/>
        <v>0</v>
      </c>
    </row>
    <row r="432" spans="1:8" x14ac:dyDescent="0.25">
      <c r="A432" s="32" t="str">
        <f>+IF(B432="","",SUBTOTAL(3,$B$7:B432))</f>
        <v/>
      </c>
      <c r="B432" s="34"/>
      <c r="C432" s="35"/>
      <c r="D432" s="34"/>
      <c r="E432" s="32"/>
      <c r="F432" s="45"/>
      <c r="G432" s="45"/>
      <c r="H432" s="45">
        <f t="shared" si="7"/>
        <v>0</v>
      </c>
    </row>
    <row r="433" spans="1:8" x14ac:dyDescent="0.25">
      <c r="A433" s="32" t="str">
        <f>+IF(B433="","",SUBTOTAL(3,$B$7:B433))</f>
        <v/>
      </c>
      <c r="B433" s="34"/>
      <c r="C433" s="35"/>
      <c r="D433" s="34"/>
      <c r="E433" s="32"/>
      <c r="F433" s="45"/>
      <c r="G433" s="45"/>
      <c r="H433" s="45">
        <f t="shared" si="7"/>
        <v>0</v>
      </c>
    </row>
    <row r="434" spans="1:8" x14ac:dyDescent="0.25">
      <c r="A434" s="32" t="str">
        <f>+IF(B434="","",SUBTOTAL(3,$B$7:B434))</f>
        <v/>
      </c>
      <c r="B434" s="34"/>
      <c r="C434" s="35"/>
      <c r="D434" s="34"/>
      <c r="E434" s="32"/>
      <c r="F434" s="45"/>
      <c r="G434" s="45"/>
      <c r="H434" s="45">
        <f t="shared" si="7"/>
        <v>0</v>
      </c>
    </row>
    <row r="435" spans="1:8" x14ac:dyDescent="0.25">
      <c r="A435" s="32" t="str">
        <f>+IF(B435="","",SUBTOTAL(3,$B$7:B435))</f>
        <v/>
      </c>
      <c r="B435" s="34"/>
      <c r="C435" s="35"/>
      <c r="D435" s="34"/>
      <c r="E435" s="32"/>
      <c r="F435" s="45"/>
      <c r="G435" s="45"/>
      <c r="H435" s="45">
        <f t="shared" si="7"/>
        <v>0</v>
      </c>
    </row>
    <row r="436" spans="1:8" x14ac:dyDescent="0.25">
      <c r="A436" s="32" t="str">
        <f>+IF(B436="","",SUBTOTAL(3,$B$7:B436))</f>
        <v/>
      </c>
      <c r="B436" s="34"/>
      <c r="C436" s="35"/>
      <c r="D436" s="34"/>
      <c r="E436" s="32"/>
      <c r="F436" s="45"/>
      <c r="G436" s="45"/>
      <c r="H436" s="45">
        <f t="shared" si="7"/>
        <v>0</v>
      </c>
    </row>
    <row r="437" spans="1:8" x14ac:dyDescent="0.25">
      <c r="A437" s="32" t="str">
        <f>+IF(B437="","",SUBTOTAL(3,$B$7:B437))</f>
        <v/>
      </c>
      <c r="B437" s="34"/>
      <c r="C437" s="35"/>
      <c r="D437" s="34"/>
      <c r="E437" s="32"/>
      <c r="F437" s="45"/>
      <c r="G437" s="45"/>
      <c r="H437" s="45">
        <f t="shared" si="7"/>
        <v>0</v>
      </c>
    </row>
    <row r="438" spans="1:8" x14ac:dyDescent="0.25">
      <c r="A438" s="32" t="str">
        <f>+IF(B438="","",SUBTOTAL(3,$B$7:B438))</f>
        <v/>
      </c>
      <c r="B438" s="34"/>
      <c r="C438" s="35"/>
      <c r="D438" s="34"/>
      <c r="E438" s="32"/>
      <c r="F438" s="45"/>
      <c r="G438" s="45"/>
      <c r="H438" s="45">
        <f t="shared" si="7"/>
        <v>0</v>
      </c>
    </row>
    <row r="439" spans="1:8" x14ac:dyDescent="0.25">
      <c r="A439" s="32" t="str">
        <f>+IF(B439="","",SUBTOTAL(3,$B$7:B439))</f>
        <v/>
      </c>
      <c r="B439" s="34"/>
      <c r="C439" s="35"/>
      <c r="D439" s="34"/>
      <c r="E439" s="32"/>
      <c r="F439" s="45"/>
      <c r="G439" s="45"/>
      <c r="H439" s="45">
        <f t="shared" si="7"/>
        <v>0</v>
      </c>
    </row>
    <row r="440" spans="1:8" x14ac:dyDescent="0.25">
      <c r="A440" s="32" t="str">
        <f>+IF(B440="","",SUBTOTAL(3,$B$7:B440))</f>
        <v/>
      </c>
      <c r="B440" s="34"/>
      <c r="C440" s="35"/>
      <c r="D440" s="34"/>
      <c r="E440" s="32"/>
      <c r="F440" s="45"/>
      <c r="G440" s="45"/>
      <c r="H440" s="45">
        <f t="shared" si="7"/>
        <v>0</v>
      </c>
    </row>
    <row r="441" spans="1:8" x14ac:dyDescent="0.25">
      <c r="A441" s="32" t="str">
        <f>+IF(B441="","",SUBTOTAL(3,$B$7:B441))</f>
        <v/>
      </c>
      <c r="B441" s="34"/>
      <c r="C441" s="35"/>
      <c r="D441" s="34"/>
      <c r="E441" s="32"/>
      <c r="F441" s="45"/>
      <c r="G441" s="45"/>
      <c r="H441" s="45">
        <f t="shared" si="7"/>
        <v>0</v>
      </c>
    </row>
    <row r="442" spans="1:8" x14ac:dyDescent="0.25">
      <c r="A442" s="32" t="str">
        <f>+IF(B442="","",SUBTOTAL(3,$B$7:B442))</f>
        <v/>
      </c>
      <c r="B442" s="34"/>
      <c r="C442" s="35"/>
      <c r="D442" s="34"/>
      <c r="E442" s="32"/>
      <c r="F442" s="45"/>
      <c r="G442" s="45"/>
      <c r="H442" s="45">
        <f t="shared" si="7"/>
        <v>0</v>
      </c>
    </row>
    <row r="443" spans="1:8" x14ac:dyDescent="0.25">
      <c r="A443" s="32" t="str">
        <f>+IF(B443="","",SUBTOTAL(3,$B$7:B443))</f>
        <v/>
      </c>
      <c r="B443" s="34"/>
      <c r="C443" s="35"/>
      <c r="D443" s="34"/>
      <c r="E443" s="32"/>
      <c r="F443" s="45"/>
      <c r="G443" s="45"/>
      <c r="H443" s="45">
        <f t="shared" si="7"/>
        <v>0</v>
      </c>
    </row>
    <row r="444" spans="1:8" x14ac:dyDescent="0.25">
      <c r="A444" s="32" t="str">
        <f>+IF(B444="","",SUBTOTAL(3,$B$7:B444))</f>
        <v/>
      </c>
      <c r="B444" s="34"/>
      <c r="C444" s="35"/>
      <c r="D444" s="34"/>
      <c r="E444" s="32"/>
      <c r="F444" s="45"/>
      <c r="G444" s="45"/>
      <c r="H444" s="45">
        <f t="shared" si="7"/>
        <v>0</v>
      </c>
    </row>
    <row r="445" spans="1:8" x14ac:dyDescent="0.25">
      <c r="A445" s="32" t="str">
        <f>+IF(B445="","",SUBTOTAL(3,$B$7:B445))</f>
        <v/>
      </c>
      <c r="B445" s="34"/>
      <c r="C445" s="35"/>
      <c r="D445" s="34"/>
      <c r="E445" s="32"/>
      <c r="F445" s="45"/>
      <c r="G445" s="45"/>
      <c r="H445" s="45">
        <f t="shared" si="7"/>
        <v>0</v>
      </c>
    </row>
    <row r="446" spans="1:8" x14ac:dyDescent="0.25">
      <c r="A446" s="32" t="str">
        <f>+IF(B446="","",SUBTOTAL(3,$B$7:B446))</f>
        <v/>
      </c>
      <c r="B446" s="34"/>
      <c r="C446" s="35"/>
      <c r="D446" s="34"/>
      <c r="E446" s="32"/>
      <c r="F446" s="45"/>
      <c r="G446" s="45"/>
      <c r="H446" s="45">
        <f t="shared" si="7"/>
        <v>0</v>
      </c>
    </row>
    <row r="447" spans="1:8" x14ac:dyDescent="0.25">
      <c r="A447" s="32" t="str">
        <f>+IF(B447="","",SUBTOTAL(3,$B$7:B447))</f>
        <v/>
      </c>
      <c r="B447" s="34"/>
      <c r="C447" s="35"/>
      <c r="D447" s="34"/>
      <c r="E447" s="32"/>
      <c r="F447" s="45"/>
      <c r="G447" s="45"/>
      <c r="H447" s="45">
        <f t="shared" si="7"/>
        <v>0</v>
      </c>
    </row>
    <row r="448" spans="1:8" x14ac:dyDescent="0.25">
      <c r="A448" s="32" t="str">
        <f>+IF(B448="","",SUBTOTAL(3,$B$7:B448))</f>
        <v/>
      </c>
      <c r="B448" s="34"/>
      <c r="C448" s="35"/>
      <c r="D448" s="34"/>
      <c r="E448" s="32"/>
      <c r="F448" s="45"/>
      <c r="G448" s="45"/>
      <c r="H448" s="45">
        <f t="shared" si="7"/>
        <v>0</v>
      </c>
    </row>
    <row r="449" spans="1:8" x14ac:dyDescent="0.25">
      <c r="A449" s="32" t="str">
        <f>+IF(B449="","",SUBTOTAL(3,$B$7:B449))</f>
        <v/>
      </c>
      <c r="B449" s="34"/>
      <c r="C449" s="35"/>
      <c r="D449" s="34"/>
      <c r="E449" s="32"/>
      <c r="F449" s="45"/>
      <c r="G449" s="45"/>
      <c r="H449" s="45">
        <f t="shared" si="7"/>
        <v>0</v>
      </c>
    </row>
    <row r="450" spans="1:8" x14ac:dyDescent="0.25">
      <c r="A450" s="32" t="str">
        <f>+IF(B450="","",SUBTOTAL(3,$B$7:B450))</f>
        <v/>
      </c>
      <c r="B450" s="34"/>
      <c r="C450" s="35"/>
      <c r="D450" s="34"/>
      <c r="E450" s="32"/>
      <c r="F450" s="45"/>
      <c r="G450" s="45"/>
      <c r="H450" s="45">
        <f t="shared" si="7"/>
        <v>0</v>
      </c>
    </row>
    <row r="451" spans="1:8" x14ac:dyDescent="0.25">
      <c r="A451" s="32" t="str">
        <f>+IF(B451="","",SUBTOTAL(3,$B$7:B451))</f>
        <v/>
      </c>
      <c r="B451" s="34"/>
      <c r="C451" s="35"/>
      <c r="D451" s="34"/>
      <c r="E451" s="32"/>
      <c r="F451" s="45"/>
      <c r="G451" s="45"/>
      <c r="H451" s="45">
        <f t="shared" si="7"/>
        <v>0</v>
      </c>
    </row>
    <row r="452" spans="1:8" x14ac:dyDescent="0.25">
      <c r="A452" s="32" t="str">
        <f>+IF(B452="","",SUBTOTAL(3,$B$7:B452))</f>
        <v/>
      </c>
      <c r="B452" s="34"/>
      <c r="C452" s="35"/>
      <c r="D452" s="34"/>
      <c r="E452" s="32"/>
      <c r="F452" s="45"/>
      <c r="G452" s="45"/>
      <c r="H452" s="45">
        <f t="shared" si="7"/>
        <v>0</v>
      </c>
    </row>
    <row r="453" spans="1:8" x14ac:dyDescent="0.25">
      <c r="A453" s="32" t="str">
        <f>+IF(B453="","",SUBTOTAL(3,$B$7:B453))</f>
        <v/>
      </c>
      <c r="B453" s="34"/>
      <c r="C453" s="35"/>
      <c r="D453" s="34"/>
      <c r="E453" s="32"/>
      <c r="F453" s="45"/>
      <c r="G453" s="45"/>
      <c r="H453" s="45">
        <f t="shared" si="7"/>
        <v>0</v>
      </c>
    </row>
    <row r="454" spans="1:8" x14ac:dyDescent="0.25">
      <c r="A454" s="32" t="str">
        <f>+IF(B454="","",SUBTOTAL(3,$B$7:B454))</f>
        <v/>
      </c>
      <c r="B454" s="34"/>
      <c r="C454" s="35"/>
      <c r="D454" s="34"/>
      <c r="E454" s="32"/>
      <c r="F454" s="45"/>
      <c r="G454" s="45"/>
      <c r="H454" s="45">
        <f t="shared" si="7"/>
        <v>0</v>
      </c>
    </row>
    <row r="455" spans="1:8" x14ac:dyDescent="0.25">
      <c r="A455" s="32" t="str">
        <f>+IF(B455="","",SUBTOTAL(3,$B$7:B455))</f>
        <v/>
      </c>
      <c r="B455" s="34"/>
      <c r="C455" s="35"/>
      <c r="D455" s="34"/>
      <c r="E455" s="32"/>
      <c r="F455" s="45"/>
      <c r="G455" s="45"/>
      <c r="H455" s="45">
        <f t="shared" si="7"/>
        <v>0</v>
      </c>
    </row>
    <row r="456" spans="1:8" x14ac:dyDescent="0.25">
      <c r="A456" s="32" t="str">
        <f>+IF(B456="","",SUBTOTAL(3,$B$7:B456))</f>
        <v/>
      </c>
      <c r="B456" s="34"/>
      <c r="C456" s="35"/>
      <c r="D456" s="34"/>
      <c r="E456" s="32"/>
      <c r="F456" s="45"/>
      <c r="G456" s="45"/>
      <c r="H456" s="45">
        <f t="shared" ref="H456:H519" si="8">+G456*F456</f>
        <v>0</v>
      </c>
    </row>
    <row r="457" spans="1:8" x14ac:dyDescent="0.25">
      <c r="A457" s="32" t="str">
        <f>+IF(B457="","",SUBTOTAL(3,$B$7:B457))</f>
        <v/>
      </c>
      <c r="B457" s="34"/>
      <c r="C457" s="35"/>
      <c r="D457" s="34"/>
      <c r="E457" s="32"/>
      <c r="F457" s="45"/>
      <c r="G457" s="45"/>
      <c r="H457" s="45">
        <f t="shared" si="8"/>
        <v>0</v>
      </c>
    </row>
    <row r="458" spans="1:8" x14ac:dyDescent="0.25">
      <c r="A458" s="32" t="str">
        <f>+IF(B458="","",SUBTOTAL(3,$B$7:B458))</f>
        <v/>
      </c>
      <c r="B458" s="34"/>
      <c r="C458" s="35"/>
      <c r="D458" s="34"/>
      <c r="E458" s="32"/>
      <c r="F458" s="45"/>
      <c r="G458" s="45"/>
      <c r="H458" s="45">
        <f t="shared" si="8"/>
        <v>0</v>
      </c>
    </row>
    <row r="459" spans="1:8" x14ac:dyDescent="0.25">
      <c r="A459" s="32" t="str">
        <f>+IF(B459="","",SUBTOTAL(3,$B$7:B459))</f>
        <v/>
      </c>
      <c r="B459" s="34"/>
      <c r="C459" s="35"/>
      <c r="D459" s="34"/>
      <c r="E459" s="32"/>
      <c r="F459" s="45"/>
      <c r="G459" s="45"/>
      <c r="H459" s="45">
        <f t="shared" si="8"/>
        <v>0</v>
      </c>
    </row>
    <row r="460" spans="1:8" x14ac:dyDescent="0.25">
      <c r="A460" s="32" t="str">
        <f>+IF(B460="","",SUBTOTAL(3,$B$7:B460))</f>
        <v/>
      </c>
      <c r="B460" s="34"/>
      <c r="C460" s="35"/>
      <c r="D460" s="34"/>
      <c r="E460" s="32"/>
      <c r="F460" s="45"/>
      <c r="G460" s="45"/>
      <c r="H460" s="45">
        <f t="shared" si="8"/>
        <v>0</v>
      </c>
    </row>
    <row r="461" spans="1:8" x14ac:dyDescent="0.25">
      <c r="A461" s="32" t="str">
        <f>+IF(B461="","",SUBTOTAL(3,$B$7:B461))</f>
        <v/>
      </c>
      <c r="B461" s="34"/>
      <c r="C461" s="35"/>
      <c r="D461" s="34"/>
      <c r="E461" s="32"/>
      <c r="F461" s="45"/>
      <c r="G461" s="45"/>
      <c r="H461" s="45">
        <f t="shared" si="8"/>
        <v>0</v>
      </c>
    </row>
    <row r="462" spans="1:8" x14ac:dyDescent="0.25">
      <c r="A462" s="32" t="str">
        <f>+IF(B462="","",SUBTOTAL(3,$B$7:B462))</f>
        <v/>
      </c>
      <c r="B462" s="34"/>
      <c r="C462" s="35"/>
      <c r="D462" s="34"/>
      <c r="E462" s="32"/>
      <c r="F462" s="45"/>
      <c r="G462" s="45"/>
      <c r="H462" s="45">
        <f t="shared" si="8"/>
        <v>0</v>
      </c>
    </row>
    <row r="463" spans="1:8" x14ac:dyDescent="0.25">
      <c r="A463" s="32" t="str">
        <f>+IF(B463="","",SUBTOTAL(3,$B$7:B463))</f>
        <v/>
      </c>
      <c r="B463" s="34"/>
      <c r="C463" s="35"/>
      <c r="D463" s="34"/>
      <c r="E463" s="32"/>
      <c r="F463" s="45"/>
      <c r="G463" s="45"/>
      <c r="H463" s="45">
        <f t="shared" si="8"/>
        <v>0</v>
      </c>
    </row>
    <row r="464" spans="1:8" x14ac:dyDescent="0.25">
      <c r="A464" s="32" t="str">
        <f>+IF(B464="","",SUBTOTAL(3,$B$7:B464))</f>
        <v/>
      </c>
      <c r="B464" s="34"/>
      <c r="C464" s="35"/>
      <c r="D464" s="34"/>
      <c r="E464" s="32"/>
      <c r="F464" s="45"/>
      <c r="G464" s="45"/>
      <c r="H464" s="45">
        <f t="shared" si="8"/>
        <v>0</v>
      </c>
    </row>
    <row r="465" spans="1:8" x14ac:dyDescent="0.25">
      <c r="A465" s="32" t="str">
        <f>+IF(B465="","",SUBTOTAL(3,$B$7:B465))</f>
        <v/>
      </c>
      <c r="B465" s="34"/>
      <c r="C465" s="35"/>
      <c r="D465" s="34"/>
      <c r="E465" s="32"/>
      <c r="F465" s="45"/>
      <c r="G465" s="45"/>
      <c r="H465" s="45">
        <f t="shared" si="8"/>
        <v>0</v>
      </c>
    </row>
    <row r="466" spans="1:8" x14ac:dyDescent="0.25">
      <c r="A466" s="32" t="str">
        <f>+IF(B466="","",SUBTOTAL(3,$B$7:B466))</f>
        <v/>
      </c>
      <c r="B466" s="34"/>
      <c r="C466" s="35"/>
      <c r="D466" s="34"/>
      <c r="E466" s="32"/>
      <c r="F466" s="45"/>
      <c r="G466" s="45"/>
      <c r="H466" s="45">
        <f t="shared" si="8"/>
        <v>0</v>
      </c>
    </row>
    <row r="467" spans="1:8" x14ac:dyDescent="0.25">
      <c r="A467" s="32" t="str">
        <f>+IF(B467="","",SUBTOTAL(3,$B$7:B467))</f>
        <v/>
      </c>
      <c r="B467" s="34"/>
      <c r="C467" s="35"/>
      <c r="D467" s="34"/>
      <c r="E467" s="32"/>
      <c r="F467" s="45"/>
      <c r="G467" s="45"/>
      <c r="H467" s="45">
        <f t="shared" si="8"/>
        <v>0</v>
      </c>
    </row>
    <row r="468" spans="1:8" x14ac:dyDescent="0.25">
      <c r="A468" s="32" t="str">
        <f>+IF(B468="","",SUBTOTAL(3,$B$7:B468))</f>
        <v/>
      </c>
      <c r="B468" s="34"/>
      <c r="C468" s="35"/>
      <c r="D468" s="34"/>
      <c r="E468" s="32"/>
      <c r="F468" s="45"/>
      <c r="G468" s="45"/>
      <c r="H468" s="45">
        <f t="shared" si="8"/>
        <v>0</v>
      </c>
    </row>
    <row r="469" spans="1:8" x14ac:dyDescent="0.25">
      <c r="A469" s="32" t="str">
        <f>+IF(B469="","",SUBTOTAL(3,$B$7:B469))</f>
        <v/>
      </c>
      <c r="B469" s="34"/>
      <c r="C469" s="35"/>
      <c r="D469" s="34"/>
      <c r="E469" s="32"/>
      <c r="F469" s="45"/>
      <c r="G469" s="45"/>
      <c r="H469" s="45">
        <f t="shared" si="8"/>
        <v>0</v>
      </c>
    </row>
    <row r="470" spans="1:8" x14ac:dyDescent="0.25">
      <c r="A470" s="32" t="str">
        <f>+IF(B470="","",SUBTOTAL(3,$B$7:B470))</f>
        <v/>
      </c>
      <c r="B470" s="34"/>
      <c r="C470" s="35"/>
      <c r="D470" s="34"/>
      <c r="E470" s="32"/>
      <c r="F470" s="45"/>
      <c r="G470" s="45"/>
      <c r="H470" s="45">
        <f t="shared" si="8"/>
        <v>0</v>
      </c>
    </row>
    <row r="471" spans="1:8" x14ac:dyDescent="0.25">
      <c r="A471" s="32" t="str">
        <f>+IF(B471="","",SUBTOTAL(3,$B$7:B471))</f>
        <v/>
      </c>
      <c r="B471" s="34"/>
      <c r="C471" s="35"/>
      <c r="D471" s="34"/>
      <c r="E471" s="32"/>
      <c r="F471" s="45"/>
      <c r="G471" s="45"/>
      <c r="H471" s="45">
        <f t="shared" si="8"/>
        <v>0</v>
      </c>
    </row>
    <row r="472" spans="1:8" x14ac:dyDescent="0.25">
      <c r="A472" s="32" t="str">
        <f>+IF(B472="","",SUBTOTAL(3,$B$7:B472))</f>
        <v/>
      </c>
      <c r="B472" s="34"/>
      <c r="C472" s="35"/>
      <c r="D472" s="34"/>
      <c r="E472" s="32"/>
      <c r="F472" s="45"/>
      <c r="G472" s="45"/>
      <c r="H472" s="45">
        <f t="shared" si="8"/>
        <v>0</v>
      </c>
    </row>
    <row r="473" spans="1:8" x14ac:dyDescent="0.25">
      <c r="A473" s="32" t="str">
        <f>+IF(B473="","",SUBTOTAL(3,$B$7:B473))</f>
        <v/>
      </c>
      <c r="B473" s="34"/>
      <c r="C473" s="35"/>
      <c r="D473" s="34"/>
      <c r="E473" s="32"/>
      <c r="F473" s="45"/>
      <c r="G473" s="45"/>
      <c r="H473" s="45">
        <f t="shared" si="8"/>
        <v>0</v>
      </c>
    </row>
    <row r="474" spans="1:8" x14ac:dyDescent="0.25">
      <c r="A474" s="32" t="str">
        <f>+IF(B474="","",SUBTOTAL(3,$B$7:B474))</f>
        <v/>
      </c>
      <c r="B474" s="34"/>
      <c r="C474" s="35"/>
      <c r="D474" s="34"/>
      <c r="E474" s="32"/>
      <c r="F474" s="45"/>
      <c r="G474" s="45"/>
      <c r="H474" s="45">
        <f t="shared" si="8"/>
        <v>0</v>
      </c>
    </row>
    <row r="475" spans="1:8" x14ac:dyDescent="0.25">
      <c r="A475" s="32" t="str">
        <f>+IF(B475="","",SUBTOTAL(3,$B$7:B475))</f>
        <v/>
      </c>
      <c r="B475" s="34"/>
      <c r="C475" s="35"/>
      <c r="D475" s="34"/>
      <c r="E475" s="32"/>
      <c r="F475" s="45"/>
      <c r="G475" s="45"/>
      <c r="H475" s="45">
        <f t="shared" si="8"/>
        <v>0</v>
      </c>
    </row>
    <row r="476" spans="1:8" x14ac:dyDescent="0.25">
      <c r="A476" s="32" t="str">
        <f>+IF(B476="","",SUBTOTAL(3,$B$7:B476))</f>
        <v/>
      </c>
      <c r="B476" s="34"/>
      <c r="C476" s="35"/>
      <c r="D476" s="34"/>
      <c r="E476" s="32"/>
      <c r="F476" s="45"/>
      <c r="G476" s="45"/>
      <c r="H476" s="45">
        <f t="shared" si="8"/>
        <v>0</v>
      </c>
    </row>
    <row r="477" spans="1:8" x14ac:dyDescent="0.25">
      <c r="A477" s="32" t="str">
        <f>+IF(B477="","",SUBTOTAL(3,$B$7:B477))</f>
        <v/>
      </c>
      <c r="B477" s="34"/>
      <c r="C477" s="35"/>
      <c r="D477" s="34"/>
      <c r="E477" s="32"/>
      <c r="F477" s="45"/>
      <c r="G477" s="45"/>
      <c r="H477" s="45">
        <f t="shared" si="8"/>
        <v>0</v>
      </c>
    </row>
    <row r="478" spans="1:8" x14ac:dyDescent="0.25">
      <c r="A478" s="32" t="str">
        <f>+IF(B478="","",SUBTOTAL(3,$B$7:B478))</f>
        <v/>
      </c>
      <c r="B478" s="34"/>
      <c r="C478" s="35"/>
      <c r="D478" s="34"/>
      <c r="E478" s="32"/>
      <c r="F478" s="45"/>
      <c r="G478" s="45"/>
      <c r="H478" s="45">
        <f t="shared" si="8"/>
        <v>0</v>
      </c>
    </row>
    <row r="479" spans="1:8" x14ac:dyDescent="0.25">
      <c r="A479" s="32" t="str">
        <f>+IF(B479="","",SUBTOTAL(3,$B$7:B479))</f>
        <v/>
      </c>
      <c r="B479" s="34"/>
      <c r="C479" s="35"/>
      <c r="D479" s="34"/>
      <c r="E479" s="32"/>
      <c r="F479" s="45"/>
      <c r="G479" s="45"/>
      <c r="H479" s="45">
        <f t="shared" si="8"/>
        <v>0</v>
      </c>
    </row>
    <row r="480" spans="1:8" x14ac:dyDescent="0.25">
      <c r="A480" s="32" t="str">
        <f>+IF(B480="","",SUBTOTAL(3,$B$7:B480))</f>
        <v/>
      </c>
      <c r="B480" s="34"/>
      <c r="C480" s="35"/>
      <c r="D480" s="34"/>
      <c r="E480" s="32"/>
      <c r="F480" s="45"/>
      <c r="G480" s="45"/>
      <c r="H480" s="45">
        <f t="shared" si="8"/>
        <v>0</v>
      </c>
    </row>
    <row r="481" spans="1:8" x14ac:dyDescent="0.25">
      <c r="A481" s="32" t="str">
        <f>+IF(B481="","",SUBTOTAL(3,$B$7:B481))</f>
        <v/>
      </c>
      <c r="B481" s="34"/>
      <c r="C481" s="35"/>
      <c r="D481" s="34"/>
      <c r="E481" s="32"/>
      <c r="F481" s="45"/>
      <c r="G481" s="45"/>
      <c r="H481" s="45">
        <f t="shared" si="8"/>
        <v>0</v>
      </c>
    </row>
    <row r="482" spans="1:8" x14ac:dyDescent="0.25">
      <c r="A482" s="32" t="str">
        <f>+IF(B482="","",SUBTOTAL(3,$B$7:B482))</f>
        <v/>
      </c>
      <c r="B482" s="34"/>
      <c r="C482" s="35"/>
      <c r="D482" s="34"/>
      <c r="E482" s="32"/>
      <c r="F482" s="45"/>
      <c r="G482" s="45"/>
      <c r="H482" s="45">
        <f t="shared" si="8"/>
        <v>0</v>
      </c>
    </row>
    <row r="483" spans="1:8" x14ac:dyDescent="0.25">
      <c r="A483" s="32" t="str">
        <f>+IF(B483="","",SUBTOTAL(3,$B$7:B483))</f>
        <v/>
      </c>
      <c r="B483" s="34"/>
      <c r="C483" s="35"/>
      <c r="D483" s="34"/>
      <c r="E483" s="32"/>
      <c r="F483" s="45"/>
      <c r="G483" s="45"/>
      <c r="H483" s="45">
        <f t="shared" si="8"/>
        <v>0</v>
      </c>
    </row>
    <row r="484" spans="1:8" x14ac:dyDescent="0.25">
      <c r="A484" s="32" t="str">
        <f>+IF(B484="","",SUBTOTAL(3,$B$7:B484))</f>
        <v/>
      </c>
      <c r="B484" s="34"/>
      <c r="C484" s="35"/>
      <c r="D484" s="34"/>
      <c r="E484" s="32"/>
      <c r="F484" s="45"/>
      <c r="G484" s="45"/>
      <c r="H484" s="45">
        <f t="shared" si="8"/>
        <v>0</v>
      </c>
    </row>
    <row r="485" spans="1:8" x14ac:dyDescent="0.25">
      <c r="A485" s="32" t="str">
        <f>+IF(B485="","",SUBTOTAL(3,$B$7:B485))</f>
        <v/>
      </c>
      <c r="B485" s="34"/>
      <c r="C485" s="35"/>
      <c r="D485" s="34"/>
      <c r="E485" s="32"/>
      <c r="F485" s="45"/>
      <c r="G485" s="45"/>
      <c r="H485" s="45">
        <f t="shared" si="8"/>
        <v>0</v>
      </c>
    </row>
    <row r="486" spans="1:8" x14ac:dyDescent="0.25">
      <c r="A486" s="32" t="str">
        <f>+IF(B486="","",SUBTOTAL(3,$B$7:B486))</f>
        <v/>
      </c>
      <c r="B486" s="34"/>
      <c r="C486" s="35"/>
      <c r="D486" s="34"/>
      <c r="E486" s="32"/>
      <c r="F486" s="45"/>
      <c r="G486" s="45"/>
      <c r="H486" s="45">
        <f t="shared" si="8"/>
        <v>0</v>
      </c>
    </row>
    <row r="487" spans="1:8" x14ac:dyDescent="0.25">
      <c r="A487" s="32" t="str">
        <f>+IF(B487="","",SUBTOTAL(3,$B$7:B487))</f>
        <v/>
      </c>
      <c r="B487" s="34"/>
      <c r="C487" s="35"/>
      <c r="D487" s="34"/>
      <c r="E487" s="32"/>
      <c r="F487" s="45"/>
      <c r="G487" s="45"/>
      <c r="H487" s="45">
        <f t="shared" si="8"/>
        <v>0</v>
      </c>
    </row>
    <row r="488" spans="1:8" x14ac:dyDescent="0.25">
      <c r="A488" s="32" t="str">
        <f>+IF(B488="","",SUBTOTAL(3,$B$7:B488))</f>
        <v/>
      </c>
      <c r="B488" s="34"/>
      <c r="C488" s="35"/>
      <c r="D488" s="34"/>
      <c r="E488" s="32"/>
      <c r="F488" s="45"/>
      <c r="G488" s="45"/>
      <c r="H488" s="45">
        <f t="shared" si="8"/>
        <v>0</v>
      </c>
    </row>
    <row r="489" spans="1:8" x14ac:dyDescent="0.25">
      <c r="A489" s="32" t="str">
        <f>+IF(B489="","",SUBTOTAL(3,$B$7:B489))</f>
        <v/>
      </c>
      <c r="B489" s="34"/>
      <c r="C489" s="35"/>
      <c r="D489" s="34"/>
      <c r="E489" s="32"/>
      <c r="F489" s="45"/>
      <c r="G489" s="45"/>
      <c r="H489" s="45">
        <f t="shared" si="8"/>
        <v>0</v>
      </c>
    </row>
    <row r="490" spans="1:8" x14ac:dyDescent="0.25">
      <c r="A490" s="32" t="str">
        <f>+IF(B490="","",SUBTOTAL(3,$B$7:B490))</f>
        <v/>
      </c>
      <c r="B490" s="34"/>
      <c r="C490" s="35"/>
      <c r="D490" s="34"/>
      <c r="E490" s="32"/>
      <c r="F490" s="45"/>
      <c r="G490" s="45"/>
      <c r="H490" s="45">
        <f t="shared" si="8"/>
        <v>0</v>
      </c>
    </row>
    <row r="491" spans="1:8" x14ac:dyDescent="0.25">
      <c r="A491" s="32" t="str">
        <f>+IF(B491="","",SUBTOTAL(3,$B$7:B491))</f>
        <v/>
      </c>
      <c r="B491" s="34"/>
      <c r="C491" s="35"/>
      <c r="D491" s="34"/>
      <c r="E491" s="32"/>
      <c r="F491" s="45"/>
      <c r="G491" s="45"/>
      <c r="H491" s="45">
        <f t="shared" si="8"/>
        <v>0</v>
      </c>
    </row>
    <row r="492" spans="1:8" x14ac:dyDescent="0.25">
      <c r="A492" s="32" t="str">
        <f>+IF(B492="","",SUBTOTAL(3,$B$7:B492))</f>
        <v/>
      </c>
      <c r="B492" s="34"/>
      <c r="C492" s="35"/>
      <c r="D492" s="34"/>
      <c r="E492" s="32"/>
      <c r="F492" s="45"/>
      <c r="G492" s="45"/>
      <c r="H492" s="45">
        <f t="shared" si="8"/>
        <v>0</v>
      </c>
    </row>
    <row r="493" spans="1:8" x14ac:dyDescent="0.25">
      <c r="A493" s="32" t="str">
        <f>+IF(B493="","",SUBTOTAL(3,$B$7:B493))</f>
        <v/>
      </c>
      <c r="B493" s="34"/>
      <c r="C493" s="35"/>
      <c r="D493" s="34"/>
      <c r="E493" s="32"/>
      <c r="F493" s="45"/>
      <c r="G493" s="45"/>
      <c r="H493" s="45">
        <f t="shared" si="8"/>
        <v>0</v>
      </c>
    </row>
    <row r="494" spans="1:8" x14ac:dyDescent="0.25">
      <c r="A494" s="32" t="str">
        <f>+IF(B494="","",SUBTOTAL(3,$B$7:B494))</f>
        <v/>
      </c>
      <c r="B494" s="34"/>
      <c r="C494" s="35"/>
      <c r="D494" s="34"/>
      <c r="E494" s="32"/>
      <c r="F494" s="45"/>
      <c r="G494" s="45"/>
      <c r="H494" s="45">
        <f t="shared" si="8"/>
        <v>0</v>
      </c>
    </row>
    <row r="495" spans="1:8" x14ac:dyDescent="0.25">
      <c r="A495" s="32" t="str">
        <f>+IF(B495="","",SUBTOTAL(3,$B$7:B495))</f>
        <v/>
      </c>
      <c r="B495" s="34"/>
      <c r="C495" s="35"/>
      <c r="D495" s="34"/>
      <c r="E495" s="32"/>
      <c r="F495" s="45"/>
      <c r="G495" s="45"/>
      <c r="H495" s="45">
        <f t="shared" si="8"/>
        <v>0</v>
      </c>
    </row>
    <row r="496" spans="1:8" x14ac:dyDescent="0.25">
      <c r="A496" s="32" t="str">
        <f>+IF(B496="","",SUBTOTAL(3,$B$7:B496))</f>
        <v/>
      </c>
      <c r="B496" s="34"/>
      <c r="C496" s="35"/>
      <c r="D496" s="34"/>
      <c r="E496" s="32"/>
      <c r="F496" s="45"/>
      <c r="G496" s="45"/>
      <c r="H496" s="45">
        <f t="shared" si="8"/>
        <v>0</v>
      </c>
    </row>
    <row r="497" spans="1:8" x14ac:dyDescent="0.25">
      <c r="A497" s="32" t="str">
        <f>+IF(B497="","",SUBTOTAL(3,$B$7:B497))</f>
        <v/>
      </c>
      <c r="B497" s="34"/>
      <c r="C497" s="35"/>
      <c r="D497" s="34"/>
      <c r="E497" s="32"/>
      <c r="F497" s="45"/>
      <c r="G497" s="45"/>
      <c r="H497" s="45">
        <f t="shared" si="8"/>
        <v>0</v>
      </c>
    </row>
    <row r="498" spans="1:8" x14ac:dyDescent="0.25">
      <c r="A498" s="32" t="str">
        <f>+IF(B498="","",SUBTOTAL(3,$B$7:B498))</f>
        <v/>
      </c>
      <c r="B498" s="34"/>
      <c r="C498" s="35"/>
      <c r="D498" s="34"/>
      <c r="E498" s="32"/>
      <c r="F498" s="45"/>
      <c r="G498" s="45"/>
      <c r="H498" s="45">
        <f t="shared" si="8"/>
        <v>0</v>
      </c>
    </row>
    <row r="499" spans="1:8" x14ac:dyDescent="0.25">
      <c r="A499" s="32" t="str">
        <f>+IF(B499="","",SUBTOTAL(3,$B$7:B499))</f>
        <v/>
      </c>
      <c r="B499" s="34"/>
      <c r="C499" s="35"/>
      <c r="D499" s="34"/>
      <c r="E499" s="32"/>
      <c r="F499" s="45"/>
      <c r="G499" s="45"/>
      <c r="H499" s="45">
        <f t="shared" si="8"/>
        <v>0</v>
      </c>
    </row>
    <row r="500" spans="1:8" x14ac:dyDescent="0.25">
      <c r="A500" s="32" t="str">
        <f>+IF(B500="","",SUBTOTAL(3,$B$7:B500))</f>
        <v/>
      </c>
      <c r="B500" s="34"/>
      <c r="C500" s="35"/>
      <c r="D500" s="34"/>
      <c r="E500" s="32"/>
      <c r="F500" s="45"/>
      <c r="G500" s="45"/>
      <c r="H500" s="45">
        <f t="shared" si="8"/>
        <v>0</v>
      </c>
    </row>
    <row r="501" spans="1:8" x14ac:dyDescent="0.25">
      <c r="A501" s="32" t="str">
        <f>+IF(B501="","",SUBTOTAL(3,$B$7:B501))</f>
        <v/>
      </c>
      <c r="B501" s="34"/>
      <c r="C501" s="35"/>
      <c r="D501" s="34"/>
      <c r="E501" s="32"/>
      <c r="F501" s="45"/>
      <c r="G501" s="45"/>
      <c r="H501" s="45">
        <f t="shared" si="8"/>
        <v>0</v>
      </c>
    </row>
    <row r="502" spans="1:8" x14ac:dyDescent="0.25">
      <c r="A502" s="32" t="str">
        <f>+IF(B502="","",SUBTOTAL(3,$B$7:B502))</f>
        <v/>
      </c>
      <c r="B502" s="34"/>
      <c r="C502" s="35"/>
      <c r="D502" s="34"/>
      <c r="E502" s="32"/>
      <c r="F502" s="45"/>
      <c r="G502" s="45"/>
      <c r="H502" s="45">
        <f t="shared" si="8"/>
        <v>0</v>
      </c>
    </row>
    <row r="503" spans="1:8" x14ac:dyDescent="0.25">
      <c r="A503" s="32" t="str">
        <f>+IF(B503="","",SUBTOTAL(3,$B$7:B503))</f>
        <v/>
      </c>
      <c r="B503" s="34"/>
      <c r="C503" s="35"/>
      <c r="D503" s="34"/>
      <c r="E503" s="32"/>
      <c r="F503" s="45"/>
      <c r="G503" s="45"/>
      <c r="H503" s="45">
        <f t="shared" si="8"/>
        <v>0</v>
      </c>
    </row>
    <row r="504" spans="1:8" x14ac:dyDescent="0.25">
      <c r="A504" s="32" t="str">
        <f>+IF(B504="","",SUBTOTAL(3,$B$7:B504))</f>
        <v/>
      </c>
      <c r="B504" s="34"/>
      <c r="C504" s="35"/>
      <c r="D504" s="34"/>
      <c r="E504" s="32"/>
      <c r="F504" s="45"/>
      <c r="G504" s="45"/>
      <c r="H504" s="45">
        <f t="shared" si="8"/>
        <v>0</v>
      </c>
    </row>
    <row r="505" spans="1:8" x14ac:dyDescent="0.25">
      <c r="A505" s="32" t="str">
        <f>+IF(B505="","",SUBTOTAL(3,$B$7:B505))</f>
        <v/>
      </c>
      <c r="B505" s="34"/>
      <c r="C505" s="35"/>
      <c r="D505" s="34"/>
      <c r="E505" s="32"/>
      <c r="F505" s="45"/>
      <c r="G505" s="45"/>
      <c r="H505" s="45">
        <f t="shared" si="8"/>
        <v>0</v>
      </c>
    </row>
    <row r="506" spans="1:8" x14ac:dyDescent="0.25">
      <c r="A506" s="32" t="str">
        <f>+IF(B506="","",SUBTOTAL(3,$B$7:B506))</f>
        <v/>
      </c>
      <c r="B506" s="34"/>
      <c r="C506" s="35"/>
      <c r="D506" s="34"/>
      <c r="E506" s="32"/>
      <c r="F506" s="45"/>
      <c r="G506" s="45"/>
      <c r="H506" s="45">
        <f t="shared" si="8"/>
        <v>0</v>
      </c>
    </row>
    <row r="507" spans="1:8" x14ac:dyDescent="0.25">
      <c r="A507" s="32" t="str">
        <f>+IF(B507="","",SUBTOTAL(3,$B$7:B507))</f>
        <v/>
      </c>
      <c r="B507" s="34"/>
      <c r="C507" s="35"/>
      <c r="D507" s="34"/>
      <c r="E507" s="32"/>
      <c r="F507" s="45"/>
      <c r="G507" s="45"/>
      <c r="H507" s="45">
        <f t="shared" si="8"/>
        <v>0</v>
      </c>
    </row>
    <row r="508" spans="1:8" x14ac:dyDescent="0.25">
      <c r="A508" s="32" t="str">
        <f>+IF(B508="","",SUBTOTAL(3,$B$7:B508))</f>
        <v/>
      </c>
      <c r="B508" s="34"/>
      <c r="C508" s="35"/>
      <c r="D508" s="34"/>
      <c r="E508" s="32"/>
      <c r="F508" s="45"/>
      <c r="G508" s="45"/>
      <c r="H508" s="45">
        <f t="shared" si="8"/>
        <v>0</v>
      </c>
    </row>
    <row r="509" spans="1:8" x14ac:dyDescent="0.25">
      <c r="A509" s="32" t="str">
        <f>+IF(B509="","",SUBTOTAL(3,$B$7:B509))</f>
        <v/>
      </c>
      <c r="B509" s="34"/>
      <c r="C509" s="35"/>
      <c r="D509" s="34"/>
      <c r="E509" s="32"/>
      <c r="F509" s="45"/>
      <c r="G509" s="45"/>
      <c r="H509" s="45">
        <f t="shared" si="8"/>
        <v>0</v>
      </c>
    </row>
    <row r="510" spans="1:8" x14ac:dyDescent="0.25">
      <c r="A510" s="32" t="str">
        <f>+IF(B510="","",SUBTOTAL(3,$B$7:B510))</f>
        <v/>
      </c>
      <c r="B510" s="34"/>
      <c r="C510" s="35"/>
      <c r="D510" s="34"/>
      <c r="E510" s="32"/>
      <c r="F510" s="45"/>
      <c r="G510" s="45"/>
      <c r="H510" s="45">
        <f t="shared" si="8"/>
        <v>0</v>
      </c>
    </row>
    <row r="511" spans="1:8" x14ac:dyDescent="0.25">
      <c r="A511" s="32" t="str">
        <f>+IF(B511="","",SUBTOTAL(3,$B$7:B511))</f>
        <v/>
      </c>
      <c r="B511" s="34"/>
      <c r="C511" s="35"/>
      <c r="D511" s="34"/>
      <c r="E511" s="32"/>
      <c r="F511" s="45"/>
      <c r="G511" s="45"/>
      <c r="H511" s="45">
        <f t="shared" si="8"/>
        <v>0</v>
      </c>
    </row>
    <row r="512" spans="1:8" x14ac:dyDescent="0.25">
      <c r="A512" s="32" t="str">
        <f>+IF(B512="","",SUBTOTAL(3,$B$7:B512))</f>
        <v/>
      </c>
      <c r="B512" s="34"/>
      <c r="C512" s="35"/>
      <c r="D512" s="34"/>
      <c r="E512" s="32"/>
      <c r="F512" s="45"/>
      <c r="G512" s="45"/>
      <c r="H512" s="45">
        <f t="shared" si="8"/>
        <v>0</v>
      </c>
    </row>
    <row r="513" spans="1:8" x14ac:dyDescent="0.25">
      <c r="A513" s="32" t="str">
        <f>+IF(B513="","",SUBTOTAL(3,$B$7:B513))</f>
        <v/>
      </c>
      <c r="B513" s="34"/>
      <c r="C513" s="35"/>
      <c r="D513" s="34"/>
      <c r="E513" s="32"/>
      <c r="F513" s="45"/>
      <c r="G513" s="45"/>
      <c r="H513" s="45">
        <f t="shared" si="8"/>
        <v>0</v>
      </c>
    </row>
    <row r="514" spans="1:8" x14ac:dyDescent="0.25">
      <c r="A514" s="32" t="str">
        <f>+IF(B514="","",SUBTOTAL(3,$B$7:B514))</f>
        <v/>
      </c>
      <c r="B514" s="34"/>
      <c r="C514" s="35"/>
      <c r="D514" s="34"/>
      <c r="E514" s="32"/>
      <c r="F514" s="45"/>
      <c r="G514" s="45"/>
      <c r="H514" s="45">
        <f t="shared" si="8"/>
        <v>0</v>
      </c>
    </row>
    <row r="515" spans="1:8" x14ac:dyDescent="0.25">
      <c r="A515" s="32" t="str">
        <f>+IF(B515="","",SUBTOTAL(3,$B$7:B515))</f>
        <v/>
      </c>
      <c r="B515" s="34"/>
      <c r="C515" s="35"/>
      <c r="D515" s="34"/>
      <c r="E515" s="32"/>
      <c r="F515" s="45"/>
      <c r="G515" s="45"/>
      <c r="H515" s="45">
        <f t="shared" si="8"/>
        <v>0</v>
      </c>
    </row>
    <row r="516" spans="1:8" x14ac:dyDescent="0.25">
      <c r="A516" s="32" t="str">
        <f>+IF(B516="","",SUBTOTAL(3,$B$7:B516))</f>
        <v/>
      </c>
      <c r="B516" s="34"/>
      <c r="C516" s="35"/>
      <c r="D516" s="34"/>
      <c r="E516" s="32"/>
      <c r="F516" s="45"/>
      <c r="G516" s="45"/>
      <c r="H516" s="45">
        <f t="shared" si="8"/>
        <v>0</v>
      </c>
    </row>
    <row r="517" spans="1:8" x14ac:dyDescent="0.25">
      <c r="A517" s="32" t="str">
        <f>+IF(B517="","",SUBTOTAL(3,$B$7:B517))</f>
        <v/>
      </c>
      <c r="B517" s="34"/>
      <c r="C517" s="35"/>
      <c r="D517" s="34"/>
      <c r="E517" s="32"/>
      <c r="F517" s="45"/>
      <c r="G517" s="45"/>
      <c r="H517" s="45">
        <f t="shared" si="8"/>
        <v>0</v>
      </c>
    </row>
    <row r="518" spans="1:8" x14ac:dyDescent="0.25">
      <c r="A518" s="32" t="str">
        <f>+IF(B518="","",SUBTOTAL(3,$B$7:B518))</f>
        <v/>
      </c>
      <c r="B518" s="34"/>
      <c r="C518" s="35"/>
      <c r="D518" s="34"/>
      <c r="E518" s="32"/>
      <c r="F518" s="45"/>
      <c r="G518" s="45"/>
      <c r="H518" s="45">
        <f t="shared" si="8"/>
        <v>0</v>
      </c>
    </row>
    <row r="519" spans="1:8" x14ac:dyDescent="0.25">
      <c r="A519" s="32" t="str">
        <f>+IF(B519="","",SUBTOTAL(3,$B$7:B519))</f>
        <v/>
      </c>
      <c r="B519" s="34"/>
      <c r="C519" s="35"/>
      <c r="D519" s="34"/>
      <c r="E519" s="32"/>
      <c r="F519" s="45"/>
      <c r="G519" s="45"/>
      <c r="H519" s="45">
        <f t="shared" si="8"/>
        <v>0</v>
      </c>
    </row>
    <row r="520" spans="1:8" x14ac:dyDescent="0.25">
      <c r="A520" s="32" t="str">
        <f>+IF(B520="","",SUBTOTAL(3,$B$7:B520))</f>
        <v/>
      </c>
      <c r="B520" s="34"/>
      <c r="C520" s="35"/>
      <c r="D520" s="34"/>
      <c r="E520" s="32"/>
      <c r="F520" s="45"/>
      <c r="G520" s="45"/>
      <c r="H520" s="45">
        <f t="shared" ref="H520:H583" si="9">+G520*F520</f>
        <v>0</v>
      </c>
    </row>
    <row r="521" spans="1:8" x14ac:dyDescent="0.25">
      <c r="A521" s="32" t="str">
        <f>+IF(B521="","",SUBTOTAL(3,$B$7:B521))</f>
        <v/>
      </c>
      <c r="B521" s="34"/>
      <c r="C521" s="35"/>
      <c r="D521" s="34"/>
      <c r="E521" s="32"/>
      <c r="F521" s="45"/>
      <c r="G521" s="45"/>
      <c r="H521" s="45">
        <f t="shared" si="9"/>
        <v>0</v>
      </c>
    </row>
    <row r="522" spans="1:8" x14ac:dyDescent="0.25">
      <c r="A522" s="32" t="str">
        <f>+IF(B522="","",SUBTOTAL(3,$B$7:B522))</f>
        <v/>
      </c>
      <c r="B522" s="34"/>
      <c r="C522" s="35"/>
      <c r="D522" s="34"/>
      <c r="E522" s="32"/>
      <c r="F522" s="45"/>
      <c r="G522" s="45"/>
      <c r="H522" s="45">
        <f t="shared" si="9"/>
        <v>0</v>
      </c>
    </row>
    <row r="523" spans="1:8" x14ac:dyDescent="0.25">
      <c r="A523" s="32" t="str">
        <f>+IF(B523="","",SUBTOTAL(3,$B$7:B523))</f>
        <v/>
      </c>
      <c r="B523" s="34"/>
      <c r="C523" s="35"/>
      <c r="D523" s="34"/>
      <c r="E523" s="32"/>
      <c r="F523" s="45"/>
      <c r="G523" s="45"/>
      <c r="H523" s="45">
        <f t="shared" si="9"/>
        <v>0</v>
      </c>
    </row>
    <row r="524" spans="1:8" x14ac:dyDescent="0.25">
      <c r="A524" s="32" t="str">
        <f>+IF(B524="","",SUBTOTAL(3,$B$7:B524))</f>
        <v/>
      </c>
      <c r="B524" s="34"/>
      <c r="C524" s="35"/>
      <c r="D524" s="34"/>
      <c r="E524" s="32"/>
      <c r="F524" s="45"/>
      <c r="G524" s="45"/>
      <c r="H524" s="45">
        <f t="shared" si="9"/>
        <v>0</v>
      </c>
    </row>
    <row r="525" spans="1:8" x14ac:dyDescent="0.25">
      <c r="A525" s="32" t="str">
        <f>+IF(B525="","",SUBTOTAL(3,$B$7:B525))</f>
        <v/>
      </c>
      <c r="B525" s="34"/>
      <c r="C525" s="35"/>
      <c r="D525" s="34"/>
      <c r="E525" s="32"/>
      <c r="F525" s="45"/>
      <c r="G525" s="45"/>
      <c r="H525" s="45">
        <f t="shared" si="9"/>
        <v>0</v>
      </c>
    </row>
    <row r="526" spans="1:8" x14ac:dyDescent="0.25">
      <c r="A526" s="32" t="str">
        <f>+IF(B526="","",SUBTOTAL(3,$B$7:B526))</f>
        <v/>
      </c>
      <c r="B526" s="34"/>
      <c r="C526" s="35"/>
      <c r="D526" s="34"/>
      <c r="E526" s="32"/>
      <c r="F526" s="45"/>
      <c r="G526" s="45"/>
      <c r="H526" s="45">
        <f t="shared" si="9"/>
        <v>0</v>
      </c>
    </row>
    <row r="527" spans="1:8" x14ac:dyDescent="0.25">
      <c r="A527" s="32" t="str">
        <f>+IF(B527="","",SUBTOTAL(3,$B$7:B527))</f>
        <v/>
      </c>
      <c r="B527" s="34"/>
      <c r="C527" s="35"/>
      <c r="D527" s="34"/>
      <c r="E527" s="32"/>
      <c r="F527" s="45"/>
      <c r="G527" s="45"/>
      <c r="H527" s="45">
        <f t="shared" si="9"/>
        <v>0</v>
      </c>
    </row>
    <row r="528" spans="1:8" x14ac:dyDescent="0.25">
      <c r="A528" s="32" t="str">
        <f>+IF(B528="","",SUBTOTAL(3,$B$7:B528))</f>
        <v/>
      </c>
      <c r="B528" s="34"/>
      <c r="C528" s="35"/>
      <c r="D528" s="34"/>
      <c r="E528" s="32"/>
      <c r="F528" s="45"/>
      <c r="G528" s="45"/>
      <c r="H528" s="45">
        <f t="shared" si="9"/>
        <v>0</v>
      </c>
    </row>
    <row r="529" spans="1:8" x14ac:dyDescent="0.25">
      <c r="A529" s="32" t="str">
        <f>+IF(B529="","",SUBTOTAL(3,$B$7:B529))</f>
        <v/>
      </c>
      <c r="B529" s="34"/>
      <c r="C529" s="35"/>
      <c r="D529" s="34"/>
      <c r="E529" s="32"/>
      <c r="F529" s="45"/>
      <c r="G529" s="45"/>
      <c r="H529" s="45">
        <f t="shared" si="9"/>
        <v>0</v>
      </c>
    </row>
    <row r="530" spans="1:8" x14ac:dyDescent="0.25">
      <c r="A530" s="32" t="str">
        <f>+IF(B530="","",SUBTOTAL(3,$B$7:B530))</f>
        <v/>
      </c>
      <c r="B530" s="34"/>
      <c r="C530" s="35"/>
      <c r="D530" s="34"/>
      <c r="E530" s="32"/>
      <c r="F530" s="45"/>
      <c r="G530" s="45"/>
      <c r="H530" s="45">
        <f t="shared" si="9"/>
        <v>0</v>
      </c>
    </row>
    <row r="531" spans="1:8" x14ac:dyDescent="0.25">
      <c r="A531" s="32" t="str">
        <f>+IF(B531="","",SUBTOTAL(3,$B$7:B531))</f>
        <v/>
      </c>
      <c r="B531" s="34"/>
      <c r="C531" s="35"/>
      <c r="D531" s="34"/>
      <c r="E531" s="32"/>
      <c r="F531" s="45"/>
      <c r="G531" s="45"/>
      <c r="H531" s="45">
        <f t="shared" si="9"/>
        <v>0</v>
      </c>
    </row>
    <row r="532" spans="1:8" x14ac:dyDescent="0.25">
      <c r="A532" s="32" t="str">
        <f>+IF(B532="","",SUBTOTAL(3,$B$7:B532))</f>
        <v/>
      </c>
      <c r="B532" s="34"/>
      <c r="C532" s="35"/>
      <c r="D532" s="34"/>
      <c r="E532" s="32"/>
      <c r="F532" s="45"/>
      <c r="G532" s="45"/>
      <c r="H532" s="45">
        <f t="shared" si="9"/>
        <v>0</v>
      </c>
    </row>
    <row r="533" spans="1:8" x14ac:dyDescent="0.25">
      <c r="A533" s="32" t="str">
        <f>+IF(B533="","",SUBTOTAL(3,$B$7:B533))</f>
        <v/>
      </c>
      <c r="B533" s="34"/>
      <c r="C533" s="35"/>
      <c r="D533" s="34"/>
      <c r="E533" s="32"/>
      <c r="F533" s="45"/>
      <c r="G533" s="45"/>
      <c r="H533" s="45">
        <f t="shared" si="9"/>
        <v>0</v>
      </c>
    </row>
    <row r="534" spans="1:8" x14ac:dyDescent="0.25">
      <c r="A534" s="32" t="str">
        <f>+IF(B534="","",SUBTOTAL(3,$B$7:B534))</f>
        <v/>
      </c>
      <c r="B534" s="34"/>
      <c r="C534" s="35"/>
      <c r="D534" s="34"/>
      <c r="E534" s="32"/>
      <c r="F534" s="45"/>
      <c r="G534" s="45"/>
      <c r="H534" s="45">
        <f t="shared" si="9"/>
        <v>0</v>
      </c>
    </row>
    <row r="535" spans="1:8" x14ac:dyDescent="0.25">
      <c r="A535" s="32" t="str">
        <f>+IF(B535="","",SUBTOTAL(3,$B$7:B535))</f>
        <v/>
      </c>
      <c r="B535" s="34"/>
      <c r="C535" s="35"/>
      <c r="D535" s="34"/>
      <c r="E535" s="32"/>
      <c r="F535" s="45"/>
      <c r="G535" s="45"/>
      <c r="H535" s="45">
        <f t="shared" si="9"/>
        <v>0</v>
      </c>
    </row>
    <row r="536" spans="1:8" x14ac:dyDescent="0.25">
      <c r="A536" s="32" t="str">
        <f>+IF(B536="","",SUBTOTAL(3,$B$7:B536))</f>
        <v/>
      </c>
      <c r="B536" s="34"/>
      <c r="C536" s="35"/>
      <c r="D536" s="34"/>
      <c r="E536" s="32"/>
      <c r="F536" s="45"/>
      <c r="G536" s="45"/>
      <c r="H536" s="45">
        <f t="shared" si="9"/>
        <v>0</v>
      </c>
    </row>
    <row r="537" spans="1:8" x14ac:dyDescent="0.25">
      <c r="A537" s="32" t="str">
        <f>+IF(B537="","",SUBTOTAL(3,$B$7:B537))</f>
        <v/>
      </c>
      <c r="B537" s="34"/>
      <c r="C537" s="35"/>
      <c r="D537" s="34"/>
      <c r="E537" s="32"/>
      <c r="F537" s="45"/>
      <c r="G537" s="45"/>
      <c r="H537" s="45">
        <f t="shared" si="9"/>
        <v>0</v>
      </c>
    </row>
    <row r="538" spans="1:8" x14ac:dyDescent="0.25">
      <c r="A538" s="32" t="str">
        <f>+IF(B538="","",SUBTOTAL(3,$B$7:B538))</f>
        <v/>
      </c>
      <c r="B538" s="34"/>
      <c r="C538" s="35"/>
      <c r="D538" s="34"/>
      <c r="E538" s="32"/>
      <c r="F538" s="45"/>
      <c r="G538" s="45"/>
      <c r="H538" s="45">
        <f t="shared" si="9"/>
        <v>0</v>
      </c>
    </row>
    <row r="539" spans="1:8" x14ac:dyDescent="0.25">
      <c r="A539" s="32" t="str">
        <f>+IF(B539="","",SUBTOTAL(3,$B$7:B539))</f>
        <v/>
      </c>
      <c r="B539" s="34"/>
      <c r="C539" s="35"/>
      <c r="D539" s="34"/>
      <c r="E539" s="32"/>
      <c r="F539" s="45"/>
      <c r="G539" s="45"/>
      <c r="H539" s="45">
        <f t="shared" si="9"/>
        <v>0</v>
      </c>
    </row>
    <row r="540" spans="1:8" x14ac:dyDescent="0.25">
      <c r="A540" s="32" t="str">
        <f>+IF(B540="","",SUBTOTAL(3,$B$7:B540))</f>
        <v/>
      </c>
      <c r="B540" s="34"/>
      <c r="C540" s="35"/>
      <c r="D540" s="34"/>
      <c r="E540" s="32"/>
      <c r="F540" s="45"/>
      <c r="G540" s="45"/>
      <c r="H540" s="45">
        <f t="shared" si="9"/>
        <v>0</v>
      </c>
    </row>
    <row r="541" spans="1:8" x14ac:dyDescent="0.25">
      <c r="A541" s="32" t="str">
        <f>+IF(B541="","",SUBTOTAL(3,$B$7:B541))</f>
        <v/>
      </c>
      <c r="B541" s="34"/>
      <c r="C541" s="35"/>
      <c r="D541" s="34"/>
      <c r="E541" s="32"/>
      <c r="F541" s="45"/>
      <c r="G541" s="45"/>
      <c r="H541" s="45">
        <f t="shared" si="9"/>
        <v>0</v>
      </c>
    </row>
    <row r="542" spans="1:8" x14ac:dyDescent="0.25">
      <c r="A542" s="32" t="str">
        <f>+IF(B542="","",SUBTOTAL(3,$B$7:B542))</f>
        <v/>
      </c>
      <c r="B542" s="34"/>
      <c r="C542" s="35"/>
      <c r="D542" s="34"/>
      <c r="E542" s="32"/>
      <c r="F542" s="45"/>
      <c r="G542" s="45"/>
      <c r="H542" s="45">
        <f t="shared" si="9"/>
        <v>0</v>
      </c>
    </row>
    <row r="543" spans="1:8" x14ac:dyDescent="0.25">
      <c r="A543" s="32" t="str">
        <f>+IF(B543="","",SUBTOTAL(3,$B$7:B543))</f>
        <v/>
      </c>
      <c r="B543" s="34"/>
      <c r="C543" s="35"/>
      <c r="D543" s="34"/>
      <c r="E543" s="32"/>
      <c r="F543" s="45"/>
      <c r="G543" s="45"/>
      <c r="H543" s="45">
        <f t="shared" si="9"/>
        <v>0</v>
      </c>
    </row>
    <row r="544" spans="1:8" x14ac:dyDescent="0.25">
      <c r="A544" s="32" t="str">
        <f>+IF(B544="","",SUBTOTAL(3,$B$7:B544))</f>
        <v/>
      </c>
      <c r="B544" s="34"/>
      <c r="C544" s="35"/>
      <c r="D544" s="34"/>
      <c r="E544" s="32"/>
      <c r="F544" s="45"/>
      <c r="G544" s="45"/>
      <c r="H544" s="45">
        <f t="shared" si="9"/>
        <v>0</v>
      </c>
    </row>
    <row r="545" spans="1:8" x14ac:dyDescent="0.25">
      <c r="A545" s="32" t="str">
        <f>+IF(B545="","",SUBTOTAL(3,$B$7:B545))</f>
        <v/>
      </c>
      <c r="B545" s="34"/>
      <c r="C545" s="35"/>
      <c r="D545" s="34"/>
      <c r="E545" s="32"/>
      <c r="F545" s="45"/>
      <c r="G545" s="45"/>
      <c r="H545" s="45">
        <f t="shared" si="9"/>
        <v>0</v>
      </c>
    </row>
    <row r="546" spans="1:8" x14ac:dyDescent="0.25">
      <c r="A546" s="32" t="str">
        <f>+IF(B546="","",SUBTOTAL(3,$B$7:B546))</f>
        <v/>
      </c>
      <c r="B546" s="34"/>
      <c r="C546" s="35"/>
      <c r="D546" s="34"/>
      <c r="E546" s="32"/>
      <c r="F546" s="45"/>
      <c r="G546" s="45"/>
      <c r="H546" s="45">
        <f t="shared" si="9"/>
        <v>0</v>
      </c>
    </row>
    <row r="547" spans="1:8" x14ac:dyDescent="0.25">
      <c r="A547" s="32" t="str">
        <f>+IF(B547="","",SUBTOTAL(3,$B$7:B547))</f>
        <v/>
      </c>
      <c r="B547" s="34"/>
      <c r="C547" s="35"/>
      <c r="D547" s="34"/>
      <c r="E547" s="32"/>
      <c r="F547" s="45"/>
      <c r="G547" s="45"/>
      <c r="H547" s="45">
        <f t="shared" si="9"/>
        <v>0</v>
      </c>
    </row>
    <row r="548" spans="1:8" x14ac:dyDescent="0.25">
      <c r="A548" s="32" t="str">
        <f>+IF(B548="","",SUBTOTAL(3,$B$7:B548))</f>
        <v/>
      </c>
      <c r="B548" s="34"/>
      <c r="C548" s="35"/>
      <c r="D548" s="34"/>
      <c r="E548" s="32"/>
      <c r="F548" s="45"/>
      <c r="G548" s="45"/>
      <c r="H548" s="45">
        <f t="shared" si="9"/>
        <v>0</v>
      </c>
    </row>
    <row r="549" spans="1:8" x14ac:dyDescent="0.25">
      <c r="A549" s="32" t="str">
        <f>+IF(B549="","",SUBTOTAL(3,$B$7:B549))</f>
        <v/>
      </c>
      <c r="B549" s="34"/>
      <c r="C549" s="35"/>
      <c r="D549" s="34"/>
      <c r="E549" s="32"/>
      <c r="F549" s="45"/>
      <c r="G549" s="45"/>
      <c r="H549" s="45">
        <f t="shared" si="9"/>
        <v>0</v>
      </c>
    </row>
    <row r="550" spans="1:8" x14ac:dyDescent="0.25">
      <c r="A550" s="32" t="str">
        <f>+IF(B550="","",SUBTOTAL(3,$B$7:B550))</f>
        <v/>
      </c>
      <c r="B550" s="34"/>
      <c r="C550" s="35"/>
      <c r="D550" s="34"/>
      <c r="E550" s="32"/>
      <c r="F550" s="45"/>
      <c r="G550" s="45"/>
      <c r="H550" s="45">
        <f t="shared" si="9"/>
        <v>0</v>
      </c>
    </row>
    <row r="551" spans="1:8" x14ac:dyDescent="0.25">
      <c r="A551" s="32" t="str">
        <f>+IF(B551="","",SUBTOTAL(3,$B$7:B551))</f>
        <v/>
      </c>
      <c r="B551" s="34"/>
      <c r="C551" s="35"/>
      <c r="D551" s="34"/>
      <c r="E551" s="32"/>
      <c r="F551" s="45"/>
      <c r="G551" s="45"/>
      <c r="H551" s="45">
        <f t="shared" si="9"/>
        <v>0</v>
      </c>
    </row>
    <row r="552" spans="1:8" x14ac:dyDescent="0.25">
      <c r="A552" s="32" t="str">
        <f>+IF(B552="","",SUBTOTAL(3,$B$7:B552))</f>
        <v/>
      </c>
      <c r="B552" s="34"/>
      <c r="C552" s="35"/>
      <c r="D552" s="34"/>
      <c r="E552" s="32"/>
      <c r="F552" s="45"/>
      <c r="G552" s="45"/>
      <c r="H552" s="45">
        <f t="shared" si="9"/>
        <v>0</v>
      </c>
    </row>
    <row r="553" spans="1:8" x14ac:dyDescent="0.25">
      <c r="A553" s="32" t="str">
        <f>+IF(B553="","",SUBTOTAL(3,$B$7:B553))</f>
        <v/>
      </c>
      <c r="B553" s="34"/>
      <c r="C553" s="35"/>
      <c r="D553" s="34"/>
      <c r="E553" s="32"/>
      <c r="F553" s="45"/>
      <c r="G553" s="45"/>
      <c r="H553" s="45">
        <f t="shared" si="9"/>
        <v>0</v>
      </c>
    </row>
    <row r="554" spans="1:8" x14ac:dyDescent="0.25">
      <c r="A554" s="32" t="str">
        <f>+IF(B554="","",SUBTOTAL(3,$B$7:B554))</f>
        <v/>
      </c>
      <c r="B554" s="34"/>
      <c r="C554" s="35"/>
      <c r="D554" s="34"/>
      <c r="E554" s="32"/>
      <c r="F554" s="45"/>
      <c r="G554" s="45"/>
      <c r="H554" s="45">
        <f t="shared" si="9"/>
        <v>0</v>
      </c>
    </row>
    <row r="555" spans="1:8" x14ac:dyDescent="0.25">
      <c r="A555" s="32" t="str">
        <f>+IF(B555="","",SUBTOTAL(3,$B$7:B555))</f>
        <v/>
      </c>
      <c r="B555" s="34"/>
      <c r="C555" s="35"/>
      <c r="D555" s="34"/>
      <c r="E555" s="32"/>
      <c r="F555" s="45"/>
      <c r="G555" s="45"/>
      <c r="H555" s="45">
        <f t="shared" si="9"/>
        <v>0</v>
      </c>
    </row>
    <row r="556" spans="1:8" x14ac:dyDescent="0.25">
      <c r="A556" s="32" t="str">
        <f>+IF(B556="","",SUBTOTAL(3,$B$7:B556))</f>
        <v/>
      </c>
      <c r="B556" s="34"/>
      <c r="C556" s="35"/>
      <c r="D556" s="34"/>
      <c r="E556" s="32"/>
      <c r="F556" s="45"/>
      <c r="G556" s="45"/>
      <c r="H556" s="45">
        <f t="shared" si="9"/>
        <v>0</v>
      </c>
    </row>
    <row r="557" spans="1:8" x14ac:dyDescent="0.25">
      <c r="A557" s="32" t="str">
        <f>+IF(B557="","",SUBTOTAL(3,$B$7:B557))</f>
        <v/>
      </c>
      <c r="B557" s="34"/>
      <c r="C557" s="35"/>
      <c r="D557" s="34"/>
      <c r="E557" s="32"/>
      <c r="F557" s="45"/>
      <c r="G557" s="45"/>
      <c r="H557" s="45">
        <f t="shared" si="9"/>
        <v>0</v>
      </c>
    </row>
    <row r="558" spans="1:8" x14ac:dyDescent="0.25">
      <c r="A558" s="32" t="str">
        <f>+IF(B558="","",SUBTOTAL(3,$B$7:B558))</f>
        <v/>
      </c>
      <c r="B558" s="34"/>
      <c r="C558" s="35"/>
      <c r="D558" s="34"/>
      <c r="E558" s="32"/>
      <c r="F558" s="45"/>
      <c r="G558" s="45"/>
      <c r="H558" s="45">
        <f t="shared" si="9"/>
        <v>0</v>
      </c>
    </row>
    <row r="559" spans="1:8" x14ac:dyDescent="0.25">
      <c r="A559" s="32" t="str">
        <f>+IF(B559="","",SUBTOTAL(3,$B$7:B559))</f>
        <v/>
      </c>
      <c r="B559" s="34"/>
      <c r="C559" s="35"/>
      <c r="D559" s="34"/>
      <c r="E559" s="32"/>
      <c r="F559" s="45"/>
      <c r="G559" s="45"/>
      <c r="H559" s="45">
        <f t="shared" si="9"/>
        <v>0</v>
      </c>
    </row>
    <row r="560" spans="1:8" x14ac:dyDescent="0.25">
      <c r="A560" s="32" t="str">
        <f>+IF(B560="","",SUBTOTAL(3,$B$7:B560))</f>
        <v/>
      </c>
      <c r="B560" s="34"/>
      <c r="C560" s="35"/>
      <c r="D560" s="34"/>
      <c r="E560" s="32"/>
      <c r="F560" s="45"/>
      <c r="G560" s="45"/>
      <c r="H560" s="45">
        <f t="shared" si="9"/>
        <v>0</v>
      </c>
    </row>
    <row r="561" spans="1:8" x14ac:dyDescent="0.25">
      <c r="A561" s="32" t="str">
        <f>+IF(B561="","",SUBTOTAL(3,$B$7:B561))</f>
        <v/>
      </c>
      <c r="B561" s="34"/>
      <c r="C561" s="35"/>
      <c r="D561" s="34"/>
      <c r="E561" s="32"/>
      <c r="F561" s="45"/>
      <c r="G561" s="45"/>
      <c r="H561" s="45">
        <f t="shared" si="9"/>
        <v>0</v>
      </c>
    </row>
    <row r="562" spans="1:8" x14ac:dyDescent="0.25">
      <c r="A562" s="32" t="str">
        <f>+IF(B562="","",SUBTOTAL(3,$B$7:B562))</f>
        <v/>
      </c>
      <c r="B562" s="34"/>
      <c r="C562" s="35"/>
      <c r="D562" s="34"/>
      <c r="E562" s="32"/>
      <c r="F562" s="45"/>
      <c r="G562" s="45"/>
      <c r="H562" s="45">
        <f t="shared" si="9"/>
        <v>0</v>
      </c>
    </row>
    <row r="563" spans="1:8" x14ac:dyDescent="0.25">
      <c r="A563" s="32" t="str">
        <f>+IF(B563="","",SUBTOTAL(3,$B$7:B563))</f>
        <v/>
      </c>
      <c r="B563" s="34"/>
      <c r="C563" s="35"/>
      <c r="D563" s="34"/>
      <c r="E563" s="32"/>
      <c r="F563" s="45"/>
      <c r="G563" s="45"/>
      <c r="H563" s="45">
        <f t="shared" si="9"/>
        <v>0</v>
      </c>
    </row>
    <row r="564" spans="1:8" x14ac:dyDescent="0.25">
      <c r="A564" s="32" t="str">
        <f>+IF(B564="","",SUBTOTAL(3,$B$7:B564))</f>
        <v/>
      </c>
      <c r="B564" s="34"/>
      <c r="C564" s="35"/>
      <c r="D564" s="34"/>
      <c r="E564" s="32"/>
      <c r="F564" s="45"/>
      <c r="G564" s="45"/>
      <c r="H564" s="45">
        <f t="shared" si="9"/>
        <v>0</v>
      </c>
    </row>
    <row r="565" spans="1:8" x14ac:dyDescent="0.25">
      <c r="A565" s="32" t="str">
        <f>+IF(B565="","",SUBTOTAL(3,$B$7:B565))</f>
        <v/>
      </c>
      <c r="B565" s="34"/>
      <c r="C565" s="35"/>
      <c r="D565" s="34"/>
      <c r="E565" s="32"/>
      <c r="F565" s="45"/>
      <c r="G565" s="45"/>
      <c r="H565" s="45">
        <f t="shared" si="9"/>
        <v>0</v>
      </c>
    </row>
    <row r="566" spans="1:8" x14ac:dyDescent="0.25">
      <c r="A566" s="32" t="str">
        <f>+IF(B566="","",SUBTOTAL(3,$B$7:B566))</f>
        <v/>
      </c>
      <c r="B566" s="34"/>
      <c r="C566" s="35"/>
      <c r="D566" s="34"/>
      <c r="E566" s="32"/>
      <c r="F566" s="45"/>
      <c r="G566" s="45"/>
      <c r="H566" s="45">
        <f t="shared" si="9"/>
        <v>0</v>
      </c>
    </row>
    <row r="567" spans="1:8" x14ac:dyDescent="0.25">
      <c r="A567" s="32" t="str">
        <f>+IF(B567="","",SUBTOTAL(3,$B$7:B567))</f>
        <v/>
      </c>
      <c r="B567" s="34"/>
      <c r="C567" s="35"/>
      <c r="D567" s="34"/>
      <c r="E567" s="32"/>
      <c r="F567" s="45"/>
      <c r="G567" s="45"/>
      <c r="H567" s="45">
        <f t="shared" si="9"/>
        <v>0</v>
      </c>
    </row>
    <row r="568" spans="1:8" x14ac:dyDescent="0.25">
      <c r="A568" s="32" t="str">
        <f>+IF(B568="","",SUBTOTAL(3,$B$7:B568))</f>
        <v/>
      </c>
      <c r="B568" s="34"/>
      <c r="C568" s="35"/>
      <c r="D568" s="34"/>
      <c r="E568" s="32"/>
      <c r="F568" s="45"/>
      <c r="G568" s="45"/>
      <c r="H568" s="45">
        <f t="shared" si="9"/>
        <v>0</v>
      </c>
    </row>
    <row r="569" spans="1:8" x14ac:dyDescent="0.25">
      <c r="A569" s="32" t="str">
        <f>+IF(B569="","",SUBTOTAL(3,$B$7:B569))</f>
        <v/>
      </c>
      <c r="B569" s="34"/>
      <c r="C569" s="35"/>
      <c r="D569" s="34"/>
      <c r="E569" s="32"/>
      <c r="F569" s="45"/>
      <c r="G569" s="45"/>
      <c r="H569" s="45">
        <f t="shared" si="9"/>
        <v>0</v>
      </c>
    </row>
    <row r="570" spans="1:8" x14ac:dyDescent="0.25">
      <c r="A570" s="32" t="str">
        <f>+IF(B570="","",SUBTOTAL(3,$B$7:B570))</f>
        <v/>
      </c>
      <c r="B570" s="34"/>
      <c r="C570" s="35"/>
      <c r="D570" s="34"/>
      <c r="E570" s="32"/>
      <c r="F570" s="45"/>
      <c r="G570" s="45"/>
      <c r="H570" s="45">
        <f t="shared" si="9"/>
        <v>0</v>
      </c>
    </row>
    <row r="571" spans="1:8" x14ac:dyDescent="0.25">
      <c r="A571" s="32" t="str">
        <f>+IF(B571="","",SUBTOTAL(3,$B$7:B571))</f>
        <v/>
      </c>
      <c r="B571" s="34"/>
      <c r="C571" s="35"/>
      <c r="D571" s="34"/>
      <c r="E571" s="32"/>
      <c r="F571" s="45"/>
      <c r="G571" s="45"/>
      <c r="H571" s="45">
        <f t="shared" si="9"/>
        <v>0</v>
      </c>
    </row>
    <row r="572" spans="1:8" x14ac:dyDescent="0.25">
      <c r="A572" s="32" t="str">
        <f>+IF(B572="","",SUBTOTAL(3,$B$7:B572))</f>
        <v/>
      </c>
      <c r="B572" s="34"/>
      <c r="C572" s="35"/>
      <c r="D572" s="34"/>
      <c r="E572" s="32"/>
      <c r="F572" s="45"/>
      <c r="G572" s="45"/>
      <c r="H572" s="45">
        <f t="shared" si="9"/>
        <v>0</v>
      </c>
    </row>
    <row r="573" spans="1:8" x14ac:dyDescent="0.25">
      <c r="A573" s="32" t="str">
        <f>+IF(B573="","",SUBTOTAL(3,$B$7:B573))</f>
        <v/>
      </c>
      <c r="B573" s="34"/>
      <c r="C573" s="35"/>
      <c r="D573" s="34"/>
      <c r="E573" s="32"/>
      <c r="F573" s="45"/>
      <c r="G573" s="45"/>
      <c r="H573" s="45">
        <f t="shared" si="9"/>
        <v>0</v>
      </c>
    </row>
    <row r="574" spans="1:8" x14ac:dyDescent="0.25">
      <c r="A574" s="32" t="str">
        <f>+IF(B574="","",SUBTOTAL(3,$B$7:B574))</f>
        <v/>
      </c>
      <c r="B574" s="34"/>
      <c r="C574" s="35"/>
      <c r="D574" s="34"/>
      <c r="E574" s="32"/>
      <c r="F574" s="45"/>
      <c r="G574" s="45"/>
      <c r="H574" s="45">
        <f t="shared" si="9"/>
        <v>0</v>
      </c>
    </row>
    <row r="575" spans="1:8" x14ac:dyDescent="0.25">
      <c r="A575" s="32" t="str">
        <f>+IF(B575="","",SUBTOTAL(3,$B$7:B575))</f>
        <v/>
      </c>
      <c r="B575" s="34"/>
      <c r="C575" s="35"/>
      <c r="D575" s="34"/>
      <c r="E575" s="32"/>
      <c r="F575" s="45"/>
      <c r="G575" s="45"/>
      <c r="H575" s="45">
        <f t="shared" si="9"/>
        <v>0</v>
      </c>
    </row>
    <row r="576" spans="1:8" x14ac:dyDescent="0.25">
      <c r="A576" s="32" t="str">
        <f>+IF(B576="","",SUBTOTAL(3,$B$7:B576))</f>
        <v/>
      </c>
      <c r="B576" s="34"/>
      <c r="C576" s="35"/>
      <c r="D576" s="34"/>
      <c r="E576" s="32"/>
      <c r="F576" s="45"/>
      <c r="G576" s="45"/>
      <c r="H576" s="45">
        <f t="shared" si="9"/>
        <v>0</v>
      </c>
    </row>
    <row r="577" spans="1:8" x14ac:dyDescent="0.25">
      <c r="A577" s="32" t="str">
        <f>+IF(B577="","",SUBTOTAL(3,$B$7:B577))</f>
        <v/>
      </c>
      <c r="B577" s="34"/>
      <c r="C577" s="35"/>
      <c r="D577" s="34"/>
      <c r="E577" s="32"/>
      <c r="F577" s="45"/>
      <c r="G577" s="45"/>
      <c r="H577" s="45">
        <f t="shared" si="9"/>
        <v>0</v>
      </c>
    </row>
    <row r="578" spans="1:8" x14ac:dyDescent="0.25">
      <c r="A578" s="32" t="str">
        <f>+IF(B578="","",SUBTOTAL(3,$B$7:B578))</f>
        <v/>
      </c>
      <c r="B578" s="34"/>
      <c r="C578" s="35"/>
      <c r="D578" s="34"/>
      <c r="E578" s="32"/>
      <c r="F578" s="45"/>
      <c r="G578" s="45"/>
      <c r="H578" s="45">
        <f t="shared" si="9"/>
        <v>0</v>
      </c>
    </row>
    <row r="579" spans="1:8" x14ac:dyDescent="0.25">
      <c r="A579" s="32" t="str">
        <f>+IF(B579="","",SUBTOTAL(3,$B$7:B579))</f>
        <v/>
      </c>
      <c r="B579" s="34"/>
      <c r="C579" s="35"/>
      <c r="D579" s="34"/>
      <c r="E579" s="32"/>
      <c r="F579" s="45"/>
      <c r="G579" s="45"/>
      <c r="H579" s="45">
        <f t="shared" si="9"/>
        <v>0</v>
      </c>
    </row>
    <row r="580" spans="1:8" x14ac:dyDescent="0.25">
      <c r="A580" s="32" t="str">
        <f>+IF(B580="","",SUBTOTAL(3,$B$7:B580))</f>
        <v/>
      </c>
      <c r="B580" s="34"/>
      <c r="C580" s="35"/>
      <c r="D580" s="34"/>
      <c r="E580" s="32"/>
      <c r="F580" s="45"/>
      <c r="G580" s="45"/>
      <c r="H580" s="45">
        <f t="shared" si="9"/>
        <v>0</v>
      </c>
    </row>
    <row r="581" spans="1:8" x14ac:dyDescent="0.25">
      <c r="A581" s="32" t="str">
        <f>+IF(B581="","",SUBTOTAL(3,$B$7:B581))</f>
        <v/>
      </c>
      <c r="B581" s="34"/>
      <c r="C581" s="35"/>
      <c r="D581" s="34"/>
      <c r="E581" s="32"/>
      <c r="F581" s="45"/>
      <c r="G581" s="45"/>
      <c r="H581" s="45">
        <f t="shared" si="9"/>
        <v>0</v>
      </c>
    </row>
    <row r="582" spans="1:8" x14ac:dyDescent="0.25">
      <c r="A582" s="32" t="str">
        <f>+IF(B582="","",SUBTOTAL(3,$B$7:B582))</f>
        <v/>
      </c>
      <c r="B582" s="34"/>
      <c r="C582" s="35"/>
      <c r="D582" s="34"/>
      <c r="E582" s="32"/>
      <c r="F582" s="45"/>
      <c r="G582" s="45"/>
      <c r="H582" s="45">
        <f t="shared" si="9"/>
        <v>0</v>
      </c>
    </row>
    <row r="583" spans="1:8" x14ac:dyDescent="0.25">
      <c r="A583" s="32" t="str">
        <f>+IF(B583="","",SUBTOTAL(3,$B$7:B583))</f>
        <v/>
      </c>
      <c r="B583" s="34"/>
      <c r="C583" s="35"/>
      <c r="D583" s="34"/>
      <c r="E583" s="32"/>
      <c r="F583" s="45"/>
      <c r="G583" s="45"/>
      <c r="H583" s="45">
        <f t="shared" si="9"/>
        <v>0</v>
      </c>
    </row>
    <row r="584" spans="1:8" x14ac:dyDescent="0.25">
      <c r="A584" s="32" t="str">
        <f>+IF(B584="","",SUBTOTAL(3,$B$7:B584))</f>
        <v/>
      </c>
      <c r="B584" s="34"/>
      <c r="C584" s="35"/>
      <c r="D584" s="34"/>
      <c r="E584" s="32"/>
      <c r="F584" s="45"/>
      <c r="G584" s="45"/>
      <c r="H584" s="45">
        <f t="shared" ref="H584:H647" si="10">+G584*F584</f>
        <v>0</v>
      </c>
    </row>
    <row r="585" spans="1:8" x14ac:dyDescent="0.25">
      <c r="A585" s="32" t="str">
        <f>+IF(B585="","",SUBTOTAL(3,$B$7:B585))</f>
        <v/>
      </c>
      <c r="B585" s="34"/>
      <c r="C585" s="35"/>
      <c r="D585" s="34"/>
      <c r="E585" s="32"/>
      <c r="F585" s="45"/>
      <c r="G585" s="45"/>
      <c r="H585" s="45">
        <f t="shared" si="10"/>
        <v>0</v>
      </c>
    </row>
    <row r="586" spans="1:8" x14ac:dyDescent="0.25">
      <c r="A586" s="32" t="str">
        <f>+IF(B586="","",SUBTOTAL(3,$B$7:B586))</f>
        <v/>
      </c>
      <c r="B586" s="34"/>
      <c r="C586" s="35"/>
      <c r="D586" s="34"/>
      <c r="E586" s="32"/>
      <c r="F586" s="45"/>
      <c r="G586" s="45"/>
      <c r="H586" s="45">
        <f t="shared" si="10"/>
        <v>0</v>
      </c>
    </row>
    <row r="587" spans="1:8" x14ac:dyDescent="0.25">
      <c r="A587" s="32" t="str">
        <f>+IF(B587="","",SUBTOTAL(3,$B$7:B587))</f>
        <v/>
      </c>
      <c r="B587" s="34"/>
      <c r="C587" s="35"/>
      <c r="D587" s="34"/>
      <c r="E587" s="32"/>
      <c r="F587" s="45"/>
      <c r="G587" s="45"/>
      <c r="H587" s="45">
        <f t="shared" si="10"/>
        <v>0</v>
      </c>
    </row>
    <row r="588" spans="1:8" x14ac:dyDescent="0.25">
      <c r="A588" s="32" t="str">
        <f>+IF(B588="","",SUBTOTAL(3,$B$7:B588))</f>
        <v/>
      </c>
      <c r="B588" s="34"/>
      <c r="C588" s="35"/>
      <c r="D588" s="34"/>
      <c r="E588" s="32"/>
      <c r="F588" s="45"/>
      <c r="G588" s="45"/>
      <c r="H588" s="45">
        <f t="shared" si="10"/>
        <v>0</v>
      </c>
    </row>
    <row r="589" spans="1:8" x14ac:dyDescent="0.25">
      <c r="A589" s="32" t="str">
        <f>+IF(B589="","",SUBTOTAL(3,$B$7:B589))</f>
        <v/>
      </c>
      <c r="B589" s="34"/>
      <c r="C589" s="35"/>
      <c r="D589" s="34"/>
      <c r="E589" s="32"/>
      <c r="F589" s="45"/>
      <c r="G589" s="45"/>
      <c r="H589" s="45">
        <f t="shared" si="10"/>
        <v>0</v>
      </c>
    </row>
    <row r="590" spans="1:8" x14ac:dyDescent="0.25">
      <c r="A590" s="32" t="str">
        <f>+IF(B590="","",SUBTOTAL(3,$B$7:B590))</f>
        <v/>
      </c>
      <c r="B590" s="34"/>
      <c r="C590" s="35"/>
      <c r="D590" s="34"/>
      <c r="E590" s="32"/>
      <c r="F590" s="45"/>
      <c r="G590" s="45"/>
      <c r="H590" s="45">
        <f t="shared" si="10"/>
        <v>0</v>
      </c>
    </row>
    <row r="591" spans="1:8" x14ac:dyDescent="0.25">
      <c r="A591" s="32" t="str">
        <f>+IF(B591="","",SUBTOTAL(3,$B$7:B591))</f>
        <v/>
      </c>
      <c r="B591" s="34"/>
      <c r="C591" s="35"/>
      <c r="D591" s="34"/>
      <c r="E591" s="32"/>
      <c r="F591" s="45"/>
      <c r="G591" s="45"/>
      <c r="H591" s="45">
        <f t="shared" si="10"/>
        <v>0</v>
      </c>
    </row>
    <row r="592" spans="1:8" x14ac:dyDescent="0.25">
      <c r="A592" s="32" t="str">
        <f>+IF(B592="","",SUBTOTAL(3,$B$7:B592))</f>
        <v/>
      </c>
      <c r="B592" s="34"/>
      <c r="C592" s="35"/>
      <c r="D592" s="34"/>
      <c r="E592" s="32"/>
      <c r="F592" s="45"/>
      <c r="G592" s="45"/>
      <c r="H592" s="45">
        <f t="shared" si="10"/>
        <v>0</v>
      </c>
    </row>
    <row r="593" spans="1:8" x14ac:dyDescent="0.25">
      <c r="A593" s="32" t="str">
        <f>+IF(B593="","",SUBTOTAL(3,$B$7:B593))</f>
        <v/>
      </c>
      <c r="B593" s="34"/>
      <c r="C593" s="35"/>
      <c r="D593" s="34"/>
      <c r="E593" s="32"/>
      <c r="F593" s="45"/>
      <c r="G593" s="45"/>
      <c r="H593" s="45">
        <f t="shared" si="10"/>
        <v>0</v>
      </c>
    </row>
    <row r="594" spans="1:8" x14ac:dyDescent="0.25">
      <c r="A594" s="32" t="str">
        <f>+IF(B594="","",SUBTOTAL(3,$B$7:B594))</f>
        <v/>
      </c>
      <c r="B594" s="34"/>
      <c r="C594" s="35"/>
      <c r="D594" s="34"/>
      <c r="E594" s="32"/>
      <c r="F594" s="45"/>
      <c r="G594" s="45"/>
      <c r="H594" s="45">
        <f t="shared" si="10"/>
        <v>0</v>
      </c>
    </row>
    <row r="595" spans="1:8" x14ac:dyDescent="0.25">
      <c r="A595" s="32" t="str">
        <f>+IF(B595="","",SUBTOTAL(3,$B$7:B595))</f>
        <v/>
      </c>
      <c r="B595" s="34"/>
      <c r="C595" s="35"/>
      <c r="D595" s="34"/>
      <c r="E595" s="32"/>
      <c r="F595" s="45"/>
      <c r="G595" s="45"/>
      <c r="H595" s="45">
        <f t="shared" si="10"/>
        <v>0</v>
      </c>
    </row>
    <row r="596" spans="1:8" x14ac:dyDescent="0.25">
      <c r="A596" s="32" t="str">
        <f>+IF(B596="","",SUBTOTAL(3,$B$7:B596))</f>
        <v/>
      </c>
      <c r="B596" s="34"/>
      <c r="C596" s="35"/>
      <c r="D596" s="34"/>
      <c r="E596" s="32"/>
      <c r="F596" s="45"/>
      <c r="G596" s="45"/>
      <c r="H596" s="45">
        <f t="shared" si="10"/>
        <v>0</v>
      </c>
    </row>
    <row r="597" spans="1:8" x14ac:dyDescent="0.25">
      <c r="A597" s="32" t="str">
        <f>+IF(B597="","",SUBTOTAL(3,$B$7:B597))</f>
        <v/>
      </c>
      <c r="B597" s="34"/>
      <c r="C597" s="35"/>
      <c r="D597" s="34"/>
      <c r="E597" s="32"/>
      <c r="F597" s="45"/>
      <c r="G597" s="45"/>
      <c r="H597" s="45">
        <f t="shared" si="10"/>
        <v>0</v>
      </c>
    </row>
    <row r="598" spans="1:8" x14ac:dyDescent="0.25">
      <c r="A598" s="32" t="str">
        <f>+IF(B598="","",SUBTOTAL(3,$B$7:B598))</f>
        <v/>
      </c>
      <c r="B598" s="34"/>
      <c r="C598" s="35"/>
      <c r="D598" s="34"/>
      <c r="E598" s="32"/>
      <c r="F598" s="45"/>
      <c r="G598" s="45"/>
      <c r="H598" s="45">
        <f t="shared" si="10"/>
        <v>0</v>
      </c>
    </row>
    <row r="599" spans="1:8" x14ac:dyDescent="0.25">
      <c r="A599" s="32" t="str">
        <f>+IF(B599="","",SUBTOTAL(3,$B$7:B599))</f>
        <v/>
      </c>
      <c r="B599" s="34"/>
      <c r="C599" s="35"/>
      <c r="D599" s="34"/>
      <c r="E599" s="32"/>
      <c r="F599" s="45"/>
      <c r="G599" s="45"/>
      <c r="H599" s="45">
        <f t="shared" si="10"/>
        <v>0</v>
      </c>
    </row>
    <row r="600" spans="1:8" x14ac:dyDescent="0.25">
      <c r="A600" s="32" t="str">
        <f>+IF(B600="","",SUBTOTAL(3,$B$7:B600))</f>
        <v/>
      </c>
      <c r="B600" s="34"/>
      <c r="C600" s="35"/>
      <c r="D600" s="34"/>
      <c r="E600" s="32"/>
      <c r="F600" s="45"/>
      <c r="G600" s="45"/>
      <c r="H600" s="45">
        <f t="shared" si="10"/>
        <v>0</v>
      </c>
    </row>
    <row r="601" spans="1:8" x14ac:dyDescent="0.25">
      <c r="A601" s="32" t="str">
        <f>+IF(B601="","",SUBTOTAL(3,$B$7:B601))</f>
        <v/>
      </c>
      <c r="B601" s="34"/>
      <c r="C601" s="35"/>
      <c r="D601" s="34"/>
      <c r="E601" s="32"/>
      <c r="F601" s="45"/>
      <c r="G601" s="45"/>
      <c r="H601" s="45">
        <f t="shared" si="10"/>
        <v>0</v>
      </c>
    </row>
    <row r="602" spans="1:8" x14ac:dyDescent="0.25">
      <c r="A602" s="32" t="str">
        <f>+IF(B602="","",SUBTOTAL(3,$B$7:B602))</f>
        <v/>
      </c>
      <c r="B602" s="34"/>
      <c r="C602" s="35"/>
      <c r="D602" s="34"/>
      <c r="E602" s="32"/>
      <c r="F602" s="45"/>
      <c r="G602" s="45"/>
      <c r="H602" s="45">
        <f t="shared" si="10"/>
        <v>0</v>
      </c>
    </row>
    <row r="603" spans="1:8" x14ac:dyDescent="0.25">
      <c r="A603" s="32" t="str">
        <f>+IF(B603="","",SUBTOTAL(3,$B$7:B603))</f>
        <v/>
      </c>
      <c r="B603" s="34"/>
      <c r="C603" s="35"/>
      <c r="D603" s="34"/>
      <c r="E603" s="32"/>
      <c r="F603" s="45"/>
      <c r="G603" s="45"/>
      <c r="H603" s="45">
        <f t="shared" si="10"/>
        <v>0</v>
      </c>
    </row>
    <row r="604" spans="1:8" x14ac:dyDescent="0.25">
      <c r="A604" s="32" t="str">
        <f>+IF(B604="","",SUBTOTAL(3,$B$7:B604))</f>
        <v/>
      </c>
      <c r="B604" s="34"/>
      <c r="C604" s="35"/>
      <c r="D604" s="34"/>
      <c r="E604" s="32"/>
      <c r="F604" s="45"/>
      <c r="G604" s="45"/>
      <c r="H604" s="45">
        <f t="shared" si="10"/>
        <v>0</v>
      </c>
    </row>
    <row r="605" spans="1:8" x14ac:dyDescent="0.25">
      <c r="A605" s="32" t="str">
        <f>+IF(B605="","",SUBTOTAL(3,$B$7:B605))</f>
        <v/>
      </c>
      <c r="B605" s="34"/>
      <c r="C605" s="35"/>
      <c r="D605" s="34"/>
      <c r="E605" s="32"/>
      <c r="F605" s="45"/>
      <c r="G605" s="45"/>
      <c r="H605" s="45">
        <f t="shared" si="10"/>
        <v>0</v>
      </c>
    </row>
    <row r="606" spans="1:8" x14ac:dyDescent="0.25">
      <c r="A606" s="32" t="str">
        <f>+IF(B606="","",SUBTOTAL(3,$B$7:B606))</f>
        <v/>
      </c>
      <c r="B606" s="34"/>
      <c r="C606" s="35"/>
      <c r="D606" s="34"/>
      <c r="E606" s="32"/>
      <c r="F606" s="45"/>
      <c r="G606" s="45"/>
      <c r="H606" s="45">
        <f t="shared" si="10"/>
        <v>0</v>
      </c>
    </row>
    <row r="607" spans="1:8" x14ac:dyDescent="0.25">
      <c r="A607" s="32" t="str">
        <f>+IF(B607="","",SUBTOTAL(3,$B$7:B607))</f>
        <v/>
      </c>
      <c r="B607" s="34"/>
      <c r="C607" s="35"/>
      <c r="D607" s="34"/>
      <c r="E607" s="32"/>
      <c r="F607" s="45"/>
      <c r="G607" s="45"/>
      <c r="H607" s="45">
        <f t="shared" si="10"/>
        <v>0</v>
      </c>
    </row>
    <row r="608" spans="1:8" x14ac:dyDescent="0.25">
      <c r="A608" s="32" t="str">
        <f>+IF(B608="","",SUBTOTAL(3,$B$7:B608))</f>
        <v/>
      </c>
      <c r="B608" s="34"/>
      <c r="C608" s="35"/>
      <c r="D608" s="34"/>
      <c r="E608" s="32"/>
      <c r="F608" s="45"/>
      <c r="G608" s="45"/>
      <c r="H608" s="45">
        <f t="shared" si="10"/>
        <v>0</v>
      </c>
    </row>
    <row r="609" spans="1:8" x14ac:dyDescent="0.25">
      <c r="A609" s="32" t="str">
        <f>+IF(B609="","",SUBTOTAL(3,$B$7:B609))</f>
        <v/>
      </c>
      <c r="B609" s="34"/>
      <c r="C609" s="35"/>
      <c r="D609" s="34"/>
      <c r="E609" s="32"/>
      <c r="F609" s="45"/>
      <c r="G609" s="45"/>
      <c r="H609" s="45">
        <f t="shared" si="10"/>
        <v>0</v>
      </c>
    </row>
    <row r="610" spans="1:8" x14ac:dyDescent="0.25">
      <c r="A610" s="32" t="str">
        <f>+IF(B610="","",SUBTOTAL(3,$B$7:B610))</f>
        <v/>
      </c>
      <c r="B610" s="34"/>
      <c r="C610" s="35"/>
      <c r="D610" s="34"/>
      <c r="E610" s="32"/>
      <c r="F610" s="45"/>
      <c r="G610" s="45"/>
      <c r="H610" s="45">
        <f t="shared" si="10"/>
        <v>0</v>
      </c>
    </row>
    <row r="611" spans="1:8" x14ac:dyDescent="0.25">
      <c r="A611" s="32" t="str">
        <f>+IF(B611="","",SUBTOTAL(3,$B$7:B611))</f>
        <v/>
      </c>
      <c r="B611" s="34"/>
      <c r="C611" s="35"/>
      <c r="D611" s="34"/>
      <c r="E611" s="32"/>
      <c r="F611" s="45"/>
      <c r="G611" s="45"/>
      <c r="H611" s="45">
        <f t="shared" si="10"/>
        <v>0</v>
      </c>
    </row>
    <row r="612" spans="1:8" x14ac:dyDescent="0.25">
      <c r="A612" s="32" t="str">
        <f>+IF(B612="","",SUBTOTAL(3,$B$7:B612))</f>
        <v/>
      </c>
      <c r="B612" s="34"/>
      <c r="C612" s="35"/>
      <c r="D612" s="34"/>
      <c r="E612" s="32"/>
      <c r="F612" s="45"/>
      <c r="G612" s="45"/>
      <c r="H612" s="45">
        <f t="shared" si="10"/>
        <v>0</v>
      </c>
    </row>
    <row r="613" spans="1:8" x14ac:dyDescent="0.25">
      <c r="A613" s="32" t="str">
        <f>+IF(B613="","",SUBTOTAL(3,$B$7:B613))</f>
        <v/>
      </c>
      <c r="B613" s="34"/>
      <c r="C613" s="35"/>
      <c r="D613" s="34"/>
      <c r="E613" s="32"/>
      <c r="F613" s="45"/>
      <c r="G613" s="45"/>
      <c r="H613" s="45">
        <f t="shared" si="10"/>
        <v>0</v>
      </c>
    </row>
    <row r="614" spans="1:8" x14ac:dyDescent="0.25">
      <c r="A614" s="32" t="str">
        <f>+IF(B614="","",SUBTOTAL(3,$B$7:B614))</f>
        <v/>
      </c>
      <c r="B614" s="34"/>
      <c r="C614" s="35"/>
      <c r="D614" s="34"/>
      <c r="E614" s="32"/>
      <c r="F614" s="45"/>
      <c r="G614" s="45"/>
      <c r="H614" s="45">
        <f t="shared" si="10"/>
        <v>0</v>
      </c>
    </row>
    <row r="615" spans="1:8" x14ac:dyDescent="0.25">
      <c r="A615" s="32" t="str">
        <f>+IF(B615="","",SUBTOTAL(3,$B$7:B615))</f>
        <v/>
      </c>
      <c r="B615" s="34"/>
      <c r="C615" s="35"/>
      <c r="D615" s="34"/>
      <c r="E615" s="32"/>
      <c r="F615" s="45"/>
      <c r="G615" s="45"/>
      <c r="H615" s="45">
        <f t="shared" si="10"/>
        <v>0</v>
      </c>
    </row>
    <row r="616" spans="1:8" x14ac:dyDescent="0.25">
      <c r="A616" s="32" t="str">
        <f>+IF(B616="","",SUBTOTAL(3,$B$7:B616))</f>
        <v/>
      </c>
      <c r="B616" s="34"/>
      <c r="C616" s="35"/>
      <c r="D616" s="34"/>
      <c r="E616" s="32"/>
      <c r="F616" s="45"/>
      <c r="G616" s="45"/>
      <c r="H616" s="45">
        <f t="shared" si="10"/>
        <v>0</v>
      </c>
    </row>
    <row r="617" spans="1:8" x14ac:dyDescent="0.25">
      <c r="A617" s="32" t="str">
        <f>+IF(B617="","",SUBTOTAL(3,$B$7:B617))</f>
        <v/>
      </c>
      <c r="B617" s="34"/>
      <c r="C617" s="35"/>
      <c r="D617" s="34"/>
      <c r="E617" s="32"/>
      <c r="F617" s="45"/>
      <c r="G617" s="45"/>
      <c r="H617" s="45">
        <f t="shared" si="10"/>
        <v>0</v>
      </c>
    </row>
    <row r="618" spans="1:8" x14ac:dyDescent="0.25">
      <c r="A618" s="32" t="str">
        <f>+IF(B618="","",SUBTOTAL(3,$B$7:B618))</f>
        <v/>
      </c>
      <c r="B618" s="34"/>
      <c r="C618" s="35"/>
      <c r="D618" s="34"/>
      <c r="E618" s="32"/>
      <c r="F618" s="45"/>
      <c r="G618" s="45"/>
      <c r="H618" s="45">
        <f t="shared" si="10"/>
        <v>0</v>
      </c>
    </row>
    <row r="619" spans="1:8" x14ac:dyDescent="0.25">
      <c r="A619" s="32" t="str">
        <f>+IF(B619="","",SUBTOTAL(3,$B$7:B619))</f>
        <v/>
      </c>
      <c r="B619" s="34"/>
      <c r="C619" s="35"/>
      <c r="D619" s="34"/>
      <c r="E619" s="32"/>
      <c r="F619" s="45"/>
      <c r="G619" s="45"/>
      <c r="H619" s="45">
        <f t="shared" si="10"/>
        <v>0</v>
      </c>
    </row>
    <row r="620" spans="1:8" x14ac:dyDescent="0.25">
      <c r="A620" s="32" t="str">
        <f>+IF(B620="","",SUBTOTAL(3,$B$7:B620))</f>
        <v/>
      </c>
      <c r="B620" s="34"/>
      <c r="C620" s="35"/>
      <c r="D620" s="34"/>
      <c r="E620" s="32"/>
      <c r="F620" s="45"/>
      <c r="G620" s="45"/>
      <c r="H620" s="45">
        <f t="shared" si="10"/>
        <v>0</v>
      </c>
    </row>
    <row r="621" spans="1:8" x14ac:dyDescent="0.25">
      <c r="A621" s="32" t="str">
        <f>+IF(B621="","",SUBTOTAL(3,$B$7:B621))</f>
        <v/>
      </c>
      <c r="B621" s="34"/>
      <c r="C621" s="35"/>
      <c r="D621" s="34"/>
      <c r="E621" s="32"/>
      <c r="F621" s="45"/>
      <c r="G621" s="45"/>
      <c r="H621" s="45">
        <f t="shared" si="10"/>
        <v>0</v>
      </c>
    </row>
    <row r="622" spans="1:8" x14ac:dyDescent="0.25">
      <c r="A622" s="32" t="str">
        <f>+IF(B622="","",SUBTOTAL(3,$B$7:B622))</f>
        <v/>
      </c>
      <c r="B622" s="34"/>
      <c r="C622" s="35"/>
      <c r="D622" s="34"/>
      <c r="E622" s="32"/>
      <c r="F622" s="45"/>
      <c r="G622" s="45"/>
      <c r="H622" s="45">
        <f t="shared" si="10"/>
        <v>0</v>
      </c>
    </row>
    <row r="623" spans="1:8" x14ac:dyDescent="0.25">
      <c r="A623" s="32" t="str">
        <f>+IF(B623="","",SUBTOTAL(3,$B$7:B623))</f>
        <v/>
      </c>
      <c r="B623" s="34"/>
      <c r="C623" s="35"/>
      <c r="D623" s="34"/>
      <c r="E623" s="32"/>
      <c r="F623" s="45"/>
      <c r="G623" s="45"/>
      <c r="H623" s="45">
        <f t="shared" si="10"/>
        <v>0</v>
      </c>
    </row>
    <row r="624" spans="1:8" x14ac:dyDescent="0.25">
      <c r="A624" s="32" t="str">
        <f>+IF(B624="","",SUBTOTAL(3,$B$7:B624))</f>
        <v/>
      </c>
      <c r="B624" s="34"/>
      <c r="C624" s="35"/>
      <c r="D624" s="34"/>
      <c r="E624" s="32"/>
      <c r="F624" s="45"/>
      <c r="G624" s="45"/>
      <c r="H624" s="45">
        <f t="shared" si="10"/>
        <v>0</v>
      </c>
    </row>
    <row r="625" spans="1:8" x14ac:dyDescent="0.25">
      <c r="A625" s="32" t="str">
        <f>+IF(B625="","",SUBTOTAL(3,$B$7:B625))</f>
        <v/>
      </c>
      <c r="B625" s="34"/>
      <c r="C625" s="35"/>
      <c r="D625" s="34"/>
      <c r="E625" s="32"/>
      <c r="F625" s="45"/>
      <c r="G625" s="45"/>
      <c r="H625" s="45">
        <f t="shared" si="10"/>
        <v>0</v>
      </c>
    </row>
    <row r="626" spans="1:8" x14ac:dyDescent="0.25">
      <c r="A626" s="32" t="str">
        <f>+IF(B626="","",SUBTOTAL(3,$B$7:B626))</f>
        <v/>
      </c>
      <c r="B626" s="34"/>
      <c r="C626" s="35"/>
      <c r="D626" s="34"/>
      <c r="E626" s="32"/>
      <c r="F626" s="45"/>
      <c r="G626" s="45"/>
      <c r="H626" s="45">
        <f t="shared" si="10"/>
        <v>0</v>
      </c>
    </row>
    <row r="627" spans="1:8" x14ac:dyDescent="0.25">
      <c r="A627" s="32" t="str">
        <f>+IF(B627="","",SUBTOTAL(3,$B$7:B627))</f>
        <v/>
      </c>
      <c r="B627" s="34"/>
      <c r="C627" s="35"/>
      <c r="D627" s="34"/>
      <c r="E627" s="32"/>
      <c r="F627" s="45"/>
      <c r="G627" s="45"/>
      <c r="H627" s="45">
        <f t="shared" si="10"/>
        <v>0</v>
      </c>
    </row>
    <row r="628" spans="1:8" x14ac:dyDescent="0.25">
      <c r="A628" s="32" t="str">
        <f>+IF(B628="","",SUBTOTAL(3,$B$7:B628))</f>
        <v/>
      </c>
      <c r="B628" s="34"/>
      <c r="C628" s="35"/>
      <c r="D628" s="34"/>
      <c r="E628" s="32"/>
      <c r="F628" s="45"/>
      <c r="G628" s="45"/>
      <c r="H628" s="45">
        <f t="shared" si="10"/>
        <v>0</v>
      </c>
    </row>
    <row r="629" spans="1:8" x14ac:dyDescent="0.25">
      <c r="A629" s="32" t="str">
        <f>+IF(B629="","",SUBTOTAL(3,$B$7:B629))</f>
        <v/>
      </c>
      <c r="B629" s="34"/>
      <c r="C629" s="35"/>
      <c r="D629" s="34"/>
      <c r="E629" s="32"/>
      <c r="F629" s="45"/>
      <c r="G629" s="45"/>
      <c r="H629" s="45">
        <f t="shared" si="10"/>
        <v>0</v>
      </c>
    </row>
    <row r="630" spans="1:8" x14ac:dyDescent="0.25">
      <c r="A630" s="32" t="str">
        <f>+IF(B630="","",SUBTOTAL(3,$B$7:B630))</f>
        <v/>
      </c>
      <c r="B630" s="34"/>
      <c r="C630" s="35"/>
      <c r="D630" s="34"/>
      <c r="E630" s="32"/>
      <c r="F630" s="45"/>
      <c r="G630" s="45"/>
      <c r="H630" s="45">
        <f t="shared" si="10"/>
        <v>0</v>
      </c>
    </row>
    <row r="631" spans="1:8" x14ac:dyDescent="0.25">
      <c r="A631" s="32" t="str">
        <f>+IF(B631="","",SUBTOTAL(3,$B$7:B631))</f>
        <v/>
      </c>
      <c r="B631" s="34"/>
      <c r="C631" s="35"/>
      <c r="D631" s="34"/>
      <c r="E631" s="32"/>
      <c r="F631" s="45"/>
      <c r="G631" s="45"/>
      <c r="H631" s="45">
        <f t="shared" si="10"/>
        <v>0</v>
      </c>
    </row>
    <row r="632" spans="1:8" x14ac:dyDescent="0.25">
      <c r="A632" s="32" t="str">
        <f>+IF(B632="","",SUBTOTAL(3,$B$7:B632))</f>
        <v/>
      </c>
      <c r="B632" s="34"/>
      <c r="C632" s="35"/>
      <c r="D632" s="34"/>
      <c r="E632" s="32"/>
      <c r="F632" s="45"/>
      <c r="G632" s="45"/>
      <c r="H632" s="45">
        <f t="shared" si="10"/>
        <v>0</v>
      </c>
    </row>
    <row r="633" spans="1:8" x14ac:dyDescent="0.25">
      <c r="A633" s="32" t="str">
        <f>+IF(B633="","",SUBTOTAL(3,$B$7:B633))</f>
        <v/>
      </c>
      <c r="B633" s="34"/>
      <c r="C633" s="35"/>
      <c r="D633" s="34"/>
      <c r="E633" s="32"/>
      <c r="F633" s="45"/>
      <c r="G633" s="45"/>
      <c r="H633" s="45">
        <f t="shared" si="10"/>
        <v>0</v>
      </c>
    </row>
    <row r="634" spans="1:8" x14ac:dyDescent="0.25">
      <c r="A634" s="32" t="str">
        <f>+IF(B634="","",SUBTOTAL(3,$B$7:B634))</f>
        <v/>
      </c>
      <c r="B634" s="34"/>
      <c r="C634" s="35"/>
      <c r="D634" s="34"/>
      <c r="E634" s="32"/>
      <c r="F634" s="45"/>
      <c r="G634" s="45"/>
      <c r="H634" s="45">
        <f t="shared" si="10"/>
        <v>0</v>
      </c>
    </row>
    <row r="635" spans="1:8" x14ac:dyDescent="0.25">
      <c r="A635" s="32" t="str">
        <f>+IF(B635="","",SUBTOTAL(3,$B$7:B635))</f>
        <v/>
      </c>
      <c r="B635" s="34"/>
      <c r="C635" s="35"/>
      <c r="D635" s="34"/>
      <c r="E635" s="32"/>
      <c r="F635" s="45"/>
      <c r="G635" s="45"/>
      <c r="H635" s="45">
        <f t="shared" si="10"/>
        <v>0</v>
      </c>
    </row>
    <row r="636" spans="1:8" x14ac:dyDescent="0.25">
      <c r="A636" s="32" t="str">
        <f>+IF(B636="","",SUBTOTAL(3,$B$7:B636))</f>
        <v/>
      </c>
      <c r="B636" s="34"/>
      <c r="C636" s="35"/>
      <c r="D636" s="34"/>
      <c r="E636" s="32"/>
      <c r="F636" s="45"/>
      <c r="G636" s="45"/>
      <c r="H636" s="45">
        <f t="shared" si="10"/>
        <v>0</v>
      </c>
    </row>
    <row r="637" spans="1:8" x14ac:dyDescent="0.25">
      <c r="A637" s="32" t="str">
        <f>+IF(B637="","",SUBTOTAL(3,$B$7:B637))</f>
        <v/>
      </c>
      <c r="B637" s="34"/>
      <c r="C637" s="35"/>
      <c r="D637" s="34"/>
      <c r="E637" s="32"/>
      <c r="F637" s="45"/>
      <c r="G637" s="45"/>
      <c r="H637" s="45">
        <f t="shared" si="10"/>
        <v>0</v>
      </c>
    </row>
    <row r="638" spans="1:8" x14ac:dyDescent="0.25">
      <c r="A638" s="32" t="str">
        <f>+IF(B638="","",SUBTOTAL(3,$B$7:B638))</f>
        <v/>
      </c>
      <c r="B638" s="34"/>
      <c r="C638" s="35"/>
      <c r="D638" s="34"/>
      <c r="E638" s="32"/>
      <c r="F638" s="45"/>
      <c r="G638" s="45"/>
      <c r="H638" s="45">
        <f t="shared" si="10"/>
        <v>0</v>
      </c>
    </row>
    <row r="639" spans="1:8" x14ac:dyDescent="0.25">
      <c r="A639" s="32" t="str">
        <f>+IF(B639="","",SUBTOTAL(3,$B$7:B639))</f>
        <v/>
      </c>
      <c r="B639" s="34"/>
      <c r="C639" s="35"/>
      <c r="D639" s="34"/>
      <c r="E639" s="32"/>
      <c r="F639" s="45"/>
      <c r="G639" s="45"/>
      <c r="H639" s="45">
        <f t="shared" si="10"/>
        <v>0</v>
      </c>
    </row>
    <row r="640" spans="1:8" x14ac:dyDescent="0.25">
      <c r="A640" s="32" t="str">
        <f>+IF(B640="","",SUBTOTAL(3,$B$7:B640))</f>
        <v/>
      </c>
      <c r="B640" s="34"/>
      <c r="C640" s="35"/>
      <c r="D640" s="34"/>
      <c r="E640" s="32"/>
      <c r="F640" s="45"/>
      <c r="G640" s="45"/>
      <c r="H640" s="45">
        <f t="shared" si="10"/>
        <v>0</v>
      </c>
    </row>
    <row r="641" spans="1:8" x14ac:dyDescent="0.25">
      <c r="A641" s="32" t="str">
        <f>+IF(B641="","",SUBTOTAL(3,$B$7:B641))</f>
        <v/>
      </c>
      <c r="B641" s="34"/>
      <c r="C641" s="35"/>
      <c r="D641" s="34"/>
      <c r="E641" s="32"/>
      <c r="F641" s="45"/>
      <c r="G641" s="45"/>
      <c r="H641" s="45">
        <f t="shared" si="10"/>
        <v>0</v>
      </c>
    </row>
    <row r="642" spans="1:8" x14ac:dyDescent="0.25">
      <c r="A642" s="32" t="str">
        <f>+IF(B642="","",SUBTOTAL(3,$B$7:B642))</f>
        <v/>
      </c>
      <c r="B642" s="34"/>
      <c r="C642" s="35"/>
      <c r="D642" s="34"/>
      <c r="E642" s="32"/>
      <c r="F642" s="45"/>
      <c r="G642" s="45"/>
      <c r="H642" s="45">
        <f t="shared" si="10"/>
        <v>0</v>
      </c>
    </row>
    <row r="643" spans="1:8" x14ac:dyDescent="0.25">
      <c r="A643" s="32" t="str">
        <f>+IF(B643="","",SUBTOTAL(3,$B$7:B643))</f>
        <v/>
      </c>
      <c r="B643" s="34"/>
      <c r="C643" s="35"/>
      <c r="D643" s="34"/>
      <c r="E643" s="32"/>
      <c r="F643" s="45"/>
      <c r="G643" s="45"/>
      <c r="H643" s="45">
        <f t="shared" si="10"/>
        <v>0</v>
      </c>
    </row>
    <row r="644" spans="1:8" x14ac:dyDescent="0.25">
      <c r="A644" s="32" t="str">
        <f>+IF(B644="","",SUBTOTAL(3,$B$7:B644))</f>
        <v/>
      </c>
      <c r="B644" s="34"/>
      <c r="C644" s="35"/>
      <c r="D644" s="34"/>
      <c r="E644" s="32"/>
      <c r="F644" s="45"/>
      <c r="G644" s="45"/>
      <c r="H644" s="45">
        <f t="shared" si="10"/>
        <v>0</v>
      </c>
    </row>
    <row r="645" spans="1:8" x14ac:dyDescent="0.25">
      <c r="A645" s="32" t="str">
        <f>+IF(B645="","",SUBTOTAL(3,$B$7:B645))</f>
        <v/>
      </c>
      <c r="B645" s="34"/>
      <c r="C645" s="35"/>
      <c r="D645" s="34"/>
      <c r="E645" s="32"/>
      <c r="F645" s="45"/>
      <c r="G645" s="45"/>
      <c r="H645" s="45">
        <f t="shared" si="10"/>
        <v>0</v>
      </c>
    </row>
    <row r="646" spans="1:8" x14ac:dyDescent="0.25">
      <c r="A646" s="32" t="str">
        <f>+IF(B646="","",SUBTOTAL(3,$B$7:B646))</f>
        <v/>
      </c>
      <c r="B646" s="34"/>
      <c r="C646" s="35"/>
      <c r="D646" s="34"/>
      <c r="E646" s="32"/>
      <c r="F646" s="45"/>
      <c r="G646" s="45"/>
      <c r="H646" s="45">
        <f t="shared" si="10"/>
        <v>0</v>
      </c>
    </row>
    <row r="647" spans="1:8" x14ac:dyDescent="0.25">
      <c r="A647" s="32" t="str">
        <f>+IF(B647="","",SUBTOTAL(3,$B$7:B647))</f>
        <v/>
      </c>
      <c r="B647" s="34"/>
      <c r="C647" s="35"/>
      <c r="D647" s="34"/>
      <c r="E647" s="32"/>
      <c r="F647" s="45"/>
      <c r="G647" s="45"/>
      <c r="H647" s="45">
        <f t="shared" si="10"/>
        <v>0</v>
      </c>
    </row>
    <row r="648" spans="1:8" x14ac:dyDescent="0.25">
      <c r="A648" s="32" t="str">
        <f>+IF(B648="","",SUBTOTAL(3,$B$7:B648))</f>
        <v/>
      </c>
      <c r="B648" s="34"/>
      <c r="C648" s="35"/>
      <c r="D648" s="34"/>
      <c r="E648" s="32"/>
      <c r="F648" s="45"/>
      <c r="G648" s="45"/>
      <c r="H648" s="45">
        <f t="shared" ref="H648:H711" si="11">+G648*F648</f>
        <v>0</v>
      </c>
    </row>
    <row r="649" spans="1:8" x14ac:dyDescent="0.25">
      <c r="A649" s="32" t="str">
        <f>+IF(B649="","",SUBTOTAL(3,$B$7:B649))</f>
        <v/>
      </c>
      <c r="B649" s="34"/>
      <c r="C649" s="35"/>
      <c r="D649" s="34"/>
      <c r="E649" s="32"/>
      <c r="F649" s="45"/>
      <c r="G649" s="45"/>
      <c r="H649" s="45">
        <f t="shared" si="11"/>
        <v>0</v>
      </c>
    </row>
    <row r="650" spans="1:8" x14ac:dyDescent="0.25">
      <c r="A650" s="32" t="str">
        <f>+IF(B650="","",SUBTOTAL(3,$B$7:B650))</f>
        <v/>
      </c>
      <c r="B650" s="34"/>
      <c r="C650" s="35"/>
      <c r="D650" s="34"/>
      <c r="E650" s="32"/>
      <c r="F650" s="45"/>
      <c r="G650" s="45"/>
      <c r="H650" s="45">
        <f t="shared" si="11"/>
        <v>0</v>
      </c>
    </row>
    <row r="651" spans="1:8" x14ac:dyDescent="0.25">
      <c r="A651" s="32" t="str">
        <f>+IF(B651="","",SUBTOTAL(3,$B$7:B651))</f>
        <v/>
      </c>
      <c r="B651" s="34"/>
      <c r="C651" s="35"/>
      <c r="D651" s="34"/>
      <c r="E651" s="32"/>
      <c r="F651" s="45"/>
      <c r="G651" s="45"/>
      <c r="H651" s="45">
        <f t="shared" si="11"/>
        <v>0</v>
      </c>
    </row>
    <row r="652" spans="1:8" x14ac:dyDescent="0.25">
      <c r="A652" s="32" t="str">
        <f>+IF(B652="","",SUBTOTAL(3,$B$7:B652))</f>
        <v/>
      </c>
      <c r="B652" s="34"/>
      <c r="C652" s="35"/>
      <c r="D652" s="34"/>
      <c r="E652" s="32"/>
      <c r="F652" s="45"/>
      <c r="G652" s="45"/>
      <c r="H652" s="45">
        <f t="shared" si="11"/>
        <v>0</v>
      </c>
    </row>
    <row r="653" spans="1:8" x14ac:dyDescent="0.25">
      <c r="A653" s="32" t="str">
        <f>+IF(B653="","",SUBTOTAL(3,$B$7:B653))</f>
        <v/>
      </c>
      <c r="B653" s="34"/>
      <c r="C653" s="35"/>
      <c r="D653" s="34"/>
      <c r="E653" s="32"/>
      <c r="F653" s="45"/>
      <c r="G653" s="45"/>
      <c r="H653" s="45">
        <f t="shared" si="11"/>
        <v>0</v>
      </c>
    </row>
    <row r="654" spans="1:8" x14ac:dyDescent="0.25">
      <c r="A654" s="32" t="str">
        <f>+IF(B654="","",SUBTOTAL(3,$B$7:B654))</f>
        <v/>
      </c>
      <c r="B654" s="34"/>
      <c r="C654" s="35"/>
      <c r="D654" s="34"/>
      <c r="E654" s="32"/>
      <c r="F654" s="45"/>
      <c r="G654" s="45"/>
      <c r="H654" s="45">
        <f t="shared" si="11"/>
        <v>0</v>
      </c>
    </row>
    <row r="655" spans="1:8" x14ac:dyDescent="0.25">
      <c r="A655" s="32" t="str">
        <f>+IF(B655="","",SUBTOTAL(3,$B$7:B655))</f>
        <v/>
      </c>
      <c r="B655" s="34"/>
      <c r="C655" s="35"/>
      <c r="D655" s="34"/>
      <c r="E655" s="32"/>
      <c r="F655" s="45"/>
      <c r="G655" s="45"/>
      <c r="H655" s="45">
        <f t="shared" si="11"/>
        <v>0</v>
      </c>
    </row>
    <row r="656" spans="1:8" x14ac:dyDescent="0.25">
      <c r="A656" s="32" t="str">
        <f>+IF(B656="","",SUBTOTAL(3,$B$7:B656))</f>
        <v/>
      </c>
      <c r="B656" s="34"/>
      <c r="C656" s="35"/>
      <c r="D656" s="34"/>
      <c r="E656" s="32"/>
      <c r="F656" s="45"/>
      <c r="G656" s="45"/>
      <c r="H656" s="45">
        <f t="shared" si="11"/>
        <v>0</v>
      </c>
    </row>
    <row r="657" spans="1:8" x14ac:dyDescent="0.25">
      <c r="A657" s="32" t="str">
        <f>+IF(B657="","",SUBTOTAL(3,$B$7:B657))</f>
        <v/>
      </c>
      <c r="B657" s="34"/>
      <c r="C657" s="35"/>
      <c r="D657" s="34"/>
      <c r="E657" s="32"/>
      <c r="F657" s="45"/>
      <c r="G657" s="45"/>
      <c r="H657" s="45">
        <f t="shared" si="11"/>
        <v>0</v>
      </c>
    </row>
    <row r="658" spans="1:8" x14ac:dyDescent="0.25">
      <c r="A658" s="32" t="str">
        <f>+IF(B658="","",SUBTOTAL(3,$B$7:B658))</f>
        <v/>
      </c>
      <c r="B658" s="34"/>
      <c r="C658" s="35"/>
      <c r="D658" s="34"/>
      <c r="E658" s="32"/>
      <c r="F658" s="45"/>
      <c r="G658" s="45"/>
      <c r="H658" s="45">
        <f t="shared" si="11"/>
        <v>0</v>
      </c>
    </row>
    <row r="659" spans="1:8" x14ac:dyDescent="0.25">
      <c r="A659" s="32" t="str">
        <f>+IF(B659="","",SUBTOTAL(3,$B$7:B659))</f>
        <v/>
      </c>
      <c r="B659" s="34"/>
      <c r="C659" s="35"/>
      <c r="D659" s="34"/>
      <c r="E659" s="32"/>
      <c r="F659" s="45"/>
      <c r="G659" s="45"/>
      <c r="H659" s="45">
        <f t="shared" si="11"/>
        <v>0</v>
      </c>
    </row>
    <row r="660" spans="1:8" x14ac:dyDescent="0.25">
      <c r="A660" s="32" t="str">
        <f>+IF(B660="","",SUBTOTAL(3,$B$7:B660))</f>
        <v/>
      </c>
      <c r="B660" s="34"/>
      <c r="C660" s="35"/>
      <c r="D660" s="34"/>
      <c r="E660" s="32"/>
      <c r="F660" s="45"/>
      <c r="G660" s="45"/>
      <c r="H660" s="45">
        <f t="shared" si="11"/>
        <v>0</v>
      </c>
    </row>
    <row r="661" spans="1:8" x14ac:dyDescent="0.25">
      <c r="A661" s="32" t="str">
        <f>+IF(B661="","",SUBTOTAL(3,$B$7:B661))</f>
        <v/>
      </c>
      <c r="B661" s="34"/>
      <c r="C661" s="35"/>
      <c r="D661" s="34"/>
      <c r="E661" s="32"/>
      <c r="F661" s="45"/>
      <c r="G661" s="45"/>
      <c r="H661" s="45">
        <f t="shared" si="11"/>
        <v>0</v>
      </c>
    </row>
    <row r="662" spans="1:8" x14ac:dyDescent="0.25">
      <c r="A662" s="32" t="str">
        <f>+IF(B662="","",SUBTOTAL(3,$B$7:B662))</f>
        <v/>
      </c>
      <c r="B662" s="34"/>
      <c r="C662" s="35"/>
      <c r="D662" s="34"/>
      <c r="E662" s="32"/>
      <c r="F662" s="45"/>
      <c r="G662" s="45"/>
      <c r="H662" s="45">
        <f t="shared" si="11"/>
        <v>0</v>
      </c>
    </row>
    <row r="663" spans="1:8" x14ac:dyDescent="0.25">
      <c r="A663" s="32" t="str">
        <f>+IF(B663="","",SUBTOTAL(3,$B$7:B663))</f>
        <v/>
      </c>
      <c r="B663" s="34"/>
      <c r="C663" s="35"/>
      <c r="D663" s="34"/>
      <c r="E663" s="32"/>
      <c r="F663" s="45"/>
      <c r="G663" s="45"/>
      <c r="H663" s="45">
        <f t="shared" si="11"/>
        <v>0</v>
      </c>
    </row>
    <row r="664" spans="1:8" x14ac:dyDescent="0.25">
      <c r="A664" s="32" t="str">
        <f>+IF(B664="","",SUBTOTAL(3,$B$7:B664))</f>
        <v/>
      </c>
      <c r="B664" s="34"/>
      <c r="C664" s="35"/>
      <c r="D664" s="34"/>
      <c r="E664" s="32"/>
      <c r="F664" s="45"/>
      <c r="G664" s="45"/>
      <c r="H664" s="45">
        <f t="shared" si="11"/>
        <v>0</v>
      </c>
    </row>
    <row r="665" spans="1:8" x14ac:dyDescent="0.25">
      <c r="A665" s="32" t="str">
        <f>+IF(B665="","",SUBTOTAL(3,$B$7:B665))</f>
        <v/>
      </c>
      <c r="B665" s="34"/>
      <c r="C665" s="35"/>
      <c r="D665" s="34"/>
      <c r="E665" s="32"/>
      <c r="F665" s="45"/>
      <c r="G665" s="45"/>
      <c r="H665" s="45">
        <f t="shared" si="11"/>
        <v>0</v>
      </c>
    </row>
    <row r="666" spans="1:8" x14ac:dyDescent="0.25">
      <c r="A666" s="32" t="str">
        <f>+IF(B666="","",SUBTOTAL(3,$B$7:B666))</f>
        <v/>
      </c>
      <c r="B666" s="34"/>
      <c r="C666" s="35"/>
      <c r="D666" s="34"/>
      <c r="E666" s="32"/>
      <c r="F666" s="45"/>
      <c r="G666" s="45"/>
      <c r="H666" s="45">
        <f t="shared" si="11"/>
        <v>0</v>
      </c>
    </row>
    <row r="667" spans="1:8" x14ac:dyDescent="0.25">
      <c r="A667" s="32" t="str">
        <f>+IF(B667="","",SUBTOTAL(3,$B$7:B667))</f>
        <v/>
      </c>
      <c r="B667" s="34"/>
      <c r="C667" s="35"/>
      <c r="D667" s="34"/>
      <c r="E667" s="32"/>
      <c r="F667" s="45"/>
      <c r="G667" s="45"/>
      <c r="H667" s="45">
        <f t="shared" si="11"/>
        <v>0</v>
      </c>
    </row>
    <row r="668" spans="1:8" x14ac:dyDescent="0.25">
      <c r="A668" s="32" t="str">
        <f>+IF(B668="","",SUBTOTAL(3,$B$7:B668))</f>
        <v/>
      </c>
      <c r="B668" s="34"/>
      <c r="C668" s="35"/>
      <c r="D668" s="34"/>
      <c r="E668" s="32"/>
      <c r="F668" s="45"/>
      <c r="G668" s="45"/>
      <c r="H668" s="45">
        <f t="shared" si="11"/>
        <v>0</v>
      </c>
    </row>
    <row r="669" spans="1:8" x14ac:dyDescent="0.25">
      <c r="A669" s="32" t="str">
        <f>+IF(B669="","",SUBTOTAL(3,$B$7:B669))</f>
        <v/>
      </c>
      <c r="B669" s="34"/>
      <c r="C669" s="35"/>
      <c r="D669" s="34"/>
      <c r="E669" s="32"/>
      <c r="F669" s="45"/>
      <c r="G669" s="45"/>
      <c r="H669" s="45">
        <f t="shared" si="11"/>
        <v>0</v>
      </c>
    </row>
    <row r="670" spans="1:8" x14ac:dyDescent="0.25">
      <c r="A670" s="32" t="str">
        <f>+IF(B670="","",SUBTOTAL(3,$B$7:B670))</f>
        <v/>
      </c>
      <c r="B670" s="34"/>
      <c r="C670" s="35"/>
      <c r="D670" s="34"/>
      <c r="E670" s="32"/>
      <c r="F670" s="45"/>
      <c r="G670" s="45"/>
      <c r="H670" s="45">
        <f t="shared" si="11"/>
        <v>0</v>
      </c>
    </row>
    <row r="671" spans="1:8" x14ac:dyDescent="0.25">
      <c r="A671" s="32" t="str">
        <f>+IF(B671="","",SUBTOTAL(3,$B$7:B671))</f>
        <v/>
      </c>
      <c r="B671" s="34"/>
      <c r="C671" s="35"/>
      <c r="D671" s="34"/>
      <c r="E671" s="32"/>
      <c r="F671" s="45"/>
      <c r="G671" s="45"/>
      <c r="H671" s="45">
        <f t="shared" si="11"/>
        <v>0</v>
      </c>
    </row>
    <row r="672" spans="1:8" x14ac:dyDescent="0.25">
      <c r="A672" s="32" t="str">
        <f>+IF(B672="","",SUBTOTAL(3,$B$7:B672))</f>
        <v/>
      </c>
      <c r="B672" s="34"/>
      <c r="C672" s="35"/>
      <c r="D672" s="34"/>
      <c r="E672" s="32"/>
      <c r="F672" s="45"/>
      <c r="G672" s="45"/>
      <c r="H672" s="45">
        <f t="shared" si="11"/>
        <v>0</v>
      </c>
    </row>
    <row r="673" spans="1:8" x14ac:dyDescent="0.25">
      <c r="A673" s="32" t="str">
        <f>+IF(B673="","",SUBTOTAL(3,$B$7:B673))</f>
        <v/>
      </c>
      <c r="B673" s="34"/>
      <c r="C673" s="35"/>
      <c r="D673" s="34"/>
      <c r="E673" s="32"/>
      <c r="F673" s="45"/>
      <c r="G673" s="45"/>
      <c r="H673" s="45">
        <f t="shared" si="11"/>
        <v>0</v>
      </c>
    </row>
    <row r="674" spans="1:8" x14ac:dyDescent="0.25">
      <c r="A674" s="32" t="str">
        <f>+IF(B674="","",SUBTOTAL(3,$B$7:B674))</f>
        <v/>
      </c>
      <c r="B674" s="34"/>
      <c r="C674" s="35"/>
      <c r="D674" s="34"/>
      <c r="E674" s="32"/>
      <c r="F674" s="45"/>
      <c r="G674" s="45"/>
      <c r="H674" s="45">
        <f t="shared" si="11"/>
        <v>0</v>
      </c>
    </row>
    <row r="675" spans="1:8" x14ac:dyDescent="0.25">
      <c r="A675" s="32" t="str">
        <f>+IF(B675="","",SUBTOTAL(3,$B$7:B675))</f>
        <v/>
      </c>
      <c r="B675" s="34"/>
      <c r="C675" s="35"/>
      <c r="D675" s="34"/>
      <c r="E675" s="32"/>
      <c r="F675" s="45"/>
      <c r="G675" s="45"/>
      <c r="H675" s="45">
        <f t="shared" si="11"/>
        <v>0</v>
      </c>
    </row>
    <row r="676" spans="1:8" x14ac:dyDescent="0.25">
      <c r="A676" s="32" t="str">
        <f>+IF(B676="","",SUBTOTAL(3,$B$7:B676))</f>
        <v/>
      </c>
      <c r="B676" s="34"/>
      <c r="C676" s="35"/>
      <c r="D676" s="34"/>
      <c r="E676" s="32"/>
      <c r="F676" s="45"/>
      <c r="G676" s="45"/>
      <c r="H676" s="45">
        <f t="shared" si="11"/>
        <v>0</v>
      </c>
    </row>
    <row r="677" spans="1:8" x14ac:dyDescent="0.25">
      <c r="A677" s="32" t="str">
        <f>+IF(B677="","",SUBTOTAL(3,$B$7:B677))</f>
        <v/>
      </c>
      <c r="B677" s="34"/>
      <c r="C677" s="35"/>
      <c r="D677" s="34"/>
      <c r="E677" s="32"/>
      <c r="F677" s="45"/>
      <c r="G677" s="45"/>
      <c r="H677" s="45">
        <f t="shared" si="11"/>
        <v>0</v>
      </c>
    </row>
    <row r="678" spans="1:8" x14ac:dyDescent="0.25">
      <c r="A678" s="32" t="str">
        <f>+IF(B678="","",SUBTOTAL(3,$B$7:B678))</f>
        <v/>
      </c>
      <c r="B678" s="34"/>
      <c r="C678" s="35"/>
      <c r="D678" s="34"/>
      <c r="E678" s="32"/>
      <c r="F678" s="45"/>
      <c r="G678" s="45"/>
      <c r="H678" s="45">
        <f t="shared" si="11"/>
        <v>0</v>
      </c>
    </row>
    <row r="679" spans="1:8" x14ac:dyDescent="0.25">
      <c r="A679" s="32" t="str">
        <f>+IF(B679="","",SUBTOTAL(3,$B$7:B679))</f>
        <v/>
      </c>
      <c r="B679" s="34"/>
      <c r="C679" s="35"/>
      <c r="D679" s="34"/>
      <c r="E679" s="32"/>
      <c r="F679" s="45"/>
      <c r="G679" s="45"/>
      <c r="H679" s="45">
        <f t="shared" si="11"/>
        <v>0</v>
      </c>
    </row>
    <row r="680" spans="1:8" x14ac:dyDescent="0.25">
      <c r="A680" s="32" t="str">
        <f>+IF(B680="","",SUBTOTAL(3,$B$7:B680))</f>
        <v/>
      </c>
      <c r="B680" s="34"/>
      <c r="C680" s="35"/>
      <c r="D680" s="34"/>
      <c r="E680" s="32"/>
      <c r="F680" s="45"/>
      <c r="G680" s="45"/>
      <c r="H680" s="45">
        <f t="shared" si="11"/>
        <v>0</v>
      </c>
    </row>
    <row r="681" spans="1:8" x14ac:dyDescent="0.25">
      <c r="A681" s="32" t="str">
        <f>+IF(B681="","",SUBTOTAL(3,$B$7:B681))</f>
        <v/>
      </c>
      <c r="B681" s="34"/>
      <c r="C681" s="35"/>
      <c r="D681" s="34"/>
      <c r="E681" s="32"/>
      <c r="F681" s="45"/>
      <c r="G681" s="45"/>
      <c r="H681" s="45">
        <f t="shared" si="11"/>
        <v>0</v>
      </c>
    </row>
    <row r="682" spans="1:8" x14ac:dyDescent="0.25">
      <c r="A682" s="32" t="str">
        <f>+IF(B682="","",SUBTOTAL(3,$B$7:B682))</f>
        <v/>
      </c>
      <c r="B682" s="34"/>
      <c r="C682" s="35"/>
      <c r="D682" s="34"/>
      <c r="E682" s="32"/>
      <c r="F682" s="45"/>
      <c r="G682" s="45"/>
      <c r="H682" s="45">
        <f t="shared" si="11"/>
        <v>0</v>
      </c>
    </row>
    <row r="683" spans="1:8" x14ac:dyDescent="0.25">
      <c r="A683" s="32" t="str">
        <f>+IF(B683="","",SUBTOTAL(3,$B$7:B683))</f>
        <v/>
      </c>
      <c r="B683" s="34"/>
      <c r="C683" s="35"/>
      <c r="D683" s="34"/>
      <c r="E683" s="32"/>
      <c r="F683" s="45"/>
      <c r="G683" s="45"/>
      <c r="H683" s="45">
        <f t="shared" si="11"/>
        <v>0</v>
      </c>
    </row>
    <row r="684" spans="1:8" x14ac:dyDescent="0.25">
      <c r="A684" s="32" t="str">
        <f>+IF(B684="","",SUBTOTAL(3,$B$7:B684))</f>
        <v/>
      </c>
      <c r="B684" s="34"/>
      <c r="C684" s="35"/>
      <c r="D684" s="34"/>
      <c r="E684" s="32"/>
      <c r="F684" s="45"/>
      <c r="G684" s="45"/>
      <c r="H684" s="45">
        <f t="shared" si="11"/>
        <v>0</v>
      </c>
    </row>
    <row r="685" spans="1:8" x14ac:dyDescent="0.25">
      <c r="A685" s="32" t="str">
        <f>+IF(B685="","",SUBTOTAL(3,$B$7:B685))</f>
        <v/>
      </c>
      <c r="B685" s="34"/>
      <c r="C685" s="35"/>
      <c r="D685" s="34"/>
      <c r="E685" s="32"/>
      <c r="F685" s="45"/>
      <c r="G685" s="45"/>
      <c r="H685" s="45">
        <f t="shared" si="11"/>
        <v>0</v>
      </c>
    </row>
    <row r="686" spans="1:8" x14ac:dyDescent="0.25">
      <c r="A686" s="32" t="str">
        <f>+IF(B686="","",SUBTOTAL(3,$B$7:B686))</f>
        <v/>
      </c>
      <c r="B686" s="34"/>
      <c r="C686" s="35"/>
      <c r="D686" s="34"/>
      <c r="E686" s="32"/>
      <c r="F686" s="45"/>
      <c r="G686" s="45"/>
      <c r="H686" s="45">
        <f t="shared" si="11"/>
        <v>0</v>
      </c>
    </row>
    <row r="687" spans="1:8" x14ac:dyDescent="0.25">
      <c r="A687" s="32" t="str">
        <f>+IF(B687="","",SUBTOTAL(3,$B$7:B687))</f>
        <v/>
      </c>
      <c r="B687" s="34"/>
      <c r="C687" s="35"/>
      <c r="D687" s="34"/>
      <c r="E687" s="32"/>
      <c r="F687" s="45"/>
      <c r="G687" s="45"/>
      <c r="H687" s="45">
        <f t="shared" si="11"/>
        <v>0</v>
      </c>
    </row>
    <row r="688" spans="1:8" x14ac:dyDescent="0.25">
      <c r="A688" s="32" t="str">
        <f>+IF(B688="","",SUBTOTAL(3,$B$7:B688))</f>
        <v/>
      </c>
      <c r="B688" s="34"/>
      <c r="C688" s="35"/>
      <c r="D688" s="34"/>
      <c r="E688" s="32"/>
      <c r="F688" s="45"/>
      <c r="G688" s="45"/>
      <c r="H688" s="45">
        <f t="shared" si="11"/>
        <v>0</v>
      </c>
    </row>
    <row r="689" spans="1:8" x14ac:dyDescent="0.25">
      <c r="A689" s="32" t="str">
        <f>+IF(B689="","",SUBTOTAL(3,$B$7:B689))</f>
        <v/>
      </c>
      <c r="B689" s="34"/>
      <c r="C689" s="35"/>
      <c r="D689" s="34"/>
      <c r="E689" s="32"/>
      <c r="F689" s="45"/>
      <c r="G689" s="45"/>
      <c r="H689" s="45">
        <f t="shared" si="11"/>
        <v>0</v>
      </c>
    </row>
    <row r="690" spans="1:8" x14ac:dyDescent="0.25">
      <c r="A690" s="32" t="str">
        <f>+IF(B690="","",SUBTOTAL(3,$B$7:B690))</f>
        <v/>
      </c>
      <c r="B690" s="34"/>
      <c r="C690" s="35"/>
      <c r="D690" s="34"/>
      <c r="E690" s="32"/>
      <c r="F690" s="45"/>
      <c r="G690" s="45"/>
      <c r="H690" s="45">
        <f t="shared" si="11"/>
        <v>0</v>
      </c>
    </row>
    <row r="691" spans="1:8" x14ac:dyDescent="0.25">
      <c r="A691" s="32" t="str">
        <f>+IF(B691="","",SUBTOTAL(3,$B$7:B691))</f>
        <v/>
      </c>
      <c r="B691" s="34"/>
      <c r="C691" s="35"/>
      <c r="D691" s="34"/>
      <c r="E691" s="32"/>
      <c r="F691" s="45"/>
      <c r="G691" s="45"/>
      <c r="H691" s="45">
        <f t="shared" si="11"/>
        <v>0</v>
      </c>
    </row>
    <row r="692" spans="1:8" x14ac:dyDescent="0.25">
      <c r="A692" s="32" t="str">
        <f>+IF(B692="","",SUBTOTAL(3,$B$7:B692))</f>
        <v/>
      </c>
      <c r="B692" s="34"/>
      <c r="C692" s="35"/>
      <c r="D692" s="34"/>
      <c r="E692" s="32"/>
      <c r="F692" s="45"/>
      <c r="G692" s="45"/>
      <c r="H692" s="45">
        <f t="shared" si="11"/>
        <v>0</v>
      </c>
    </row>
    <row r="693" spans="1:8" x14ac:dyDescent="0.25">
      <c r="A693" s="32" t="str">
        <f>+IF(B693="","",SUBTOTAL(3,$B$7:B693))</f>
        <v/>
      </c>
      <c r="B693" s="34"/>
      <c r="C693" s="35"/>
      <c r="D693" s="34"/>
      <c r="E693" s="32"/>
      <c r="F693" s="45"/>
      <c r="G693" s="45"/>
      <c r="H693" s="45">
        <f t="shared" si="11"/>
        <v>0</v>
      </c>
    </row>
    <row r="694" spans="1:8" x14ac:dyDescent="0.25">
      <c r="A694" s="32" t="str">
        <f>+IF(B694="","",SUBTOTAL(3,$B$7:B694))</f>
        <v/>
      </c>
      <c r="B694" s="34"/>
      <c r="C694" s="35"/>
      <c r="D694" s="34"/>
      <c r="E694" s="32"/>
      <c r="F694" s="45"/>
      <c r="G694" s="45"/>
      <c r="H694" s="45">
        <f t="shared" si="11"/>
        <v>0</v>
      </c>
    </row>
    <row r="695" spans="1:8" x14ac:dyDescent="0.25">
      <c r="A695" s="32" t="str">
        <f>+IF(B695="","",SUBTOTAL(3,$B$7:B695))</f>
        <v/>
      </c>
      <c r="B695" s="34"/>
      <c r="C695" s="35"/>
      <c r="D695" s="34"/>
      <c r="E695" s="32"/>
      <c r="F695" s="45"/>
      <c r="G695" s="45"/>
      <c r="H695" s="45">
        <f t="shared" si="11"/>
        <v>0</v>
      </c>
    </row>
    <row r="696" spans="1:8" x14ac:dyDescent="0.25">
      <c r="A696" s="32" t="str">
        <f>+IF(B696="","",SUBTOTAL(3,$B$7:B696))</f>
        <v/>
      </c>
      <c r="B696" s="34"/>
      <c r="C696" s="35"/>
      <c r="D696" s="34"/>
      <c r="E696" s="32"/>
      <c r="F696" s="45"/>
      <c r="G696" s="45"/>
      <c r="H696" s="45">
        <f t="shared" si="11"/>
        <v>0</v>
      </c>
    </row>
    <row r="697" spans="1:8" x14ac:dyDescent="0.25">
      <c r="A697" s="32" t="str">
        <f>+IF(B697="","",SUBTOTAL(3,$B$7:B697))</f>
        <v/>
      </c>
      <c r="B697" s="34"/>
      <c r="C697" s="35"/>
      <c r="D697" s="34"/>
      <c r="E697" s="32"/>
      <c r="F697" s="45"/>
      <c r="G697" s="45"/>
      <c r="H697" s="45">
        <f t="shared" si="11"/>
        <v>0</v>
      </c>
    </row>
    <row r="698" spans="1:8" x14ac:dyDescent="0.25">
      <c r="A698" s="32" t="str">
        <f>+IF(B698="","",SUBTOTAL(3,$B$7:B698))</f>
        <v/>
      </c>
      <c r="B698" s="34"/>
      <c r="C698" s="35"/>
      <c r="D698" s="34"/>
      <c r="E698" s="32"/>
      <c r="F698" s="45"/>
      <c r="G698" s="45"/>
      <c r="H698" s="45">
        <f t="shared" si="11"/>
        <v>0</v>
      </c>
    </row>
    <row r="699" spans="1:8" x14ac:dyDescent="0.25">
      <c r="A699" s="32" t="str">
        <f>+IF(B699="","",SUBTOTAL(3,$B$7:B699))</f>
        <v/>
      </c>
      <c r="B699" s="34"/>
      <c r="C699" s="35"/>
      <c r="D699" s="34"/>
      <c r="E699" s="32"/>
      <c r="F699" s="45"/>
      <c r="G699" s="45"/>
      <c r="H699" s="45">
        <f t="shared" si="11"/>
        <v>0</v>
      </c>
    </row>
    <row r="700" spans="1:8" x14ac:dyDescent="0.25">
      <c r="A700" s="32" t="str">
        <f>+IF(B700="","",SUBTOTAL(3,$B$7:B700))</f>
        <v/>
      </c>
      <c r="B700" s="34"/>
      <c r="C700" s="35"/>
      <c r="D700" s="34"/>
      <c r="E700" s="32"/>
      <c r="F700" s="45"/>
      <c r="G700" s="45"/>
      <c r="H700" s="45">
        <f t="shared" si="11"/>
        <v>0</v>
      </c>
    </row>
    <row r="701" spans="1:8" x14ac:dyDescent="0.25">
      <c r="A701" s="32" t="str">
        <f>+IF(B701="","",SUBTOTAL(3,$B$7:B701))</f>
        <v/>
      </c>
      <c r="B701" s="34"/>
      <c r="C701" s="35"/>
      <c r="D701" s="34"/>
      <c r="E701" s="32"/>
      <c r="F701" s="45"/>
      <c r="G701" s="45"/>
      <c r="H701" s="45">
        <f t="shared" si="11"/>
        <v>0</v>
      </c>
    </row>
    <row r="702" spans="1:8" x14ac:dyDescent="0.25">
      <c r="A702" s="32" t="str">
        <f>+IF(B702="","",SUBTOTAL(3,$B$7:B702))</f>
        <v/>
      </c>
      <c r="B702" s="34"/>
      <c r="C702" s="35"/>
      <c r="D702" s="34"/>
      <c r="E702" s="32"/>
      <c r="F702" s="45"/>
      <c r="G702" s="45"/>
      <c r="H702" s="45">
        <f t="shared" si="11"/>
        <v>0</v>
      </c>
    </row>
    <row r="703" spans="1:8" x14ac:dyDescent="0.25">
      <c r="A703" s="32" t="str">
        <f>+IF(B703="","",SUBTOTAL(3,$B$7:B703))</f>
        <v/>
      </c>
      <c r="B703" s="34"/>
      <c r="C703" s="35"/>
      <c r="D703" s="34"/>
      <c r="E703" s="32"/>
      <c r="F703" s="45"/>
      <c r="G703" s="45"/>
      <c r="H703" s="45">
        <f t="shared" si="11"/>
        <v>0</v>
      </c>
    </row>
    <row r="704" spans="1:8" x14ac:dyDescent="0.25">
      <c r="A704" s="32" t="str">
        <f>+IF(B704="","",SUBTOTAL(3,$B$7:B704))</f>
        <v/>
      </c>
      <c r="B704" s="34"/>
      <c r="C704" s="35"/>
      <c r="D704" s="34"/>
      <c r="E704" s="32"/>
      <c r="F704" s="45"/>
      <c r="G704" s="45"/>
      <c r="H704" s="45">
        <f t="shared" si="11"/>
        <v>0</v>
      </c>
    </row>
    <row r="705" spans="1:8" x14ac:dyDescent="0.25">
      <c r="A705" s="32" t="str">
        <f>+IF(B705="","",SUBTOTAL(3,$B$7:B705))</f>
        <v/>
      </c>
      <c r="B705" s="34"/>
      <c r="C705" s="35"/>
      <c r="D705" s="34"/>
      <c r="E705" s="32"/>
      <c r="F705" s="45"/>
      <c r="G705" s="45"/>
      <c r="H705" s="45">
        <f t="shared" si="11"/>
        <v>0</v>
      </c>
    </row>
    <row r="706" spans="1:8" x14ac:dyDescent="0.25">
      <c r="A706" s="32" t="str">
        <f>+IF(B706="","",SUBTOTAL(3,$B$7:B706))</f>
        <v/>
      </c>
      <c r="B706" s="34"/>
      <c r="C706" s="35"/>
      <c r="D706" s="34"/>
      <c r="E706" s="32"/>
      <c r="F706" s="45"/>
      <c r="G706" s="45"/>
      <c r="H706" s="45">
        <f t="shared" si="11"/>
        <v>0</v>
      </c>
    </row>
    <row r="707" spans="1:8" x14ac:dyDescent="0.25">
      <c r="A707" s="32" t="str">
        <f>+IF(B707="","",SUBTOTAL(3,$B$7:B707))</f>
        <v/>
      </c>
      <c r="B707" s="34"/>
      <c r="C707" s="35"/>
      <c r="D707" s="34"/>
      <c r="E707" s="32"/>
      <c r="F707" s="45"/>
      <c r="G707" s="45"/>
      <c r="H707" s="45">
        <f t="shared" si="11"/>
        <v>0</v>
      </c>
    </row>
    <row r="708" spans="1:8" x14ac:dyDescent="0.25">
      <c r="A708" s="32" t="str">
        <f>+IF(B708="","",SUBTOTAL(3,$B$7:B708))</f>
        <v/>
      </c>
      <c r="B708" s="34"/>
      <c r="C708" s="35"/>
      <c r="D708" s="34"/>
      <c r="E708" s="32"/>
      <c r="F708" s="45"/>
      <c r="G708" s="45"/>
      <c r="H708" s="45">
        <f t="shared" si="11"/>
        <v>0</v>
      </c>
    </row>
    <row r="709" spans="1:8" x14ac:dyDescent="0.25">
      <c r="A709" s="32" t="str">
        <f>+IF(B709="","",SUBTOTAL(3,$B$7:B709))</f>
        <v/>
      </c>
      <c r="B709" s="34"/>
      <c r="C709" s="35"/>
      <c r="D709" s="34"/>
      <c r="E709" s="32"/>
      <c r="F709" s="45"/>
      <c r="G709" s="45"/>
      <c r="H709" s="45">
        <f t="shared" si="11"/>
        <v>0</v>
      </c>
    </row>
    <row r="710" spans="1:8" x14ac:dyDescent="0.25">
      <c r="A710" s="32" t="str">
        <f>+IF(B710="","",SUBTOTAL(3,$B$7:B710))</f>
        <v/>
      </c>
      <c r="B710" s="34"/>
      <c r="C710" s="35"/>
      <c r="D710" s="34"/>
      <c r="E710" s="32"/>
      <c r="F710" s="45"/>
      <c r="G710" s="45"/>
      <c r="H710" s="45">
        <f t="shared" si="11"/>
        <v>0</v>
      </c>
    </row>
    <row r="711" spans="1:8" x14ac:dyDescent="0.25">
      <c r="A711" s="32" t="str">
        <f>+IF(B711="","",SUBTOTAL(3,$B$7:B711))</f>
        <v/>
      </c>
      <c r="B711" s="34"/>
      <c r="C711" s="35"/>
      <c r="D711" s="34"/>
      <c r="E711" s="32"/>
      <c r="F711" s="45"/>
      <c r="G711" s="45"/>
      <c r="H711" s="45">
        <f t="shared" si="11"/>
        <v>0</v>
      </c>
    </row>
    <row r="712" spans="1:8" x14ac:dyDescent="0.25">
      <c r="A712" s="32" t="str">
        <f>+IF(B712="","",SUBTOTAL(3,$B$7:B712))</f>
        <v/>
      </c>
      <c r="B712" s="34"/>
      <c r="C712" s="35"/>
      <c r="D712" s="34"/>
      <c r="E712" s="32"/>
      <c r="F712" s="45"/>
      <c r="G712" s="45"/>
      <c r="H712" s="45">
        <f t="shared" ref="H712:H775" si="12">+G712*F712</f>
        <v>0</v>
      </c>
    </row>
    <row r="713" spans="1:8" x14ac:dyDescent="0.25">
      <c r="A713" s="32" t="str">
        <f>+IF(B713="","",SUBTOTAL(3,$B$7:B713))</f>
        <v/>
      </c>
      <c r="B713" s="34"/>
      <c r="C713" s="35"/>
      <c r="D713" s="34"/>
      <c r="E713" s="32"/>
      <c r="F713" s="45"/>
      <c r="G713" s="45"/>
      <c r="H713" s="45">
        <f t="shared" si="12"/>
        <v>0</v>
      </c>
    </row>
    <row r="714" spans="1:8" x14ac:dyDescent="0.25">
      <c r="A714" s="32" t="str">
        <f>+IF(B714="","",SUBTOTAL(3,$B$7:B714))</f>
        <v/>
      </c>
      <c r="B714" s="34"/>
      <c r="C714" s="35"/>
      <c r="D714" s="34"/>
      <c r="E714" s="32"/>
      <c r="F714" s="45"/>
      <c r="G714" s="45"/>
      <c r="H714" s="45">
        <f t="shared" si="12"/>
        <v>0</v>
      </c>
    </row>
    <row r="715" spans="1:8" x14ac:dyDescent="0.25">
      <c r="A715" s="32" t="str">
        <f>+IF(B715="","",SUBTOTAL(3,$B$7:B715))</f>
        <v/>
      </c>
      <c r="B715" s="34"/>
      <c r="C715" s="35"/>
      <c r="D715" s="34"/>
      <c r="E715" s="32"/>
      <c r="F715" s="45"/>
      <c r="G715" s="45"/>
      <c r="H715" s="45">
        <f t="shared" si="12"/>
        <v>0</v>
      </c>
    </row>
    <row r="716" spans="1:8" x14ac:dyDescent="0.25">
      <c r="A716" s="32" t="str">
        <f>+IF(B716="","",SUBTOTAL(3,$B$7:B716))</f>
        <v/>
      </c>
      <c r="B716" s="34"/>
      <c r="C716" s="35"/>
      <c r="D716" s="34"/>
      <c r="E716" s="32"/>
      <c r="F716" s="45"/>
      <c r="G716" s="45"/>
      <c r="H716" s="45">
        <f t="shared" si="12"/>
        <v>0</v>
      </c>
    </row>
    <row r="717" spans="1:8" x14ac:dyDescent="0.25">
      <c r="A717" s="32" t="str">
        <f>+IF(B717="","",SUBTOTAL(3,$B$7:B717))</f>
        <v/>
      </c>
      <c r="B717" s="34"/>
      <c r="C717" s="35"/>
      <c r="D717" s="34"/>
      <c r="E717" s="32"/>
      <c r="F717" s="45"/>
      <c r="G717" s="45"/>
      <c r="H717" s="45">
        <f t="shared" si="12"/>
        <v>0</v>
      </c>
    </row>
    <row r="718" spans="1:8" x14ac:dyDescent="0.25">
      <c r="A718" s="32" t="str">
        <f>+IF(B718="","",SUBTOTAL(3,$B$7:B718))</f>
        <v/>
      </c>
      <c r="B718" s="34"/>
      <c r="C718" s="35"/>
      <c r="D718" s="34"/>
      <c r="E718" s="32"/>
      <c r="F718" s="45"/>
      <c r="G718" s="45"/>
      <c r="H718" s="45">
        <f t="shared" si="12"/>
        <v>0</v>
      </c>
    </row>
    <row r="719" spans="1:8" x14ac:dyDescent="0.25">
      <c r="A719" s="32" t="str">
        <f>+IF(B719="","",SUBTOTAL(3,$B$7:B719))</f>
        <v/>
      </c>
      <c r="B719" s="34"/>
      <c r="C719" s="35"/>
      <c r="D719" s="34"/>
      <c r="E719" s="32"/>
      <c r="F719" s="45"/>
      <c r="G719" s="45"/>
      <c r="H719" s="45">
        <f t="shared" si="12"/>
        <v>0</v>
      </c>
    </row>
    <row r="720" spans="1:8" x14ac:dyDescent="0.25">
      <c r="A720" s="32" t="str">
        <f>+IF(B720="","",SUBTOTAL(3,$B$7:B720))</f>
        <v/>
      </c>
      <c r="B720" s="34"/>
      <c r="C720" s="35"/>
      <c r="D720" s="34"/>
      <c r="E720" s="32"/>
      <c r="F720" s="45"/>
      <c r="G720" s="45"/>
      <c r="H720" s="45">
        <f t="shared" si="12"/>
        <v>0</v>
      </c>
    </row>
    <row r="721" spans="1:8" x14ac:dyDescent="0.25">
      <c r="A721" s="32" t="str">
        <f>+IF(B721="","",SUBTOTAL(3,$B$7:B721))</f>
        <v/>
      </c>
      <c r="B721" s="34"/>
      <c r="C721" s="35"/>
      <c r="D721" s="34"/>
      <c r="E721" s="32"/>
      <c r="F721" s="45"/>
      <c r="G721" s="45"/>
      <c r="H721" s="45">
        <f t="shared" si="12"/>
        <v>0</v>
      </c>
    </row>
    <row r="722" spans="1:8" x14ac:dyDescent="0.25">
      <c r="A722" s="32" t="str">
        <f>+IF(B722="","",SUBTOTAL(3,$B$7:B722))</f>
        <v/>
      </c>
      <c r="B722" s="34"/>
      <c r="C722" s="35"/>
      <c r="D722" s="34"/>
      <c r="E722" s="32"/>
      <c r="F722" s="45"/>
      <c r="G722" s="45"/>
      <c r="H722" s="45">
        <f t="shared" si="12"/>
        <v>0</v>
      </c>
    </row>
    <row r="723" spans="1:8" x14ac:dyDescent="0.25">
      <c r="A723" s="32" t="str">
        <f>+IF(B723="","",SUBTOTAL(3,$B$7:B723))</f>
        <v/>
      </c>
      <c r="B723" s="34"/>
      <c r="C723" s="35"/>
      <c r="D723" s="34"/>
      <c r="E723" s="32"/>
      <c r="F723" s="45"/>
      <c r="G723" s="45"/>
      <c r="H723" s="45">
        <f t="shared" si="12"/>
        <v>0</v>
      </c>
    </row>
    <row r="724" spans="1:8" x14ac:dyDescent="0.25">
      <c r="A724" s="32" t="str">
        <f>+IF(B724="","",SUBTOTAL(3,$B$7:B724))</f>
        <v/>
      </c>
      <c r="B724" s="34"/>
      <c r="C724" s="35"/>
      <c r="D724" s="34"/>
      <c r="E724" s="32"/>
      <c r="F724" s="45"/>
      <c r="G724" s="45"/>
      <c r="H724" s="45">
        <f t="shared" si="12"/>
        <v>0</v>
      </c>
    </row>
    <row r="725" spans="1:8" x14ac:dyDescent="0.25">
      <c r="A725" s="32" t="str">
        <f>+IF(B725="","",SUBTOTAL(3,$B$7:B725))</f>
        <v/>
      </c>
      <c r="B725" s="34"/>
      <c r="C725" s="35"/>
      <c r="D725" s="34"/>
      <c r="E725" s="32"/>
      <c r="F725" s="45"/>
      <c r="G725" s="45"/>
      <c r="H725" s="45">
        <f t="shared" si="12"/>
        <v>0</v>
      </c>
    </row>
    <row r="726" spans="1:8" x14ac:dyDescent="0.25">
      <c r="A726" s="32" t="str">
        <f>+IF(B726="","",SUBTOTAL(3,$B$7:B726))</f>
        <v/>
      </c>
      <c r="B726" s="34"/>
      <c r="C726" s="35"/>
      <c r="D726" s="34"/>
      <c r="E726" s="32"/>
      <c r="F726" s="45"/>
      <c r="G726" s="45"/>
      <c r="H726" s="45">
        <f t="shared" si="12"/>
        <v>0</v>
      </c>
    </row>
    <row r="727" spans="1:8" x14ac:dyDescent="0.25">
      <c r="A727" s="32" t="str">
        <f>+IF(B727="","",SUBTOTAL(3,$B$7:B727))</f>
        <v/>
      </c>
      <c r="B727" s="34"/>
      <c r="C727" s="35"/>
      <c r="D727" s="34"/>
      <c r="E727" s="32"/>
      <c r="F727" s="45"/>
      <c r="G727" s="45"/>
      <c r="H727" s="45">
        <f t="shared" si="12"/>
        <v>0</v>
      </c>
    </row>
    <row r="728" spans="1:8" x14ac:dyDescent="0.25">
      <c r="A728" s="32" t="str">
        <f>+IF(B728="","",SUBTOTAL(3,$B$7:B728))</f>
        <v/>
      </c>
      <c r="B728" s="34"/>
      <c r="C728" s="35"/>
      <c r="D728" s="34"/>
      <c r="E728" s="32"/>
      <c r="F728" s="45"/>
      <c r="G728" s="45"/>
      <c r="H728" s="45">
        <f t="shared" si="12"/>
        <v>0</v>
      </c>
    </row>
    <row r="729" spans="1:8" x14ac:dyDescent="0.25">
      <c r="A729" s="32" t="str">
        <f>+IF(B729="","",SUBTOTAL(3,$B$7:B729))</f>
        <v/>
      </c>
      <c r="B729" s="34"/>
      <c r="C729" s="35"/>
      <c r="D729" s="34"/>
      <c r="E729" s="32"/>
      <c r="F729" s="45"/>
      <c r="G729" s="45"/>
      <c r="H729" s="45">
        <f t="shared" si="12"/>
        <v>0</v>
      </c>
    </row>
    <row r="730" spans="1:8" x14ac:dyDescent="0.25">
      <c r="A730" s="32" t="str">
        <f>+IF(B730="","",SUBTOTAL(3,$B$7:B730))</f>
        <v/>
      </c>
      <c r="B730" s="34"/>
      <c r="C730" s="35"/>
      <c r="D730" s="34"/>
      <c r="E730" s="32"/>
      <c r="F730" s="45"/>
      <c r="G730" s="45"/>
      <c r="H730" s="45">
        <f t="shared" si="12"/>
        <v>0</v>
      </c>
    </row>
    <row r="731" spans="1:8" x14ac:dyDescent="0.25">
      <c r="A731" s="32" t="str">
        <f>+IF(B731="","",SUBTOTAL(3,$B$7:B731))</f>
        <v/>
      </c>
      <c r="B731" s="34"/>
      <c r="C731" s="35"/>
      <c r="D731" s="34"/>
      <c r="E731" s="32"/>
      <c r="F731" s="45"/>
      <c r="G731" s="45"/>
      <c r="H731" s="45">
        <f t="shared" si="12"/>
        <v>0</v>
      </c>
    </row>
    <row r="732" spans="1:8" x14ac:dyDescent="0.25">
      <c r="A732" s="32" t="str">
        <f>+IF(B732="","",SUBTOTAL(3,$B$7:B732))</f>
        <v/>
      </c>
      <c r="B732" s="34"/>
      <c r="C732" s="35"/>
      <c r="D732" s="34"/>
      <c r="E732" s="32"/>
      <c r="F732" s="45"/>
      <c r="G732" s="45"/>
      <c r="H732" s="45">
        <f t="shared" si="12"/>
        <v>0</v>
      </c>
    </row>
    <row r="733" spans="1:8" x14ac:dyDescent="0.25">
      <c r="A733" s="32" t="str">
        <f>+IF(B733="","",SUBTOTAL(3,$B$7:B733))</f>
        <v/>
      </c>
      <c r="B733" s="34"/>
      <c r="C733" s="35"/>
      <c r="D733" s="34"/>
      <c r="E733" s="32"/>
      <c r="F733" s="45"/>
      <c r="G733" s="45"/>
      <c r="H733" s="45">
        <f t="shared" si="12"/>
        <v>0</v>
      </c>
    </row>
    <row r="734" spans="1:8" x14ac:dyDescent="0.25">
      <c r="A734" s="32" t="str">
        <f>+IF(B734="","",SUBTOTAL(3,$B$7:B734))</f>
        <v/>
      </c>
      <c r="B734" s="34"/>
      <c r="C734" s="35"/>
      <c r="D734" s="34"/>
      <c r="E734" s="32"/>
      <c r="F734" s="45"/>
      <c r="G734" s="45"/>
      <c r="H734" s="45">
        <f t="shared" si="12"/>
        <v>0</v>
      </c>
    </row>
    <row r="735" spans="1:8" x14ac:dyDescent="0.25">
      <c r="A735" s="32" t="str">
        <f>+IF(B735="","",SUBTOTAL(3,$B$7:B735))</f>
        <v/>
      </c>
      <c r="B735" s="34"/>
      <c r="C735" s="35"/>
      <c r="D735" s="34"/>
      <c r="E735" s="32"/>
      <c r="F735" s="45"/>
      <c r="G735" s="45"/>
      <c r="H735" s="45">
        <f t="shared" si="12"/>
        <v>0</v>
      </c>
    </row>
    <row r="736" spans="1:8" x14ac:dyDescent="0.25">
      <c r="A736" s="32" t="str">
        <f>+IF(B736="","",SUBTOTAL(3,$B$7:B736))</f>
        <v/>
      </c>
      <c r="B736" s="34"/>
      <c r="C736" s="35"/>
      <c r="D736" s="34"/>
      <c r="E736" s="32"/>
      <c r="F736" s="45"/>
      <c r="G736" s="45"/>
      <c r="H736" s="45">
        <f t="shared" si="12"/>
        <v>0</v>
      </c>
    </row>
    <row r="737" spans="1:8" x14ac:dyDescent="0.25">
      <c r="A737" s="32" t="str">
        <f>+IF(B737="","",SUBTOTAL(3,$B$7:B737))</f>
        <v/>
      </c>
      <c r="B737" s="34"/>
      <c r="C737" s="35"/>
      <c r="D737" s="34"/>
      <c r="E737" s="32"/>
      <c r="F737" s="45"/>
      <c r="G737" s="45"/>
      <c r="H737" s="45">
        <f t="shared" si="12"/>
        <v>0</v>
      </c>
    </row>
    <row r="738" spans="1:8" x14ac:dyDescent="0.25">
      <c r="A738" s="32" t="str">
        <f>+IF(B738="","",SUBTOTAL(3,$B$7:B738))</f>
        <v/>
      </c>
      <c r="B738" s="34"/>
      <c r="C738" s="35"/>
      <c r="D738" s="34"/>
      <c r="E738" s="32"/>
      <c r="F738" s="45"/>
      <c r="G738" s="45"/>
      <c r="H738" s="45">
        <f t="shared" si="12"/>
        <v>0</v>
      </c>
    </row>
    <row r="739" spans="1:8" x14ac:dyDescent="0.25">
      <c r="A739" s="32" t="str">
        <f>+IF(B739="","",SUBTOTAL(3,$B$7:B739))</f>
        <v/>
      </c>
      <c r="B739" s="34"/>
      <c r="C739" s="35"/>
      <c r="D739" s="34"/>
      <c r="E739" s="32"/>
      <c r="F739" s="45"/>
      <c r="G739" s="45"/>
      <c r="H739" s="45">
        <f t="shared" si="12"/>
        <v>0</v>
      </c>
    </row>
    <row r="740" spans="1:8" x14ac:dyDescent="0.25">
      <c r="A740" s="32" t="str">
        <f>+IF(B740="","",SUBTOTAL(3,$B$7:B740))</f>
        <v/>
      </c>
      <c r="B740" s="34"/>
      <c r="C740" s="35"/>
      <c r="D740" s="34"/>
      <c r="E740" s="32"/>
      <c r="F740" s="45"/>
      <c r="G740" s="45"/>
      <c r="H740" s="45">
        <f t="shared" si="12"/>
        <v>0</v>
      </c>
    </row>
    <row r="741" spans="1:8" x14ac:dyDescent="0.25">
      <c r="A741" s="32" t="str">
        <f>+IF(B741="","",SUBTOTAL(3,$B$7:B741))</f>
        <v/>
      </c>
      <c r="B741" s="34"/>
      <c r="C741" s="35"/>
      <c r="D741" s="34"/>
      <c r="E741" s="32"/>
      <c r="F741" s="45"/>
      <c r="G741" s="45"/>
      <c r="H741" s="45">
        <f t="shared" si="12"/>
        <v>0</v>
      </c>
    </row>
    <row r="742" spans="1:8" x14ac:dyDescent="0.25">
      <c r="A742" s="32" t="str">
        <f>+IF(B742="","",SUBTOTAL(3,$B$7:B742))</f>
        <v/>
      </c>
      <c r="B742" s="34"/>
      <c r="C742" s="35"/>
      <c r="D742" s="34"/>
      <c r="E742" s="32"/>
      <c r="F742" s="45"/>
      <c r="G742" s="45"/>
      <c r="H742" s="45">
        <f t="shared" si="12"/>
        <v>0</v>
      </c>
    </row>
    <row r="743" spans="1:8" x14ac:dyDescent="0.25">
      <c r="A743" s="32" t="str">
        <f>+IF(B743="","",SUBTOTAL(3,$B$7:B743))</f>
        <v/>
      </c>
      <c r="B743" s="34"/>
      <c r="C743" s="35"/>
      <c r="D743" s="34"/>
      <c r="E743" s="32"/>
      <c r="F743" s="45"/>
      <c r="G743" s="45"/>
      <c r="H743" s="45">
        <f t="shared" si="12"/>
        <v>0</v>
      </c>
    </row>
    <row r="744" spans="1:8" x14ac:dyDescent="0.25">
      <c r="A744" s="32" t="str">
        <f>+IF(B744="","",SUBTOTAL(3,$B$7:B744))</f>
        <v/>
      </c>
      <c r="B744" s="34"/>
      <c r="C744" s="35"/>
      <c r="D744" s="34"/>
      <c r="E744" s="32"/>
      <c r="F744" s="45"/>
      <c r="G744" s="45"/>
      <c r="H744" s="45">
        <f t="shared" si="12"/>
        <v>0</v>
      </c>
    </row>
    <row r="745" spans="1:8" x14ac:dyDescent="0.25">
      <c r="A745" s="32" t="str">
        <f>+IF(B745="","",SUBTOTAL(3,$B$7:B745))</f>
        <v/>
      </c>
      <c r="B745" s="34"/>
      <c r="C745" s="35"/>
      <c r="D745" s="34"/>
      <c r="E745" s="32"/>
      <c r="F745" s="45"/>
      <c r="G745" s="45"/>
      <c r="H745" s="45">
        <f t="shared" si="12"/>
        <v>0</v>
      </c>
    </row>
    <row r="746" spans="1:8" x14ac:dyDescent="0.25">
      <c r="A746" s="32" t="str">
        <f>+IF(B746="","",SUBTOTAL(3,$B$7:B746))</f>
        <v/>
      </c>
      <c r="B746" s="34"/>
      <c r="C746" s="35"/>
      <c r="D746" s="34"/>
      <c r="E746" s="32"/>
      <c r="F746" s="45"/>
      <c r="G746" s="45"/>
      <c r="H746" s="45">
        <f t="shared" si="12"/>
        <v>0</v>
      </c>
    </row>
    <row r="747" spans="1:8" x14ac:dyDescent="0.25">
      <c r="A747" s="32" t="str">
        <f>+IF(B747="","",SUBTOTAL(3,$B$7:B747))</f>
        <v/>
      </c>
      <c r="B747" s="34"/>
      <c r="C747" s="35"/>
      <c r="D747" s="34"/>
      <c r="E747" s="32"/>
      <c r="F747" s="45"/>
      <c r="G747" s="45"/>
      <c r="H747" s="45">
        <f t="shared" si="12"/>
        <v>0</v>
      </c>
    </row>
    <row r="748" spans="1:8" x14ac:dyDescent="0.25">
      <c r="A748" s="32" t="str">
        <f>+IF(B748="","",SUBTOTAL(3,$B$7:B748))</f>
        <v/>
      </c>
      <c r="B748" s="34"/>
      <c r="C748" s="35"/>
      <c r="D748" s="34"/>
      <c r="E748" s="32"/>
      <c r="F748" s="45"/>
      <c r="G748" s="45"/>
      <c r="H748" s="45">
        <f t="shared" si="12"/>
        <v>0</v>
      </c>
    </row>
    <row r="749" spans="1:8" x14ac:dyDescent="0.25">
      <c r="A749" s="32" t="str">
        <f>+IF(B749="","",SUBTOTAL(3,$B$7:B749))</f>
        <v/>
      </c>
      <c r="B749" s="34"/>
      <c r="C749" s="35"/>
      <c r="D749" s="34"/>
      <c r="E749" s="32"/>
      <c r="F749" s="45"/>
      <c r="G749" s="45"/>
      <c r="H749" s="45">
        <f t="shared" si="12"/>
        <v>0</v>
      </c>
    </row>
    <row r="750" spans="1:8" x14ac:dyDescent="0.25">
      <c r="A750" s="32" t="str">
        <f>+IF(B750="","",SUBTOTAL(3,$B$7:B750))</f>
        <v/>
      </c>
      <c r="B750" s="34"/>
      <c r="C750" s="35"/>
      <c r="D750" s="34"/>
      <c r="E750" s="32"/>
      <c r="F750" s="45"/>
      <c r="G750" s="45"/>
      <c r="H750" s="45">
        <f t="shared" si="12"/>
        <v>0</v>
      </c>
    </row>
    <row r="751" spans="1:8" x14ac:dyDescent="0.25">
      <c r="A751" s="32" t="str">
        <f>+IF(B751="","",SUBTOTAL(3,$B$7:B751))</f>
        <v/>
      </c>
      <c r="B751" s="34"/>
      <c r="C751" s="35"/>
      <c r="D751" s="34"/>
      <c r="E751" s="32"/>
      <c r="F751" s="45"/>
      <c r="G751" s="45"/>
      <c r="H751" s="45">
        <f t="shared" si="12"/>
        <v>0</v>
      </c>
    </row>
    <row r="752" spans="1:8" x14ac:dyDescent="0.25">
      <c r="A752" s="32" t="str">
        <f>+IF(B752="","",SUBTOTAL(3,$B$7:B752))</f>
        <v/>
      </c>
      <c r="B752" s="34"/>
      <c r="C752" s="35"/>
      <c r="D752" s="34"/>
      <c r="E752" s="32"/>
      <c r="F752" s="45"/>
      <c r="G752" s="45"/>
      <c r="H752" s="45">
        <f t="shared" si="12"/>
        <v>0</v>
      </c>
    </row>
    <row r="753" spans="1:8" x14ac:dyDescent="0.25">
      <c r="A753" s="32" t="str">
        <f>+IF(B753="","",SUBTOTAL(3,$B$7:B753))</f>
        <v/>
      </c>
      <c r="B753" s="34"/>
      <c r="C753" s="35"/>
      <c r="D753" s="34"/>
      <c r="E753" s="32"/>
      <c r="F753" s="45"/>
      <c r="G753" s="45"/>
      <c r="H753" s="45">
        <f t="shared" si="12"/>
        <v>0</v>
      </c>
    </row>
    <row r="754" spans="1:8" x14ac:dyDescent="0.25">
      <c r="A754" s="32" t="str">
        <f>+IF(B754="","",SUBTOTAL(3,$B$7:B754))</f>
        <v/>
      </c>
      <c r="B754" s="34"/>
      <c r="C754" s="35"/>
      <c r="D754" s="34"/>
      <c r="E754" s="32"/>
      <c r="F754" s="45"/>
      <c r="G754" s="45"/>
      <c r="H754" s="45">
        <f t="shared" si="12"/>
        <v>0</v>
      </c>
    </row>
    <row r="755" spans="1:8" x14ac:dyDescent="0.25">
      <c r="A755" s="32" t="str">
        <f>+IF(B755="","",SUBTOTAL(3,$B$7:B755))</f>
        <v/>
      </c>
      <c r="B755" s="34"/>
      <c r="C755" s="35"/>
      <c r="D755" s="34"/>
      <c r="E755" s="32"/>
      <c r="F755" s="45"/>
      <c r="G755" s="45"/>
      <c r="H755" s="45">
        <f t="shared" si="12"/>
        <v>0</v>
      </c>
    </row>
    <row r="756" spans="1:8" x14ac:dyDescent="0.25">
      <c r="A756" s="32" t="str">
        <f>+IF(B756="","",SUBTOTAL(3,$B$7:B756))</f>
        <v/>
      </c>
      <c r="B756" s="34"/>
      <c r="C756" s="35"/>
      <c r="D756" s="34"/>
      <c r="E756" s="32"/>
      <c r="F756" s="45"/>
      <c r="G756" s="45"/>
      <c r="H756" s="45">
        <f t="shared" si="12"/>
        <v>0</v>
      </c>
    </row>
    <row r="757" spans="1:8" x14ac:dyDescent="0.25">
      <c r="A757" s="32" t="str">
        <f>+IF(B757="","",SUBTOTAL(3,$B$7:B757))</f>
        <v/>
      </c>
      <c r="B757" s="34"/>
      <c r="C757" s="35"/>
      <c r="D757" s="34"/>
      <c r="E757" s="32"/>
      <c r="F757" s="45"/>
      <c r="G757" s="45"/>
      <c r="H757" s="45">
        <f t="shared" si="12"/>
        <v>0</v>
      </c>
    </row>
    <row r="758" spans="1:8" x14ac:dyDescent="0.25">
      <c r="A758" s="32" t="str">
        <f>+IF(B758="","",SUBTOTAL(3,$B$7:B758))</f>
        <v/>
      </c>
      <c r="B758" s="34"/>
      <c r="C758" s="35"/>
      <c r="D758" s="34"/>
      <c r="E758" s="32"/>
      <c r="F758" s="45"/>
      <c r="G758" s="45"/>
      <c r="H758" s="45">
        <f t="shared" si="12"/>
        <v>0</v>
      </c>
    </row>
    <row r="759" spans="1:8" x14ac:dyDescent="0.25">
      <c r="A759" s="32" t="str">
        <f>+IF(B759="","",SUBTOTAL(3,$B$7:B759))</f>
        <v/>
      </c>
      <c r="B759" s="34"/>
      <c r="C759" s="35"/>
      <c r="D759" s="34"/>
      <c r="E759" s="32"/>
      <c r="F759" s="45"/>
      <c r="G759" s="45"/>
      <c r="H759" s="45">
        <f t="shared" si="12"/>
        <v>0</v>
      </c>
    </row>
    <row r="760" spans="1:8" x14ac:dyDescent="0.25">
      <c r="A760" s="32" t="str">
        <f>+IF(B760="","",SUBTOTAL(3,$B$7:B760))</f>
        <v/>
      </c>
      <c r="B760" s="34"/>
      <c r="C760" s="35"/>
      <c r="D760" s="34"/>
      <c r="E760" s="32"/>
      <c r="F760" s="45"/>
      <c r="G760" s="45"/>
      <c r="H760" s="45">
        <f t="shared" si="12"/>
        <v>0</v>
      </c>
    </row>
    <row r="761" spans="1:8" x14ac:dyDescent="0.25">
      <c r="A761" s="32" t="str">
        <f>+IF(B761="","",SUBTOTAL(3,$B$7:B761))</f>
        <v/>
      </c>
      <c r="B761" s="34"/>
      <c r="C761" s="35"/>
      <c r="D761" s="34"/>
      <c r="E761" s="32"/>
      <c r="F761" s="45"/>
      <c r="G761" s="45"/>
      <c r="H761" s="45">
        <f t="shared" si="12"/>
        <v>0</v>
      </c>
    </row>
    <row r="762" spans="1:8" x14ac:dyDescent="0.25">
      <c r="A762" s="32" t="str">
        <f>+IF(B762="","",SUBTOTAL(3,$B$7:B762))</f>
        <v/>
      </c>
      <c r="B762" s="34"/>
      <c r="C762" s="35"/>
      <c r="D762" s="34"/>
      <c r="E762" s="32"/>
      <c r="F762" s="45"/>
      <c r="G762" s="45"/>
      <c r="H762" s="45">
        <f t="shared" si="12"/>
        <v>0</v>
      </c>
    </row>
    <row r="763" spans="1:8" x14ac:dyDescent="0.25">
      <c r="A763" s="32" t="str">
        <f>+IF(B763="","",SUBTOTAL(3,$B$7:B763))</f>
        <v/>
      </c>
      <c r="B763" s="34"/>
      <c r="C763" s="35"/>
      <c r="D763" s="34"/>
      <c r="E763" s="32"/>
      <c r="F763" s="45"/>
      <c r="G763" s="45"/>
      <c r="H763" s="45">
        <f t="shared" si="12"/>
        <v>0</v>
      </c>
    </row>
    <row r="764" spans="1:8" x14ac:dyDescent="0.25">
      <c r="A764" s="32" t="str">
        <f>+IF(B764="","",SUBTOTAL(3,$B$7:B764))</f>
        <v/>
      </c>
      <c r="B764" s="34"/>
      <c r="C764" s="35"/>
      <c r="D764" s="34"/>
      <c r="E764" s="32"/>
      <c r="F764" s="45"/>
      <c r="G764" s="45"/>
      <c r="H764" s="45">
        <f t="shared" si="12"/>
        <v>0</v>
      </c>
    </row>
    <row r="765" spans="1:8" x14ac:dyDescent="0.25">
      <c r="A765" s="32" t="str">
        <f>+IF(B765="","",SUBTOTAL(3,$B$7:B765))</f>
        <v/>
      </c>
      <c r="B765" s="34"/>
      <c r="C765" s="35"/>
      <c r="D765" s="34"/>
      <c r="E765" s="32"/>
      <c r="F765" s="45"/>
      <c r="G765" s="45"/>
      <c r="H765" s="45">
        <f t="shared" si="12"/>
        <v>0</v>
      </c>
    </row>
    <row r="766" spans="1:8" x14ac:dyDescent="0.25">
      <c r="A766" s="32" t="str">
        <f>+IF(B766="","",SUBTOTAL(3,$B$7:B766))</f>
        <v/>
      </c>
      <c r="B766" s="34"/>
      <c r="C766" s="35"/>
      <c r="D766" s="34"/>
      <c r="E766" s="32"/>
      <c r="F766" s="45"/>
      <c r="G766" s="45"/>
      <c r="H766" s="45">
        <f t="shared" si="12"/>
        <v>0</v>
      </c>
    </row>
    <row r="767" spans="1:8" x14ac:dyDescent="0.25">
      <c r="A767" s="32" t="str">
        <f>+IF(B767="","",SUBTOTAL(3,$B$7:B767))</f>
        <v/>
      </c>
      <c r="B767" s="34"/>
      <c r="C767" s="35"/>
      <c r="D767" s="34"/>
      <c r="E767" s="32"/>
      <c r="F767" s="45"/>
      <c r="G767" s="45"/>
      <c r="H767" s="45">
        <f t="shared" si="12"/>
        <v>0</v>
      </c>
    </row>
    <row r="768" spans="1:8" x14ac:dyDescent="0.25">
      <c r="A768" s="32" t="str">
        <f>+IF(B768="","",SUBTOTAL(3,$B$7:B768))</f>
        <v/>
      </c>
      <c r="B768" s="34"/>
      <c r="C768" s="35"/>
      <c r="D768" s="34"/>
      <c r="E768" s="32"/>
      <c r="F768" s="45"/>
      <c r="G768" s="45"/>
      <c r="H768" s="45">
        <f t="shared" si="12"/>
        <v>0</v>
      </c>
    </row>
    <row r="769" spans="1:8" x14ac:dyDescent="0.25">
      <c r="A769" s="32" t="str">
        <f>+IF(B769="","",SUBTOTAL(3,$B$7:B769))</f>
        <v/>
      </c>
      <c r="B769" s="34"/>
      <c r="C769" s="35"/>
      <c r="D769" s="34"/>
      <c r="E769" s="32"/>
      <c r="F769" s="45"/>
      <c r="G769" s="45"/>
      <c r="H769" s="45">
        <f t="shared" si="12"/>
        <v>0</v>
      </c>
    </row>
    <row r="770" spans="1:8" x14ac:dyDescent="0.25">
      <c r="A770" s="32" t="str">
        <f>+IF(B770="","",SUBTOTAL(3,$B$7:B770))</f>
        <v/>
      </c>
      <c r="B770" s="34"/>
      <c r="C770" s="35"/>
      <c r="D770" s="34"/>
      <c r="E770" s="32"/>
      <c r="F770" s="45"/>
      <c r="G770" s="45"/>
      <c r="H770" s="45">
        <f t="shared" si="12"/>
        <v>0</v>
      </c>
    </row>
    <row r="771" spans="1:8" x14ac:dyDescent="0.25">
      <c r="A771" s="32" t="str">
        <f>+IF(B771="","",SUBTOTAL(3,$B$7:B771))</f>
        <v/>
      </c>
      <c r="B771" s="34"/>
      <c r="C771" s="35"/>
      <c r="D771" s="34"/>
      <c r="E771" s="32"/>
      <c r="F771" s="45"/>
      <c r="G771" s="45"/>
      <c r="H771" s="45">
        <f t="shared" si="12"/>
        <v>0</v>
      </c>
    </row>
    <row r="772" spans="1:8" x14ac:dyDescent="0.25">
      <c r="A772" s="32" t="str">
        <f>+IF(B772="","",SUBTOTAL(3,$B$7:B772))</f>
        <v/>
      </c>
      <c r="B772" s="34"/>
      <c r="C772" s="35"/>
      <c r="D772" s="34"/>
      <c r="E772" s="32"/>
      <c r="F772" s="45"/>
      <c r="G772" s="45"/>
      <c r="H772" s="45">
        <f t="shared" si="12"/>
        <v>0</v>
      </c>
    </row>
    <row r="773" spans="1:8" x14ac:dyDescent="0.25">
      <c r="A773" s="32" t="str">
        <f>+IF(B773="","",SUBTOTAL(3,$B$7:B773))</f>
        <v/>
      </c>
      <c r="B773" s="34"/>
      <c r="C773" s="35"/>
      <c r="D773" s="34"/>
      <c r="E773" s="32"/>
      <c r="F773" s="45"/>
      <c r="G773" s="45"/>
      <c r="H773" s="45">
        <f t="shared" si="12"/>
        <v>0</v>
      </c>
    </row>
    <row r="774" spans="1:8" x14ac:dyDescent="0.25">
      <c r="A774" s="32" t="str">
        <f>+IF(B774="","",SUBTOTAL(3,$B$7:B774))</f>
        <v/>
      </c>
      <c r="B774" s="34"/>
      <c r="C774" s="35"/>
      <c r="D774" s="34"/>
      <c r="E774" s="32"/>
      <c r="F774" s="45"/>
      <c r="G774" s="45"/>
      <c r="H774" s="45">
        <f t="shared" si="12"/>
        <v>0</v>
      </c>
    </row>
    <row r="775" spans="1:8" x14ac:dyDescent="0.25">
      <c r="A775" s="32" t="str">
        <f>+IF(B775="","",SUBTOTAL(3,$B$7:B775))</f>
        <v/>
      </c>
      <c r="B775" s="34"/>
      <c r="C775" s="35"/>
      <c r="D775" s="34"/>
      <c r="E775" s="32"/>
      <c r="F775" s="45"/>
      <c r="G775" s="45"/>
      <c r="H775" s="45">
        <f t="shared" si="12"/>
        <v>0</v>
      </c>
    </row>
    <row r="776" spans="1:8" x14ac:dyDescent="0.25">
      <c r="A776" s="32" t="str">
        <f>+IF(B776="","",SUBTOTAL(3,$B$7:B776))</f>
        <v/>
      </c>
      <c r="B776" s="34"/>
      <c r="C776" s="35"/>
      <c r="D776" s="34"/>
      <c r="E776" s="32"/>
      <c r="F776" s="45"/>
      <c r="G776" s="45"/>
      <c r="H776" s="45">
        <f t="shared" ref="H776:H797" si="13">+G776*F776</f>
        <v>0</v>
      </c>
    </row>
    <row r="777" spans="1:8" x14ac:dyDescent="0.25">
      <c r="A777" s="32" t="str">
        <f>+IF(B777="","",SUBTOTAL(3,$B$7:B777))</f>
        <v/>
      </c>
      <c r="B777" s="34"/>
      <c r="C777" s="35"/>
      <c r="D777" s="34"/>
      <c r="E777" s="32"/>
      <c r="F777" s="45"/>
      <c r="G777" s="45"/>
      <c r="H777" s="45">
        <f t="shared" si="13"/>
        <v>0</v>
      </c>
    </row>
    <row r="778" spans="1:8" x14ac:dyDescent="0.25">
      <c r="A778" s="32" t="str">
        <f>+IF(B778="","",SUBTOTAL(3,$B$7:B778))</f>
        <v/>
      </c>
      <c r="B778" s="34"/>
      <c r="C778" s="35"/>
      <c r="D778" s="34"/>
      <c r="E778" s="32"/>
      <c r="F778" s="45"/>
      <c r="G778" s="45"/>
      <c r="H778" s="45">
        <f t="shared" si="13"/>
        <v>0</v>
      </c>
    </row>
    <row r="779" spans="1:8" x14ac:dyDescent="0.25">
      <c r="A779" s="32" t="str">
        <f>+IF(B779="","",SUBTOTAL(3,$B$7:B779))</f>
        <v/>
      </c>
      <c r="B779" s="34"/>
      <c r="C779" s="35"/>
      <c r="D779" s="34"/>
      <c r="E779" s="32"/>
      <c r="F779" s="45"/>
      <c r="G779" s="45"/>
      <c r="H779" s="45">
        <f t="shared" si="13"/>
        <v>0</v>
      </c>
    </row>
    <row r="780" spans="1:8" x14ac:dyDescent="0.25">
      <c r="A780" s="32" t="str">
        <f>+IF(B780="","",SUBTOTAL(3,$B$7:B780))</f>
        <v/>
      </c>
      <c r="B780" s="34"/>
      <c r="C780" s="35"/>
      <c r="D780" s="34"/>
      <c r="E780" s="32"/>
      <c r="F780" s="45"/>
      <c r="G780" s="45"/>
      <c r="H780" s="45">
        <f t="shared" si="13"/>
        <v>0</v>
      </c>
    </row>
    <row r="781" spans="1:8" x14ac:dyDescent="0.25">
      <c r="A781" s="32" t="str">
        <f>+IF(B781="","",SUBTOTAL(3,$B$7:B781))</f>
        <v/>
      </c>
      <c r="B781" s="34"/>
      <c r="C781" s="35"/>
      <c r="D781" s="34"/>
      <c r="E781" s="32"/>
      <c r="F781" s="45"/>
      <c r="G781" s="45"/>
      <c r="H781" s="45">
        <f t="shared" si="13"/>
        <v>0</v>
      </c>
    </row>
    <row r="782" spans="1:8" x14ac:dyDescent="0.25">
      <c r="A782" s="32" t="str">
        <f>+IF(B782="","",SUBTOTAL(3,$B$7:B782))</f>
        <v/>
      </c>
      <c r="B782" s="34"/>
      <c r="C782" s="35"/>
      <c r="D782" s="34"/>
      <c r="E782" s="32"/>
      <c r="F782" s="45"/>
      <c r="G782" s="45"/>
      <c r="H782" s="45">
        <f t="shared" si="13"/>
        <v>0</v>
      </c>
    </row>
    <row r="783" spans="1:8" x14ac:dyDescent="0.25">
      <c r="A783" s="32" t="str">
        <f>+IF(B783="","",SUBTOTAL(3,$B$7:B783))</f>
        <v/>
      </c>
      <c r="B783" s="34"/>
      <c r="C783" s="35"/>
      <c r="D783" s="34"/>
      <c r="E783" s="32"/>
      <c r="F783" s="45"/>
      <c r="G783" s="45"/>
      <c r="H783" s="45">
        <f t="shared" si="13"/>
        <v>0</v>
      </c>
    </row>
    <row r="784" spans="1:8" x14ac:dyDescent="0.25">
      <c r="A784" s="32" t="str">
        <f>+IF(B784="","",SUBTOTAL(3,$B$7:B784))</f>
        <v/>
      </c>
      <c r="B784" s="34"/>
      <c r="C784" s="35"/>
      <c r="D784" s="34"/>
      <c r="E784" s="32"/>
      <c r="F784" s="45"/>
      <c r="G784" s="45"/>
      <c r="H784" s="45">
        <f t="shared" si="13"/>
        <v>0</v>
      </c>
    </row>
    <row r="785" spans="1:8" x14ac:dyDescent="0.25">
      <c r="A785" s="32" t="str">
        <f>+IF(B785="","",SUBTOTAL(3,$B$7:B785))</f>
        <v/>
      </c>
      <c r="B785" s="34"/>
      <c r="C785" s="35"/>
      <c r="D785" s="34"/>
      <c r="E785" s="32"/>
      <c r="F785" s="45"/>
      <c r="G785" s="45"/>
      <c r="H785" s="45">
        <f t="shared" si="13"/>
        <v>0</v>
      </c>
    </row>
    <row r="786" spans="1:8" x14ac:dyDescent="0.25">
      <c r="A786" s="32" t="str">
        <f>+IF(B786="","",SUBTOTAL(3,$B$7:B786))</f>
        <v/>
      </c>
      <c r="B786" s="34"/>
      <c r="C786" s="35"/>
      <c r="D786" s="34"/>
      <c r="E786" s="32"/>
      <c r="F786" s="45"/>
      <c r="G786" s="45"/>
      <c r="H786" s="45">
        <f t="shared" si="13"/>
        <v>0</v>
      </c>
    </row>
    <row r="787" spans="1:8" x14ac:dyDescent="0.25">
      <c r="A787" s="32" t="str">
        <f>+IF(B787="","",SUBTOTAL(3,$B$7:B787))</f>
        <v/>
      </c>
      <c r="B787" s="34"/>
      <c r="C787" s="35"/>
      <c r="D787" s="34"/>
      <c r="E787" s="32"/>
      <c r="F787" s="45"/>
      <c r="G787" s="45"/>
      <c r="H787" s="45">
        <f t="shared" si="13"/>
        <v>0</v>
      </c>
    </row>
    <row r="788" spans="1:8" x14ac:dyDescent="0.25">
      <c r="A788" s="32" t="str">
        <f>+IF(B788="","",SUBTOTAL(3,$B$7:B788))</f>
        <v/>
      </c>
      <c r="B788" s="34"/>
      <c r="C788" s="35"/>
      <c r="D788" s="34"/>
      <c r="E788" s="32"/>
      <c r="F788" s="45"/>
      <c r="G788" s="45"/>
      <c r="H788" s="45">
        <f t="shared" si="13"/>
        <v>0</v>
      </c>
    </row>
    <row r="789" spans="1:8" x14ac:dyDescent="0.25">
      <c r="A789" s="32" t="str">
        <f>+IF(B789="","",SUBTOTAL(3,$B$7:B789))</f>
        <v/>
      </c>
      <c r="B789" s="34"/>
      <c r="C789" s="35"/>
      <c r="D789" s="34"/>
      <c r="E789" s="32"/>
      <c r="F789" s="45"/>
      <c r="G789" s="45"/>
      <c r="H789" s="45">
        <f t="shared" si="13"/>
        <v>0</v>
      </c>
    </row>
    <row r="790" spans="1:8" x14ac:dyDescent="0.25">
      <c r="A790" s="32" t="str">
        <f>+IF(B790="","",SUBTOTAL(3,$B$7:B790))</f>
        <v/>
      </c>
      <c r="B790" s="34"/>
      <c r="C790" s="35"/>
      <c r="D790" s="34"/>
      <c r="E790" s="32"/>
      <c r="F790" s="45"/>
      <c r="G790" s="45"/>
      <c r="H790" s="45">
        <f t="shared" si="13"/>
        <v>0</v>
      </c>
    </row>
    <row r="791" spans="1:8" x14ac:dyDescent="0.25">
      <c r="A791" s="32" t="str">
        <f>+IF(B791="","",SUBTOTAL(3,$B$7:B791))</f>
        <v/>
      </c>
      <c r="B791" s="34"/>
      <c r="C791" s="35"/>
      <c r="D791" s="34"/>
      <c r="E791" s="32"/>
      <c r="F791" s="45"/>
      <c r="G791" s="45"/>
      <c r="H791" s="45">
        <f t="shared" si="13"/>
        <v>0</v>
      </c>
    </row>
    <row r="792" spans="1:8" x14ac:dyDescent="0.25">
      <c r="A792" s="32" t="str">
        <f>+IF(B792="","",SUBTOTAL(3,$B$7:B792))</f>
        <v/>
      </c>
      <c r="B792" s="34"/>
      <c r="C792" s="35"/>
      <c r="D792" s="34"/>
      <c r="E792" s="32"/>
      <c r="F792" s="45"/>
      <c r="G792" s="45"/>
      <c r="H792" s="45">
        <f t="shared" si="13"/>
        <v>0</v>
      </c>
    </row>
    <row r="793" spans="1:8" x14ac:dyDescent="0.25">
      <c r="A793" s="32" t="str">
        <f>+IF(B793="","",SUBTOTAL(3,$B$7:B793))</f>
        <v/>
      </c>
      <c r="B793" s="34"/>
      <c r="C793" s="35"/>
      <c r="D793" s="34"/>
      <c r="E793" s="32"/>
      <c r="F793" s="45"/>
      <c r="G793" s="45"/>
      <c r="H793" s="45">
        <f t="shared" si="13"/>
        <v>0</v>
      </c>
    </row>
    <row r="794" spans="1:8" x14ac:dyDescent="0.25">
      <c r="A794" s="32" t="str">
        <f>+IF(B794="","",SUBTOTAL(3,$B$7:B794))</f>
        <v/>
      </c>
      <c r="B794" s="34"/>
      <c r="C794" s="35"/>
      <c r="D794" s="34"/>
      <c r="E794" s="32"/>
      <c r="F794" s="45"/>
      <c r="G794" s="45"/>
      <c r="H794" s="45">
        <f t="shared" si="13"/>
        <v>0</v>
      </c>
    </row>
    <row r="795" spans="1:8" x14ac:dyDescent="0.25">
      <c r="A795" s="32" t="str">
        <f>+IF(B795="","",SUBTOTAL(3,$B$7:B795))</f>
        <v/>
      </c>
      <c r="B795" s="34"/>
      <c r="C795" s="35"/>
      <c r="D795" s="34"/>
      <c r="E795" s="32"/>
      <c r="F795" s="45"/>
      <c r="G795" s="45"/>
      <c r="H795" s="45">
        <f t="shared" si="13"/>
        <v>0</v>
      </c>
    </row>
    <row r="796" spans="1:8" x14ac:dyDescent="0.25">
      <c r="A796" s="32" t="str">
        <f>+IF(B796="","",SUBTOTAL(3,$B$7:B796))</f>
        <v/>
      </c>
      <c r="B796" s="34"/>
      <c r="C796" s="35"/>
      <c r="D796" s="34"/>
      <c r="E796" s="32"/>
      <c r="F796" s="45"/>
      <c r="G796" s="45"/>
      <c r="H796" s="45">
        <f t="shared" si="13"/>
        <v>0</v>
      </c>
    </row>
    <row r="797" spans="1:8" x14ac:dyDescent="0.25">
      <c r="A797" s="32" t="str">
        <f>+IF(B797="","",SUBTOTAL(3,$B$7:B797))</f>
        <v/>
      </c>
      <c r="B797" s="34"/>
      <c r="C797" s="35"/>
      <c r="D797" s="34"/>
      <c r="E797" s="32"/>
      <c r="F797" s="45"/>
      <c r="G797" s="45"/>
      <c r="H797" s="45">
        <f t="shared" si="13"/>
        <v>0</v>
      </c>
    </row>
    <row r="798" spans="1:8" x14ac:dyDescent="0.25">
      <c r="C798" s="25"/>
    </row>
    <row r="799" spans="1:8" x14ac:dyDescent="0.25">
      <c r="C799" s="25"/>
    </row>
    <row r="800" spans="1:8" x14ac:dyDescent="0.25">
      <c r="C800" s="25"/>
    </row>
    <row r="801" spans="3:3" x14ac:dyDescent="0.25">
      <c r="C801" s="25"/>
    </row>
    <row r="802" spans="3:3" x14ac:dyDescent="0.25">
      <c r="C802" s="25"/>
    </row>
    <row r="803" spans="3:3" x14ac:dyDescent="0.25">
      <c r="C803" s="25"/>
    </row>
    <row r="804" spans="3:3" x14ac:dyDescent="0.25">
      <c r="C804" s="25"/>
    </row>
    <row r="805" spans="3:3" x14ac:dyDescent="0.25">
      <c r="C805" s="25"/>
    </row>
    <row r="806" spans="3:3" x14ac:dyDescent="0.25">
      <c r="C806" s="25"/>
    </row>
    <row r="807" spans="3:3" x14ac:dyDescent="0.25">
      <c r="C807" s="25"/>
    </row>
    <row r="808" spans="3:3" x14ac:dyDescent="0.25">
      <c r="C808" s="25"/>
    </row>
    <row r="809" spans="3:3" x14ac:dyDescent="0.25">
      <c r="C809" s="25"/>
    </row>
    <row r="810" spans="3:3" x14ac:dyDescent="0.25">
      <c r="C810" s="25"/>
    </row>
    <row r="811" spans="3:3" x14ac:dyDescent="0.25">
      <c r="C811" s="25"/>
    </row>
    <row r="812" spans="3:3" x14ac:dyDescent="0.25">
      <c r="C812" s="25"/>
    </row>
    <row r="813" spans="3:3" x14ac:dyDescent="0.25">
      <c r="C813" s="25"/>
    </row>
    <row r="814" spans="3:3" x14ac:dyDescent="0.25">
      <c r="C814" s="25"/>
    </row>
    <row r="815" spans="3:3" x14ac:dyDescent="0.25">
      <c r="C815" s="25"/>
    </row>
    <row r="816" spans="3:3" x14ac:dyDescent="0.25">
      <c r="C816" s="25"/>
    </row>
    <row r="817" spans="3:3" x14ac:dyDescent="0.25">
      <c r="C817" s="25"/>
    </row>
    <row r="818" spans="3:3" x14ac:dyDescent="0.25">
      <c r="C818" s="25"/>
    </row>
    <row r="819" spans="3:3" x14ac:dyDescent="0.25">
      <c r="C819" s="25"/>
    </row>
    <row r="820" spans="3:3" x14ac:dyDescent="0.25">
      <c r="C820" s="25"/>
    </row>
    <row r="821" spans="3:3" x14ac:dyDescent="0.25">
      <c r="C821" s="25"/>
    </row>
    <row r="822" spans="3:3" x14ac:dyDescent="0.25">
      <c r="C822" s="25"/>
    </row>
    <row r="823" spans="3:3" x14ac:dyDescent="0.25">
      <c r="C823" s="25"/>
    </row>
    <row r="824" spans="3:3" x14ac:dyDescent="0.25">
      <c r="C824" s="25"/>
    </row>
    <row r="825" spans="3:3" x14ac:dyDescent="0.25">
      <c r="C825" s="25"/>
    </row>
    <row r="826" spans="3:3" x14ac:dyDescent="0.25">
      <c r="C826" s="25"/>
    </row>
    <row r="827" spans="3:3" x14ac:dyDescent="0.25">
      <c r="C827" s="25"/>
    </row>
    <row r="828" spans="3:3" x14ac:dyDescent="0.25">
      <c r="C828" s="25"/>
    </row>
    <row r="829" spans="3:3" x14ac:dyDescent="0.25">
      <c r="C829" s="25"/>
    </row>
  </sheetData>
  <autoFilter ref="A6:H797"/>
  <mergeCells count="1">
    <mergeCell ref="A1:H1"/>
  </mergeCells>
  <printOptions horizontalCentered="1"/>
  <pageMargins left="0.19685039370078741" right="0.19685039370078741" top="0.59055118110236227" bottom="0.19685039370078741" header="0" footer="0"/>
  <pageSetup paperSize="9" fitToHeight="100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9"/>
  <sheetViews>
    <sheetView workbookViewId="0">
      <pane xSplit="2" ySplit="5" topLeftCell="C6" activePane="bottomRight" state="frozen"/>
      <selection pane="topRight" activeCell="C1" sqref="C1"/>
      <selection pane="bottomLeft" activeCell="A6" sqref="A6"/>
      <selection pane="bottomRight" activeCell="C8" sqref="C8"/>
    </sheetView>
  </sheetViews>
  <sheetFormatPr defaultRowHeight="15" x14ac:dyDescent="0.25"/>
  <cols>
    <col min="1" max="1" width="5.42578125" style="24" customWidth="1"/>
    <col min="2" max="2" width="33.42578125" style="26" customWidth="1"/>
    <col min="3" max="3" width="16" style="24" bestFit="1" customWidth="1"/>
    <col min="4" max="4" width="15" style="24" bestFit="1" customWidth="1"/>
    <col min="5" max="5" width="13.5703125" style="24" bestFit="1" customWidth="1"/>
    <col min="6" max="6" width="15" style="4" bestFit="1" customWidth="1"/>
    <col min="7" max="7" width="17.42578125" style="7" customWidth="1"/>
    <col min="8" max="8" width="13.7109375" bestFit="1" customWidth="1"/>
    <col min="9" max="9" width="19.28515625" customWidth="1"/>
    <col min="10" max="10" width="14.42578125" customWidth="1"/>
    <col min="11" max="11" width="17.5703125" customWidth="1"/>
    <col min="12" max="12" width="11.42578125" bestFit="1" customWidth="1"/>
    <col min="13" max="13" width="15.28515625" customWidth="1"/>
  </cols>
  <sheetData>
    <row r="1" spans="1:13" ht="58.5" customHeight="1" x14ac:dyDescent="0.25">
      <c r="A1" s="80" t="s">
        <v>625</v>
      </c>
      <c r="B1" s="80"/>
      <c r="C1" s="80"/>
      <c r="D1" s="80"/>
      <c r="E1" s="80"/>
      <c r="F1" s="80"/>
      <c r="G1" s="80"/>
    </row>
    <row r="2" spans="1:13" x14ac:dyDescent="0.25">
      <c r="A2" s="41" t="s">
        <v>297</v>
      </c>
      <c r="B2"/>
      <c r="C2"/>
      <c r="D2"/>
      <c r="E2"/>
      <c r="F2"/>
      <c r="G2"/>
    </row>
    <row r="3" spans="1:13" s="12" customFormat="1" ht="35.25" customHeight="1" x14ac:dyDescent="0.25">
      <c r="A3" s="42" t="s">
        <v>69</v>
      </c>
      <c r="B3" s="42" t="s">
        <v>615</v>
      </c>
      <c r="C3" s="42" t="s">
        <v>617</v>
      </c>
      <c r="D3" s="42" t="s">
        <v>618</v>
      </c>
      <c r="E3" s="42" t="s">
        <v>619</v>
      </c>
      <c r="F3" s="42" t="s">
        <v>620</v>
      </c>
      <c r="G3" s="42" t="s">
        <v>622</v>
      </c>
      <c r="J3" s="5"/>
      <c r="K3" s="5"/>
    </row>
    <row r="4" spans="1:13" s="12" customFormat="1" x14ac:dyDescent="0.25">
      <c r="A4" s="42" t="s">
        <v>90</v>
      </c>
      <c r="B4" s="42">
        <v>1</v>
      </c>
      <c r="C4" s="42">
        <f>+B4+1</f>
        <v>2</v>
      </c>
      <c r="D4" s="42">
        <f t="shared" ref="D4:F4" si="0">+C4+1</f>
        <v>3</v>
      </c>
      <c r="E4" s="42">
        <f t="shared" si="0"/>
        <v>4</v>
      </c>
      <c r="F4" s="42">
        <f t="shared" si="0"/>
        <v>5</v>
      </c>
      <c r="G4" s="42">
        <f t="shared" ref="G4" si="1">+F4+1</f>
        <v>6</v>
      </c>
      <c r="I4" s="5"/>
      <c r="J4" s="5"/>
      <c r="K4" s="5"/>
      <c r="L4" s="5"/>
    </row>
    <row r="5" spans="1:13" s="12" customFormat="1" x14ac:dyDescent="0.25">
      <c r="A5" s="42"/>
      <c r="B5" s="42" t="s">
        <v>80</v>
      </c>
      <c r="C5" s="42"/>
      <c r="D5" s="42"/>
      <c r="E5" s="42"/>
      <c r="F5" s="43"/>
      <c r="G5" s="43">
        <f>+SUBTOTAL(9,G6:G9)</f>
        <v>119558305132.35001</v>
      </c>
      <c r="H5" s="5"/>
      <c r="I5" s="5"/>
      <c r="J5" s="5"/>
      <c r="K5" s="5"/>
      <c r="L5" s="5"/>
      <c r="M5" s="5"/>
    </row>
    <row r="6" spans="1:13" ht="24.95" customHeight="1" x14ac:dyDescent="0.25">
      <c r="A6" s="32">
        <f>+IF(B6="","",SUBTOTAL(3,$B$6:B6))</f>
        <v>1</v>
      </c>
      <c r="B6" s="44" t="s">
        <v>616</v>
      </c>
      <c r="C6" s="45">
        <v>38477699894.470001</v>
      </c>
      <c r="D6" s="45">
        <v>1545877098.49</v>
      </c>
      <c r="E6" s="45"/>
      <c r="F6" s="45">
        <v>4001700783.52</v>
      </c>
      <c r="G6" s="45">
        <f>+C6-F6</f>
        <v>34475999110.950005</v>
      </c>
    </row>
    <row r="7" spans="1:13" ht="24.95" customHeight="1" x14ac:dyDescent="0.25">
      <c r="A7" s="32">
        <f>+IF(B7="","",SUBTOTAL(3,$B$6:B7))</f>
        <v>2</v>
      </c>
      <c r="B7" s="44" t="s">
        <v>621</v>
      </c>
      <c r="C7" s="45">
        <v>18234689790.700001</v>
      </c>
      <c r="D7" s="45">
        <v>101437522.73</v>
      </c>
      <c r="E7" s="45">
        <v>263073495.46000001</v>
      </c>
      <c r="F7" s="45">
        <v>5827483528.6000004</v>
      </c>
      <c r="G7" s="45">
        <f>+C7-F7</f>
        <v>12407206262.1</v>
      </c>
    </row>
    <row r="8" spans="1:13" ht="24.95" customHeight="1" x14ac:dyDescent="0.25">
      <c r="A8" s="32">
        <f>+IF(B8="","",SUBTOTAL(3,$B$6:B8))</f>
        <v>3</v>
      </c>
      <c r="B8" s="44" t="s">
        <v>623</v>
      </c>
      <c r="C8" s="45">
        <v>452242365.5</v>
      </c>
      <c r="D8" s="45"/>
      <c r="E8" s="45"/>
      <c r="F8" s="45"/>
      <c r="G8" s="45">
        <f>+C8-F8</f>
        <v>452242365.5</v>
      </c>
    </row>
    <row r="9" spans="1:13" ht="24.95" customHeight="1" x14ac:dyDescent="0.25">
      <c r="A9" s="32">
        <f>+IF(B9="","",SUBTOTAL(3,$B$6:B9))</f>
        <v>4</v>
      </c>
      <c r="B9" s="44" t="s">
        <v>624</v>
      </c>
      <c r="C9" s="45">
        <v>72222857393.800003</v>
      </c>
      <c r="D9" s="45"/>
      <c r="E9" s="45"/>
      <c r="F9" s="45"/>
      <c r="G9" s="45">
        <f>+C9-F9</f>
        <v>72222857393.800003</v>
      </c>
    </row>
  </sheetData>
  <mergeCells count="1">
    <mergeCell ref="A1:G1"/>
  </mergeCells>
  <printOptions horizontalCentered="1"/>
  <pageMargins left="0.19685039370078741" right="0.19685039370078741" top="0.59055118110236227" bottom="0.19685039370078741" header="0" footer="0"/>
  <pageSetup paperSize="9" scale="86" fitToHeight="100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10</vt:i4>
      </vt:variant>
      <vt:variant>
        <vt:lpstr>Именованные диапазоны</vt:lpstr>
      </vt:variant>
      <vt:variant>
        <vt:i4>3</vt:i4>
      </vt:variant>
    </vt:vector>
  </HeadingPairs>
  <TitlesOfParts>
    <vt:vector size="13" baseType="lpstr">
      <vt:lpstr>даромад харажат</vt:lpstr>
      <vt:lpstr>Выслуга 2026</vt:lpstr>
      <vt:lpstr>Таътил</vt:lpstr>
      <vt:lpstr>50-60 ёш</vt:lpstr>
      <vt:lpstr>Больничный</vt:lpstr>
      <vt:lpstr>пенсионер</vt:lpstr>
      <vt:lpstr>Дафн</vt:lpstr>
      <vt:lpstr>шартномалар</vt:lpstr>
      <vt:lpstr>омбор чиким</vt:lpstr>
      <vt:lpstr>Асосий восита</vt:lpstr>
      <vt:lpstr>шартномалар!Заголовки_для_печати</vt:lpstr>
      <vt:lpstr>пенсионер!Область_печати</vt:lpstr>
      <vt:lpstr>шартномалар!Область_печати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2026-04-13T16:05:59Z</cp:lastPrinted>
  <dcterms:created xsi:type="dcterms:W3CDTF">2025-12-16T11:23:24Z</dcterms:created>
  <dcterms:modified xsi:type="dcterms:W3CDTF">2026-04-22T12:17:54Z</dcterms:modified>
</cp:coreProperties>
</file>