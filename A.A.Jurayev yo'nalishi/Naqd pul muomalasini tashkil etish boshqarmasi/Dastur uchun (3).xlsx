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7A78D37-A8FF-4A68-861D-2707D0AEF727}" xr6:coauthVersionLast="47" xr6:coauthVersionMax="47" xr10:uidLastSave="{00000000-0000-0000-0000-000000000000}"/>
  <bookViews>
    <workbookView xWindow="-120" yWindow="-120" windowWidth="38640" windowHeight="21120" xr2:uid="{15085A37-1652-4CE2-8B87-EEF2492921DC}"/>
  </bookViews>
  <sheets>
    <sheet name="Дастурга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" localSheetId="0">#REF!</definedName>
    <definedName name="__">#REF!</definedName>
    <definedName name="__?вапп">DATE([0]!yil,[0]!oy,1)</definedName>
    <definedName name="_____________________________B699999">'[1]ж а м и'!$B$12997</definedName>
    <definedName name="____________________________B699999">'[1]ж а м и'!$B$12997</definedName>
    <definedName name="____________________________Per2">[2]Date!$I$5</definedName>
    <definedName name="____________________________Tit2">[3]Tit!$A$5:$A$8</definedName>
    <definedName name="___________________________B699999">'[3]ж а м и'!$B$12997</definedName>
    <definedName name="___________________________Per2">[4]Date!$I$5</definedName>
    <definedName name="___________________________Tit2">[2]Tit!$A$5:$A$8</definedName>
    <definedName name="__________________________B699999">'[3]ж а м и'!$B$12997</definedName>
    <definedName name="__________________________Per2">[4]Date!$I$5</definedName>
    <definedName name="__________________________Tit2">[2]Tit!$A$5:$A$8</definedName>
    <definedName name="_________________________B699999">'[5]ж а м и'!$B$12997</definedName>
    <definedName name="_________________________Per2">[4]Date!$I$5</definedName>
    <definedName name="_________________________Tit2">[2]Tit!$A$5:$A$8</definedName>
    <definedName name="________________________B699999">'[6]ж а м и'!$B$12997</definedName>
    <definedName name="________________________Per2">[4]Date!$I$5</definedName>
    <definedName name="________________________Tit2">[2]Tit!$A$5:$A$8</definedName>
    <definedName name="_______________________B699999">'[7]ж а м и'!$B$12997</definedName>
    <definedName name="_______________________Per2">[4]Date!$I$5</definedName>
    <definedName name="_______________________Tit2">[2]Tit!$A$5:$A$8</definedName>
    <definedName name="______________________B699999">'[8]ж а м и'!$B$12997</definedName>
    <definedName name="______________________Per2">[4]Date!$I$5</definedName>
    <definedName name="______________________Tit2">[2]Tit!$A$5:$A$8</definedName>
    <definedName name="_____________________B699999">'[9]ж а м и'!$B$12997</definedName>
    <definedName name="_____________________Per2">[4]Лист1!$I$5</definedName>
    <definedName name="_____________________Tit2">[2]Tit!$A$5:$A$8</definedName>
    <definedName name="____________________B699999">'[4]ж а м и'!$B$12997</definedName>
    <definedName name="____________________Per2">[2]Date!$I$5</definedName>
    <definedName name="____________________Tit2">[10]Tit!$A$5:$A$8</definedName>
    <definedName name="___________________B699999">'[4]ж а м и'!$B$12997</definedName>
    <definedName name="___________________Per2">[2]Date!$I$5</definedName>
    <definedName name="___________________Tit2">[10]Tit!$A$5:$A$8</definedName>
    <definedName name="__________________B699999">'[4]ж а м и'!$B$12997</definedName>
    <definedName name="__________________Per2">[2]Date!$I$5</definedName>
    <definedName name="__________________Tit2">[10]Tit!$A$5:$A$8</definedName>
    <definedName name="_________________B699999">'[4]ж а м и'!$B$12997</definedName>
    <definedName name="_________________Per2">[2]Date!$I$5</definedName>
    <definedName name="_________________Tit2">[10]Tit!$A$5:$A$8</definedName>
    <definedName name="________________B699999">'[4]ж а м и'!$B$12997</definedName>
    <definedName name="________________Per2">[2]Date!$I$5</definedName>
    <definedName name="________________Tit2">[10]Tit!$A$5:$A$8</definedName>
    <definedName name="_______________B699999">'[4]ж а м и'!$B$12997</definedName>
    <definedName name="_______________Per2">[2]Date!$I$5</definedName>
    <definedName name="_______________Tit2">[10]Tit!$A$5:$A$8</definedName>
    <definedName name="______________B699999">'[4]ж а м и'!$B$12997</definedName>
    <definedName name="______________Per2">[2]Date!$I$5</definedName>
    <definedName name="______________Tit2">[10]Tit!$A$5:$A$8</definedName>
    <definedName name="_____________B699999">'[4]ж а м и'!$B$12997</definedName>
    <definedName name="_____________Per2">[2]Date!$I$5</definedName>
    <definedName name="_____________Tit2">[10]Tit!$A$5:$A$8</definedName>
    <definedName name="____________B699999">'[4]ж а м и'!$B$12997</definedName>
    <definedName name="____________Per2">[2]Date!$I$5</definedName>
    <definedName name="____________Tit2">[10]Tit!$A$5:$A$8</definedName>
    <definedName name="___________B699999">'[4]ж а м и'!$B$12997</definedName>
    <definedName name="___________Per2">[2]Date!$I$5</definedName>
    <definedName name="___________Tit2">[10]Tit!$A$5:$A$8</definedName>
    <definedName name="__________B699999">'[4]ж а м и'!$B$12997</definedName>
    <definedName name="__________Per2">[2]Date!$I$5</definedName>
    <definedName name="__________Tit2">[10]Tit!$A$5:$A$8</definedName>
    <definedName name="_________B699999">'[4]ж а м и'!$B$12997</definedName>
    <definedName name="_________Per2">[2]Date!$I$5</definedName>
    <definedName name="_________Tit2">[10]Tit!$A$5:$A$8</definedName>
    <definedName name="________B699999">'[4]ж а м и'!$B$12997</definedName>
    <definedName name="________Per2">[2]Date!$I$5</definedName>
    <definedName name="________Tit2">[10]Tit!$A$5:$A$8</definedName>
    <definedName name="_______B699999">'[4]ж а м и'!$B$12997</definedName>
    <definedName name="_______Per2">[2]Date!$I$5</definedName>
    <definedName name="_______Tit2">[10]Tit!$A$5:$A$8</definedName>
    <definedName name="______B699999">'[4]ж а м и'!$B$12997</definedName>
    <definedName name="______Per2">[2]Date!$I$5</definedName>
    <definedName name="______Tit2">[10]Tit!$A$5:$A$8</definedName>
    <definedName name="______top1">{30,140,350,160,"",""}</definedName>
    <definedName name="_____B699999">'[4]ж а м и'!$B$12997</definedName>
    <definedName name="_____Per2">[2]Date!$I$5</definedName>
    <definedName name="_____Tit2">[10]Tit!$A$5:$A$8</definedName>
    <definedName name="_____xlfn.BAHTTEXT" hidden="1">#NAME?</definedName>
    <definedName name="____B699999">'[4]ж а м и'!$B$12997</definedName>
    <definedName name="____Per2">[2]Date!$I$5</definedName>
    <definedName name="____Tit2">[10]Tit!$A$5:$A$8</definedName>
    <definedName name="____xlfn.BAHTTEXT" hidden="1">#NAME?</definedName>
    <definedName name="___B699999">'[4]ж а м и'!$B$12997</definedName>
    <definedName name="___Per2">[2]Date!$I$5</definedName>
    <definedName name="___Tit2">[10]Tit!$A$5:$A$8</definedName>
    <definedName name="___xlfn.BAHTTEXT" hidden="1">#NAME?</definedName>
    <definedName name="__B699999">'[4]ж а м и'!$B$12997</definedName>
    <definedName name="__Per2">[2]Date!$I$5</definedName>
    <definedName name="__Tit2">[10]Tit!$A$5:$A$8</definedName>
    <definedName name="__top1">{30,140,350,160,"",""}</definedName>
    <definedName name="__xlfn.BAHTTEXT" hidden="1">#NAME?</definedName>
    <definedName name="_10_апрел_куни" localSheetId="0">#REF!</definedName>
    <definedName name="_10_апрел_куни">#REF!</definedName>
    <definedName name="_B699999">'[4]ж а м и'!$B$12997</definedName>
    <definedName name="_Per2">[2]Date!$I$5</definedName>
    <definedName name="_Tit1">[11]Tit!$A$1:$A$4</definedName>
    <definedName name="_Tit2">[10]Tit!$A$5:$A$8</definedName>
    <definedName name="_top1">{30,140,350,160,"",""}</definedName>
    <definedName name="_xlnm._FilterDatabase" localSheetId="0" hidden="1">Дастурга!$A$4:$CB$136</definedName>
    <definedName name="_xlnm._FilterDatabase" hidden="1">#REF!</definedName>
    <definedName name="Access_Button" hidden="1">"Kaspl_5_ПЛАН_4_Таблица1"</definedName>
    <definedName name="AccessDatabase" hidden="1">"C:\Мои документы\Kaspl_5.mdb"</definedName>
    <definedName name="B6999999">'[4]ж а м и'!$B$12997</definedName>
    <definedName name="ch">TRUNC((oy-1)/3+1)</definedName>
    <definedName name="curday">36934</definedName>
    <definedName name="cy">2001</definedName>
    <definedName name="d">3</definedName>
    <definedName name="daraja">#N/A</definedName>
    <definedName name="e" localSheetId="0">#REF!</definedName>
    <definedName name="e">#REF!</definedName>
    <definedName name="Excel_BuiltIn_Print_Area_70" localSheetId="0">#REF!</definedName>
    <definedName name="Excel_BuiltIn_Print_Area_70">#REF!</definedName>
    <definedName name="fjgfhjfghj" localSheetId="0">#REF!</definedName>
    <definedName name="fjgfhjfghj">#REF!</definedName>
    <definedName name="FullDate">[12]Date!$F$5:$G$20</definedName>
    <definedName name="h">DATE(yil,oy,1)</definedName>
    <definedName name="hh">TRUNC((oy-1)/3+1)</definedName>
    <definedName name="hhhhhhhh">#N/A</definedName>
    <definedName name="hjilll">TRUNC(([0]!oy-1)/3+1)</definedName>
    <definedName name="I" localSheetId="0">#REF!</definedName>
    <definedName name="I">#REF!</definedName>
    <definedName name="INTINC">'[13]Analysis of Interest'!$B$41</definedName>
    <definedName name="ka">TRUNC((oy-1)/3+1)</definedName>
    <definedName name="kg" localSheetId="0">#REF!</definedName>
    <definedName name="kg">#REF!</definedName>
    <definedName name="L" localSheetId="0">#REF!</definedName>
    <definedName name="L">#REF!</definedName>
    <definedName name="lastday">37165</definedName>
    <definedName name="lllll">TRUNC((oy-1)/3+1)</definedName>
    <definedName name="Macro1" localSheetId="0">#REF!</definedName>
    <definedName name="Macro1">#REF!</definedName>
    <definedName name="Macro10" localSheetId="0">#REF!</definedName>
    <definedName name="Macro10">#REF!</definedName>
    <definedName name="Macro11" localSheetId="0">#REF!</definedName>
    <definedName name="Macro11">#REF!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2" localSheetId="0">#REF!</definedName>
    <definedName name="Macro2">#REF!</definedName>
    <definedName name="Macro3" localSheetId="0">#REF!</definedName>
    <definedName name="Macro3">#REF!</definedName>
    <definedName name="Macro4" localSheetId="0">#REF!</definedName>
    <definedName name="Macro4">#REF!</definedName>
    <definedName name="Macro5" localSheetId="0">#REF!</definedName>
    <definedName name="Macro5">#REF!</definedName>
    <definedName name="Macro6" localSheetId="0">#REF!</definedName>
    <definedName name="Macro6">#REF!</definedName>
    <definedName name="Macro7" localSheetId="0">#REF!</definedName>
    <definedName name="Macro7">#REF!</definedName>
    <definedName name="Macro8" localSheetId="0">#REF!</definedName>
    <definedName name="Macro8">#REF!</definedName>
    <definedName name="Macro9" localSheetId="0">#REF!</definedName>
    <definedName name="Macro9">#REF!</definedName>
    <definedName name="mn">"Август"</definedName>
    <definedName name="oy">[14]сана!$B$2</definedName>
    <definedName name="Per_Nam">[2]Date!$I$6</definedName>
    <definedName name="Person">[9]Лист1!$I$4:$I$7</definedName>
    <definedName name="pppppp">#N/A</definedName>
    <definedName name="Recover" localSheetId="0">#REF!</definedName>
    <definedName name="Recover">#REF!</definedName>
    <definedName name="resp">#N/A</definedName>
    <definedName name="respub" localSheetId="0">#REF!</definedName>
    <definedName name="respub">#REF!</definedName>
    <definedName name="rom" localSheetId="0">#REF!</definedName>
    <definedName name="rom">#REF!</definedName>
    <definedName name="S" localSheetId="0">#REF!</definedName>
    <definedName name="S">#REF!</definedName>
    <definedName name="sana">DATE(yil,oy,1)</definedName>
    <definedName name="SetBanks">'[9]долл фунт йена(нараст)'!$B$3:$B$30,'[9]долл фунт йена(нараст)'!$D$3:$D$30</definedName>
    <definedName name="TableName">"Dummy"</definedName>
    <definedName name="tr" localSheetId="0">#REF!</definedName>
    <definedName name="tr">#REF!</definedName>
    <definedName name="TV" localSheetId="0">#REF!</definedName>
    <definedName name="TV">#REF!</definedName>
    <definedName name="ure" localSheetId="0">#REF!</definedName>
    <definedName name="ure">#REF!</definedName>
    <definedName name="vgf">DATE(yil,oy,1)</definedName>
    <definedName name="yil">[14]сана!$B$1</definedName>
    <definedName name="yt">TRUNC(([15]!oy-1)/3+1)</definedName>
    <definedName name="yy" localSheetId="0">#REF!</definedName>
    <definedName name="yy">#REF!</definedName>
    <definedName name="Z_3A9B8CE0_90FE_45F7_B16A_6C9B6CFEF69B_.wvu.PrintTitles" hidden="1">[16]оборот!$A$1:$B$65536,[16]оборот!$A$1:$IV$1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а" localSheetId="0">#REF!</definedName>
    <definedName name="а">#REF!</definedName>
    <definedName name="а1" localSheetId="0">[17]Лист1!#REF!</definedName>
    <definedName name="а1">[17]Лист1!#REF!</definedName>
    <definedName name="аа1" localSheetId="0">#REF!</definedName>
    <definedName name="аа1">#REF!</definedName>
    <definedName name="аа2" localSheetId="0">#REF!</definedName>
    <definedName name="аа2">#REF!</definedName>
    <definedName name="ааа">'[18]Фориш 2003'!$O$4</definedName>
    <definedName name="ааааппримека">DATE(yil,oy,1)</definedName>
    <definedName name="ав" localSheetId="0">#REF!</definedName>
    <definedName name="ав">#REF!</definedName>
    <definedName name="_xlnm.Auto_Open" localSheetId="0">#REF!</definedName>
    <definedName name="_xlnm.Auto_Open">#REF!</definedName>
    <definedName name="адр">"$A$3"</definedName>
    <definedName name="ан">DATE(yil,oy,1)</definedName>
    <definedName name="Анд">TRUNC((oy-1)/3+1)</definedName>
    <definedName name="андижон">TRUNC((oy-1)/3+1)</definedName>
    <definedName name="ап" localSheetId="0">#REF!</definedName>
    <definedName name="ап">#REF!</definedName>
    <definedName name="апапап" localSheetId="0" hidden="1">#REF!</definedName>
    <definedName name="апапап" hidden="1">#REF!</definedName>
    <definedName name="апва" localSheetId="0">[14]Лист1!#REF!</definedName>
    <definedName name="апва">[14]Лист1!#REF!</definedName>
    <definedName name="_xlnm.Database" localSheetId="0">#REF!</definedName>
    <definedName name="_xlnm.Database">#REF!</definedName>
    <definedName name="банклар" localSheetId="0" hidden="1">#REF!</definedName>
    <definedName name="банклар" hidden="1">#REF!</definedName>
    <definedName name="БВ" localSheetId="0">#REF!</definedName>
    <definedName name="БВ">#REF!</definedName>
    <definedName name="Бух">TRUNC((oy-1)/3+1)</definedName>
    <definedName name="Бюджет" localSheetId="0">#REF!</definedName>
    <definedName name="Бюджет">#REF!</definedName>
    <definedName name="в" localSheetId="0">#REF!</definedName>
    <definedName name="в">#REF!</definedName>
    <definedName name="ва" localSheetId="0">#REF!</definedName>
    <definedName name="ва">#REF!</definedName>
    <definedName name="валюта">TRUNC((oy-1)/3+1)</definedName>
    <definedName name="ВАРВАРАВ" localSheetId="0">#REF!</definedName>
    <definedName name="ВАРВАРАВ">#REF!</definedName>
    <definedName name="впа" localSheetId="0">#REF!</definedName>
    <definedName name="впа">#REF!</definedName>
    <definedName name="вфыв">TRUNC(([19]!oy-1)/3+1)</definedName>
    <definedName name="выбыло">0</definedName>
    <definedName name="выв">TRUNC((oy-1)/3+1)</definedName>
    <definedName name="г" localSheetId="0">#REF!</definedName>
    <definedName name="г">#REF!</definedName>
    <definedName name="галла_нархи">'[20]Фориш 2003'!$O$4</definedName>
    <definedName name="галлаааа">'[21]Фориш 2003'!$O$4</definedName>
    <definedName name="д" localSheetId="0">#REF!</definedName>
    <definedName name="д">#REF!</definedName>
    <definedName name="даража">#N/A</definedName>
    <definedName name="Дека" localSheetId="0">#REF!</definedName>
    <definedName name="Дека">#REF!</definedName>
    <definedName name="доллар">DATE(yil,oy,1)</definedName>
    <definedName name="е" localSheetId="0">#REF!</definedName>
    <definedName name="е">#REF!</definedName>
    <definedName name="ё" localSheetId="0">#REF!</definedName>
    <definedName name="ё">#REF!</definedName>
    <definedName name="ЁГ">TRUNC(([19]!oy-1)/3+1)</definedName>
    <definedName name="ЕОР">#N/A</definedName>
    <definedName name="ж" localSheetId="0">#REF!</definedName>
    <definedName name="ж">#REF!</definedName>
    <definedName name="жами1" localSheetId="0">#REF!</definedName>
    <definedName name="жами1">#REF!</definedName>
    <definedName name="жжж" localSheetId="0">#REF!</definedName>
    <definedName name="жжж">#REF!</definedName>
    <definedName name="з" localSheetId="0">#REF!</definedName>
    <definedName name="з">#REF!</definedName>
    <definedName name="_xlnm.Print_Titles" localSheetId="0">Дастурга!$2:$3</definedName>
    <definedName name="_xlnm.Print_Titles">#REF!</definedName>
    <definedName name="ИЗН">460</definedName>
    <definedName name="износом">43508</definedName>
    <definedName name="имтим" localSheetId="0">#REF!</definedName>
    <definedName name="имтим">#REF!</definedName>
    <definedName name="ип" localSheetId="0">#REF!</definedName>
    <definedName name="ип">#REF!</definedName>
    <definedName name="ипак" localSheetId="0">#REF!</definedName>
    <definedName name="ипак">#REF!</definedName>
    <definedName name="ипотека" localSheetId="0" hidden="1">#REF!,#REF!,#REF!,#REF!</definedName>
    <definedName name="ипотека" hidden="1">#REF!,#REF!,#REF!,#REF!</definedName>
    <definedName name="й" localSheetId="0">#REF!</definedName>
    <definedName name="й">#REF!</definedName>
    <definedName name="к" localSheetId="0">#REF!</definedName>
    <definedName name="к">#REF!</definedName>
    <definedName name="карз" localSheetId="0">#REF!</definedName>
    <definedName name="карз">#REF!</definedName>
    <definedName name="книга10">DATE(yil,oy,1)</definedName>
    <definedName name="кр" localSheetId="0">#REF!</definedName>
    <definedName name="кр">#REF!</definedName>
    <definedName name="кредит">DATE(yil,oy,1)</definedName>
    <definedName name="куш.жад">TRUNC((oy-1)/3+1)</definedName>
    <definedName name="қвапп">DATE(yil,oy,1)</definedName>
    <definedName name="л" localSheetId="0">#REF!</definedName>
    <definedName name="л">#REF!</definedName>
    <definedName name="ликвид">TRUNC((oy-1)/3+1)</definedName>
    <definedName name="лллллллллллллл">TRUNC((oy-1)/3+1)</definedName>
    <definedName name="М">#N/A</definedName>
    <definedName name="май">DATE(yil,oy,1)</definedName>
    <definedName name="Макрос1" localSheetId="0">[22]!Макрос1</definedName>
    <definedName name="Макрос1">[22]!Макрос1</definedName>
    <definedName name="Мирзачул">'[23]Фориш 2003'!$O$4</definedName>
    <definedName name="мммм" localSheetId="0">#REF!</definedName>
    <definedName name="мммм">#REF!</definedName>
    <definedName name="МММММ">TRUNC((oy-1)/3+1)</definedName>
    <definedName name="н" localSheetId="0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 localSheetId="0">#REF!</definedName>
    <definedName name="нац">#REF!</definedName>
    <definedName name="нбу" localSheetId="0">#REF!</definedName>
    <definedName name="нбу">#REF!</definedName>
    <definedName name="Норма">[24]Нарх!$A$1:$P$248</definedName>
    <definedName name="Ноябрь" localSheetId="0">#REF!</definedName>
    <definedName name="Ноябрь">#REF!</definedName>
    <definedName name="нук">TRUNC((oy-1)/3+1)</definedName>
    <definedName name="_xlnm.Print_Area" localSheetId="0">Дастурга!$A$1:$DR$134</definedName>
    <definedName name="_xlnm.Print_Area">#REF!</definedName>
    <definedName name="олр" localSheetId="0">#REF!</definedName>
    <definedName name="олр">#REF!</definedName>
    <definedName name="оооо">TRUNC(([0]!oy-1)/3+1)</definedName>
    <definedName name="ОСТ">0</definedName>
    <definedName name="отпро" localSheetId="0">#REF!</definedName>
    <definedName name="отпро">#REF!</definedName>
    <definedName name="п" localSheetId="0">#REF!</definedName>
    <definedName name="п">#REF!</definedName>
    <definedName name="пах" localSheetId="0">#REF!</definedName>
    <definedName name="пах">#REF!</definedName>
    <definedName name="ПЕНСИЯ" localSheetId="0">#REF!</definedName>
    <definedName name="ПЕНСИЯ">#REF!</definedName>
    <definedName name="период">1</definedName>
    <definedName name="поступило">36525</definedName>
    <definedName name="пр" localSheetId="0">#REF!</definedName>
    <definedName name="пр">#REF!</definedName>
    <definedName name="право">TRUNC((oy-1)/3+1)</definedName>
    <definedName name="ПРИХ">35000</definedName>
    <definedName name="прло" localSheetId="0">[25]Лист1!#REF!</definedName>
    <definedName name="прло">[25]Лист1!#REF!</definedName>
    <definedName name="прок">TRUNC((oy-1)/3+1)</definedName>
    <definedName name="прокуратура">DATE(yil,oy,1)</definedName>
    <definedName name="просрочка2">DATE(yil,oy,1)</definedName>
    <definedName name="проч">TRUNC((oy-1)/3+1)</definedName>
    <definedName name="прпрпр">TRUNC((oy-1)/3+1)</definedName>
    <definedName name="псб" localSheetId="0">#REF!</definedName>
    <definedName name="псб">#REF!</definedName>
    <definedName name="пт">DATE(yil,oy,1)</definedName>
    <definedName name="пункт">[24]Пункт!$A$1:$B$9</definedName>
    <definedName name="р" localSheetId="0">#REF!</definedName>
    <definedName name="р">#REF!</definedName>
    <definedName name="РАСХ">0</definedName>
    <definedName name="расчета">36465</definedName>
    <definedName name="рес">TRUNC((oy-1)/3+1)</definedName>
    <definedName name="респ">TRUNC((oy-1)/3+1)</definedName>
    <definedName name="ро">TRUNC((oy-1)/3+1)</definedName>
    <definedName name="роро" localSheetId="0">#REF!</definedName>
    <definedName name="роро">#REF!</definedName>
    <definedName name="роророрпорпо">DATE(yil,oy,1)</definedName>
    <definedName name="рррррр">DATE(yil,oy,1)</definedName>
    <definedName name="с" localSheetId="0">#REF!</definedName>
    <definedName name="с">#REF!</definedName>
    <definedName name="стоимость">43508</definedName>
    <definedName name="сурхон" localSheetId="0">#REF!</definedName>
    <definedName name="сурхон">#REF!</definedName>
    <definedName name="т">TRUNC((oy-1)/3+1)</definedName>
    <definedName name="тал" localSheetId="0">#REF!</definedName>
    <definedName name="тал">#REF!</definedName>
    <definedName name="талаб">TRUNC((oy-1)/3+1)</definedName>
    <definedName name="тов" localSheetId="0">#REF!</definedName>
    <definedName name="тов">#REF!</definedName>
    <definedName name="тошкент">TRUNC((oy-1)/3+1)</definedName>
    <definedName name="тугри">TRUNC((oy-1)/3+1)</definedName>
    <definedName name="ТУЛОВ">TRUNC((oy-1)/3+1)</definedName>
    <definedName name="тушум." localSheetId="0">#REF!</definedName>
    <definedName name="тушум.">#REF!</definedName>
    <definedName name="у" localSheetId="0">#REF!</definedName>
    <definedName name="у">#REF!</definedName>
    <definedName name="у4уа" localSheetId="0">#REF!</definedName>
    <definedName name="у4уа">#REF!</definedName>
    <definedName name="уааува" localSheetId="0">#REF!</definedName>
    <definedName name="уааува">#REF!</definedName>
    <definedName name="уаук" localSheetId="0">#REF!</definedName>
    <definedName name="уаук">#REF!</definedName>
    <definedName name="УЗБЕКЭЕНРГО" localSheetId="0">#REF!</definedName>
    <definedName name="УЗБЕКЭЕНРГО">#REF!</definedName>
    <definedName name="ф" localSheetId="0">#REF!</definedName>
    <definedName name="ф">#REF!</definedName>
    <definedName name="Фев">TRUNC((oy-1)/3+1)</definedName>
    <definedName name="февр">#N/A</definedName>
    <definedName name="Феврал">#N/A</definedName>
    <definedName name="ФЗСЖЧШ__ХЛЭЖШО" localSheetId="0">#REF!</definedName>
    <definedName name="ФЗСЖЧШ__ХЛЭЖШО">#REF!</definedName>
    <definedName name="фы">'[26]Фориш 2003'!$O$4</definedName>
    <definedName name="х" localSheetId="0">#REF!</definedName>
    <definedName name="х">#REF!</definedName>
    <definedName name="хал" localSheetId="0">#REF!</definedName>
    <definedName name="хал">#REF!</definedName>
    <definedName name="Хб" localSheetId="0">#REF!</definedName>
    <definedName name="Хб">#REF!</definedName>
    <definedName name="ц" localSheetId="0">#REF!</definedName>
    <definedName name="ц">#REF!</definedName>
    <definedName name="цва" localSheetId="0">[14]Лист1!#REF!</definedName>
    <definedName name="цва">[14]Лист1!#REF!</definedName>
    <definedName name="ЦЦЦЦ">TRUNC((oy-1)/3+1)</definedName>
    <definedName name="цчв" localSheetId="0">#REF!</definedName>
    <definedName name="цчв">#REF!</definedName>
    <definedName name="ч" localSheetId="0">#REF!</definedName>
    <definedName name="ч">#REF!</definedName>
    <definedName name="шах">TRUNC((oy-1)/3+1)</definedName>
    <definedName name="щ" localSheetId="0">#REF!</definedName>
    <definedName name="щ">#REF!</definedName>
    <definedName name="ъ" localSheetId="0">#REF!</definedName>
    <definedName name="ъ">#REF!</definedName>
    <definedName name="ы" localSheetId="0">#REF!</definedName>
    <definedName name="ы">#REF!</definedName>
    <definedName name="ыр" localSheetId="0">#REF!</definedName>
    <definedName name="ыр">#REF!</definedName>
    <definedName name="э">DATE(yil,oy,1)</definedName>
    <definedName name="Янв">DATE(yil,oy,1)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133" i="2" l="1"/>
  <c r="CG132" i="2"/>
  <c r="CG131" i="2"/>
  <c r="CG130" i="2"/>
  <c r="CG129" i="2"/>
  <c r="CG128" i="2"/>
  <c r="CG127" i="2"/>
  <c r="CG126" i="2"/>
  <c r="CG125" i="2"/>
  <c r="CG124" i="2"/>
  <c r="CG123" i="2"/>
  <c r="CG122" i="2"/>
  <c r="CG121" i="2"/>
  <c r="CG120" i="2"/>
  <c r="CG119" i="2"/>
  <c r="CG118" i="2"/>
  <c r="CG117" i="2"/>
  <c r="CG116" i="2"/>
  <c r="CG115" i="2"/>
  <c r="CG114" i="2"/>
  <c r="CG113" i="2"/>
  <c r="CG112" i="2"/>
  <c r="CG111" i="2"/>
  <c r="CG110" i="2"/>
  <c r="CG109" i="2"/>
  <c r="CG108" i="2"/>
  <c r="CG107" i="2"/>
  <c r="CG106" i="2"/>
  <c r="CG105" i="2"/>
  <c r="CG103" i="2"/>
  <c r="CG102" i="2"/>
  <c r="CG101" i="2"/>
  <c r="CG100" i="2"/>
  <c r="CG99" i="2"/>
  <c r="CG98" i="2"/>
  <c r="CG97" i="2"/>
  <c r="CG96" i="2"/>
  <c r="CG95" i="2"/>
  <c r="CG94" i="2"/>
  <c r="CG93" i="2"/>
  <c r="CG92" i="2"/>
  <c r="CG91" i="2"/>
  <c r="CG90" i="2"/>
  <c r="CG89" i="2"/>
  <c r="CG87" i="2"/>
  <c r="CG86" i="2"/>
  <c r="CG85" i="2"/>
  <c r="CG84" i="2"/>
  <c r="CG83" i="2"/>
  <c r="CG82" i="2"/>
  <c r="CG81" i="2"/>
  <c r="CG80" i="2"/>
  <c r="CG79" i="2"/>
  <c r="CG78" i="2"/>
  <c r="CG77" i="2"/>
  <c r="CG76" i="2"/>
  <c r="CG75" i="2"/>
  <c r="CG74" i="2"/>
  <c r="CG73" i="2"/>
  <c r="CG72" i="2"/>
  <c r="CG71" i="2"/>
  <c r="CG70" i="2"/>
  <c r="CG69" i="2"/>
  <c r="CG68" i="2"/>
  <c r="CG67" i="2"/>
  <c r="CG66" i="2"/>
  <c r="CG65" i="2"/>
  <c r="CG64" i="2"/>
  <c r="CG63" i="2"/>
  <c r="CG62" i="2"/>
  <c r="CG61" i="2"/>
  <c r="CG60" i="2"/>
  <c r="CG59" i="2"/>
  <c r="CG58" i="2"/>
  <c r="CG57" i="2"/>
  <c r="CG56" i="2"/>
  <c r="CG55" i="2"/>
  <c r="CG54" i="2"/>
  <c r="CG53" i="2"/>
  <c r="CG52" i="2"/>
  <c r="CG51" i="2"/>
  <c r="CG50" i="2"/>
  <c r="CG49" i="2"/>
  <c r="CG48" i="2"/>
  <c r="CG47" i="2"/>
  <c r="CG46" i="2"/>
  <c r="CG45" i="2"/>
  <c r="CG44" i="2"/>
  <c r="CG43" i="2"/>
  <c r="CG42" i="2"/>
  <c r="CG41" i="2"/>
  <c r="CG40" i="2"/>
  <c r="CG38" i="2"/>
  <c r="CG37" i="2"/>
  <c r="CG36" i="2"/>
  <c r="CG35" i="2"/>
  <c r="CG34" i="2"/>
  <c r="CG33" i="2"/>
  <c r="CG32" i="2"/>
  <c r="CG31" i="2"/>
  <c r="CG29" i="2"/>
  <c r="CG28" i="2"/>
  <c r="CG27" i="2"/>
  <c r="CG26" i="2"/>
  <c r="CG25" i="2"/>
  <c r="CG24" i="2"/>
  <c r="CG23" i="2"/>
  <c r="CG22" i="2"/>
  <c r="CG21" i="2"/>
  <c r="CG20" i="2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G5" i="2"/>
  <c r="CG4" i="2"/>
  <c r="BC134" i="2"/>
  <c r="CG134" i="2" s="1"/>
  <c r="CE133" i="2"/>
  <c r="CF133" i="2"/>
  <c r="CF132" i="2"/>
  <c r="CF131" i="2"/>
  <c r="CF130" i="2"/>
  <c r="CF129" i="2"/>
  <c r="CF128" i="2"/>
  <c r="CF127" i="2"/>
  <c r="CF126" i="2"/>
  <c r="CF125" i="2"/>
  <c r="CF124" i="2"/>
  <c r="CF123" i="2"/>
  <c r="CF122" i="2"/>
  <c r="CF121" i="2"/>
  <c r="CF120" i="2"/>
  <c r="CF119" i="2"/>
  <c r="CF118" i="2"/>
  <c r="CF117" i="2"/>
  <c r="CF116" i="2"/>
  <c r="CF115" i="2"/>
  <c r="CF114" i="2"/>
  <c r="CF113" i="2"/>
  <c r="CF112" i="2"/>
  <c r="CF111" i="2"/>
  <c r="CF110" i="2"/>
  <c r="CF109" i="2"/>
  <c r="CF108" i="2"/>
  <c r="CF107" i="2"/>
  <c r="CF106" i="2"/>
  <c r="CF105" i="2"/>
  <c r="CF103" i="2"/>
  <c r="CF102" i="2"/>
  <c r="CF101" i="2"/>
  <c r="CF100" i="2"/>
  <c r="CF99" i="2"/>
  <c r="CF98" i="2"/>
  <c r="CF97" i="2"/>
  <c r="CF96" i="2"/>
  <c r="CF95" i="2"/>
  <c r="CF94" i="2"/>
  <c r="CF93" i="2"/>
  <c r="CF92" i="2"/>
  <c r="CF91" i="2"/>
  <c r="CF90" i="2"/>
  <c r="CF89" i="2"/>
  <c r="CF87" i="2"/>
  <c r="CF86" i="2"/>
  <c r="CF85" i="2"/>
  <c r="CF84" i="2"/>
  <c r="CF83" i="2"/>
  <c r="CF82" i="2"/>
  <c r="CF81" i="2"/>
  <c r="CF80" i="2"/>
  <c r="CF79" i="2"/>
  <c r="CF78" i="2"/>
  <c r="CF77" i="2"/>
  <c r="CF76" i="2"/>
  <c r="CF75" i="2"/>
  <c r="CF74" i="2"/>
  <c r="CF73" i="2"/>
  <c r="CF72" i="2"/>
  <c r="CF71" i="2"/>
  <c r="CF70" i="2"/>
  <c r="CF69" i="2"/>
  <c r="CF68" i="2"/>
  <c r="CF67" i="2"/>
  <c r="CF66" i="2"/>
  <c r="CF65" i="2"/>
  <c r="CF64" i="2"/>
  <c r="CF63" i="2"/>
  <c r="CF62" i="2"/>
  <c r="CF61" i="2"/>
  <c r="CF60" i="2"/>
  <c r="CF59" i="2"/>
  <c r="CF58" i="2"/>
  <c r="CF57" i="2"/>
  <c r="CF56" i="2"/>
  <c r="CF55" i="2"/>
  <c r="CF54" i="2"/>
  <c r="CF53" i="2"/>
  <c r="CF52" i="2"/>
  <c r="CF51" i="2"/>
  <c r="CF50" i="2"/>
  <c r="CF49" i="2"/>
  <c r="CF48" i="2"/>
  <c r="CF47" i="2"/>
  <c r="CF46" i="2"/>
  <c r="CF45" i="2"/>
  <c r="CF44" i="2"/>
  <c r="CF43" i="2"/>
  <c r="CF42" i="2"/>
  <c r="CF41" i="2"/>
  <c r="CF40" i="2"/>
  <c r="CF38" i="2"/>
  <c r="CF37" i="2"/>
  <c r="CF36" i="2"/>
  <c r="CF35" i="2"/>
  <c r="CF34" i="2"/>
  <c r="CF33" i="2"/>
  <c r="CF32" i="2"/>
  <c r="CF31" i="2"/>
  <c r="CF29" i="2"/>
  <c r="CF28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4" i="2"/>
  <c r="CF13" i="2"/>
  <c r="CF12" i="2"/>
  <c r="CF11" i="2"/>
  <c r="CF10" i="2"/>
  <c r="CF9" i="2"/>
  <c r="CF8" i="2"/>
  <c r="CF7" i="2"/>
  <c r="CF6" i="2"/>
  <c r="CF5" i="2"/>
  <c r="CF4" i="2"/>
  <c r="BB134" i="2" l="1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T134" i="2"/>
  <c r="S134" i="2"/>
  <c r="R134" i="2"/>
  <c r="CD134" i="2" l="1"/>
  <c r="CE134" i="2"/>
  <c r="CF134" i="2"/>
  <c r="CU134" i="2"/>
  <c r="CT134" i="2"/>
  <c r="CV134" i="2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l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</calcChain>
</file>

<file path=xl/sharedStrings.xml><?xml version="1.0" encoding="utf-8"?>
<sst xmlns="http://schemas.openxmlformats.org/spreadsheetml/2006/main" count="636" uniqueCount="346">
  <si>
    <t>№</t>
  </si>
  <si>
    <t>HKKM</t>
  </si>
  <si>
    <t>Angren BXM</t>
  </si>
  <si>
    <t>Bekobod BXM</t>
  </si>
  <si>
    <t>G'azalkent BXM</t>
  </si>
  <si>
    <t>Zangiota BXO</t>
  </si>
  <si>
    <t>Nurafshon amal. BXM</t>
  </si>
  <si>
    <t>Oydin BXO</t>
  </si>
  <si>
    <t>Zarhal BXO</t>
  </si>
  <si>
    <t>Olmaliq BXM</t>
  </si>
  <si>
    <t>Chirchiq BXM</t>
  </si>
  <si>
    <t>Yangiyo'l BXM</t>
  </si>
  <si>
    <t>Sanoatqurilishbank</t>
  </si>
  <si>
    <t>Bo'ka BXM</t>
  </si>
  <si>
    <t>Qibray BXM</t>
  </si>
  <si>
    <t>Tosh.vil.mintaq. BXO</t>
  </si>
  <si>
    <t>Piskent BXM</t>
  </si>
  <si>
    <t>Agrobank</t>
  </si>
  <si>
    <t>Bekobod f.</t>
  </si>
  <si>
    <t>Bo'ka f.</t>
  </si>
  <si>
    <t>Quyichirchiq f.</t>
  </si>
  <si>
    <t>Tosh.vil.hudud. f.</t>
  </si>
  <si>
    <t>Oqqo'rg'on f.</t>
  </si>
  <si>
    <t>Ohangaron f.</t>
  </si>
  <si>
    <t>Ohangaron BXM</t>
  </si>
  <si>
    <t>Parkent f.</t>
  </si>
  <si>
    <t>Piskent f.</t>
  </si>
  <si>
    <t>Chinoz f.</t>
  </si>
  <si>
    <t>Yuqorichirchiq f.</t>
  </si>
  <si>
    <t>Yangiyo'l f.</t>
  </si>
  <si>
    <t>G'azalkent BXO</t>
  </si>
  <si>
    <t>Nurafshon BXO</t>
  </si>
  <si>
    <t>Oqqo'rg'on BXO</t>
  </si>
  <si>
    <t>Ohangaron BXO</t>
  </si>
  <si>
    <t>Qiziltog' BXM</t>
  </si>
  <si>
    <t>Parkent BXO</t>
  </si>
  <si>
    <t>Piskent BXO</t>
  </si>
  <si>
    <t>Toshkent BXM</t>
  </si>
  <si>
    <t>Yuqorichirchiq BXM</t>
  </si>
  <si>
    <t>Xalq banki</t>
  </si>
  <si>
    <t>Angren BXO</t>
  </si>
  <si>
    <t>Zafar BXO</t>
  </si>
  <si>
    <t>Bekobod BXO</t>
  </si>
  <si>
    <t>Bo'ka BXO</t>
  </si>
  <si>
    <t>Bo'stonliq BXO</t>
  </si>
  <si>
    <t>Qibray BXO</t>
  </si>
  <si>
    <t>Do'stobod BXO</t>
  </si>
  <si>
    <t>O'rtachirchiq BXO</t>
  </si>
  <si>
    <t>Olmaliq BXO</t>
  </si>
  <si>
    <t>Keles BXO</t>
  </si>
  <si>
    <t>Nafis BXM</t>
  </si>
  <si>
    <t>Chinoz BXO</t>
  </si>
  <si>
    <t>Chirchiq BXO</t>
  </si>
  <si>
    <t>Yuqorichirchiq BXO</t>
  </si>
  <si>
    <t>Yangiyo'l BXO</t>
  </si>
  <si>
    <t>Garantbank</t>
  </si>
  <si>
    <t>G'azalkent f.</t>
  </si>
  <si>
    <t>Zangiota f.</t>
  </si>
  <si>
    <t>Qibray f.</t>
  </si>
  <si>
    <t>Biznesni rivojlantirish banki</t>
  </si>
  <si>
    <t>Turonbank</t>
  </si>
  <si>
    <t>Hamkorbank</t>
  </si>
  <si>
    <t>Angren UBXO</t>
  </si>
  <si>
    <t>Nurafshon UBXO</t>
  </si>
  <si>
    <t>Olmaliq UBXO</t>
  </si>
  <si>
    <t>Chinoz UBXO</t>
  </si>
  <si>
    <t>Chirchiq UBXO</t>
  </si>
  <si>
    <t>Yangiyo'l UBXO</t>
  </si>
  <si>
    <t>Asakabank</t>
  </si>
  <si>
    <t>Nurafshon f.</t>
  </si>
  <si>
    <t>Ipak yo'li bank</t>
  </si>
  <si>
    <t>Pharm park BXM</t>
  </si>
  <si>
    <t>Aloqabank</t>
  </si>
  <si>
    <t>Ipotekabank</t>
  </si>
  <si>
    <t>Angren f.</t>
  </si>
  <si>
    <t>Afsona BXM</t>
  </si>
  <si>
    <t>Do'stlik BXM</t>
  </si>
  <si>
    <t>Do'stobod f.</t>
  </si>
  <si>
    <t>Nurafshon BXM</t>
  </si>
  <si>
    <t>Olmaliq f.</t>
  </si>
  <si>
    <t>Nurobod BXM</t>
  </si>
  <si>
    <t>Chirchiq f.</t>
  </si>
  <si>
    <t>Universalbank</t>
  </si>
  <si>
    <t>Kapitalbank</t>
  </si>
  <si>
    <t>Davrbank</t>
  </si>
  <si>
    <t>Keles BXM</t>
  </si>
  <si>
    <t>Infinbank</t>
  </si>
  <si>
    <t>Anorbank</t>
  </si>
  <si>
    <t>Angren SB</t>
  </si>
  <si>
    <t>Chirchiq SB</t>
  </si>
  <si>
    <t>Apexbank</t>
  </si>
  <si>
    <t>Nurafshon SO</t>
  </si>
  <si>
    <t>Hayotbank</t>
  </si>
  <si>
    <t>JAMI</t>
  </si>
  <si>
    <t>МФО</t>
  </si>
  <si>
    <t>Milliybank</t>
  </si>
  <si>
    <t>Mikrokreditbank</t>
  </si>
  <si>
    <t>12230</t>
  </si>
  <si>
    <t>00468</t>
  </si>
  <si>
    <t>00463</t>
  </si>
  <si>
    <t>00474</t>
  </si>
  <si>
    <t>00475</t>
  </si>
  <si>
    <t>00457</t>
  </si>
  <si>
    <t>00413</t>
  </si>
  <si>
    <t>12231</t>
  </si>
  <si>
    <t>00482</t>
  </si>
  <si>
    <t>00472</t>
  </si>
  <si>
    <t>00476</t>
  </si>
  <si>
    <t>00480</t>
  </si>
  <si>
    <t>00485</t>
  </si>
  <si>
    <t>11254</t>
  </si>
  <si>
    <t>11256</t>
  </si>
  <si>
    <t>11183</t>
  </si>
  <si>
    <t>12242</t>
  </si>
  <si>
    <t>11253</t>
  </si>
  <si>
    <t>12174</t>
  </si>
  <si>
    <t>12190</t>
  </si>
  <si>
    <t>11142</t>
  </si>
  <si>
    <t>11141</t>
  </si>
  <si>
    <t>11255</t>
  </si>
  <si>
    <t>11199</t>
  </si>
  <si>
    <t>11203</t>
  </si>
  <si>
    <t>11202</t>
  </si>
  <si>
    <t>10792</t>
  </si>
  <si>
    <t>11198</t>
  </si>
  <si>
    <t>11200</t>
  </si>
  <si>
    <t>10793</t>
  </si>
  <si>
    <t>11201</t>
  </si>
  <si>
    <t>11413</t>
  </si>
  <si>
    <t>11786</t>
  </si>
  <si>
    <t>11412</t>
  </si>
  <si>
    <t>11247</t>
  </si>
  <si>
    <t>11978</t>
  </si>
  <si>
    <t>11599</t>
  </si>
  <si>
    <t>11785</t>
  </si>
  <si>
    <t>11787</t>
  </si>
  <si>
    <t>11943</t>
  </si>
  <si>
    <t>10443</t>
  </si>
  <si>
    <t>10447</t>
  </si>
  <si>
    <t>11581</t>
  </si>
  <si>
    <t>11489</t>
  </si>
  <si>
    <t>11634</t>
  </si>
  <si>
    <t>11801</t>
  </si>
  <si>
    <t>11385</t>
  </si>
  <si>
    <t>11579</t>
  </si>
  <si>
    <t>11490</t>
  </si>
  <si>
    <t>11386</t>
  </si>
  <si>
    <t>11388</t>
  </si>
  <si>
    <t>11799</t>
  </si>
  <si>
    <t>11582</t>
  </si>
  <si>
    <t>11633</t>
  </si>
  <si>
    <t>11487</t>
  </si>
  <si>
    <t>11387</t>
  </si>
  <si>
    <t>11782</t>
  </si>
  <si>
    <t>10121</t>
  </si>
  <si>
    <t>11800</t>
  </si>
  <si>
    <t>11580</t>
  </si>
  <si>
    <t>11488</t>
  </si>
  <si>
    <t>11349</t>
  </si>
  <si>
    <t>12090</t>
  </si>
  <si>
    <t>12091</t>
  </si>
  <si>
    <t>12097</t>
  </si>
  <si>
    <t>12213</t>
  </si>
  <si>
    <t>12129</t>
  </si>
  <si>
    <t>10818</t>
  </si>
  <si>
    <t>10819</t>
  </si>
  <si>
    <t>10820</t>
  </si>
  <si>
    <t>12228</t>
  </si>
  <si>
    <t>11291</t>
  </si>
  <si>
    <t>10715</t>
  </si>
  <si>
    <t>10714</t>
  </si>
  <si>
    <t>11446</t>
  </si>
  <si>
    <t>11448</t>
  </si>
  <si>
    <t>11445</t>
  </si>
  <si>
    <t>11443</t>
  </si>
  <si>
    <t>11447</t>
  </si>
  <si>
    <t>11444</t>
  </si>
  <si>
    <t>12008</t>
  </si>
  <si>
    <t>01081</t>
  </si>
  <si>
    <t>12245</t>
  </si>
  <si>
    <t>10508</t>
  </si>
  <si>
    <t>10729</t>
  </si>
  <si>
    <t>10502</t>
  </si>
  <si>
    <t>10510</t>
  </si>
  <si>
    <t>12029</t>
  </si>
  <si>
    <t>00461</t>
  </si>
  <si>
    <t>11740</t>
  </si>
  <si>
    <t>00489</t>
  </si>
  <si>
    <t>01130</t>
  </si>
  <si>
    <t>01170</t>
  </si>
  <si>
    <t>10223</t>
  </si>
  <si>
    <t>10002</t>
  </si>
  <si>
    <t>00459</t>
  </si>
  <si>
    <t>11274</t>
  </si>
  <si>
    <t>00487</t>
  </si>
  <si>
    <t>00478</t>
  </si>
  <si>
    <t>01039</t>
  </si>
  <si>
    <t>11853</t>
  </si>
  <si>
    <t>10837</t>
  </si>
  <si>
    <t>11462</t>
  </si>
  <si>
    <t>11372</t>
  </si>
  <si>
    <t>10212</t>
  </si>
  <si>
    <t>10214</t>
  </si>
  <si>
    <t>11261</t>
  </si>
  <si>
    <t>12056</t>
  </si>
  <si>
    <t>12088</t>
  </si>
  <si>
    <t>12089</t>
  </si>
  <si>
    <t>12187</t>
  </si>
  <si>
    <t>01056</t>
  </si>
  <si>
    <t>01080</t>
  </si>
  <si>
    <t>10470</t>
  </si>
  <si>
    <t>10418</t>
  </si>
  <si>
    <t>10422</t>
  </si>
  <si>
    <t>12162</t>
  </si>
  <si>
    <t>12133</t>
  </si>
  <si>
    <t>12139</t>
  </si>
  <si>
    <t>12105</t>
  </si>
  <si>
    <t>Angren sh.</t>
  </si>
  <si>
    <t>Bekobod t.</t>
  </si>
  <si>
    <t>Bekobod sh.</t>
  </si>
  <si>
    <t>Bo'ka t.</t>
  </si>
  <si>
    <t>Bo'stonliq t.</t>
  </si>
  <si>
    <t>Zangiota t.</t>
  </si>
  <si>
    <t>Qibray t.</t>
  </si>
  <si>
    <t>Q-Chirchiq t.</t>
  </si>
  <si>
    <t>Nurafshon sh.</t>
  </si>
  <si>
    <t>Oqqo'rg'on t.</t>
  </si>
  <si>
    <t>Olmaliq sh.</t>
  </si>
  <si>
    <t>Ohangaron sh.</t>
  </si>
  <si>
    <t>Ohangaron t.</t>
  </si>
  <si>
    <t>Parkent t.</t>
  </si>
  <si>
    <t>Piskent t.</t>
  </si>
  <si>
    <t>Toshkent t.</t>
  </si>
  <si>
    <t>O'.Chirchiq t.</t>
  </si>
  <si>
    <t>Chinoz t.</t>
  </si>
  <si>
    <t>Yu.Chirchiq t.</t>
  </si>
  <si>
    <t>Chirchiq sh.</t>
  </si>
  <si>
    <t>Yangiyo'l t.</t>
  </si>
  <si>
    <t>Yangiyo'l sh.</t>
  </si>
  <si>
    <t>Savdo</t>
  </si>
  <si>
    <t>Pullik xizmat korsatish</t>
  </si>
  <si>
    <t>Boshqalar</t>
  </si>
  <si>
    <t>Pensiya to'lovlari</t>
  </si>
  <si>
    <t>Byudjet to'lovlari</t>
  </si>
  <si>
    <t>Nafaqa (MV, DXX) to'lovlari</t>
  </si>
  <si>
    <t>Kontingent to'lovlari</t>
  </si>
  <si>
    <t>Monitoring to'lovlari</t>
  </si>
  <si>
    <t>Naqd pul tushumi
Yanvar</t>
  </si>
  <si>
    <t>Naqd pul tushumi
Fevral</t>
  </si>
  <si>
    <t>Naqd pul tushumi
Mart</t>
  </si>
  <si>
    <t>Naqd pul tushumi
Aprel</t>
  </si>
  <si>
    <t>Naqd pul tushumi
May</t>
  </si>
  <si>
    <t>Naqd pul tushumi
Iyun</t>
  </si>
  <si>
    <t>Naqd pul tushumi
Iyul</t>
  </si>
  <si>
    <t>Naqd pul tushumi
Avgust</t>
  </si>
  <si>
    <t>Naqd pul tushumi
Sentyabr</t>
  </si>
  <si>
    <t>Naqd pul tushumi
Oktyabr</t>
  </si>
  <si>
    <t>Naqd pul tushumi
Noyabr</t>
  </si>
  <si>
    <t>Naqd pul chiqimi
Yanvar</t>
  </si>
  <si>
    <t>Naqd pul chiqimi
Fevral</t>
  </si>
  <si>
    <t>Naqd pul chiqimi
Mart</t>
  </si>
  <si>
    <t>Naqd pul chiqimi
Aprel</t>
  </si>
  <si>
    <t>Naqd pul chiqimi
May</t>
  </si>
  <si>
    <t>Naqd pul chiqimi
Iyun</t>
  </si>
  <si>
    <t>Naqd pul chiqimi
Iyul</t>
  </si>
  <si>
    <t>Naqd pul chiqimi
Avgust</t>
  </si>
  <si>
    <t>Naqd pul chiqimi
Sentyabr</t>
  </si>
  <si>
    <t>Naqd pul chiqimi
Oktyabr</t>
  </si>
  <si>
    <t>Naqd pul chiqimi
Noyabr</t>
  </si>
  <si>
    <t>Zaxira
Yanvar</t>
  </si>
  <si>
    <t>Zaxira
Fevral</t>
  </si>
  <si>
    <t>Zaxira
Mart</t>
  </si>
  <si>
    <t>Zaxira
Aprel</t>
  </si>
  <si>
    <t>Zaxira
May</t>
  </si>
  <si>
    <t>Zaxira
Iyun</t>
  </si>
  <si>
    <t>Zaxira
Iyul</t>
  </si>
  <si>
    <t>Zaxira
Avgust</t>
  </si>
  <si>
    <t>Zaxira
Sentyabr</t>
  </si>
  <si>
    <t>Zaxira
Oktyabr</t>
  </si>
  <si>
    <t>Zaxira
Noyabr</t>
  </si>
  <si>
    <t>Qayt. Koef.
Yanvar</t>
  </si>
  <si>
    <t>Qayt. Koef.
Fevral</t>
  </si>
  <si>
    <t>Qayt. Koef.
Mart</t>
  </si>
  <si>
    <t>Qayt. Koef.
Aprel</t>
  </si>
  <si>
    <t>Qayt. Koef.
May</t>
  </si>
  <si>
    <t>Qayt. Koef.
Iyun</t>
  </si>
  <si>
    <t>Qayt. Koef.
Iyul</t>
  </si>
  <si>
    <t>Qayt. Koef.
Avgust</t>
  </si>
  <si>
    <t>Qayt. Koef.
Sentyabr</t>
  </si>
  <si>
    <t>Qayt. Koef.
Oktyabr</t>
  </si>
  <si>
    <t>Qayt. Koef.
Noyabr</t>
  </si>
  <si>
    <t>YaTT tushumlari</t>
  </si>
  <si>
    <t>Iste'mol tovarlarini sotishdan tushum</t>
  </si>
  <si>
    <t>Avtotushum</t>
  </si>
  <si>
    <t>VaSH tushumlari</t>
  </si>
  <si>
    <t>Umumiy ovqatlanish korxonalaridan tushum</t>
  </si>
  <si>
    <t>Ustav kapitali, aylanma mablag'larni tushumi</t>
  </si>
  <si>
    <t>Temir yo'l va xavo transporti tushumi</t>
  </si>
  <si>
    <t>Aloqa xizmatlaridan tushum</t>
  </si>
  <si>
    <t>Kommunal tushum</t>
  </si>
  <si>
    <t>Pullik xizmatlardan tushum</t>
  </si>
  <si>
    <t>Soliqlar, yig'imlar, boj tushumlari</t>
  </si>
  <si>
    <t>Qishloq xo'jaligidan tushum</t>
  </si>
  <si>
    <t>Kreditlar, lizinglar va tushumlari</t>
  </si>
  <si>
    <t>Omonat tushumlari</t>
  </si>
  <si>
    <t>Boshqa subyektlar ish haqi</t>
  </si>
  <si>
    <t>Bankomat, terminal chiqimi</t>
  </si>
  <si>
    <t>Omonat chiqimi</t>
  </si>
  <si>
    <t>VaSH chiqimlari</t>
  </si>
  <si>
    <t>Pul jo'natish tizimidan chiqimi</t>
  </si>
  <si>
    <t>Qishloq ho'jaligi korxonalari chiqimlari</t>
  </si>
  <si>
    <t>Tayyorlov korxonalari chiqimlari</t>
  </si>
  <si>
    <t>Ish haqidan boshqa chiqimlar</t>
  </si>
  <si>
    <t>Bank</t>
  </si>
  <si>
    <t>Tijorat
banklari
nomi</t>
  </si>
  <si>
    <t>Hudud</t>
  </si>
  <si>
    <t>Zaxira
Dekabr</t>
  </si>
  <si>
    <t>Naqd pul chiqimi
Dekabr</t>
  </si>
  <si>
    <t>Naqd pul tushumi
Dekabr</t>
  </si>
  <si>
    <t>Qayt. Koef.
Dekabr</t>
  </si>
  <si>
    <t>Markaz BXO</t>
  </si>
  <si>
    <t>G'alaba BXO</t>
  </si>
  <si>
    <t>12032</t>
  </si>
  <si>
    <t>12274</t>
  </si>
  <si>
    <t>Madad
Yanvar</t>
  </si>
  <si>
    <t>Madad
Fevral</t>
  </si>
  <si>
    <t>Madad
Mart</t>
  </si>
  <si>
    <t>Madad
Aprel</t>
  </si>
  <si>
    <t>Madad
May</t>
  </si>
  <si>
    <t>Madad
Iyun</t>
  </si>
  <si>
    <t>Madad
Iyul</t>
  </si>
  <si>
    <t>Madad
Avgust</t>
  </si>
  <si>
    <t>Madad
Sentyabr</t>
  </si>
  <si>
    <t>Madad
Oktyabr</t>
  </si>
  <si>
    <t>Madad
Noyabr</t>
  </si>
  <si>
    <t>Madad
Dekabr</t>
  </si>
  <si>
    <t>Кунлик қолдиқ</t>
  </si>
  <si>
    <t>Oqqo'rg'on BXM</t>
  </si>
  <si>
    <t>Parkent BXM</t>
  </si>
  <si>
    <t>Trastbank</t>
  </si>
  <si>
    <t>11942</t>
  </si>
  <si>
    <t>11748</t>
  </si>
  <si>
    <t>11224</t>
  </si>
  <si>
    <t>10842</t>
  </si>
  <si>
    <t>12051</t>
  </si>
  <si>
    <t>11738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</si>
</sst>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6"/>
      <color indexed="8"/>
      <name val="Arial"/>
      <family val="2"/>
      <charset val="204"/>
    </font>
    <font>
      <sz val="16"/>
      <name val="Arial"/>
      <family val="2"/>
      <charset val="204"/>
    </font>
    <font>
      <b/>
      <sz val="20"/>
      <color indexed="8"/>
      <name val="Arial"/>
      <family val="2"/>
      <charset val="204"/>
    </font>
    <font>
      <b/>
      <sz val="20"/>
      <name val="Arial"/>
      <family val="2"/>
      <charset val="204"/>
    </font>
    <font>
      <i/>
      <sz val="20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18"/>
      <name val="Arial"/>
      <family val="2"/>
      <charset val="204"/>
    </font>
    <font>
      <i/>
      <sz val="18"/>
      <color indexed="8"/>
      <name val="Arial"/>
      <family val="2"/>
      <charset val="204"/>
    </font>
    <font>
      <i/>
      <sz val="18"/>
      <name val="Arial"/>
      <family val="2"/>
      <charset val="204"/>
    </font>
    <font>
      <i/>
      <sz val="16"/>
      <color indexed="8"/>
      <name val="Arial"/>
      <family val="2"/>
      <charset val="204"/>
    </font>
    <font>
      <sz val="18"/>
      <name val="Arial"/>
      <family val="2"/>
      <charset val="204"/>
    </font>
    <font>
      <sz val="18"/>
      <color indexed="8"/>
      <name val="Arial"/>
      <family val="2"/>
      <charset val="204"/>
    </font>
    <font>
      <sz val="20"/>
      <name val="Arial"/>
      <family val="2"/>
      <charset val="204"/>
    </font>
    <font>
      <sz val="22"/>
      <name val="Arial"/>
      <family val="2"/>
      <charset val="204"/>
    </font>
    <font>
      <b/>
      <sz val="22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59">
    <xf numFmtId="0" fontId="0" fillId="0" borderId="0" xfId="0"/>
    <xf numFmtId="0" fontId="3" fillId="0" borderId="0" xfId="1" applyFont="1"/>
    <xf numFmtId="0" fontId="4" fillId="0" borderId="0" xfId="1" applyFont="1" applyAlignment="1">
      <alignment wrapText="1"/>
    </xf>
    <xf numFmtId="0" fontId="8" fillId="0" borderId="0" xfId="1" applyFont="1"/>
    <xf numFmtId="0" fontId="10" fillId="0" borderId="2" xfId="1" applyFont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 vertical="center" wrapText="1"/>
    </xf>
    <xf numFmtId="164" fontId="7" fillId="0" borderId="2" xfId="1" applyNumberFormat="1" applyFont="1" applyBorder="1" applyAlignment="1">
      <alignment horizontal="center" vertical="center" wrapText="1"/>
    </xf>
    <xf numFmtId="9" fontId="7" fillId="0" borderId="2" xfId="2" applyFont="1" applyFill="1" applyBorder="1" applyAlignment="1">
      <alignment horizontal="center" vertical="center" wrapText="1"/>
    </xf>
    <xf numFmtId="0" fontId="12" fillId="0" borderId="0" xfId="1" applyFont="1"/>
    <xf numFmtId="0" fontId="4" fillId="0" borderId="0" xfId="1" applyFont="1"/>
    <xf numFmtId="0" fontId="14" fillId="0" borderId="3" xfId="1" applyFont="1" applyBorder="1" applyAlignment="1">
      <alignment horizontal="center" vertical="center" wrapText="1"/>
    </xf>
    <xf numFmtId="0" fontId="13" fillId="2" borderId="3" xfId="3" applyFont="1" applyFill="1" applyBorder="1" applyAlignment="1">
      <alignment horizontal="left" vertical="center" indent="1"/>
    </xf>
    <xf numFmtId="164" fontId="15" fillId="0" borderId="3" xfId="1" applyNumberFormat="1" applyFont="1" applyBorder="1" applyAlignment="1">
      <alignment horizontal="center" vertical="center" wrapText="1"/>
    </xf>
    <xf numFmtId="9" fontId="15" fillId="0" borderId="3" xfId="2" applyFont="1" applyFill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164" fontId="15" fillId="0" borderId="4" xfId="1" applyNumberFormat="1" applyFont="1" applyBorder="1" applyAlignment="1">
      <alignment horizontal="center" vertical="center" wrapText="1"/>
    </xf>
    <xf numFmtId="9" fontId="15" fillId="0" borderId="4" xfId="2" applyFont="1" applyFill="1" applyBorder="1" applyAlignment="1">
      <alignment horizontal="center" vertical="center" wrapText="1"/>
    </xf>
    <xf numFmtId="0" fontId="13" fillId="2" borderId="4" xfId="3" applyFont="1" applyFill="1" applyBorder="1" applyAlignment="1">
      <alignment horizontal="left" vertical="center" indent="1"/>
    </xf>
    <xf numFmtId="0" fontId="14" fillId="0" borderId="4" xfId="1" applyFont="1" applyBorder="1" applyAlignment="1">
      <alignment horizontal="center" vertical="center" wrapText="1"/>
    </xf>
    <xf numFmtId="0" fontId="13" fillId="2" borderId="2" xfId="3" applyFont="1" applyFill="1" applyBorder="1" applyAlignment="1">
      <alignment horizontal="left" vertical="center" indent="1"/>
    </xf>
    <xf numFmtId="0" fontId="13" fillId="0" borderId="5" xfId="1" applyFont="1" applyBorder="1" applyAlignment="1">
      <alignment horizontal="center" vertical="center" wrapText="1"/>
    </xf>
    <xf numFmtId="0" fontId="13" fillId="2" borderId="5" xfId="3" applyFont="1" applyFill="1" applyBorder="1" applyAlignment="1">
      <alignment horizontal="left" vertical="center" indent="1"/>
    </xf>
    <xf numFmtId="0" fontId="16" fillId="0" borderId="1" xfId="1" applyFont="1" applyBorder="1" applyAlignment="1">
      <alignment vertical="center" wrapText="1"/>
    </xf>
    <xf numFmtId="0" fontId="17" fillId="0" borderId="1" xfId="1" applyFont="1" applyBorder="1" applyAlignment="1">
      <alignment horizontal="center" vertical="center" wrapText="1"/>
    </xf>
    <xf numFmtId="164" fontId="17" fillId="0" borderId="1" xfId="1" applyNumberFormat="1" applyFont="1" applyBorder="1" applyAlignment="1">
      <alignment horizontal="center" vertical="center" wrapText="1"/>
    </xf>
    <xf numFmtId="9" fontId="17" fillId="0" borderId="1" xfId="2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wrapText="1"/>
    </xf>
    <xf numFmtId="0" fontId="13" fillId="0" borderId="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3" fontId="15" fillId="0" borderId="4" xfId="1" applyNumberFormat="1" applyFont="1" applyBorder="1" applyAlignment="1">
      <alignment horizontal="center" vertical="center" wrapText="1"/>
    </xf>
    <xf numFmtId="3" fontId="7" fillId="0" borderId="2" xfId="1" applyNumberFormat="1" applyFont="1" applyBorder="1" applyAlignment="1">
      <alignment horizontal="center" vertical="center" wrapText="1"/>
    </xf>
    <xf numFmtId="3" fontId="15" fillId="0" borderId="3" xfId="1" applyNumberFormat="1" applyFont="1" applyBorder="1" applyAlignment="1">
      <alignment horizontal="center" vertical="center" wrapText="1"/>
    </xf>
    <xf numFmtId="3" fontId="7" fillId="0" borderId="2" xfId="2" applyNumberFormat="1" applyFont="1" applyFill="1" applyBorder="1" applyAlignment="1">
      <alignment horizontal="center" vertical="center" wrapText="1"/>
    </xf>
    <xf numFmtId="3" fontId="15" fillId="0" borderId="3" xfId="2" applyNumberFormat="1" applyFont="1" applyFill="1" applyBorder="1" applyAlignment="1">
      <alignment horizontal="center" vertical="center" wrapText="1"/>
    </xf>
    <xf numFmtId="3" fontId="15" fillId="0" borderId="4" xfId="2" applyNumberFormat="1" applyFont="1" applyFill="1" applyBorder="1" applyAlignment="1">
      <alignment horizontal="center" vertical="center" wrapText="1"/>
    </xf>
    <xf numFmtId="3" fontId="17" fillId="0" borderId="1" xfId="2" applyNumberFormat="1" applyFont="1" applyFill="1" applyBorder="1" applyAlignment="1">
      <alignment horizontal="center" vertical="center" wrapText="1"/>
    </xf>
    <xf numFmtId="4" fontId="3" fillId="0" borderId="0" xfId="1" applyNumberFormat="1" applyFont="1" applyAlignment="1">
      <alignment wrapText="1"/>
    </xf>
    <xf numFmtId="4" fontId="3" fillId="0" borderId="0" xfId="1" applyNumberFormat="1" applyFont="1"/>
    <xf numFmtId="164" fontId="3" fillId="0" borderId="0" xfId="1" applyNumberFormat="1" applyFont="1" applyAlignment="1">
      <alignment wrapText="1"/>
    </xf>
    <xf numFmtId="0" fontId="9" fillId="7" borderId="8" xfId="1" applyFont="1" applyFill="1" applyBorder="1" applyAlignment="1">
      <alignment horizontal="center" vertical="center" wrapText="1"/>
    </xf>
    <xf numFmtId="0" fontId="9" fillId="7" borderId="9" xfId="1" applyFont="1" applyFill="1" applyBorder="1" applyAlignment="1">
      <alignment horizontal="center" vertical="center" wrapText="1"/>
    </xf>
    <xf numFmtId="0" fontId="9" fillId="8" borderId="8" xfId="1" applyFont="1" applyFill="1" applyBorder="1" applyAlignment="1">
      <alignment horizontal="center" vertical="center" wrapText="1"/>
    </xf>
    <xf numFmtId="0" fontId="9" fillId="8" borderId="9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9" fontId="6" fillId="0" borderId="1" xfId="2" applyFont="1" applyFill="1" applyBorder="1" applyAlignment="1">
      <alignment horizontal="center" vertical="center" wrapText="1"/>
    </xf>
    <xf numFmtId="9" fontId="6" fillId="0" borderId="6" xfId="2" applyFont="1" applyFill="1" applyBorder="1" applyAlignment="1">
      <alignment horizontal="center" vertical="center" wrapText="1"/>
    </xf>
    <xf numFmtId="9" fontId="6" fillId="0" borderId="7" xfId="2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3" borderId="8" xfId="1" applyFont="1" applyFill="1" applyBorder="1" applyAlignment="1">
      <alignment horizontal="center" vertical="center" wrapText="1"/>
    </xf>
    <xf numFmtId="0" fontId="9" fillId="3" borderId="9" xfId="1" applyFont="1" applyFill="1" applyBorder="1" applyAlignment="1">
      <alignment horizontal="center" vertical="center" wrapText="1"/>
    </xf>
    <xf numFmtId="0" fontId="13" fillId="4" borderId="6" xfId="1" applyFont="1" applyFill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 wrapText="1"/>
    </xf>
    <xf numFmtId="0" fontId="13" fillId="6" borderId="6" xfId="1" applyFont="1" applyFill="1" applyBorder="1" applyAlignment="1">
      <alignment horizontal="center" vertical="center" wrapText="1"/>
    </xf>
    <xf numFmtId="0" fontId="13" fillId="6" borderId="7" xfId="1" applyFont="1" applyFill="1" applyBorder="1" applyAlignment="1">
      <alignment horizontal="center" vertical="center" wrapText="1"/>
    </xf>
    <xf numFmtId="0" fontId="13" fillId="5" borderId="6" xfId="1" applyFont="1" applyFill="1" applyBorder="1" applyAlignment="1">
      <alignment horizontal="center" vertical="center" wrapText="1"/>
    </xf>
    <xf numFmtId="0" fontId="13" fillId="5" borderId="7" xfId="1" applyFont="1" applyFill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/>
    </xf>
  </cellXfs>
  <cellStyles count="4">
    <cellStyle name="Обычный" xfId="0" builtinId="0"/>
    <cellStyle name="Обычный 2" xfId="3" xr:uid="{B96A09BB-C0C2-4EC9-9467-8B0C7A34BAA2}"/>
    <cellStyle name="Обычный_24.09.08" xfId="1" xr:uid="{34F60D68-27C2-4327-A687-68943CAAB33D}"/>
    <cellStyle name="Процентный 2" xfId="2" xr:uid="{A9951308-ECA4-4F1D-9CE0-AE310CAFE75E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31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31\Documents%20and%20Settings\usmonov_e.CBU\1-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mza\&#1076;&#1072;&#1074;&#1083;&#1072;&#1090;%20&#1080;&#1096;&#1080;\11-xilltov\&#1052;&#1086;&#1080;%20&#1076;&#1086;&#1082;&#1091;&#1084;&#1077;&#1085;&#1090;&#1099;\222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h_vil-014\Documents%20and%20Settings\usmonov_e.CBU\&#1056;&#1072;&#1073;&#1086;&#1095;&#1080;&#1081;%20&#1089;&#1090;&#1086;&#1083;\1-13%20&#1072;&#1074;&#1090;&#108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usmonov_e.CBU\&#1056;&#1072;&#1073;&#1086;&#1095;&#1080;&#1081;%20&#1089;&#1090;&#1086;&#1083;\1-13%20&#1072;&#1074;&#1090;&#108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ram\c\11-xilltov\&#1052;&#1086;&#1080;%20&#1076;&#1086;&#1082;&#1091;&#1084;&#1077;&#1085;&#1090;&#1099;\222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h_vil-014\Documents%20and%20Settings\pulatov_r\Application%20Data\Microsoft\Excel\&#1064;&#1072;&#1093;&#1072;&#1088;%20&#1074;&#1083;&#1086;&#107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&#1072;&#1074;&#1090;&#1086;\2013\1-13%20&#1072;&#1074;&#1090;&#108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&#1072;&#1074;&#1090;&#1086;\&#1044;&#1118;&#1089;&#1090;\&#1072;&#1074;&#1090;&#1086;%201-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94.14\Documents%20and%20Settings\User\&#1056;&#1072;&#1073;&#1086;&#1095;&#1080;&#1081;%20&#1089;&#1090;&#1086;&#1083;\1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&#1072;&#1074;&#1090;&#1086;\&#1052;%20&#1040;%20&#1066;%20&#1051;%20&#1059;%20&#1052;%20&#1054;%20&#1058;%20&#1051;%20&#1040;%20&#1056;\&#1050;&#1059;&#1053;&#1051;&#1048;&#1050;+&#1057;&#1061;&#1045;&#1052;&#1040;\&#1050;&#1059;&#1053;&#1051;&#1048;&#1050;\6%20&#1050;&#1091;&#1085;&#1083;&#1080;&#1082;%20-%202012\1%20&#1071;&#1085;&#1074;&#1072;&#1088;&#1100;\13-01-201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0-4\djavalitdin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ram\C\&#1050;&#1040;&#1041;&#1052;&#1048;&#1053;&#1043;&#1040;%20&#1084;&#1072;&#1098;&#1083;\2006\&#1044;&#1045;&#1050;&#1040;&#1041;&#1056;&#1068;\POST\ODO\SEND\&#1052;&#1086;&#1080;%20&#1076;&#1086;&#1082;&#1091;&#1084;&#1077;&#1085;&#1090;&#1099;\ODO\ARHIV\2005\janvar\&#1052;&#1086;&#1080;%20&#1076;&#1086;&#1082;&#1091;&#1084;&#1077;&#1085;&#1090;&#1099;\&#1052;&#1086;&#1080;%20&#1076;&#1086;&#1082;&#1091;&#1084;&#1077;&#1085;&#1090;&#1099;\OTABEK\Toshkent\11-xilltov\&#1052;&#1086;&#1080;%20&#1076;&#1086;&#1082;&#1091;&#1084;&#1077;&#1085;&#1090;&#1099;\222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Sattarov_S\Application%20Data\Microsoft\Excel\2011%20&#1081;&#1080;&#1083;%20%2023%20&#1076;&#1077;&#1082;&#1072;&#1073;&#1088;&#11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Date"/>
      <sheetName val="ДЭУ_фарк_1"/>
      <sheetName val="вал_фарк_2"/>
      <sheetName val="бошка_манба_3"/>
      <sheetName val="РКЦ_Расход_4"/>
      <sheetName val="Шахар_влож"/>
      <sheetName val="ж_а_м_и"/>
      <sheetName val="Calculation amort and inter"/>
      <sheetName val="IMF Credit"/>
      <sheetName val="IPC1988"/>
      <sheetName val="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ж_а_м_и"/>
      <sheetName val="крат_хок_У"/>
      <sheetName val="январь_ойи"/>
      <sheetName val="Кред_турлари (2019)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A5" t="str">
            <v>ОПЕРАТИВНЫЕ СВЕДЕНИЯ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A5" t="str">
            <v>ОПЕРАТИВНЫЕ СВЕДЕНИЯ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A5" t="str">
            <v>ОПЕРАТИВНЫЕ СВЕДЕНИЯ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>
        <row r="5">
          <cell r="F5" t="str">
            <v>1 мая 2000 г.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  <sheetName val="баланс_1-30"/>
      <sheetName val="Analysis_of_Interest"/>
      <sheetName val="ж_а_м_и"/>
      <sheetName val="bop"/>
      <sheetName val="Дебет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ж а м и"/>
      <sheetName val="сана"/>
      <sheetName val="Лист1"/>
      <sheetName val="Лист2"/>
      <sheetName val="Лист3"/>
      <sheetName val="Лист1 (2)"/>
      <sheetName val="Tit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  <sheetName val="Агробанк"/>
      <sheetName val="Миллий"/>
      <sheetName val="Траст"/>
      <sheetName val="Инфин"/>
      <sheetName val="Хамкор"/>
      <sheetName val="Алока"/>
      <sheetName val="Халк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>
        <row r="1">
          <cell r="B1">
            <v>0</v>
          </cell>
        </row>
      </sheetData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ж а м и"/>
      <sheetName val="Tit"/>
      <sheetName val="Date"/>
      <sheetName val="Analysis of Interest"/>
      <sheetName val="22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Пахта"/>
      <sheetName val="Халк"/>
      <sheetName val="Савдогар"/>
      <sheetName val="Миллий"/>
      <sheetName val="ТКБ"/>
      <sheetName val="ПСБ"/>
      <sheetName val="пред"/>
      <sheetName val="кунлик"/>
      <sheetName val="ежед"/>
      <sheetName val="эмиссия"/>
      <sheetName val="ежедБ"/>
      <sheetName val="ежедБ1"/>
      <sheetName val="валюта"/>
      <sheetName val="вилоят"/>
      <sheetName val="Общий"/>
      <sheetName val="нараста"/>
      <sheetName val="Общий (2)"/>
      <sheetName val="#ССЫЛКА"/>
      <sheetName val="laroux"/>
      <sheetName val="1-5 кун"/>
      <sheetName val="1-5тас"/>
      <sheetName val="1-5ш-т"/>
      <sheetName val="2-5 кун"/>
      <sheetName val="2-5тас"/>
      <sheetName val="2-5ш-т"/>
      <sheetName val="3-5 кун"/>
      <sheetName val="3-5тас"/>
      <sheetName val="3-5ш-т"/>
      <sheetName val="4-5 кун"/>
      <sheetName val="4-5тас"/>
      <sheetName val="4-5ш-т"/>
      <sheetName val="5-5 кун"/>
      <sheetName val="5-5тас"/>
      <sheetName val="5-5ш-т"/>
      <sheetName val="жами кун"/>
      <sheetName val="жами тас"/>
      <sheetName val="жами ш-т"/>
      <sheetName val="30-cхчерно"/>
      <sheetName val="Режа"/>
      <sheetName val="Схема"/>
      <sheetName val="бух_журнали"/>
      <sheetName val="Накд пул прогноз"/>
      <sheetName val="Pensiya_butjet"/>
      <sheetName val="Проводка"/>
      <sheetName val="Tit"/>
      <sheetName val="Date"/>
      <sheetName val="коммунал"/>
      <sheetName val="ж а м и"/>
      <sheetName val="2221"/>
      <sheetName val="долл фунт йена(нараст)"/>
      <sheetName val="Нарх"/>
      <sheetName val="Пункт"/>
      <sheetName val="Analysis of Interest"/>
      <sheetName val="касса буюрнома 2013"/>
      <sheetName val="nevbaza"/>
      <sheetName val="база"/>
      <sheetName val="сана"/>
      <sheetName val="BAZ"/>
      <sheetName val="свод_таблица"/>
      <sheetName val="Терминал"/>
      <sheetName val="Table_сравн."/>
      <sheetName val="вил_сравнит"/>
      <sheetName val="0102bs"/>
      <sheetName val="кун28"/>
      <sheetName val="Фориш 2003"/>
      <sheetName val="Общий_(2)"/>
      <sheetName val="1-5_кун"/>
      <sheetName val="2-5_кун"/>
      <sheetName val="3-5_кун"/>
      <sheetName val="4-5_кун"/>
      <sheetName val="5-5_кун"/>
      <sheetName val="жами_кун"/>
      <sheetName val="жами_тас"/>
      <sheetName val="жами_ш-т"/>
      <sheetName val="Накд_пул_прогноз"/>
      <sheetName val="ж_а_м_и"/>
      <sheetName val="долл_фунт_йена(нараст)"/>
      <sheetName val="Analysis_of_Interest"/>
      <sheetName val="касса_буюрнома_2013"/>
      <sheetName val="#REF!"/>
      <sheetName val="Общий_(2)1"/>
      <sheetName val="1-5_кун1"/>
      <sheetName val="2-5_кун1"/>
      <sheetName val="3-5_кун1"/>
      <sheetName val="4-5_кун1"/>
      <sheetName val="5-5_кун1"/>
      <sheetName val="жами_кун1"/>
      <sheetName val="жами_тас1"/>
      <sheetName val="жами_ш-т1"/>
      <sheetName val="Накд_пул_прогноз1"/>
      <sheetName val="ж_а_м_и1"/>
      <sheetName val="долл_фунт_йена(нараст)1"/>
      <sheetName val="Analysis_of_Interest1"/>
      <sheetName val="касса_буюрнома_20131"/>
      <sheetName val="Table_сравн_"/>
      <sheetName val="Фориш_2003"/>
      <sheetName val="табли 4 местний совет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  <sheetName val="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Date"/>
      <sheetName val="ДЭУ_фарк_1"/>
      <sheetName val="вал_фарк_2"/>
      <sheetName val="бошка_манба_3"/>
      <sheetName val="РКЦ_Расход_4"/>
      <sheetName val="Шахар_влож"/>
      <sheetName val="ж_а_м_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хема - вил 2"/>
      <sheetName val="20.12.2011"/>
      <sheetName val="Analysis of Interest"/>
      <sheetName val="авто 1-1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">
          <cell r="A1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ЎЛОВ банк "/>
      <sheetName val="1-16 феврал тушум"/>
      <sheetName val="1-16 март "/>
      <sheetName val="Банк "/>
      <sheetName val="14"/>
      <sheetName val="Macro1"/>
    </sheetNames>
    <definedNames>
      <definedName name="oy" refersTo="#ССЫЛКА!"/>
    </definedNames>
    <sheetDataSet>
      <sheetData sheetId="0"/>
      <sheetData sheetId="1"/>
      <sheetData sheetId="2">
        <row r="3">
          <cell r="A3" t="str">
            <v>4-06-2015й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Зан-ть(р-ны)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Store"/>
      <sheetName val="выполнение"/>
      <sheetName val="Tit"/>
      <sheetName val="Date"/>
      <sheetName val="Тохирбек 2003-1"/>
      <sheetName val="максади"/>
      <sheetName val="банклар"/>
      <sheetName val="Худуд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19903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  <sheetName val="Guidance"/>
      <sheetName val="AeCO SPL"/>
      <sheetName val="IDA-tab7"/>
      <sheetName val="инф"/>
      <sheetName val="SUMMARY"/>
      <sheetName val="кол-во техн"/>
      <sheetName val="фориш_свод6"/>
      <sheetName val="Фориш_20036"/>
      <sheetName val="Жиззах_янги_раз6"/>
      <sheetName val="ж_а_м_и6"/>
      <sheetName val="Tosh_sh_жами_1жадвал_6"/>
      <sheetName val="Фао-т_т_коди6"/>
      <sheetName val="Пул_топ-к_коди_6"/>
      <sheetName val="Тиж-банккоди_6"/>
      <sheetName val="Хукукий_Макоми6"/>
      <sheetName val="МФО_Last6"/>
      <sheetName val="Тохирбек_2003-15"/>
      <sheetName val="экс_хар5"/>
      <sheetName val="Қолган-193_та_28_12_20184"/>
      <sheetName val="1_Ноябр_Тошкентга__(2)1"/>
      <sheetName val="параметр_(формуда)1"/>
      <sheetName val="к_смета1"/>
      <sheetName val="Муаммоли_кредитларни_ундирилиш1"/>
      <sheetName val="Кредит_сўндирилмаслиги_сабаби1"/>
      <sheetName val="Bank_Liabilities_Analysis1"/>
      <sheetName val="форма_№2а1"/>
      <sheetName val="Analysis_of_Interest2"/>
      <sheetName val="06_01_2014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б_6-и1"/>
      <sheetName val="План_пр-ва"/>
      <sheetName val="табл_чувств"/>
      <sheetName val="План_продаж"/>
      <sheetName val="f007502_18x"/>
      <sheetName val="Ж-8."/>
      <sheetName val="2-жадвал свод"/>
      <sheetName val="Таблица рассрочки"/>
      <sheetName val="Форма №2-2003"/>
      <sheetName val="структура"/>
      <sheetName val="дот"/>
      <sheetName val="tmp"/>
      <sheetName val="расчет1"/>
      <sheetName val="Prog. rost tarifov"/>
      <sheetName val="фориш_свод7"/>
      <sheetName val="Фориш_20037"/>
      <sheetName val="Жиззах_янги_раз7"/>
      <sheetName val="ж_а_м_и7"/>
      <sheetName val="Tosh_sh_жами_1жадвал_7"/>
      <sheetName val="Фао-т_т_коди7"/>
      <sheetName val="Пул_топ-к_коди_7"/>
      <sheetName val="Тиж-банккоди_7"/>
      <sheetName val="Хукукий_Макоми7"/>
      <sheetName val="МФО_Last7"/>
      <sheetName val="Тохирбек_2003-16"/>
      <sheetName val="экс_хар6"/>
      <sheetName val="Қолган-193_та_28_12_20185"/>
      <sheetName val="1_Ноябр_Тошкентга__(2)2"/>
      <sheetName val="параметр_(формуда)2"/>
      <sheetName val="к_смета2"/>
      <sheetName val="Муаммоли_кредитларни_ундирилиш2"/>
      <sheetName val="Кредит_сўндирилмаслиги_сабаби2"/>
      <sheetName val="Bank_Liabilities_Analysis2"/>
      <sheetName val="форма_№2а2"/>
      <sheetName val="б_6-и2"/>
      <sheetName val="Analysis_of_Interest3"/>
      <sheetName val="06_01_20143"/>
      <sheetName val="январь_ойи3"/>
      <sheetName val="Фин_пок3"/>
      <sheetName val="табли_4_местний_совет2"/>
      <sheetName val="1-илова_янги2"/>
      <sheetName val="свод_жами_1_ой_+2"/>
      <sheetName val="свод_жами2"/>
      <sheetName val="진행_data_(2)2"/>
      <sheetName val="Data_input2"/>
      <sheetName val="План_пр-ва_12"/>
      <sheetName val="План_продаж_12"/>
      <sheetName val="для_ГАКа2"/>
      <sheetName val="Calculation_of_Risk_Weighted_A2"/>
      <sheetName val="Bank_Assets_Analysis2"/>
      <sheetName val="Changes_in_Equity2"/>
      <sheetName val="План_пр-ва1"/>
      <sheetName val="табл_чувств1"/>
      <sheetName val="План_продаж1"/>
      <sheetName val="AeCO_SPL"/>
      <sheetName val="кол-во_техн"/>
      <sheetName val="Ж-8_"/>
      <sheetName val="2-жадвал_свод"/>
      <sheetName val="Таблица_рассрочки"/>
      <sheetName val="Форма_№2-2003"/>
      <sheetName val="баланс1"/>
      <sheetName val="零三"/>
      <sheetName val="매출DATA"/>
      <sheetName val="15,05,06йилга жами"/>
      <sheetName val="апрель кре.жами"/>
      <sheetName val="Гай пахта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15,05,06йилга_жами"/>
      <sheetName val="апрель_кре_жами"/>
      <sheetName val="Гай_пахта"/>
      <sheetName val="15,05,06йилга_жами1"/>
      <sheetName val="апрель_кре_жами1"/>
      <sheetName val="Гай_пахта1"/>
      <sheetName val="фев"/>
      <sheetName val="15,05,06йилга_жами2"/>
      <sheetName val="апрель_кре_жами2"/>
      <sheetName val="Гай_пахта2"/>
      <sheetName val="15,05,06йилга_жами3"/>
      <sheetName val="апрель_кре_жами3"/>
      <sheetName val="Гай_пахта3"/>
      <sheetName val="s"/>
      <sheetName val="режа"/>
      <sheetName val="15,05,06йилга_жами4"/>
      <sheetName val="апрель_кре_жами4"/>
      <sheetName val="Гай_пахта4"/>
      <sheetName val="Prog__rost_tarifov"/>
      <sheetName val="Ер Ресурс"/>
      <sheetName val="DNET"/>
      <sheetName val="15,05,06йилга_жами5"/>
      <sheetName val="апрель_кре_жами5"/>
      <sheetName val="Гай_пахта5"/>
      <sheetName val="Prog__rost_tarifov1"/>
      <sheetName val="Ер_Ресурс"/>
      <sheetName val="Прогноз"/>
      <sheetName val="МФО руйха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Twenty Largest"/>
      <sheetName val="CPIINDEX"/>
      <sheetName val="Номма ном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">
          <cell r="O4">
            <v>67.099999999999994</v>
          </cell>
        </row>
      </sheetData>
      <sheetData sheetId="28">
        <row r="4">
          <cell r="O4">
            <v>67.099999999999994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O4">
            <v>67.099999999999994</v>
          </cell>
        </row>
      </sheetData>
      <sheetData sheetId="209" refreshError="1"/>
      <sheetData sheetId="210">
        <row r="4">
          <cell r="O4">
            <v>67.099999999999994</v>
          </cell>
        </row>
      </sheetData>
      <sheetData sheetId="211" refreshError="1"/>
      <sheetData sheetId="212" refreshError="1"/>
      <sheetData sheetId="21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4">
          <cell r="O4">
            <v>67.099999999999994</v>
          </cell>
        </row>
      </sheetData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-БАЗА"/>
      <sheetName val="ДЕК-КИРИТ"/>
      <sheetName val="Раис Тулов"/>
      <sheetName val="РАИС тулов."/>
      <sheetName val="КМ тулов"/>
      <sheetName val="Пенсия"/>
      <sheetName val="декабрь"/>
      <sheetName val="январь"/>
      <sheetName val="ЧИКИМ"/>
      <sheetName val="тушум-тер"/>
      <sheetName val="ГРАФИК "/>
      <sheetName val="тушум-кунлик пр."/>
      <sheetName val="Асосий тулов"/>
      <sheetName val="пенсия График"/>
      <sheetName val="Почта."/>
      <sheetName val="Почта "/>
      <sheetName val="Солик ."/>
      <sheetName val="Прих-рас"/>
      <sheetName val="КМ тулов."/>
      <sheetName val="туш-нар"/>
      <sheetName val="1-туш"/>
      <sheetName val="Туш срав без тер"/>
      <sheetName val="тулов срав"/>
      <sheetName val="Срав Раис"/>
      <sheetName val="Қарздорлик ойма-ой"/>
      <sheetName val="Тушум срав"/>
      <sheetName val="талаб фарк"/>
      <sheetName val="АВГУСТ Ас тулов Мадад"/>
      <sheetName val="Август График пенсия"/>
      <sheetName val="туш-ойлик"/>
      <sheetName val="талаб нафака"/>
      <sheetName val="срав."/>
      <sheetName val="срав. (2)"/>
      <sheetName val="талаб буйича"/>
      <sheetName val="Талаб август"/>
      <sheetName val="Прогноз"/>
      <sheetName val="Тушум срав без терминал (2)"/>
      <sheetName val="Супер солиштирма"/>
      <sheetName val="Туш-ой"/>
      <sheetName val="комму"/>
      <sheetName val="коммун июл"/>
      <sheetName val="Август График бдт"/>
      <sheetName val="Пенсия (2)"/>
      <sheetName val="сана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фев"/>
      <sheetName val="максади"/>
      <sheetName val="Худуд"/>
      <sheetName val="ПАСТДАРГОМ (2)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Варианты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2 доход-вариант с формулой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ВВОД"/>
      <sheetName val="Data input"/>
      <sheetName val="План пр-ва_1"/>
      <sheetName val="План продаж_1"/>
      <sheetName val="Асосий майдон-уруглик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СМЕТА СМР"/>
      <sheetName val="Assumptions"/>
      <sheetName val="Sensitivity 3 Yrs"/>
      <sheetName val="Charge-offs and Recoveries"/>
      <sheetName val="табли 4 местний совет"/>
      <sheetName val="экс хар"/>
      <sheetName val="Максам-Чирчик"/>
      <sheetName val="выполнение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Мин.угит"/>
      <sheetName val="фин.пок"/>
      <sheetName val="база"/>
      <sheetName val="Массив"/>
      <sheetName val="Лист1 (2)"/>
      <sheetName val="уюшмага10,09 холатига"/>
      <sheetName val="баланс"/>
      <sheetName val="DNET"/>
      <sheetName val="Cвод-2"/>
      <sheetName val="Инвестка"/>
      <sheetName val="Источн финансир"/>
      <sheetName val="G1"/>
      <sheetName val="по фермер"/>
      <sheetName val="форма №2а"/>
      <sheetName val="Топливо-энергия"/>
      <sheetName val="16304"/>
      <sheetName val="j(priv.cap)"/>
      <sheetName val="Ж-8."/>
      <sheetName val="фориш_свод8"/>
      <sheetName val="Фориш_20038"/>
      <sheetName val="Жиззах_янги_раз8"/>
      <sheetName val="Тохирбек_2003-18"/>
      <sheetName val="МФО_руйхат8"/>
      <sheetName val="Ер_Ресурс8"/>
      <sheetName val="январь_ойи8"/>
      <sheetName val="Analysis_of_Interest8"/>
      <sheetName val="ПАСТДАРГОМ_(2)7"/>
      <sheetName val="PV6_3_5L_LX5_GMX1706"/>
      <sheetName val="21_шакл3"/>
      <sheetName val="2_доход-вариант_с_формулой2"/>
      <sheetName val="3-Илова_21"/>
      <sheetName val="кассак_бюджет1"/>
      <sheetName val="к_смета1"/>
      <sheetName val="Отряд__монит1"/>
      <sheetName val="진행_data_(2)1"/>
      <sheetName val="Nov5_Old,New1"/>
      <sheetName val="Асосий_майдон-уруглик1"/>
      <sheetName val="Data_input1"/>
      <sheetName val="План_пр-ва_11"/>
      <sheetName val="План_продаж_11"/>
      <sheetName val="стоимость_проекта1"/>
      <sheetName val="План_пр-ва1"/>
      <sheetName val="табл_чувств1"/>
      <sheetName val="План_продаж1"/>
      <sheetName val="Prog__rost_tarifov1"/>
      <sheetName val="Charge-offs_and_Recoveries1"/>
      <sheetName val="СМЕТА_СМР1"/>
      <sheetName val="Sensitivity_3_Yrs1"/>
      <sheetName val="табли_4_местний_совет1"/>
      <sheetName val="экс_хар1"/>
      <sheetName val="Мин_угит"/>
      <sheetName val="фин_пок"/>
      <sheetName val="Кушимчага ажратиш"/>
      <sheetName val="реестр декабрь"/>
      <sheetName val="Лист6"/>
      <sheetName val="пр"/>
      <sheetName val="для ГАКа"/>
      <sheetName val="калий"/>
      <sheetName val="транспортировка"/>
      <sheetName val="Бал"/>
      <sheetName val="for_tech"/>
      <sheetName val="исходные"/>
      <sheetName val="фориш_свод9"/>
      <sheetName val="Фориш_20039"/>
      <sheetName val="Жиззах_янги_раз9"/>
      <sheetName val="Тохирбек_2003-19"/>
      <sheetName val="Ер_Ресурс9"/>
      <sheetName val="МФО_руйхат9"/>
      <sheetName val="январь_ойи9"/>
      <sheetName val="Analysis_of_Interest9"/>
      <sheetName val="ПАСТДАРГОМ_(2)8"/>
      <sheetName val="PV6_3_5L_LX5_GMX1707"/>
      <sheetName val="21_шакл4"/>
      <sheetName val="к_смета2"/>
      <sheetName val="2_доход-вариант_с_формулой3"/>
      <sheetName val="3-Илова_22"/>
      <sheetName val="кассак_бюджет2"/>
      <sheetName val="진행_data_(2)2"/>
      <sheetName val="Nov5_Old,New2"/>
      <sheetName val="Отряд__монит2"/>
      <sheetName val="Data_input2"/>
      <sheetName val="План_пр-ва_12"/>
      <sheetName val="План_продаж_12"/>
      <sheetName val="Асосий_майдон-уруглик2"/>
      <sheetName val="стоимость_проекта2"/>
      <sheetName val="План_пр-ва2"/>
      <sheetName val="табл_чувств2"/>
      <sheetName val="План_продаж2"/>
      <sheetName val="СМЕТА_СМР2"/>
      <sheetName val="Prog__rost_tarifov2"/>
      <sheetName val="Sensitivity_3_Yrs2"/>
      <sheetName val="табли_4_местний_совет2"/>
      <sheetName val="Charge-offs_and_Recoveries2"/>
      <sheetName val="экс_хар2"/>
      <sheetName val="Мин_угит1"/>
      <sheetName val="фин_пок1"/>
      <sheetName val="Лист1_(2)"/>
      <sheetName val="уюшмага10,09_холатига"/>
      <sheetName val="Источн_финансир"/>
      <sheetName val="по_фермер"/>
      <sheetName val="форма_№2а"/>
      <sheetName val="j(priv_cap)"/>
      <sheetName val="Ж-8_"/>
      <sheetName val="Кушимчага_ажратиш"/>
      <sheetName val="реестр_декабрь"/>
      <sheetName val="для_ГАКа"/>
      <sheetName val="Платёжка"/>
      <sheetName val="Main"/>
      <sheetName val="Links"/>
      <sheetName val="ErrCheck"/>
      <sheetName val="14301"/>
      <sheetName val="Kurs"/>
      <sheetName val="капитал_расчет"/>
      <sheetName val="таблица рассрочки"/>
      <sheetName val="ж а м и"/>
      <sheetName val="Лист2"/>
      <sheetName val="KAT2344"/>
      <sheetName val="гай пахта"/>
      <sheetName val="sales"/>
      <sheetName val="фориш_свод10"/>
      <sheetName val="Фориш_200310"/>
      <sheetName val="Жиззах_янги_раз10"/>
      <sheetName val="Тохирбек_2003-110"/>
      <sheetName val="Ер_Ресурс10"/>
      <sheetName val="МФО_руйхат10"/>
      <sheetName val="январь_ойи10"/>
      <sheetName val="Analysis_of_Interest10"/>
      <sheetName val="ПАСТДАРГОМ_(2)9"/>
      <sheetName val="PV6_3_5L_LX5_GMX1708"/>
      <sheetName val="21_шакл5"/>
      <sheetName val="2_доход-вариант_с_формулой4"/>
      <sheetName val="3-Илова_23"/>
      <sheetName val="кассак_бюджет3"/>
      <sheetName val="к_смета3"/>
      <sheetName val="진행_data_(2)3"/>
      <sheetName val="Nov5_Old,New3"/>
      <sheetName val="Отряд__монит3"/>
      <sheetName val="Data_input3"/>
      <sheetName val="План_пр-ва_13"/>
      <sheetName val="План_продаж_13"/>
      <sheetName val="Асосий_майдон-уруглик3"/>
      <sheetName val="стоимость_проекта3"/>
      <sheetName val="План_пр-ва3"/>
      <sheetName val="табл_чувств3"/>
      <sheetName val="План_продаж3"/>
      <sheetName val="табли_4_местний_совет3"/>
      <sheetName val="СМЕТА_СМР3"/>
      <sheetName val="Prog__rost_tarifov3"/>
      <sheetName val="Sensitivity_3_Yrs3"/>
      <sheetName val="Charge-offs_and_Recoveries3"/>
      <sheetName val="экс_хар3"/>
      <sheetName val="Мин_угит2"/>
      <sheetName val="фин_пок2"/>
      <sheetName val="Лист1_(2)1"/>
      <sheetName val="уюшмага10,09_холатига1"/>
      <sheetName val="Источн_финансир1"/>
      <sheetName val="j(priv_cap)1"/>
      <sheetName val="по_фермер1"/>
      <sheetName val="форма_№2а1"/>
      <sheetName val="Ж-8_1"/>
      <sheetName val="Кушимчага_ажратиш1"/>
      <sheetName val="реестр_декабрь1"/>
      <sheetName val="для_ГАКа1"/>
      <sheetName val="дот"/>
      <sheetName val="Changes in Equity"/>
      <sheetName val="1 Ноябр Тошкентга  (2)"/>
      <sheetName val="мароканд"/>
      <sheetName val="VH45DE(仮)"/>
      <sheetName val="機能積上げ"/>
      <sheetName val="Hardware Detail"/>
      <sheetName val="テスト環境構築"/>
      <sheetName val="大同信号現調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ruyhat"/>
      <sheetName val="CPIINDEX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O4">
            <v>67.099999999999994</v>
          </cell>
        </row>
      </sheetData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 refreshError="1"/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>
        <row r="4">
          <cell r="O4">
            <v>67.099999999999994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>
        <row r="4">
          <cell r="O4">
            <v>67.099999999999994</v>
          </cell>
        </row>
      </sheetData>
      <sheetData sheetId="136" refreshError="1"/>
      <sheetData sheetId="137" refreshError="1"/>
      <sheetData sheetId="138" refreshError="1"/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>
        <row r="4">
          <cell r="O4">
            <v>67.099999999999994</v>
          </cell>
        </row>
      </sheetData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/>
      <sheetData sheetId="293"/>
      <sheetData sheetId="294"/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  <sheetName val="Лист4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  <sheetName val="ruyhat"/>
      <sheetName val="Muammo"/>
      <sheetName val="PERESM"/>
      <sheetName val="Sudebka"/>
      <sheetName val="Twenty Largest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Массив"/>
      <sheetName val="свод_СвС"/>
      <sheetName val="меъёр2"/>
      <sheetName val="c"/>
      <sheetName val="режа"/>
      <sheetName val="s"/>
      <sheetName val="Зан-ть(р-ны)"/>
      <sheetName val="Форма №2а"/>
      <sheetName val="Прогноз"/>
      <sheetName val="Мароканд"/>
      <sheetName val="DNET"/>
      <sheetName val="Results"/>
      <sheetName val="Macro1"/>
      <sheetName val="МФО руйхат"/>
      <sheetName val="фориш_свод"/>
      <sheetName val="Фориш_2003"/>
      <sheetName val="Жиззах_янги_раз"/>
      <sheetName val="Тохирбек_2003-1"/>
      <sheetName val="Форма_№2а"/>
      <sheetName val="МФО_руйхат"/>
      <sheetName val="Лист2"/>
      <sheetName val="оборот"/>
      <sheetName val="BAL"/>
      <sheetName val="фориш_свод1"/>
      <sheetName val="Фориш_20031"/>
      <sheetName val="Жиззах_янги_раз1"/>
      <sheetName val="Тохирбек_2003-11"/>
      <sheetName val="Форма_№2а1"/>
      <sheetName val="МФО_руйхат1"/>
      <sheetName val="фориш_свод2"/>
      <sheetName val="Фориш_20032"/>
      <sheetName val="Жиззах_янги_раз2"/>
      <sheetName val="Тохирбек_2003-12"/>
      <sheetName val="Форма_№2а2"/>
      <sheetName val="МФО_руйхат2"/>
      <sheetName val="21 шакл"/>
      <sheetName val="фориш_свод3"/>
      <sheetName val="Фориш_20033"/>
      <sheetName val="Жиззах_янги_раз3"/>
      <sheetName val="Тохирбек_2003-13"/>
      <sheetName val="Форма_№2а3"/>
      <sheetName val="МФО_руйхат3"/>
      <sheetName val="21_шакл"/>
      <sheetName val="фориш_свод4"/>
      <sheetName val="Фориш_20034"/>
      <sheetName val="Жиззах_янги_раз4"/>
      <sheetName val="Тохирбек_2003-14"/>
      <sheetName val="Форма_№2а4"/>
      <sheetName val="МФО_руйхат4"/>
      <sheetName val="21_шакл1"/>
      <sheetName val="кассак бюджет"/>
      <sheetName val="ࡳ"/>
      <sheetName val="физ.тон"/>
      <sheetName val="экс хар"/>
      <sheetName val="фориш_свод5"/>
      <sheetName val="Фориш_20035"/>
      <sheetName val="Жиззах_янги_раз5"/>
      <sheetName val="Тохирбек_2003-15"/>
      <sheetName val="Форма_№2а5"/>
      <sheetName val="МФО_руйхат5"/>
      <sheetName val="21_шакл2"/>
      <sheetName val="кассак_бюджет"/>
      <sheetName val="физ_тон"/>
      <sheetName val="ер ресурс"/>
      <sheetName val="#ССЫЛКА"/>
      <sheetName val="ГТК_Минфин_факт"/>
      <sheetName val="калий"/>
      <sheetName val="Отряд  монит"/>
      <sheetName val="Варианты"/>
      <sheetName val="PV6 3.5L LX5 GMX170"/>
      <sheetName val="$$"/>
      <sheetName val="для ГАКа"/>
      <sheetName val="курс"/>
      <sheetName val="параметр (формуда)"/>
      <sheetName val="sheet1"/>
      <sheetName val="свод"/>
      <sheetName val="ходим"/>
      <sheetName val="НОММА-НОМ"/>
      <sheetName val="Оглавление"/>
      <sheetName val="Nov5 Old,New"/>
      <sheetName val="эски"/>
      <sheetName val="янги"/>
      <sheetName val="Нарх"/>
      <sheetName val="Пункт"/>
      <sheetName val="000"/>
      <sheetName val="БД"/>
      <sheetName val="фориш_свод6"/>
      <sheetName val="Фориш_20036"/>
      <sheetName val="Жиззах_янги_раз6"/>
      <sheetName val="Тохирбек_2003-16"/>
      <sheetName val="Форма_№2а6"/>
      <sheetName val="МФО_руйхат6"/>
      <sheetName val="21_шакл3"/>
      <sheetName val="кассак_бюджет1"/>
      <sheetName val="физ_тон1"/>
      <sheetName val="экс_хар"/>
      <sheetName val="ер_ресурс"/>
      <sheetName val="Отряд__монит"/>
      <sheetName val="PV6_3_5L_LX5_GMX170"/>
      <sheetName val="для_ГАКа"/>
      <sheetName val="параметр_(формуда)"/>
      <sheetName val="Nov5_Old,New"/>
      <sheetName val="Prog. rost tarifov"/>
      <sheetName val="Максам-Чирчик"/>
      <sheetName val="б 6-и"/>
      <sheetName val="ЯнварБюджет"/>
      <sheetName val="Guidance"/>
      <sheetName val="Data input"/>
      <sheetName val="План пр-ва_1"/>
      <sheetName val="План продаж_1"/>
      <sheetName val="структура"/>
      <sheetName val="табли 4 местний совет"/>
      <sheetName val="tab17"/>
      <sheetName val="инф"/>
      <sheetName val="лой"/>
      <sheetName val="Харажатлар"/>
      <sheetName val="Топливо-энергия"/>
      <sheetName val="уюшмага10,09 холатига"/>
      <sheetName val="фориш_свод7"/>
      <sheetName val="Фориш_20037"/>
      <sheetName val="Жиззах_янги_раз7"/>
      <sheetName val="Тохирбек_2003-17"/>
      <sheetName val="Форма_№2а7"/>
      <sheetName val="МФО_руйхат7"/>
      <sheetName val="21_шакл4"/>
      <sheetName val="кассак_бюджет2"/>
      <sheetName val="физ_тон2"/>
      <sheetName val="экс_хар1"/>
      <sheetName val="ер_ресурс1"/>
      <sheetName val="Отряд__монит1"/>
      <sheetName val="PV6_3_5L_LX5_GMX1701"/>
      <sheetName val="для_ГАКа1"/>
      <sheetName val="параметр_(формуда)1"/>
      <sheetName val="Nov5_Old,New1"/>
      <sheetName val="Prog__rost_tarifov"/>
      <sheetName val="б_6-и"/>
      <sheetName val="Лист1 (2)"/>
      <sheetName val="выполнение"/>
      <sheetName val="Control"/>
      <sheetName val="фориш_свод8"/>
      <sheetName val="Фориш_20038"/>
      <sheetName val="Жиззах_янги_раз8"/>
      <sheetName val="Тохирбек_2003-18"/>
      <sheetName val="Форма_№2а8"/>
      <sheetName val="МФО_руйхат8"/>
      <sheetName val="21_шакл5"/>
      <sheetName val="кассак_бюджет3"/>
      <sheetName val="физ_тон3"/>
      <sheetName val="экс_хар2"/>
      <sheetName val="ер_ресурс2"/>
      <sheetName val="Отряд__монит2"/>
      <sheetName val="PV6_3_5L_LX5_GMX1702"/>
      <sheetName val="для_ГАКа2"/>
      <sheetName val="параметр_(формуда)2"/>
      <sheetName val="Nov5_Old,New2"/>
      <sheetName val="Prog__rost_tarifov1"/>
      <sheetName val="б_6-и1"/>
      <sheetName val="Data_input"/>
      <sheetName val="План_пр-ва_1"/>
      <sheetName val="План_продаж_1"/>
      <sheetName val="табли_4_местний_совет"/>
      <sheetName val="уюшмага10,09_холатига"/>
      <sheetName val="Лист1_(2)"/>
      <sheetName val="база"/>
      <sheetName val="14301-810 св 2 F"/>
      <sheetName val="tab 19"/>
      <sheetName val="фев"/>
      <sheetName val="2001 base"/>
      <sheetName val="год_утч"/>
      <sheetName val="мфо"/>
      <sheetName val="Мин.угит"/>
      <sheetName val="данные"/>
      <sheetName val="фориш_свод9"/>
      <sheetName val="Фориш_20039"/>
      <sheetName val="Жиззах_янги_раз9"/>
      <sheetName val="Тохирбек_2003-19"/>
      <sheetName val="Форма_№2а9"/>
      <sheetName val="МФО_руйхат9"/>
      <sheetName val="21_шакл6"/>
      <sheetName val="кассак_бюджет4"/>
      <sheetName val="физ_тон4"/>
      <sheetName val="экс_хар3"/>
      <sheetName val="ер_ресурс3"/>
      <sheetName val="Отряд__монит3"/>
      <sheetName val="PV6_3_5L_LX5_GMX1703"/>
      <sheetName val="для_ГАКа3"/>
      <sheetName val="параметр_(формуда)3"/>
      <sheetName val="Nov5_Old,New3"/>
      <sheetName val="б_6-и2"/>
      <sheetName val="Data_input1"/>
      <sheetName val="План_пр-ва_11"/>
      <sheetName val="План_продаж_11"/>
      <sheetName val="Prog__rost_tarifov2"/>
      <sheetName val="табли_4_местний_совет1"/>
      <sheetName val="уюшмага10,09_холатига1"/>
      <sheetName val="Лист1_(2)1"/>
      <sheetName val="14301-810_св_2_F"/>
      <sheetName val="tab_19"/>
      <sheetName val="реестр декабрь"/>
      <sheetName val="ПАСТДАРГОМ (2)"/>
      <sheetName val="MOTO"/>
      <sheetName val="BS2"/>
      <sheetName val="фин.пок"/>
      <sheetName val="уюшмага10,09_холатига7"/>
      <sheetName val="f007502_18X"/>
      <sheetName val="зайавка"/>
      <sheetName val="зайавка свод"/>
      <sheetName val="кредит"/>
      <sheetName val="кредит свод"/>
      <sheetName val="филиал режа"/>
      <sheetName val="Туман режа"/>
      <sheetName val="банк режа"/>
      <sheetName val="04,04"/>
      <sheetName val="зайавка свод (2)"/>
      <sheetName val="зайавка свод (3)"/>
      <sheetName val="кредит свод (2)"/>
      <sheetName val="корСчёт"/>
      <sheetName val="2975-28.04.2018"/>
      <sheetName val="Лист4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>
        <row r="4">
          <cell r="O4">
            <v>67.099999999999994</v>
          </cell>
        </row>
      </sheetData>
      <sheetData sheetId="32">
        <row r="4">
          <cell r="O4">
            <v>67.099999999999994</v>
          </cell>
        </row>
      </sheetData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/>
      <sheetData sheetId="47"/>
      <sheetData sheetId="48"/>
      <sheetData sheetId="49"/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/>
      <sheetData sheetId="54"/>
      <sheetData sheetId="55"/>
      <sheetData sheetId="56"/>
      <sheetData sheetId="57">
        <row r="4">
          <cell r="O4">
            <v>67.099999999999994</v>
          </cell>
        </row>
      </sheetData>
      <sheetData sheetId="58" refreshError="1"/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>
        <row r="4">
          <cell r="O4">
            <v>22</v>
          </cell>
        </row>
      </sheetData>
      <sheetData sheetId="83">
        <row r="4">
          <cell r="O4">
            <v>22</v>
          </cell>
        </row>
      </sheetData>
      <sheetData sheetId="84">
        <row r="4">
          <cell r="O4">
            <v>22</v>
          </cell>
        </row>
      </sheetData>
      <sheetData sheetId="85">
        <row r="4">
          <cell r="O4">
            <v>22</v>
          </cell>
        </row>
      </sheetData>
      <sheetData sheetId="86">
        <row r="4">
          <cell r="O4">
            <v>22</v>
          </cell>
        </row>
      </sheetData>
      <sheetData sheetId="87" refreshError="1"/>
      <sheetData sheetId="88">
        <row r="4">
          <cell r="O4">
            <v>22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4">
          <cell r="O4">
            <v>67.099999999999994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 refreshError="1"/>
      <sheetData sheetId="125" refreshError="1"/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 refreshError="1"/>
      <sheetData sheetId="145" refreshError="1"/>
      <sheetData sheetId="146" refreshError="1"/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/>
      <sheetData sheetId="190"/>
      <sheetData sheetId="191"/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Июн -5"/>
      <sheetName val="Июн-6"/>
      <sheetName val="Nars"/>
      <sheetName val="График-Янгиси"/>
      <sheetName val="Reja"/>
      <sheetName val="2 "/>
      <sheetName val="1"/>
      <sheetName val="033"/>
      <sheetName val="today narast "/>
      <sheetName val="январ-июн"/>
      <sheetName val="Январ-май"/>
      <sheetName val="2-чорак"/>
      <sheetName val="апрел-май"/>
      <sheetName val="Июн"/>
      <sheetName val="1312-06"/>
      <sheetName val="Naras.T"/>
      <sheetName val="04.06"/>
      <sheetName val="10.06"/>
      <sheetName val="15.06"/>
      <sheetName val="18.06"/>
      <sheetName val="25.06"/>
      <sheetName val="2221"/>
      <sheetName val="Фориш 2003"/>
      <sheetName val="сана"/>
      <sheetName val="МФО"/>
      <sheetName val="Июн_-5"/>
      <sheetName val="2_"/>
      <sheetName val="today_narast_"/>
      <sheetName val="Naras_T"/>
      <sheetName val="04_06"/>
      <sheetName val="10_06"/>
      <sheetName val="15_06"/>
      <sheetName val="18_06"/>
      <sheetName val="25_06"/>
      <sheetName val="оборот"/>
    </sheetNames>
    <definedNames>
      <definedName name="Макрос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  <sheetName val="ммм"/>
      <sheetName val="gc-spcr_mefp1986(fuente)"/>
      <sheetName val="PROMEDIO"/>
      <sheetName val="Date"/>
      <sheetName val="Tit"/>
      <sheetName val="Banks"/>
      <sheetName val="экс хар"/>
      <sheetName val="лист1"/>
      <sheetName val="исходные"/>
      <sheetName val="руйхат"/>
      <sheetName val="Sensitivity 3 Yrs"/>
      <sheetName val="Guidance"/>
      <sheetName val="Цеховые"/>
      <sheetName val="Мароканд"/>
      <sheetName val="БД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ХЮС"/>
      <sheetName val="RA_235"/>
      <sheetName val="№2б"/>
      <sheetName val="ЭЛ"/>
      <sheetName val="фориш_свод"/>
      <sheetName val="Фориш_2003"/>
      <sheetName val="Жиззах_янги_раз"/>
      <sheetName val="уюшмага10,09_холатига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Т19"/>
      <sheetName val="Уюшмага 2-Ф"/>
      <sheetName val="Жами свод"/>
      <sheetName val="Уюшмага Форма-2"/>
      <sheetName val="Уюшмага Ж10,09"/>
      <sheetName val="Дефектная ведомость"/>
      <sheetName val="режа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ер ресурс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К.смета"/>
      <sheetName val="63- протокол (4)"/>
      <sheetName val="11 жадвал"/>
      <sheetName val="10 жадвал"/>
      <sheetName val="Пр1э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c"/>
      <sheetName val="KAT2344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экс_хар"/>
      <sheetName val="данные"/>
      <sheetName val="сталь по годам"/>
      <sheetName val="транспортировка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11_жадвал2"/>
      <sheetName val="10_жадвал2"/>
      <sheetName val="63-_протокол_(4)5"/>
      <sheetName val="экс_хар1"/>
      <sheetName val="сталь_по_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К_смета4"/>
      <sheetName val="Жад_304"/>
      <sheetName val="ер_ресурс4"/>
      <sheetName val="63-_протокол_(4)4"/>
      <sheetName val="МФО руйхат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#ССЫЛКА"/>
      <sheetName val="Нокон хол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Prog. rost tarifov"/>
      <sheetName val="Курс"/>
      <sheetName val="Топливо-энергия"/>
      <sheetName val="f007502_18X"/>
      <sheetName val="Finplan"/>
      <sheetName val="Pr cost"/>
      <sheetName val="203 квп"/>
      <sheetName val="Облсэс"/>
      <sheetName val="лой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193 свод"/>
      <sheetName val="5 жадвал"/>
      <sheetName val="табли 4 местний совет"/>
      <sheetName val="физ.тон"/>
      <sheetName val="Date"/>
      <sheetName val="63-_протокол_(4)䀀"/>
      <sheetName val="муд форм"/>
      <sheetName val="граф форм"/>
      <sheetName val="адресная часть"/>
      <sheetName val="БД"/>
      <sheetName val="по фермер"/>
      <sheetName val="По районам"/>
      <sheetName val="Йигилишга"/>
      <sheetName val="ОКДАРЁ (3)"/>
      <sheetName val="13.1.Издержки"/>
      <sheetName val="табл чувств"/>
      <sheetName val="План пр-ва"/>
      <sheetName val="er96"/>
      <sheetName val="CPIINDEX"/>
      <sheetName val="План продаж"/>
      <sheetName val="ж а м и"/>
      <sheetName val="Дебет"/>
      <sheetName val="tab17"/>
      <sheetName val="Q2"/>
      <sheetName val="NA6502"/>
      <sheetName val="фориш_свод22"/>
      <sheetName val="Фориш_200322"/>
      <sheetName val="Жиззах_янги_раз22"/>
      <sheetName val="уюшмага10,09_холатига22"/>
      <sheetName val="Гай_пахта21"/>
      <sheetName val="Параметр_(ФОРМУДА)21"/>
      <sheetName val="Асосий_майдон-уруглик21"/>
      <sheetName val="Лист1_(2)21"/>
      <sheetName val="_ОблУНО19"/>
      <sheetName val="_ОблУНО_(1)19"/>
      <sheetName val="ПТО_19"/>
      <sheetName val="Урганч_Муз19"/>
      <sheetName val="банк_табл19"/>
      <sheetName val="Уюшмага_2-Ф18"/>
      <sheetName val="Жами_свод18"/>
      <sheetName val="Уюшмага_Форма-218"/>
      <sheetName val="Уюшмага_Ж10,0918"/>
      <sheetName val="Дефектная_ведомость18"/>
      <sheetName val="Жад_3018"/>
      <sheetName val="К_смета18"/>
      <sheetName val="ер_ресурс16"/>
      <sheetName val="63-_протокол_(4)16"/>
      <sheetName val="11_жадвал13"/>
      <sheetName val="10_жадвал13"/>
      <sheetName val="экс_хар8"/>
      <sheetName val="сталь_по_годам7"/>
      <sheetName val="МФО_руйхат2"/>
      <sheetName val="Нокон_хол2"/>
      <sheetName val="Тохирбек_2003-12"/>
      <sheetName val="анализ_чувст2"/>
      <sheetName val="2_доход-вариант_с_формулой1"/>
      <sheetName val="ДСБ_СВОД1"/>
      <sheetName val="ТУМАН_СВОД1"/>
      <sheetName val="Свод_солиштирма1"/>
      <sheetName val="номма-ном_ишлашга1"/>
      <sheetName val="Маълумотнома_свод1"/>
      <sheetName val="Номма-ном_(нотижорат)1"/>
      <sheetName val="Рабочая_таблица1"/>
      <sheetName val="Prog__rost_tarifov1"/>
      <sheetName val="Pr_cost1"/>
      <sheetName val="203_квп"/>
      <sheetName val="План_пр-ва_1"/>
      <sheetName val="Data_input"/>
      <sheetName val="для_ГАКа"/>
      <sheetName val="193_свод"/>
      <sheetName val="Олт"/>
      <sheetName val="Форма №2а"/>
      <sheetName val="калий"/>
      <sheetName val="фориш_свод23"/>
      <sheetName val="Фориш_200323"/>
      <sheetName val="Жиззах_янги_раз23"/>
      <sheetName val="уюшмага10,09_холатига23"/>
      <sheetName val="Гай_пахта22"/>
      <sheetName val="Параметр_(ФОРМУДА)22"/>
      <sheetName val="Асосий_майдон-уруглик22"/>
      <sheetName val="Лист1_(2)22"/>
      <sheetName val="_ОблУНО20"/>
      <sheetName val="_ОблУНО_(1)20"/>
      <sheetName val="ПТО_20"/>
      <sheetName val="Урганч_Муз20"/>
      <sheetName val="банк_табл20"/>
      <sheetName val="Дефектная_ведомость19"/>
      <sheetName val="Уюшмага_2-Ф19"/>
      <sheetName val="Жами_свод19"/>
      <sheetName val="Уюшмага_Форма-219"/>
      <sheetName val="Уюшмага_Ж10,0919"/>
      <sheetName val="Жад_3019"/>
      <sheetName val="К_смета19"/>
      <sheetName val="ер_ресурс17"/>
      <sheetName val="11_жадвал14"/>
      <sheetName val="10_жадвал14"/>
      <sheetName val="63-_протокол_(4)17"/>
      <sheetName val="экс_хар9"/>
      <sheetName val="сталь_по_годам8"/>
      <sheetName val="МФО_руйхат3"/>
      <sheetName val="Тохирбек_2003-13"/>
      <sheetName val="анализ_чувст3"/>
      <sheetName val="Нокон_хол3"/>
      <sheetName val="2_доход-вариант_с_формулой2"/>
      <sheetName val="ДСБ_СВОД2"/>
      <sheetName val="ТУМАН_СВОД2"/>
      <sheetName val="Свод_солиштирма2"/>
      <sheetName val="номма-ном_ишлашга2"/>
      <sheetName val="Маълумотнома_свод2"/>
      <sheetName val="Номма-ном_(нотижорат)2"/>
      <sheetName val="Рабочая_таблица2"/>
      <sheetName val="Prog__rost_tarifov2"/>
      <sheetName val="Pr_cost2"/>
      <sheetName val="203_квп1"/>
      <sheetName val="План_пр-ва_11"/>
      <sheetName val="Data_input1"/>
      <sheetName val="для_ГАКа1"/>
      <sheetName val="5_жадвал"/>
      <sheetName val="193_свод1"/>
      <sheetName val="табли_4_местний_совет"/>
      <sheetName val="Затраты_цехов"/>
      <sheetName val="План_элек_энер_за_2004_год_"/>
      <sheetName val="амортизация_за_2004_год"/>
      <sheetName val="итого_содержание_ОС"/>
      <sheetName val="физ_тон"/>
      <sheetName val="муд_форм"/>
      <sheetName val="граф_форм"/>
      <sheetName val="По_районам"/>
      <sheetName val="адресная_часть"/>
      <sheetName val="по_фермер"/>
      <sheetName val="13_1_Издержки"/>
      <sheetName val="табл_чувств"/>
      <sheetName val="ОКДАРЁ_(3)"/>
      <sheetName val="План_пр-ва"/>
      <sheetName val="План_продаж"/>
      <sheetName val="ж_а_м_и"/>
      <sheetName val="Форма_№2а"/>
      <sheetName val="мфо"/>
      <sheetName val="nalog"/>
      <sheetName val="진행 data (2)"/>
      <sheetName val="Реестр"/>
      <sheetName val="рес. вед."/>
      <sheetName val="16304"/>
      <sheetName val="DNET"/>
      <sheetName val="сана"/>
      <sheetName val="1-илова, ном-ном"/>
      <sheetName val="исходные"/>
      <sheetName val="фориш_свод24"/>
      <sheetName val="Фориш_200324"/>
      <sheetName val="Жиззах_янги_раз24"/>
      <sheetName val="уюшмага10,09_холатига24"/>
      <sheetName val="Гай_пахта23"/>
      <sheetName val="Параметр_(ФОРМУДА)23"/>
      <sheetName val="Асосий_майдон-уруглик23"/>
      <sheetName val="Лист1_(2)23"/>
      <sheetName val="Дефектная_ведомость20"/>
      <sheetName val="_ОблУНО21"/>
      <sheetName val="_ОблУНО_(1)21"/>
      <sheetName val="ПТО_21"/>
      <sheetName val="Урганч_Муз21"/>
      <sheetName val="банк_табл21"/>
      <sheetName val="Уюшмага_2-Ф20"/>
      <sheetName val="Жами_свод20"/>
      <sheetName val="Уюшмага_Форма-220"/>
      <sheetName val="Уюшмага_Ж10,0920"/>
      <sheetName val="Жад_3020"/>
      <sheetName val="ер_ресурс18"/>
      <sheetName val="К_смета20"/>
      <sheetName val="11_жадвал15"/>
      <sheetName val="10_жадвал15"/>
      <sheetName val="63-_протокол_(4)18"/>
      <sheetName val="экс_хар10"/>
      <sheetName val="сталь_по_годам9"/>
      <sheetName val="МФО_руйхат4"/>
      <sheetName val="Нокон_хол4"/>
      <sheetName val="Тохирбек_2003-14"/>
      <sheetName val="анализ_чувст4"/>
      <sheetName val="2_доход-вариант_с_формулой3"/>
      <sheetName val="ДСБ_СВОД3"/>
      <sheetName val="ТУМАН_СВОД3"/>
      <sheetName val="Свод_солиштирма3"/>
      <sheetName val="номма-ном_ишлашга3"/>
      <sheetName val="Маълумотнома_свод3"/>
      <sheetName val="Номма-ном_(нотижорат)3"/>
      <sheetName val="Рабочая_таблица3"/>
      <sheetName val="Prog__rost_tarifov3"/>
      <sheetName val="Pr_cost3"/>
      <sheetName val="203_квп2"/>
      <sheetName val="План_пр-ва_12"/>
      <sheetName val="Data_input2"/>
      <sheetName val="для_ГАКа2"/>
      <sheetName val="табли_4_местний_совет1"/>
      <sheetName val="193_свод2"/>
      <sheetName val="5_жадвал1"/>
      <sheetName val="Затраты_цехов1"/>
      <sheetName val="План_элек_энер_за_2004_год_1"/>
      <sheetName val="амортизация_за_2004_год1"/>
      <sheetName val="итого_содержание_ОС1"/>
      <sheetName val="физ_тон1"/>
      <sheetName val="13_1_Издержки1"/>
      <sheetName val="табл_чувств1"/>
      <sheetName val="адресная_часть1"/>
      <sheetName val="по_фермер1"/>
      <sheetName val="По_районам1"/>
      <sheetName val="муд_форм1"/>
      <sheetName val="граф_форм1"/>
      <sheetName val="План_пр-ва1"/>
      <sheetName val="План_продаж1"/>
      <sheetName val="ж_а_м_и1"/>
      <sheetName val="ОКДАРЁ_(3)1"/>
      <sheetName val="Форма_№2а1"/>
      <sheetName val="진행_data_(2)"/>
      <sheetName val=""/>
      <sheetName val="HCCE01"/>
      <sheetName val="0"/>
      <sheetName val="Info"/>
      <sheetName val="рабочая"/>
      <sheetName val="прибыль и ДКЗ"/>
      <sheetName val="Справка"/>
      <sheetName val="Налоги"/>
      <sheetName val="Oglavlenie"/>
      <sheetName val="Base-новая"/>
      <sheetName val="прибыль_и_ДКЗ"/>
      <sheetName val="3"/>
      <sheetName val="PV6 3.5L LX5 GMX170"/>
      <sheetName val="Р з.п"/>
      <sheetName val="прибыль_и_ДКЗ1"/>
      <sheetName val="PV6_3_5L_LX5_GMX170"/>
      <sheetName val="Р_з_п"/>
      <sheetName val="коэф роста"/>
      <sheetName val="кассак бюдже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>
        <row r="4">
          <cell r="O4">
            <v>67.099999999999994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 refreshError="1"/>
      <sheetData sheetId="73" refreshError="1"/>
      <sheetData sheetId="74">
        <row r="4">
          <cell r="O4">
            <v>67.099999999999994</v>
          </cell>
        </row>
      </sheetData>
      <sheetData sheetId="75">
        <row r="4">
          <cell r="O4">
            <v>67.099999999999994</v>
          </cell>
        </row>
      </sheetData>
      <sheetData sheetId="76">
        <row r="4">
          <cell r="O4">
            <v>67.099999999999994</v>
          </cell>
        </row>
      </sheetData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>
        <row r="4">
          <cell r="O4">
            <v>67.099999999999994</v>
          </cell>
        </row>
      </sheetData>
      <sheetData sheetId="176">
        <row r="4">
          <cell r="O4">
            <v>67.099999999999994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>
        <row r="4">
          <cell r="O4">
            <v>67.099999999999994</v>
          </cell>
        </row>
      </sheetData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 refreshError="1"/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>
        <row r="4">
          <cell r="O4">
            <v>67.099999999999994</v>
          </cell>
        </row>
      </sheetData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 refreshError="1"/>
      <sheetData sheetId="474" refreshError="1"/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>
        <row r="4">
          <cell r="O4">
            <v>67.099999999999994</v>
          </cell>
        </row>
      </sheetData>
      <sheetData sheetId="480">
        <row r="4">
          <cell r="O4">
            <v>67.099999999999994</v>
          </cell>
        </row>
      </sheetData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>
        <row r="4">
          <cell r="O4">
            <v>67.099999999999994</v>
          </cell>
        </row>
      </sheetData>
      <sheetData sheetId="501">
        <row r="4">
          <cell r="O4">
            <v>67.099999999999994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4">
          <cell r="O4">
            <v>67.099999999999994</v>
          </cell>
        </row>
      </sheetData>
      <sheetData sheetId="552">
        <row r="4">
          <cell r="O4">
            <v>67.099999999999994</v>
          </cell>
        </row>
      </sheetData>
      <sheetData sheetId="553">
        <row r="4">
          <cell r="O4">
            <v>67.099999999999994</v>
          </cell>
        </row>
      </sheetData>
      <sheetData sheetId="554">
        <row r="4">
          <cell r="O4">
            <v>67.099999999999994</v>
          </cell>
        </row>
      </sheetData>
      <sheetData sheetId="555">
        <row r="4">
          <cell r="O4">
            <v>67.099999999999994</v>
          </cell>
        </row>
      </sheetData>
      <sheetData sheetId="556">
        <row r="4">
          <cell r="O4">
            <v>67.099999999999994</v>
          </cell>
        </row>
      </sheetData>
      <sheetData sheetId="557">
        <row r="4">
          <cell r="O4">
            <v>67.099999999999994</v>
          </cell>
        </row>
      </sheetData>
      <sheetData sheetId="558">
        <row r="4">
          <cell r="O4">
            <v>67.099999999999994</v>
          </cell>
        </row>
      </sheetData>
      <sheetData sheetId="559">
        <row r="4">
          <cell r="O4">
            <v>67.099999999999994</v>
          </cell>
        </row>
      </sheetData>
      <sheetData sheetId="560">
        <row r="4">
          <cell r="O4">
            <v>67.099999999999994</v>
          </cell>
        </row>
      </sheetData>
      <sheetData sheetId="561">
        <row r="4">
          <cell r="O4">
            <v>67.099999999999994</v>
          </cell>
        </row>
      </sheetData>
      <sheetData sheetId="562">
        <row r="4">
          <cell r="O4">
            <v>67.099999999999994</v>
          </cell>
        </row>
      </sheetData>
      <sheetData sheetId="563">
        <row r="4">
          <cell r="O4">
            <v>67.099999999999994</v>
          </cell>
        </row>
      </sheetData>
      <sheetData sheetId="564">
        <row r="4">
          <cell r="O4">
            <v>67.099999999999994</v>
          </cell>
        </row>
      </sheetData>
      <sheetData sheetId="565">
        <row r="4">
          <cell r="O4">
            <v>67.099999999999994</v>
          </cell>
        </row>
      </sheetData>
      <sheetData sheetId="566">
        <row r="4">
          <cell r="O4">
            <v>67.099999999999994</v>
          </cell>
        </row>
      </sheetData>
      <sheetData sheetId="567">
        <row r="4">
          <cell r="O4">
            <v>67.099999999999994</v>
          </cell>
        </row>
      </sheetData>
      <sheetData sheetId="568">
        <row r="4">
          <cell r="O4">
            <v>67.099999999999994</v>
          </cell>
        </row>
      </sheetData>
      <sheetData sheetId="569">
        <row r="4">
          <cell r="O4">
            <v>67.099999999999994</v>
          </cell>
        </row>
      </sheetData>
      <sheetData sheetId="570">
        <row r="4">
          <cell r="O4">
            <v>67.099999999999994</v>
          </cell>
        </row>
      </sheetData>
      <sheetData sheetId="571">
        <row r="4">
          <cell r="O4">
            <v>67.099999999999994</v>
          </cell>
        </row>
      </sheetData>
      <sheetData sheetId="572">
        <row r="4">
          <cell r="O4">
            <v>67.099999999999994</v>
          </cell>
        </row>
      </sheetData>
      <sheetData sheetId="573">
        <row r="4">
          <cell r="O4">
            <v>67.099999999999994</v>
          </cell>
        </row>
      </sheetData>
      <sheetData sheetId="574">
        <row r="4">
          <cell r="O4">
            <v>67.099999999999994</v>
          </cell>
        </row>
      </sheetData>
      <sheetData sheetId="575">
        <row r="4">
          <cell r="O4">
            <v>67.099999999999994</v>
          </cell>
        </row>
      </sheetData>
      <sheetData sheetId="576">
        <row r="4">
          <cell r="O4">
            <v>67.099999999999994</v>
          </cell>
        </row>
      </sheetData>
      <sheetData sheetId="577">
        <row r="4">
          <cell r="O4">
            <v>67.099999999999994</v>
          </cell>
        </row>
      </sheetData>
      <sheetData sheetId="578">
        <row r="4">
          <cell r="O4">
            <v>67.099999999999994</v>
          </cell>
        </row>
      </sheetData>
      <sheetData sheetId="579">
        <row r="4">
          <cell r="O4">
            <v>0</v>
          </cell>
        </row>
      </sheetData>
      <sheetData sheetId="580">
        <row r="4">
          <cell r="O4">
            <v>67.099999999999994</v>
          </cell>
        </row>
      </sheetData>
      <sheetData sheetId="581">
        <row r="4">
          <cell r="O4">
            <v>0</v>
          </cell>
        </row>
      </sheetData>
      <sheetData sheetId="582">
        <row r="4">
          <cell r="O4">
            <v>67.099999999999994</v>
          </cell>
        </row>
      </sheetData>
      <sheetData sheetId="583">
        <row r="4">
          <cell r="O4">
            <v>0</v>
          </cell>
        </row>
      </sheetData>
      <sheetData sheetId="584">
        <row r="4">
          <cell r="O4">
            <v>67.099999999999994</v>
          </cell>
        </row>
      </sheetData>
      <sheetData sheetId="585">
        <row r="4">
          <cell r="O4">
            <v>67.099999999999994</v>
          </cell>
        </row>
      </sheetData>
      <sheetData sheetId="586">
        <row r="4">
          <cell r="O4">
            <v>67.099999999999994</v>
          </cell>
        </row>
      </sheetData>
      <sheetData sheetId="587">
        <row r="4">
          <cell r="O4">
            <v>67.099999999999994</v>
          </cell>
        </row>
      </sheetData>
      <sheetData sheetId="588">
        <row r="4">
          <cell r="O4">
            <v>67.099999999999994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>
        <row r="4">
          <cell r="O4">
            <v>67.099999999999994</v>
          </cell>
        </row>
      </sheetData>
      <sheetData sheetId="609" refreshError="1"/>
      <sheetData sheetId="610" refreshError="1"/>
      <sheetData sheetId="611" refreshError="1"/>
      <sheetData sheetId="612">
        <row r="4">
          <cell r="O4">
            <v>67.099999999999994</v>
          </cell>
        </row>
      </sheetData>
      <sheetData sheetId="613" refreshError="1"/>
      <sheetData sheetId="614" refreshError="1"/>
      <sheetData sheetId="615">
        <row r="4">
          <cell r="O4">
            <v>67.099999999999994</v>
          </cell>
        </row>
      </sheetData>
      <sheetData sheetId="616" refreshError="1"/>
      <sheetData sheetId="617">
        <row r="4">
          <cell r="O4">
            <v>67.099999999999994</v>
          </cell>
        </row>
      </sheetData>
      <sheetData sheetId="618">
        <row r="4">
          <cell r="O4">
            <v>67.099999999999994</v>
          </cell>
        </row>
      </sheetData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4">
          <cell r="O4">
            <v>67.099999999999994</v>
          </cell>
        </row>
      </sheetData>
      <sheetData sheetId="629">
        <row r="4">
          <cell r="O4">
            <v>67.099999999999994</v>
          </cell>
        </row>
      </sheetData>
      <sheetData sheetId="630">
        <row r="4">
          <cell r="O4">
            <v>67.099999999999994</v>
          </cell>
        </row>
      </sheetData>
      <sheetData sheetId="631">
        <row r="4">
          <cell r="O4">
            <v>67.099999999999994</v>
          </cell>
        </row>
      </sheetData>
      <sheetData sheetId="632">
        <row r="4">
          <cell r="O4">
            <v>67.099999999999994</v>
          </cell>
        </row>
      </sheetData>
      <sheetData sheetId="633">
        <row r="4">
          <cell r="O4">
            <v>67.099999999999994</v>
          </cell>
        </row>
      </sheetData>
      <sheetData sheetId="634">
        <row r="4">
          <cell r="O4">
            <v>67.099999999999994</v>
          </cell>
        </row>
      </sheetData>
      <sheetData sheetId="635">
        <row r="4">
          <cell r="O4">
            <v>67.099999999999994</v>
          </cell>
        </row>
      </sheetData>
      <sheetData sheetId="636">
        <row r="4">
          <cell r="O4">
            <v>67.099999999999994</v>
          </cell>
        </row>
      </sheetData>
      <sheetData sheetId="637">
        <row r="4">
          <cell r="O4">
            <v>67.099999999999994</v>
          </cell>
        </row>
      </sheetData>
      <sheetData sheetId="638">
        <row r="4">
          <cell r="O4">
            <v>67.099999999999994</v>
          </cell>
        </row>
      </sheetData>
      <sheetData sheetId="639">
        <row r="4">
          <cell r="O4">
            <v>67.099999999999994</v>
          </cell>
        </row>
      </sheetData>
      <sheetData sheetId="640">
        <row r="4">
          <cell r="O4">
            <v>67.099999999999994</v>
          </cell>
        </row>
      </sheetData>
      <sheetData sheetId="641">
        <row r="4">
          <cell r="O4">
            <v>67.099999999999994</v>
          </cell>
        </row>
      </sheetData>
      <sheetData sheetId="642">
        <row r="4">
          <cell r="O4">
            <v>67.099999999999994</v>
          </cell>
        </row>
      </sheetData>
      <sheetData sheetId="643">
        <row r="4">
          <cell r="O4">
            <v>67.099999999999994</v>
          </cell>
        </row>
      </sheetData>
      <sheetData sheetId="644">
        <row r="4">
          <cell r="O4">
            <v>67.099999999999994</v>
          </cell>
        </row>
      </sheetData>
      <sheetData sheetId="645">
        <row r="4">
          <cell r="O4">
            <v>67.099999999999994</v>
          </cell>
        </row>
      </sheetData>
      <sheetData sheetId="646">
        <row r="4">
          <cell r="O4">
            <v>67.099999999999994</v>
          </cell>
        </row>
      </sheetData>
      <sheetData sheetId="647">
        <row r="4">
          <cell r="O4">
            <v>67.099999999999994</v>
          </cell>
        </row>
      </sheetData>
      <sheetData sheetId="648">
        <row r="4">
          <cell r="O4">
            <v>67.099999999999994</v>
          </cell>
        </row>
      </sheetData>
      <sheetData sheetId="649">
        <row r="4">
          <cell r="O4">
            <v>67.099999999999994</v>
          </cell>
        </row>
      </sheetData>
      <sheetData sheetId="650">
        <row r="4">
          <cell r="O4">
            <v>67.099999999999994</v>
          </cell>
        </row>
      </sheetData>
      <sheetData sheetId="651">
        <row r="4">
          <cell r="O4">
            <v>67.099999999999994</v>
          </cell>
        </row>
      </sheetData>
      <sheetData sheetId="652">
        <row r="4">
          <cell r="O4">
            <v>67.099999999999994</v>
          </cell>
        </row>
      </sheetData>
      <sheetData sheetId="653">
        <row r="4">
          <cell r="O4">
            <v>67.099999999999994</v>
          </cell>
        </row>
      </sheetData>
      <sheetData sheetId="654">
        <row r="4">
          <cell r="O4">
            <v>67.099999999999994</v>
          </cell>
        </row>
      </sheetData>
      <sheetData sheetId="655">
        <row r="4">
          <cell r="O4">
            <v>67.099999999999994</v>
          </cell>
        </row>
      </sheetData>
      <sheetData sheetId="656">
        <row r="4">
          <cell r="O4">
            <v>67.099999999999994</v>
          </cell>
        </row>
      </sheetData>
      <sheetData sheetId="657">
        <row r="4">
          <cell r="O4">
            <v>67.099999999999994</v>
          </cell>
        </row>
      </sheetData>
      <sheetData sheetId="658">
        <row r="4">
          <cell r="O4">
            <v>67.099999999999994</v>
          </cell>
        </row>
      </sheetData>
      <sheetData sheetId="659">
        <row r="4">
          <cell r="O4">
            <v>67.099999999999994</v>
          </cell>
        </row>
      </sheetData>
      <sheetData sheetId="660">
        <row r="4">
          <cell r="O4">
            <v>0</v>
          </cell>
        </row>
      </sheetData>
      <sheetData sheetId="661">
        <row r="4">
          <cell r="O4">
            <v>67.099999999999994</v>
          </cell>
        </row>
      </sheetData>
      <sheetData sheetId="662">
        <row r="4">
          <cell r="O4">
            <v>67.099999999999994</v>
          </cell>
        </row>
      </sheetData>
      <sheetData sheetId="663">
        <row r="4">
          <cell r="O4">
            <v>67.099999999999994</v>
          </cell>
        </row>
      </sheetData>
      <sheetData sheetId="664">
        <row r="4">
          <cell r="O4">
            <v>67.099999999999994</v>
          </cell>
        </row>
      </sheetData>
      <sheetData sheetId="665">
        <row r="4">
          <cell r="O4">
            <v>67.099999999999994</v>
          </cell>
        </row>
      </sheetData>
      <sheetData sheetId="666">
        <row r="4">
          <cell r="O4">
            <v>67.099999999999994</v>
          </cell>
        </row>
      </sheetData>
      <sheetData sheetId="667">
        <row r="4">
          <cell r="O4">
            <v>67.099999999999994</v>
          </cell>
        </row>
      </sheetData>
      <sheetData sheetId="668">
        <row r="4">
          <cell r="O4">
            <v>67.099999999999994</v>
          </cell>
        </row>
      </sheetData>
      <sheetData sheetId="669">
        <row r="4">
          <cell r="O4">
            <v>0</v>
          </cell>
        </row>
      </sheetData>
      <sheetData sheetId="670">
        <row r="4">
          <cell r="O4">
            <v>67.099999999999994</v>
          </cell>
        </row>
      </sheetData>
      <sheetData sheetId="671">
        <row r="4">
          <cell r="O4">
            <v>67.099999999999994</v>
          </cell>
        </row>
      </sheetData>
      <sheetData sheetId="672">
        <row r="4">
          <cell r="O4">
            <v>67.099999999999994</v>
          </cell>
        </row>
      </sheetData>
      <sheetData sheetId="673" refreshError="1"/>
      <sheetData sheetId="674" refreshError="1"/>
      <sheetData sheetId="675" refreshError="1"/>
      <sheetData sheetId="676">
        <row r="4">
          <cell r="O4">
            <v>67.099999999999994</v>
          </cell>
        </row>
      </sheetData>
      <sheetData sheetId="677">
        <row r="4">
          <cell r="O4">
            <v>67.099999999999994</v>
          </cell>
        </row>
      </sheetData>
      <sheetData sheetId="678">
        <row r="4">
          <cell r="O4">
            <v>67.099999999999994</v>
          </cell>
        </row>
      </sheetData>
      <sheetData sheetId="679">
        <row r="4">
          <cell r="O4">
            <v>67.099999999999994</v>
          </cell>
        </row>
      </sheetData>
      <sheetData sheetId="680">
        <row r="4">
          <cell r="O4">
            <v>67.099999999999994</v>
          </cell>
        </row>
      </sheetData>
      <sheetData sheetId="681">
        <row r="4">
          <cell r="O4">
            <v>67.099999999999994</v>
          </cell>
        </row>
      </sheetData>
      <sheetData sheetId="682">
        <row r="4">
          <cell r="O4">
            <v>67.099999999999994</v>
          </cell>
        </row>
      </sheetData>
      <sheetData sheetId="683">
        <row r="4">
          <cell r="O4">
            <v>67.099999999999994</v>
          </cell>
        </row>
      </sheetData>
      <sheetData sheetId="684">
        <row r="4">
          <cell r="O4">
            <v>67.099999999999994</v>
          </cell>
        </row>
      </sheetData>
      <sheetData sheetId="685">
        <row r="4">
          <cell r="O4">
            <v>67.099999999999994</v>
          </cell>
        </row>
      </sheetData>
      <sheetData sheetId="686">
        <row r="4">
          <cell r="O4">
            <v>67.099999999999994</v>
          </cell>
        </row>
      </sheetData>
      <sheetData sheetId="687">
        <row r="4">
          <cell r="O4">
            <v>67.099999999999994</v>
          </cell>
        </row>
      </sheetData>
      <sheetData sheetId="688">
        <row r="4">
          <cell r="O4">
            <v>67.099999999999994</v>
          </cell>
        </row>
      </sheetData>
      <sheetData sheetId="689">
        <row r="4">
          <cell r="O4">
            <v>67.099999999999994</v>
          </cell>
        </row>
      </sheetData>
      <sheetData sheetId="690">
        <row r="4">
          <cell r="O4">
            <v>67.099999999999994</v>
          </cell>
        </row>
      </sheetData>
      <sheetData sheetId="691">
        <row r="4">
          <cell r="O4">
            <v>67.099999999999994</v>
          </cell>
        </row>
      </sheetData>
      <sheetData sheetId="692">
        <row r="4">
          <cell r="O4">
            <v>67.099999999999994</v>
          </cell>
        </row>
      </sheetData>
      <sheetData sheetId="693">
        <row r="4">
          <cell r="O4">
            <v>67.099999999999994</v>
          </cell>
        </row>
      </sheetData>
      <sheetData sheetId="694">
        <row r="4">
          <cell r="O4">
            <v>67.099999999999994</v>
          </cell>
        </row>
      </sheetData>
      <sheetData sheetId="695">
        <row r="4">
          <cell r="O4">
            <v>67.099999999999994</v>
          </cell>
        </row>
      </sheetData>
      <sheetData sheetId="696">
        <row r="4">
          <cell r="O4">
            <v>67.099999999999994</v>
          </cell>
        </row>
      </sheetData>
      <sheetData sheetId="697">
        <row r="4">
          <cell r="O4">
            <v>67.099999999999994</v>
          </cell>
        </row>
      </sheetData>
      <sheetData sheetId="698">
        <row r="4">
          <cell r="O4">
            <v>67.099999999999994</v>
          </cell>
        </row>
      </sheetData>
      <sheetData sheetId="699">
        <row r="4">
          <cell r="O4">
            <v>67.099999999999994</v>
          </cell>
        </row>
      </sheetData>
      <sheetData sheetId="700">
        <row r="4">
          <cell r="O4">
            <v>67.099999999999994</v>
          </cell>
        </row>
      </sheetData>
      <sheetData sheetId="701">
        <row r="4">
          <cell r="O4">
            <v>67.099999999999994</v>
          </cell>
        </row>
      </sheetData>
      <sheetData sheetId="702">
        <row r="4">
          <cell r="O4">
            <v>67.099999999999994</v>
          </cell>
        </row>
      </sheetData>
      <sheetData sheetId="703">
        <row r="4">
          <cell r="O4">
            <v>67.099999999999994</v>
          </cell>
        </row>
      </sheetData>
      <sheetData sheetId="704">
        <row r="4">
          <cell r="O4">
            <v>67.099999999999994</v>
          </cell>
        </row>
      </sheetData>
      <sheetData sheetId="705">
        <row r="4">
          <cell r="O4">
            <v>67.099999999999994</v>
          </cell>
        </row>
      </sheetData>
      <sheetData sheetId="706">
        <row r="4">
          <cell r="O4">
            <v>67.099999999999994</v>
          </cell>
        </row>
      </sheetData>
      <sheetData sheetId="707">
        <row r="4">
          <cell r="O4">
            <v>67.099999999999994</v>
          </cell>
        </row>
      </sheetData>
      <sheetData sheetId="708">
        <row r="4">
          <cell r="O4">
            <v>0</v>
          </cell>
        </row>
      </sheetData>
      <sheetData sheetId="709">
        <row r="4">
          <cell r="O4">
            <v>67.099999999999994</v>
          </cell>
        </row>
      </sheetData>
      <sheetData sheetId="710">
        <row r="4">
          <cell r="O4">
            <v>67.099999999999994</v>
          </cell>
        </row>
      </sheetData>
      <sheetData sheetId="711">
        <row r="4">
          <cell r="O4">
            <v>67.099999999999994</v>
          </cell>
        </row>
      </sheetData>
      <sheetData sheetId="712">
        <row r="4">
          <cell r="O4">
            <v>67.099999999999994</v>
          </cell>
        </row>
      </sheetData>
      <sheetData sheetId="713">
        <row r="4">
          <cell r="O4">
            <v>67.099999999999994</v>
          </cell>
        </row>
      </sheetData>
      <sheetData sheetId="714">
        <row r="4">
          <cell r="O4">
            <v>67.099999999999994</v>
          </cell>
        </row>
      </sheetData>
      <sheetData sheetId="715">
        <row r="4">
          <cell r="O4">
            <v>67.099999999999994</v>
          </cell>
        </row>
      </sheetData>
      <sheetData sheetId="716">
        <row r="4">
          <cell r="O4">
            <v>67.099999999999994</v>
          </cell>
        </row>
      </sheetData>
      <sheetData sheetId="717">
        <row r="4">
          <cell r="O4">
            <v>67.099999999999994</v>
          </cell>
        </row>
      </sheetData>
      <sheetData sheetId="718">
        <row r="4">
          <cell r="O4">
            <v>67.099999999999994</v>
          </cell>
        </row>
      </sheetData>
      <sheetData sheetId="719">
        <row r="4">
          <cell r="O4">
            <v>67.099999999999994</v>
          </cell>
        </row>
      </sheetData>
      <sheetData sheetId="720">
        <row r="4">
          <cell r="O4">
            <v>67.099999999999994</v>
          </cell>
        </row>
      </sheetData>
      <sheetData sheetId="721">
        <row r="4">
          <cell r="O4">
            <v>67.099999999999994</v>
          </cell>
        </row>
      </sheetData>
      <sheetData sheetId="722">
        <row r="4">
          <cell r="O4">
            <v>67.099999999999994</v>
          </cell>
        </row>
      </sheetData>
      <sheetData sheetId="723">
        <row r="4">
          <cell r="O4">
            <v>67.099999999999994</v>
          </cell>
        </row>
      </sheetData>
      <sheetData sheetId="724">
        <row r="4">
          <cell r="O4">
            <v>67.099999999999994</v>
          </cell>
        </row>
      </sheetData>
      <sheetData sheetId="725">
        <row r="4">
          <cell r="O4">
            <v>67.099999999999994</v>
          </cell>
        </row>
      </sheetData>
      <sheetData sheetId="726">
        <row r="4">
          <cell r="O4">
            <v>67.099999999999994</v>
          </cell>
        </row>
      </sheetData>
      <sheetData sheetId="727">
        <row r="4">
          <cell r="O4">
            <v>67.099999999999994</v>
          </cell>
        </row>
      </sheetData>
      <sheetData sheetId="728">
        <row r="4">
          <cell r="O4">
            <v>67.099999999999994</v>
          </cell>
        </row>
      </sheetData>
      <sheetData sheetId="729">
        <row r="4">
          <cell r="O4">
            <v>67.099999999999994</v>
          </cell>
        </row>
      </sheetData>
      <sheetData sheetId="730">
        <row r="4">
          <cell r="O4">
            <v>67.099999999999994</v>
          </cell>
        </row>
      </sheetData>
      <sheetData sheetId="731">
        <row r="4">
          <cell r="O4">
            <v>67.099999999999994</v>
          </cell>
        </row>
      </sheetData>
      <sheetData sheetId="732">
        <row r="4">
          <cell r="O4">
            <v>67.099999999999994</v>
          </cell>
        </row>
      </sheetData>
      <sheetData sheetId="733">
        <row r="4">
          <cell r="O4">
            <v>67.099999999999994</v>
          </cell>
        </row>
      </sheetData>
      <sheetData sheetId="734">
        <row r="4">
          <cell r="O4">
            <v>67.099999999999994</v>
          </cell>
        </row>
      </sheetData>
      <sheetData sheetId="735">
        <row r="4">
          <cell r="O4">
            <v>67.099999999999994</v>
          </cell>
        </row>
      </sheetData>
      <sheetData sheetId="736">
        <row r="4">
          <cell r="O4">
            <v>67.099999999999994</v>
          </cell>
        </row>
      </sheetData>
      <sheetData sheetId="737">
        <row r="4">
          <cell r="O4">
            <v>67.099999999999994</v>
          </cell>
        </row>
      </sheetData>
      <sheetData sheetId="738">
        <row r="4">
          <cell r="O4">
            <v>67.099999999999994</v>
          </cell>
        </row>
      </sheetData>
      <sheetData sheetId="739">
        <row r="4">
          <cell r="O4">
            <v>67.099999999999994</v>
          </cell>
        </row>
      </sheetData>
      <sheetData sheetId="740">
        <row r="4">
          <cell r="O4">
            <v>67.099999999999994</v>
          </cell>
        </row>
      </sheetData>
      <sheetData sheetId="741" refreshError="1"/>
      <sheetData sheetId="742" refreshError="1"/>
      <sheetData sheetId="743" refreshError="1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>
        <row r="4">
          <cell r="O4">
            <v>67.099999999999994</v>
          </cell>
        </row>
      </sheetData>
      <sheetData sheetId="751">
        <row r="4">
          <cell r="O4">
            <v>67.099999999999994</v>
          </cell>
        </row>
      </sheetData>
      <sheetData sheetId="752">
        <row r="4">
          <cell r="O4">
            <v>67.099999999999994</v>
          </cell>
        </row>
      </sheetData>
      <sheetData sheetId="753">
        <row r="4">
          <cell r="O4">
            <v>67.099999999999994</v>
          </cell>
        </row>
      </sheetData>
      <sheetData sheetId="754"/>
      <sheetData sheetId="755"/>
      <sheetData sheetId="756"/>
      <sheetData sheetId="757">
        <row r="4">
          <cell r="O4">
            <v>67.099999999999994</v>
          </cell>
        </row>
      </sheetData>
      <sheetData sheetId="758">
        <row r="4">
          <cell r="O4">
            <v>67.099999999999994</v>
          </cell>
        </row>
      </sheetData>
      <sheetData sheetId="759">
        <row r="4">
          <cell r="O4">
            <v>67.099999999999994</v>
          </cell>
        </row>
      </sheetData>
      <sheetData sheetId="760"/>
      <sheetData sheetId="761"/>
      <sheetData sheetId="762">
        <row r="4">
          <cell r="O4">
            <v>67.099999999999994</v>
          </cell>
        </row>
      </sheetData>
      <sheetData sheetId="763">
        <row r="4">
          <cell r="O4">
            <v>67.099999999999994</v>
          </cell>
        </row>
      </sheetData>
      <sheetData sheetId="764">
        <row r="4">
          <cell r="O4">
            <v>67.099999999999994</v>
          </cell>
        </row>
      </sheetData>
      <sheetData sheetId="765">
        <row r="4">
          <cell r="O4">
            <v>67.099999999999994</v>
          </cell>
        </row>
      </sheetData>
      <sheetData sheetId="766">
        <row r="4">
          <cell r="O4">
            <v>67.099999999999994</v>
          </cell>
        </row>
      </sheetData>
      <sheetData sheetId="767">
        <row r="4">
          <cell r="O4">
            <v>67.099999999999994</v>
          </cell>
        </row>
      </sheetData>
      <sheetData sheetId="768">
        <row r="4">
          <cell r="O4">
            <v>67.099999999999994</v>
          </cell>
        </row>
      </sheetData>
      <sheetData sheetId="769">
        <row r="4">
          <cell r="O4">
            <v>67.099999999999994</v>
          </cell>
        </row>
      </sheetData>
      <sheetData sheetId="770">
        <row r="4">
          <cell r="O4">
            <v>67.099999999999994</v>
          </cell>
        </row>
      </sheetData>
      <sheetData sheetId="771">
        <row r="4">
          <cell r="O4">
            <v>67.099999999999994</v>
          </cell>
        </row>
      </sheetData>
      <sheetData sheetId="772"/>
      <sheetData sheetId="773">
        <row r="4">
          <cell r="O4">
            <v>67.099999999999994</v>
          </cell>
        </row>
      </sheetData>
      <sheetData sheetId="774">
        <row r="4">
          <cell r="O4">
            <v>67.099999999999994</v>
          </cell>
        </row>
      </sheetData>
      <sheetData sheetId="775">
        <row r="4">
          <cell r="O4">
            <v>67.099999999999994</v>
          </cell>
        </row>
      </sheetData>
      <sheetData sheetId="776">
        <row r="4">
          <cell r="O4">
            <v>67.099999999999994</v>
          </cell>
        </row>
      </sheetData>
      <sheetData sheetId="777">
        <row r="4">
          <cell r="O4">
            <v>67.099999999999994</v>
          </cell>
        </row>
      </sheetData>
      <sheetData sheetId="778">
        <row r="4">
          <cell r="O4">
            <v>67.099999999999994</v>
          </cell>
        </row>
      </sheetData>
      <sheetData sheetId="779">
        <row r="4">
          <cell r="O4">
            <v>67.099999999999994</v>
          </cell>
        </row>
      </sheetData>
      <sheetData sheetId="780">
        <row r="4">
          <cell r="O4">
            <v>67.099999999999994</v>
          </cell>
        </row>
      </sheetData>
      <sheetData sheetId="781">
        <row r="4">
          <cell r="O4">
            <v>67.099999999999994</v>
          </cell>
        </row>
      </sheetData>
      <sheetData sheetId="782">
        <row r="4">
          <cell r="O4">
            <v>0</v>
          </cell>
        </row>
      </sheetData>
      <sheetData sheetId="783">
        <row r="4">
          <cell r="O4">
            <v>67.099999999999994</v>
          </cell>
        </row>
      </sheetData>
      <sheetData sheetId="784">
        <row r="4">
          <cell r="O4">
            <v>67.099999999999994</v>
          </cell>
        </row>
      </sheetData>
      <sheetData sheetId="785">
        <row r="4">
          <cell r="O4">
            <v>67.099999999999994</v>
          </cell>
        </row>
      </sheetData>
      <sheetData sheetId="786">
        <row r="4">
          <cell r="O4">
            <v>67.099999999999994</v>
          </cell>
        </row>
      </sheetData>
      <sheetData sheetId="787">
        <row r="4">
          <cell r="O4">
            <v>67.099999999999994</v>
          </cell>
        </row>
      </sheetData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>
        <row r="4">
          <cell r="O4">
            <v>67.099999999999994</v>
          </cell>
        </row>
      </sheetData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  <sheetName val="Зан-ть(р-ны)"/>
      <sheetName val="ТАБ№2"/>
      <sheetName val="Лист3"/>
      <sheetName val="Т19"/>
      <sheetName val="экс хар"/>
      <sheetName val="f007502_18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шк вил "/>
      <sheetName val="Банк-вил"/>
      <sheetName val="Ташк банк"/>
      <sheetName val="Ташк банк Раисга"/>
      <sheetName val="таш итог "/>
      <sheetName val="вил итог "/>
      <sheetName val="таш итог  (2)"/>
      <sheetName val="вил итог  (2)"/>
      <sheetName val="ташк вил (талаб)"/>
      <sheetName val="вил итог  кабм"/>
      <sheetName val="КМ1"/>
      <sheetName val="КМ2"/>
      <sheetName val="ан"/>
      <sheetName val="ну"/>
      <sheetName val="бу"/>
      <sheetName val="жи"/>
      <sheetName val="кар"/>
      <sheetName val="нав"/>
      <sheetName val="нм"/>
      <sheetName val="см"/>
      <sheetName val="см (2)"/>
      <sheetName val="см юр сиз"/>
      <sheetName val="см юр сиз (2)"/>
      <sheetName val="тр"/>
      <sheetName val="тв"/>
      <sheetName val="гл"/>
      <sheetName val="фар"/>
      <sheetName val="фар (2)"/>
      <sheetName val="фар банк"/>
      <sheetName val="ур"/>
      <sheetName val="шах"/>
      <sheetName val="темир йул ост"/>
      <sheetName val="ХИС РАК"/>
      <sheetName val="банк"/>
      <sheetName val="бош б"/>
      <sheetName val="псб"/>
      <sheetName val="псб в"/>
      <sheetName val="тиф"/>
      <sheetName val="тифв"/>
      <sheetName val="тифваз"/>
      <sheetName val="псб ваз"/>
      <sheetName val="ипот"/>
      <sheetName val="ИПОТ В"/>
      <sheetName val="агро"/>
      <sheetName val="ПБ В"/>
      <sheetName val="банк (2)"/>
      <sheetName val="мик"/>
      <sheetName val="хб"/>
      <sheetName val="сгб"/>
      <sheetName val="гал"/>
      <sheetName val="тур"/>
      <sheetName val="хам"/>
      <sheetName val="ас"/>
      <sheetName val="ал"/>
      <sheetName val="ип"/>
      <sheetName val="крс"/>
      <sheetName val="ЭН"/>
      <sheetName val="НЕ"/>
      <sheetName val="ТЕ"/>
      <sheetName val="КИ"/>
      <sheetName val="ТА"/>
      <sheetName val="ПА"/>
      <sheetName val="АГ"/>
      <sheetName val="ДО"/>
      <sheetName val="Лист1"/>
      <sheetName val="Фориш 2003"/>
      <sheetName val="Нарх"/>
      <sheetName val="Пункт"/>
      <sheetName val="туман"/>
      <sheetName val="ташк_вил_"/>
      <sheetName val="Ташк_банк"/>
      <sheetName val="Ташк_банк_Раисга"/>
      <sheetName val="таш_итог_"/>
      <sheetName val="вил_итог_"/>
      <sheetName val="таш_итог__(2)"/>
      <sheetName val="вил_итог__(2)"/>
      <sheetName val="ташк_вил_(талаб)"/>
      <sheetName val="вил_итог__кабм"/>
      <sheetName val="см_(2)"/>
      <sheetName val="см_юр_сиз"/>
      <sheetName val="см_юр_сиз_(2)"/>
      <sheetName val="фар_(2)"/>
      <sheetName val="фар_банк"/>
      <sheetName val="темир_йул_ост"/>
      <sheetName val="ХИС_РАК"/>
      <sheetName val="бош_б"/>
      <sheetName val="псб_в"/>
      <sheetName val="псб_ваз"/>
      <sheetName val="ИПОТ_В"/>
      <sheetName val="ПБ_В"/>
      <sheetName val="банк_(2)"/>
      <sheetName val="Фориш_2003"/>
    </sheetNames>
    <sheetDataSet>
      <sheetData sheetId="0">
        <row r="2">
          <cell r="A2" t="str">
            <v>2011 йил 24 декабрь ҳолатига иш ҳақи тўловлари тўғрисида тезкор</v>
          </cell>
        </row>
      </sheetData>
      <sheetData sheetId="1">
        <row r="1">
          <cell r="A1" t="str">
            <v xml:space="preserve">  Тижорат банклари бўйича Мониторингга олинган вазирлик ва уюшмаларда</v>
          </cell>
        </row>
      </sheetData>
      <sheetData sheetId="2"/>
      <sheetData sheetId="3"/>
      <sheetData sheetId="4">
        <row r="7">
          <cell r="E7" t="str">
            <v>Жорий талаб</v>
          </cell>
        </row>
      </sheetData>
      <sheetData sheetId="5">
        <row r="5">
          <cell r="B5" t="str">
            <v>Декабрь ойида жами тўланиши керак бўлган сумма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>
        <row r="2">
          <cell r="A2" t="str">
            <v>2011 йил 24 декабрь ҳолатига иш ҳақи тўловлари тўғрисида тезкор</v>
          </cell>
        </row>
      </sheetData>
      <sheetData sheetId="70"/>
      <sheetData sheetId="71"/>
      <sheetData sheetId="72">
        <row r="7">
          <cell r="E7" t="str">
            <v>Жорий талаб</v>
          </cell>
        </row>
      </sheetData>
      <sheetData sheetId="73">
        <row r="5">
          <cell r="B5" t="str">
            <v>Декабрь ойида жами тўланиши керак бўлган сумма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D194-23DD-48C4-9171-5F91EEF9007C}">
  <sheetPr>
    <tabColor rgb="FFFFFF00"/>
  </sheetPr>
  <dimension ref="A1:DR136"/>
  <sheetViews>
    <sheetView showZeros="0" tabSelected="1" view="pageBreakPreview" zoomScale="55" zoomScaleNormal="55" zoomScaleSheetLayoutView="55" workbookViewId="0">
      <pane xSplit="5" ySplit="4" topLeftCell="CR99" activePane="bottomRight" state="frozen"/>
      <selection pane="topRight" activeCell="F1" sqref="F1"/>
      <selection pane="bottomLeft" activeCell="A5" sqref="A5"/>
      <selection pane="bottomRight" activeCell="DO103" sqref="DO103"/>
    </sheetView>
  </sheetViews>
  <sheetFormatPr defaultRowHeight="20.25"/>
  <cols>
    <col min="1" max="1" width="6.25" style="1" bestFit="1" customWidth="1"/>
    <col min="2" max="2" width="10.375" style="1" bestFit="1" customWidth="1"/>
    <col min="3" max="3" width="38.5" style="1" customWidth="1"/>
    <col min="4" max="4" width="32.875" style="27" customWidth="1"/>
    <col min="5" max="5" width="22" style="27" bestFit="1" customWidth="1"/>
    <col min="6" max="21" width="20" style="27" customWidth="1"/>
    <col min="22" max="36" width="18.75" style="27" customWidth="1"/>
    <col min="37" max="37" width="16.25" style="27" customWidth="1"/>
    <col min="38" max="38" width="19" style="27" customWidth="1"/>
    <col min="39" max="39" width="19.5" style="27" customWidth="1"/>
    <col min="40" max="55" width="20.875" style="27" customWidth="1"/>
    <col min="56" max="69" width="19.375" style="27" customWidth="1"/>
    <col min="70" max="85" width="17.875" style="1" customWidth="1"/>
    <col min="86" max="97" width="16.25" style="1" customWidth="1"/>
    <col min="98" max="101" width="17.125" style="1" customWidth="1"/>
    <col min="102" max="117" width="16.25" style="1" customWidth="1"/>
    <col min="118" max="122" width="22" style="1" customWidth="1"/>
    <col min="123" max="266" width="9" style="1"/>
    <col min="267" max="267" width="4" style="1" customWidth="1"/>
    <col min="268" max="268" width="17.75" style="1" customWidth="1"/>
    <col min="269" max="270" width="12.5" style="1" customWidth="1"/>
    <col min="271" max="271" width="12.25" style="1" bestFit="1" customWidth="1"/>
    <col min="272" max="273" width="11" style="1" customWidth="1"/>
    <col min="274" max="274" width="9.875" style="1" customWidth="1"/>
    <col min="275" max="276" width="11" style="1" customWidth="1"/>
    <col min="277" max="277" width="10.125" style="1" customWidth="1"/>
    <col min="278" max="279" width="11" style="1" customWidth="1"/>
    <col min="280" max="280" width="10.375" style="1" customWidth="1"/>
    <col min="281" max="282" width="11" style="1" customWidth="1"/>
    <col min="283" max="283" width="10.625" style="1" customWidth="1"/>
    <col min="284" max="286" width="11" style="1" customWidth="1"/>
    <col min="287" max="288" width="11.25" style="1" customWidth="1"/>
    <col min="289" max="289" width="10.375" style="1" bestFit="1" customWidth="1"/>
    <col min="290" max="291" width="11.25" style="1" customWidth="1"/>
    <col min="292" max="292" width="10.375" style="1" customWidth="1"/>
    <col min="293" max="294" width="11.25" style="1" customWidth="1"/>
    <col min="295" max="295" width="12.25" style="1" bestFit="1" customWidth="1"/>
    <col min="296" max="297" width="11.25" style="1" customWidth="1"/>
    <col min="298" max="298" width="9.625" style="1" customWidth="1"/>
    <col min="299" max="300" width="11.25" style="1" customWidth="1"/>
    <col min="301" max="301" width="9.25" style="1" customWidth="1"/>
    <col min="302" max="303" width="11.25" style="1" customWidth="1"/>
    <col min="304" max="304" width="10.125" style="1" customWidth="1"/>
    <col min="305" max="306" width="9.375" style="1" customWidth="1"/>
    <col min="307" max="307" width="10.375" style="1" bestFit="1" customWidth="1"/>
    <col min="308" max="309" width="9.375" style="1" customWidth="1"/>
    <col min="310" max="310" width="9.25" style="1" bestFit="1" customWidth="1"/>
    <col min="311" max="311" width="9.375" style="1" customWidth="1"/>
    <col min="312" max="312" width="9" style="1" customWidth="1"/>
    <col min="313" max="313" width="9.75" style="1" customWidth="1"/>
    <col min="314" max="314" width="10.5" style="1" customWidth="1"/>
    <col min="315" max="315" width="11.125" style="1" bestFit="1" customWidth="1"/>
    <col min="316" max="316" width="10.375" style="1" bestFit="1" customWidth="1"/>
    <col min="317" max="317" width="9.375" style="1" customWidth="1"/>
    <col min="318" max="318" width="10" style="1" customWidth="1"/>
    <col min="319" max="319" width="8.5" style="1" bestFit="1" customWidth="1"/>
    <col min="320" max="320" width="10.25" style="1" customWidth="1"/>
    <col min="321" max="321" width="10.125" style="1" customWidth="1"/>
    <col min="322" max="322" width="9.25" style="1" bestFit="1" customWidth="1"/>
    <col min="323" max="323" width="11" style="1" bestFit="1" customWidth="1"/>
    <col min="324" max="324" width="10.625" style="1" customWidth="1"/>
    <col min="325" max="325" width="10.375" style="1" bestFit="1" customWidth="1"/>
    <col min="326" max="326" width="9.5" style="1" bestFit="1" customWidth="1"/>
    <col min="327" max="522" width="9" style="1"/>
    <col min="523" max="523" width="4" style="1" customWidth="1"/>
    <col min="524" max="524" width="17.75" style="1" customWidth="1"/>
    <col min="525" max="526" width="12.5" style="1" customWidth="1"/>
    <col min="527" max="527" width="12.25" style="1" bestFit="1" customWidth="1"/>
    <col min="528" max="529" width="11" style="1" customWidth="1"/>
    <col min="530" max="530" width="9.875" style="1" customWidth="1"/>
    <col min="531" max="532" width="11" style="1" customWidth="1"/>
    <col min="533" max="533" width="10.125" style="1" customWidth="1"/>
    <col min="534" max="535" width="11" style="1" customWidth="1"/>
    <col min="536" max="536" width="10.375" style="1" customWidth="1"/>
    <col min="537" max="538" width="11" style="1" customWidth="1"/>
    <col min="539" max="539" width="10.625" style="1" customWidth="1"/>
    <col min="540" max="542" width="11" style="1" customWidth="1"/>
    <col min="543" max="544" width="11.25" style="1" customWidth="1"/>
    <col min="545" max="545" width="10.375" style="1" bestFit="1" customWidth="1"/>
    <col min="546" max="547" width="11.25" style="1" customWidth="1"/>
    <col min="548" max="548" width="10.375" style="1" customWidth="1"/>
    <col min="549" max="550" width="11.25" style="1" customWidth="1"/>
    <col min="551" max="551" width="12.25" style="1" bestFit="1" customWidth="1"/>
    <col min="552" max="553" width="11.25" style="1" customWidth="1"/>
    <col min="554" max="554" width="9.625" style="1" customWidth="1"/>
    <col min="555" max="556" width="11.25" style="1" customWidth="1"/>
    <col min="557" max="557" width="9.25" style="1" customWidth="1"/>
    <col min="558" max="559" width="11.25" style="1" customWidth="1"/>
    <col min="560" max="560" width="10.125" style="1" customWidth="1"/>
    <col min="561" max="562" width="9.375" style="1" customWidth="1"/>
    <col min="563" max="563" width="10.375" style="1" bestFit="1" customWidth="1"/>
    <col min="564" max="565" width="9.375" style="1" customWidth="1"/>
    <col min="566" max="566" width="9.25" style="1" bestFit="1" customWidth="1"/>
    <col min="567" max="567" width="9.375" style="1" customWidth="1"/>
    <col min="568" max="568" width="9" style="1" customWidth="1"/>
    <col min="569" max="569" width="9.75" style="1" customWidth="1"/>
    <col min="570" max="570" width="10.5" style="1" customWidth="1"/>
    <col min="571" max="571" width="11.125" style="1" bestFit="1" customWidth="1"/>
    <col min="572" max="572" width="10.375" style="1" bestFit="1" customWidth="1"/>
    <col min="573" max="573" width="9.375" style="1" customWidth="1"/>
    <col min="574" max="574" width="10" style="1" customWidth="1"/>
    <col min="575" max="575" width="8.5" style="1" bestFit="1" customWidth="1"/>
    <col min="576" max="576" width="10.25" style="1" customWidth="1"/>
    <col min="577" max="577" width="10.125" style="1" customWidth="1"/>
    <col min="578" max="578" width="9.25" style="1" bestFit="1" customWidth="1"/>
    <col min="579" max="579" width="11" style="1" bestFit="1" customWidth="1"/>
    <col min="580" max="580" width="10.625" style="1" customWidth="1"/>
    <col min="581" max="581" width="10.375" style="1" bestFit="1" customWidth="1"/>
    <col min="582" max="582" width="9.5" style="1" bestFit="1" customWidth="1"/>
    <col min="583" max="778" width="9" style="1"/>
    <col min="779" max="779" width="4" style="1" customWidth="1"/>
    <col min="780" max="780" width="17.75" style="1" customWidth="1"/>
    <col min="781" max="782" width="12.5" style="1" customWidth="1"/>
    <col min="783" max="783" width="12.25" style="1" bestFit="1" customWidth="1"/>
    <col min="784" max="785" width="11" style="1" customWidth="1"/>
    <col min="786" max="786" width="9.875" style="1" customWidth="1"/>
    <col min="787" max="788" width="11" style="1" customWidth="1"/>
    <col min="789" max="789" width="10.125" style="1" customWidth="1"/>
    <col min="790" max="791" width="11" style="1" customWidth="1"/>
    <col min="792" max="792" width="10.375" style="1" customWidth="1"/>
    <col min="793" max="794" width="11" style="1" customWidth="1"/>
    <col min="795" max="795" width="10.625" style="1" customWidth="1"/>
    <col min="796" max="798" width="11" style="1" customWidth="1"/>
    <col min="799" max="800" width="11.25" style="1" customWidth="1"/>
    <col min="801" max="801" width="10.375" style="1" bestFit="1" customWidth="1"/>
    <col min="802" max="803" width="11.25" style="1" customWidth="1"/>
    <col min="804" max="804" width="10.375" style="1" customWidth="1"/>
    <col min="805" max="806" width="11.25" style="1" customWidth="1"/>
    <col min="807" max="807" width="12.25" style="1" bestFit="1" customWidth="1"/>
    <col min="808" max="809" width="11.25" style="1" customWidth="1"/>
    <col min="810" max="810" width="9.625" style="1" customWidth="1"/>
    <col min="811" max="812" width="11.25" style="1" customWidth="1"/>
    <col min="813" max="813" width="9.25" style="1" customWidth="1"/>
    <col min="814" max="815" width="11.25" style="1" customWidth="1"/>
    <col min="816" max="816" width="10.125" style="1" customWidth="1"/>
    <col min="817" max="818" width="9.375" style="1" customWidth="1"/>
    <col min="819" max="819" width="10.375" style="1" bestFit="1" customWidth="1"/>
    <col min="820" max="821" width="9.375" style="1" customWidth="1"/>
    <col min="822" max="822" width="9.25" style="1" bestFit="1" customWidth="1"/>
    <col min="823" max="823" width="9.375" style="1" customWidth="1"/>
    <col min="824" max="824" width="9" style="1" customWidth="1"/>
    <col min="825" max="825" width="9.75" style="1" customWidth="1"/>
    <col min="826" max="826" width="10.5" style="1" customWidth="1"/>
    <col min="827" max="827" width="11.125" style="1" bestFit="1" customWidth="1"/>
    <col min="828" max="828" width="10.375" style="1" bestFit="1" customWidth="1"/>
    <col min="829" max="829" width="9.375" style="1" customWidth="1"/>
    <col min="830" max="830" width="10" style="1" customWidth="1"/>
    <col min="831" max="831" width="8.5" style="1" bestFit="1" customWidth="1"/>
    <col min="832" max="832" width="10.25" style="1" customWidth="1"/>
    <col min="833" max="833" width="10.125" style="1" customWidth="1"/>
    <col min="834" max="834" width="9.25" style="1" bestFit="1" customWidth="1"/>
    <col min="835" max="835" width="11" style="1" bestFit="1" customWidth="1"/>
    <col min="836" max="836" width="10.625" style="1" customWidth="1"/>
    <col min="837" max="837" width="10.375" style="1" bestFit="1" customWidth="1"/>
    <col min="838" max="838" width="9.5" style="1" bestFit="1" customWidth="1"/>
    <col min="839" max="1034" width="9" style="1"/>
    <col min="1035" max="1035" width="4" style="1" customWidth="1"/>
    <col min="1036" max="1036" width="17.75" style="1" customWidth="1"/>
    <col min="1037" max="1038" width="12.5" style="1" customWidth="1"/>
    <col min="1039" max="1039" width="12.25" style="1" bestFit="1" customWidth="1"/>
    <col min="1040" max="1041" width="11" style="1" customWidth="1"/>
    <col min="1042" max="1042" width="9.875" style="1" customWidth="1"/>
    <col min="1043" max="1044" width="11" style="1" customWidth="1"/>
    <col min="1045" max="1045" width="10.125" style="1" customWidth="1"/>
    <col min="1046" max="1047" width="11" style="1" customWidth="1"/>
    <col min="1048" max="1048" width="10.375" style="1" customWidth="1"/>
    <col min="1049" max="1050" width="11" style="1" customWidth="1"/>
    <col min="1051" max="1051" width="10.625" style="1" customWidth="1"/>
    <col min="1052" max="1054" width="11" style="1" customWidth="1"/>
    <col min="1055" max="1056" width="11.25" style="1" customWidth="1"/>
    <col min="1057" max="1057" width="10.375" style="1" bestFit="1" customWidth="1"/>
    <col min="1058" max="1059" width="11.25" style="1" customWidth="1"/>
    <col min="1060" max="1060" width="10.375" style="1" customWidth="1"/>
    <col min="1061" max="1062" width="11.25" style="1" customWidth="1"/>
    <col min="1063" max="1063" width="12.25" style="1" bestFit="1" customWidth="1"/>
    <col min="1064" max="1065" width="11.25" style="1" customWidth="1"/>
    <col min="1066" max="1066" width="9.625" style="1" customWidth="1"/>
    <col min="1067" max="1068" width="11.25" style="1" customWidth="1"/>
    <col min="1069" max="1069" width="9.25" style="1" customWidth="1"/>
    <col min="1070" max="1071" width="11.25" style="1" customWidth="1"/>
    <col min="1072" max="1072" width="10.125" style="1" customWidth="1"/>
    <col min="1073" max="1074" width="9.375" style="1" customWidth="1"/>
    <col min="1075" max="1075" width="10.375" style="1" bestFit="1" customWidth="1"/>
    <col min="1076" max="1077" width="9.375" style="1" customWidth="1"/>
    <col min="1078" max="1078" width="9.25" style="1" bestFit="1" customWidth="1"/>
    <col min="1079" max="1079" width="9.375" style="1" customWidth="1"/>
    <col min="1080" max="1080" width="9" style="1" customWidth="1"/>
    <col min="1081" max="1081" width="9.75" style="1" customWidth="1"/>
    <col min="1082" max="1082" width="10.5" style="1" customWidth="1"/>
    <col min="1083" max="1083" width="11.125" style="1" bestFit="1" customWidth="1"/>
    <col min="1084" max="1084" width="10.375" style="1" bestFit="1" customWidth="1"/>
    <col min="1085" max="1085" width="9.375" style="1" customWidth="1"/>
    <col min="1086" max="1086" width="10" style="1" customWidth="1"/>
    <col min="1087" max="1087" width="8.5" style="1" bestFit="1" customWidth="1"/>
    <col min="1088" max="1088" width="10.25" style="1" customWidth="1"/>
    <col min="1089" max="1089" width="10.125" style="1" customWidth="1"/>
    <col min="1090" max="1090" width="9.25" style="1" bestFit="1" customWidth="1"/>
    <col min="1091" max="1091" width="11" style="1" bestFit="1" customWidth="1"/>
    <col min="1092" max="1092" width="10.625" style="1" customWidth="1"/>
    <col min="1093" max="1093" width="10.375" style="1" bestFit="1" customWidth="1"/>
    <col min="1094" max="1094" width="9.5" style="1" bestFit="1" customWidth="1"/>
    <col min="1095" max="1290" width="9" style="1"/>
    <col min="1291" max="1291" width="4" style="1" customWidth="1"/>
    <col min="1292" max="1292" width="17.75" style="1" customWidth="1"/>
    <col min="1293" max="1294" width="12.5" style="1" customWidth="1"/>
    <col min="1295" max="1295" width="12.25" style="1" bestFit="1" customWidth="1"/>
    <col min="1296" max="1297" width="11" style="1" customWidth="1"/>
    <col min="1298" max="1298" width="9.875" style="1" customWidth="1"/>
    <col min="1299" max="1300" width="11" style="1" customWidth="1"/>
    <col min="1301" max="1301" width="10.125" style="1" customWidth="1"/>
    <col min="1302" max="1303" width="11" style="1" customWidth="1"/>
    <col min="1304" max="1304" width="10.375" style="1" customWidth="1"/>
    <col min="1305" max="1306" width="11" style="1" customWidth="1"/>
    <col min="1307" max="1307" width="10.625" style="1" customWidth="1"/>
    <col min="1308" max="1310" width="11" style="1" customWidth="1"/>
    <col min="1311" max="1312" width="11.25" style="1" customWidth="1"/>
    <col min="1313" max="1313" width="10.375" style="1" bestFit="1" customWidth="1"/>
    <col min="1314" max="1315" width="11.25" style="1" customWidth="1"/>
    <col min="1316" max="1316" width="10.375" style="1" customWidth="1"/>
    <col min="1317" max="1318" width="11.25" style="1" customWidth="1"/>
    <col min="1319" max="1319" width="12.25" style="1" bestFit="1" customWidth="1"/>
    <col min="1320" max="1321" width="11.25" style="1" customWidth="1"/>
    <col min="1322" max="1322" width="9.625" style="1" customWidth="1"/>
    <col min="1323" max="1324" width="11.25" style="1" customWidth="1"/>
    <col min="1325" max="1325" width="9.25" style="1" customWidth="1"/>
    <col min="1326" max="1327" width="11.25" style="1" customWidth="1"/>
    <col min="1328" max="1328" width="10.125" style="1" customWidth="1"/>
    <col min="1329" max="1330" width="9.375" style="1" customWidth="1"/>
    <col min="1331" max="1331" width="10.375" style="1" bestFit="1" customWidth="1"/>
    <col min="1332" max="1333" width="9.375" style="1" customWidth="1"/>
    <col min="1334" max="1334" width="9.25" style="1" bestFit="1" customWidth="1"/>
    <col min="1335" max="1335" width="9.375" style="1" customWidth="1"/>
    <col min="1336" max="1336" width="9" style="1" customWidth="1"/>
    <col min="1337" max="1337" width="9.75" style="1" customWidth="1"/>
    <col min="1338" max="1338" width="10.5" style="1" customWidth="1"/>
    <col min="1339" max="1339" width="11.125" style="1" bestFit="1" customWidth="1"/>
    <col min="1340" max="1340" width="10.375" style="1" bestFit="1" customWidth="1"/>
    <col min="1341" max="1341" width="9.375" style="1" customWidth="1"/>
    <col min="1342" max="1342" width="10" style="1" customWidth="1"/>
    <col min="1343" max="1343" width="8.5" style="1" bestFit="1" customWidth="1"/>
    <col min="1344" max="1344" width="10.25" style="1" customWidth="1"/>
    <col min="1345" max="1345" width="10.125" style="1" customWidth="1"/>
    <col min="1346" max="1346" width="9.25" style="1" bestFit="1" customWidth="1"/>
    <col min="1347" max="1347" width="11" style="1" bestFit="1" customWidth="1"/>
    <col min="1348" max="1348" width="10.625" style="1" customWidth="1"/>
    <col min="1349" max="1349" width="10.375" style="1" bestFit="1" customWidth="1"/>
    <col min="1350" max="1350" width="9.5" style="1" bestFit="1" customWidth="1"/>
    <col min="1351" max="1546" width="9" style="1"/>
    <col min="1547" max="1547" width="4" style="1" customWidth="1"/>
    <col min="1548" max="1548" width="17.75" style="1" customWidth="1"/>
    <col min="1549" max="1550" width="12.5" style="1" customWidth="1"/>
    <col min="1551" max="1551" width="12.25" style="1" bestFit="1" customWidth="1"/>
    <col min="1552" max="1553" width="11" style="1" customWidth="1"/>
    <col min="1554" max="1554" width="9.875" style="1" customWidth="1"/>
    <col min="1555" max="1556" width="11" style="1" customWidth="1"/>
    <col min="1557" max="1557" width="10.125" style="1" customWidth="1"/>
    <col min="1558" max="1559" width="11" style="1" customWidth="1"/>
    <col min="1560" max="1560" width="10.375" style="1" customWidth="1"/>
    <col min="1561" max="1562" width="11" style="1" customWidth="1"/>
    <col min="1563" max="1563" width="10.625" style="1" customWidth="1"/>
    <col min="1564" max="1566" width="11" style="1" customWidth="1"/>
    <col min="1567" max="1568" width="11.25" style="1" customWidth="1"/>
    <col min="1569" max="1569" width="10.375" style="1" bestFit="1" customWidth="1"/>
    <col min="1570" max="1571" width="11.25" style="1" customWidth="1"/>
    <col min="1572" max="1572" width="10.375" style="1" customWidth="1"/>
    <col min="1573" max="1574" width="11.25" style="1" customWidth="1"/>
    <col min="1575" max="1575" width="12.25" style="1" bestFit="1" customWidth="1"/>
    <col min="1576" max="1577" width="11.25" style="1" customWidth="1"/>
    <col min="1578" max="1578" width="9.625" style="1" customWidth="1"/>
    <col min="1579" max="1580" width="11.25" style="1" customWidth="1"/>
    <col min="1581" max="1581" width="9.25" style="1" customWidth="1"/>
    <col min="1582" max="1583" width="11.25" style="1" customWidth="1"/>
    <col min="1584" max="1584" width="10.125" style="1" customWidth="1"/>
    <col min="1585" max="1586" width="9.375" style="1" customWidth="1"/>
    <col min="1587" max="1587" width="10.375" style="1" bestFit="1" customWidth="1"/>
    <col min="1588" max="1589" width="9.375" style="1" customWidth="1"/>
    <col min="1590" max="1590" width="9.25" style="1" bestFit="1" customWidth="1"/>
    <col min="1591" max="1591" width="9.375" style="1" customWidth="1"/>
    <col min="1592" max="1592" width="9" style="1" customWidth="1"/>
    <col min="1593" max="1593" width="9.75" style="1" customWidth="1"/>
    <col min="1594" max="1594" width="10.5" style="1" customWidth="1"/>
    <col min="1595" max="1595" width="11.125" style="1" bestFit="1" customWidth="1"/>
    <col min="1596" max="1596" width="10.375" style="1" bestFit="1" customWidth="1"/>
    <col min="1597" max="1597" width="9.375" style="1" customWidth="1"/>
    <col min="1598" max="1598" width="10" style="1" customWidth="1"/>
    <col min="1599" max="1599" width="8.5" style="1" bestFit="1" customWidth="1"/>
    <col min="1600" max="1600" width="10.25" style="1" customWidth="1"/>
    <col min="1601" max="1601" width="10.125" style="1" customWidth="1"/>
    <col min="1602" max="1602" width="9.25" style="1" bestFit="1" customWidth="1"/>
    <col min="1603" max="1603" width="11" style="1" bestFit="1" customWidth="1"/>
    <col min="1604" max="1604" width="10.625" style="1" customWidth="1"/>
    <col min="1605" max="1605" width="10.375" style="1" bestFit="1" customWidth="1"/>
    <col min="1606" max="1606" width="9.5" style="1" bestFit="1" customWidth="1"/>
    <col min="1607" max="1802" width="9" style="1"/>
    <col min="1803" max="1803" width="4" style="1" customWidth="1"/>
    <col min="1804" max="1804" width="17.75" style="1" customWidth="1"/>
    <col min="1805" max="1806" width="12.5" style="1" customWidth="1"/>
    <col min="1807" max="1807" width="12.25" style="1" bestFit="1" customWidth="1"/>
    <col min="1808" max="1809" width="11" style="1" customWidth="1"/>
    <col min="1810" max="1810" width="9.875" style="1" customWidth="1"/>
    <col min="1811" max="1812" width="11" style="1" customWidth="1"/>
    <col min="1813" max="1813" width="10.125" style="1" customWidth="1"/>
    <col min="1814" max="1815" width="11" style="1" customWidth="1"/>
    <col min="1816" max="1816" width="10.375" style="1" customWidth="1"/>
    <col min="1817" max="1818" width="11" style="1" customWidth="1"/>
    <col min="1819" max="1819" width="10.625" style="1" customWidth="1"/>
    <col min="1820" max="1822" width="11" style="1" customWidth="1"/>
    <col min="1823" max="1824" width="11.25" style="1" customWidth="1"/>
    <col min="1825" max="1825" width="10.375" style="1" bestFit="1" customWidth="1"/>
    <col min="1826" max="1827" width="11.25" style="1" customWidth="1"/>
    <col min="1828" max="1828" width="10.375" style="1" customWidth="1"/>
    <col min="1829" max="1830" width="11.25" style="1" customWidth="1"/>
    <col min="1831" max="1831" width="12.25" style="1" bestFit="1" customWidth="1"/>
    <col min="1832" max="1833" width="11.25" style="1" customWidth="1"/>
    <col min="1834" max="1834" width="9.625" style="1" customWidth="1"/>
    <col min="1835" max="1836" width="11.25" style="1" customWidth="1"/>
    <col min="1837" max="1837" width="9.25" style="1" customWidth="1"/>
    <col min="1838" max="1839" width="11.25" style="1" customWidth="1"/>
    <col min="1840" max="1840" width="10.125" style="1" customWidth="1"/>
    <col min="1841" max="1842" width="9.375" style="1" customWidth="1"/>
    <col min="1843" max="1843" width="10.375" style="1" bestFit="1" customWidth="1"/>
    <col min="1844" max="1845" width="9.375" style="1" customWidth="1"/>
    <col min="1846" max="1846" width="9.25" style="1" bestFit="1" customWidth="1"/>
    <col min="1847" max="1847" width="9.375" style="1" customWidth="1"/>
    <col min="1848" max="1848" width="9" style="1" customWidth="1"/>
    <col min="1849" max="1849" width="9.75" style="1" customWidth="1"/>
    <col min="1850" max="1850" width="10.5" style="1" customWidth="1"/>
    <col min="1851" max="1851" width="11.125" style="1" bestFit="1" customWidth="1"/>
    <col min="1852" max="1852" width="10.375" style="1" bestFit="1" customWidth="1"/>
    <col min="1853" max="1853" width="9.375" style="1" customWidth="1"/>
    <col min="1854" max="1854" width="10" style="1" customWidth="1"/>
    <col min="1855" max="1855" width="8.5" style="1" bestFit="1" customWidth="1"/>
    <col min="1856" max="1856" width="10.25" style="1" customWidth="1"/>
    <col min="1857" max="1857" width="10.125" style="1" customWidth="1"/>
    <col min="1858" max="1858" width="9.25" style="1" bestFit="1" customWidth="1"/>
    <col min="1859" max="1859" width="11" style="1" bestFit="1" customWidth="1"/>
    <col min="1860" max="1860" width="10.625" style="1" customWidth="1"/>
    <col min="1861" max="1861" width="10.375" style="1" bestFit="1" customWidth="1"/>
    <col min="1862" max="1862" width="9.5" style="1" bestFit="1" customWidth="1"/>
    <col min="1863" max="2058" width="9" style="1"/>
    <col min="2059" max="2059" width="4" style="1" customWidth="1"/>
    <col min="2060" max="2060" width="17.75" style="1" customWidth="1"/>
    <col min="2061" max="2062" width="12.5" style="1" customWidth="1"/>
    <col min="2063" max="2063" width="12.25" style="1" bestFit="1" customWidth="1"/>
    <col min="2064" max="2065" width="11" style="1" customWidth="1"/>
    <col min="2066" max="2066" width="9.875" style="1" customWidth="1"/>
    <col min="2067" max="2068" width="11" style="1" customWidth="1"/>
    <col min="2069" max="2069" width="10.125" style="1" customWidth="1"/>
    <col min="2070" max="2071" width="11" style="1" customWidth="1"/>
    <col min="2072" max="2072" width="10.375" style="1" customWidth="1"/>
    <col min="2073" max="2074" width="11" style="1" customWidth="1"/>
    <col min="2075" max="2075" width="10.625" style="1" customWidth="1"/>
    <col min="2076" max="2078" width="11" style="1" customWidth="1"/>
    <col min="2079" max="2080" width="11.25" style="1" customWidth="1"/>
    <col min="2081" max="2081" width="10.375" style="1" bestFit="1" customWidth="1"/>
    <col min="2082" max="2083" width="11.25" style="1" customWidth="1"/>
    <col min="2084" max="2084" width="10.375" style="1" customWidth="1"/>
    <col min="2085" max="2086" width="11.25" style="1" customWidth="1"/>
    <col min="2087" max="2087" width="12.25" style="1" bestFit="1" customWidth="1"/>
    <col min="2088" max="2089" width="11.25" style="1" customWidth="1"/>
    <col min="2090" max="2090" width="9.625" style="1" customWidth="1"/>
    <col min="2091" max="2092" width="11.25" style="1" customWidth="1"/>
    <col min="2093" max="2093" width="9.25" style="1" customWidth="1"/>
    <col min="2094" max="2095" width="11.25" style="1" customWidth="1"/>
    <col min="2096" max="2096" width="10.125" style="1" customWidth="1"/>
    <col min="2097" max="2098" width="9.375" style="1" customWidth="1"/>
    <col min="2099" max="2099" width="10.375" style="1" bestFit="1" customWidth="1"/>
    <col min="2100" max="2101" width="9.375" style="1" customWidth="1"/>
    <col min="2102" max="2102" width="9.25" style="1" bestFit="1" customWidth="1"/>
    <col min="2103" max="2103" width="9.375" style="1" customWidth="1"/>
    <col min="2104" max="2104" width="9" style="1" customWidth="1"/>
    <col min="2105" max="2105" width="9.75" style="1" customWidth="1"/>
    <col min="2106" max="2106" width="10.5" style="1" customWidth="1"/>
    <col min="2107" max="2107" width="11.125" style="1" bestFit="1" customWidth="1"/>
    <col min="2108" max="2108" width="10.375" style="1" bestFit="1" customWidth="1"/>
    <col min="2109" max="2109" width="9.375" style="1" customWidth="1"/>
    <col min="2110" max="2110" width="10" style="1" customWidth="1"/>
    <col min="2111" max="2111" width="8.5" style="1" bestFit="1" customWidth="1"/>
    <col min="2112" max="2112" width="10.25" style="1" customWidth="1"/>
    <col min="2113" max="2113" width="10.125" style="1" customWidth="1"/>
    <col min="2114" max="2114" width="9.25" style="1" bestFit="1" customWidth="1"/>
    <col min="2115" max="2115" width="11" style="1" bestFit="1" customWidth="1"/>
    <col min="2116" max="2116" width="10.625" style="1" customWidth="1"/>
    <col min="2117" max="2117" width="10.375" style="1" bestFit="1" customWidth="1"/>
    <col min="2118" max="2118" width="9.5" style="1" bestFit="1" customWidth="1"/>
    <col min="2119" max="2314" width="9" style="1"/>
    <col min="2315" max="2315" width="4" style="1" customWidth="1"/>
    <col min="2316" max="2316" width="17.75" style="1" customWidth="1"/>
    <col min="2317" max="2318" width="12.5" style="1" customWidth="1"/>
    <col min="2319" max="2319" width="12.25" style="1" bestFit="1" customWidth="1"/>
    <col min="2320" max="2321" width="11" style="1" customWidth="1"/>
    <col min="2322" max="2322" width="9.875" style="1" customWidth="1"/>
    <col min="2323" max="2324" width="11" style="1" customWidth="1"/>
    <col min="2325" max="2325" width="10.125" style="1" customWidth="1"/>
    <col min="2326" max="2327" width="11" style="1" customWidth="1"/>
    <col min="2328" max="2328" width="10.375" style="1" customWidth="1"/>
    <col min="2329" max="2330" width="11" style="1" customWidth="1"/>
    <col min="2331" max="2331" width="10.625" style="1" customWidth="1"/>
    <col min="2332" max="2334" width="11" style="1" customWidth="1"/>
    <col min="2335" max="2336" width="11.25" style="1" customWidth="1"/>
    <col min="2337" max="2337" width="10.375" style="1" bestFit="1" customWidth="1"/>
    <col min="2338" max="2339" width="11.25" style="1" customWidth="1"/>
    <col min="2340" max="2340" width="10.375" style="1" customWidth="1"/>
    <col min="2341" max="2342" width="11.25" style="1" customWidth="1"/>
    <col min="2343" max="2343" width="12.25" style="1" bestFit="1" customWidth="1"/>
    <col min="2344" max="2345" width="11.25" style="1" customWidth="1"/>
    <col min="2346" max="2346" width="9.625" style="1" customWidth="1"/>
    <col min="2347" max="2348" width="11.25" style="1" customWidth="1"/>
    <col min="2349" max="2349" width="9.25" style="1" customWidth="1"/>
    <col min="2350" max="2351" width="11.25" style="1" customWidth="1"/>
    <col min="2352" max="2352" width="10.125" style="1" customWidth="1"/>
    <col min="2353" max="2354" width="9.375" style="1" customWidth="1"/>
    <col min="2355" max="2355" width="10.375" style="1" bestFit="1" customWidth="1"/>
    <col min="2356" max="2357" width="9.375" style="1" customWidth="1"/>
    <col min="2358" max="2358" width="9.25" style="1" bestFit="1" customWidth="1"/>
    <col min="2359" max="2359" width="9.375" style="1" customWidth="1"/>
    <col min="2360" max="2360" width="9" style="1" customWidth="1"/>
    <col min="2361" max="2361" width="9.75" style="1" customWidth="1"/>
    <col min="2362" max="2362" width="10.5" style="1" customWidth="1"/>
    <col min="2363" max="2363" width="11.125" style="1" bestFit="1" customWidth="1"/>
    <col min="2364" max="2364" width="10.375" style="1" bestFit="1" customWidth="1"/>
    <col min="2365" max="2365" width="9.375" style="1" customWidth="1"/>
    <col min="2366" max="2366" width="10" style="1" customWidth="1"/>
    <col min="2367" max="2367" width="8.5" style="1" bestFit="1" customWidth="1"/>
    <col min="2368" max="2368" width="10.25" style="1" customWidth="1"/>
    <col min="2369" max="2369" width="10.125" style="1" customWidth="1"/>
    <col min="2370" max="2370" width="9.25" style="1" bestFit="1" customWidth="1"/>
    <col min="2371" max="2371" width="11" style="1" bestFit="1" customWidth="1"/>
    <col min="2372" max="2372" width="10.625" style="1" customWidth="1"/>
    <col min="2373" max="2373" width="10.375" style="1" bestFit="1" customWidth="1"/>
    <col min="2374" max="2374" width="9.5" style="1" bestFit="1" customWidth="1"/>
    <col min="2375" max="2570" width="9" style="1"/>
    <col min="2571" max="2571" width="4" style="1" customWidth="1"/>
    <col min="2572" max="2572" width="17.75" style="1" customWidth="1"/>
    <col min="2573" max="2574" width="12.5" style="1" customWidth="1"/>
    <col min="2575" max="2575" width="12.25" style="1" bestFit="1" customWidth="1"/>
    <col min="2576" max="2577" width="11" style="1" customWidth="1"/>
    <col min="2578" max="2578" width="9.875" style="1" customWidth="1"/>
    <col min="2579" max="2580" width="11" style="1" customWidth="1"/>
    <col min="2581" max="2581" width="10.125" style="1" customWidth="1"/>
    <col min="2582" max="2583" width="11" style="1" customWidth="1"/>
    <col min="2584" max="2584" width="10.375" style="1" customWidth="1"/>
    <col min="2585" max="2586" width="11" style="1" customWidth="1"/>
    <col min="2587" max="2587" width="10.625" style="1" customWidth="1"/>
    <col min="2588" max="2590" width="11" style="1" customWidth="1"/>
    <col min="2591" max="2592" width="11.25" style="1" customWidth="1"/>
    <col min="2593" max="2593" width="10.375" style="1" bestFit="1" customWidth="1"/>
    <col min="2594" max="2595" width="11.25" style="1" customWidth="1"/>
    <col min="2596" max="2596" width="10.375" style="1" customWidth="1"/>
    <col min="2597" max="2598" width="11.25" style="1" customWidth="1"/>
    <col min="2599" max="2599" width="12.25" style="1" bestFit="1" customWidth="1"/>
    <col min="2600" max="2601" width="11.25" style="1" customWidth="1"/>
    <col min="2602" max="2602" width="9.625" style="1" customWidth="1"/>
    <col min="2603" max="2604" width="11.25" style="1" customWidth="1"/>
    <col min="2605" max="2605" width="9.25" style="1" customWidth="1"/>
    <col min="2606" max="2607" width="11.25" style="1" customWidth="1"/>
    <col min="2608" max="2608" width="10.125" style="1" customWidth="1"/>
    <col min="2609" max="2610" width="9.375" style="1" customWidth="1"/>
    <col min="2611" max="2611" width="10.375" style="1" bestFit="1" customWidth="1"/>
    <col min="2612" max="2613" width="9.375" style="1" customWidth="1"/>
    <col min="2614" max="2614" width="9.25" style="1" bestFit="1" customWidth="1"/>
    <col min="2615" max="2615" width="9.375" style="1" customWidth="1"/>
    <col min="2616" max="2616" width="9" style="1" customWidth="1"/>
    <col min="2617" max="2617" width="9.75" style="1" customWidth="1"/>
    <col min="2618" max="2618" width="10.5" style="1" customWidth="1"/>
    <col min="2619" max="2619" width="11.125" style="1" bestFit="1" customWidth="1"/>
    <col min="2620" max="2620" width="10.375" style="1" bestFit="1" customWidth="1"/>
    <col min="2621" max="2621" width="9.375" style="1" customWidth="1"/>
    <col min="2622" max="2622" width="10" style="1" customWidth="1"/>
    <col min="2623" max="2623" width="8.5" style="1" bestFit="1" customWidth="1"/>
    <col min="2624" max="2624" width="10.25" style="1" customWidth="1"/>
    <col min="2625" max="2625" width="10.125" style="1" customWidth="1"/>
    <col min="2626" max="2626" width="9.25" style="1" bestFit="1" customWidth="1"/>
    <col min="2627" max="2627" width="11" style="1" bestFit="1" customWidth="1"/>
    <col min="2628" max="2628" width="10.625" style="1" customWidth="1"/>
    <col min="2629" max="2629" width="10.375" style="1" bestFit="1" customWidth="1"/>
    <col min="2630" max="2630" width="9.5" style="1" bestFit="1" customWidth="1"/>
    <col min="2631" max="2826" width="9" style="1"/>
    <col min="2827" max="2827" width="4" style="1" customWidth="1"/>
    <col min="2828" max="2828" width="17.75" style="1" customWidth="1"/>
    <col min="2829" max="2830" width="12.5" style="1" customWidth="1"/>
    <col min="2831" max="2831" width="12.25" style="1" bestFit="1" customWidth="1"/>
    <col min="2832" max="2833" width="11" style="1" customWidth="1"/>
    <col min="2834" max="2834" width="9.875" style="1" customWidth="1"/>
    <col min="2835" max="2836" width="11" style="1" customWidth="1"/>
    <col min="2837" max="2837" width="10.125" style="1" customWidth="1"/>
    <col min="2838" max="2839" width="11" style="1" customWidth="1"/>
    <col min="2840" max="2840" width="10.375" style="1" customWidth="1"/>
    <col min="2841" max="2842" width="11" style="1" customWidth="1"/>
    <col min="2843" max="2843" width="10.625" style="1" customWidth="1"/>
    <col min="2844" max="2846" width="11" style="1" customWidth="1"/>
    <col min="2847" max="2848" width="11.25" style="1" customWidth="1"/>
    <col min="2849" max="2849" width="10.375" style="1" bestFit="1" customWidth="1"/>
    <col min="2850" max="2851" width="11.25" style="1" customWidth="1"/>
    <col min="2852" max="2852" width="10.375" style="1" customWidth="1"/>
    <col min="2853" max="2854" width="11.25" style="1" customWidth="1"/>
    <col min="2855" max="2855" width="12.25" style="1" bestFit="1" customWidth="1"/>
    <col min="2856" max="2857" width="11.25" style="1" customWidth="1"/>
    <col min="2858" max="2858" width="9.625" style="1" customWidth="1"/>
    <col min="2859" max="2860" width="11.25" style="1" customWidth="1"/>
    <col min="2861" max="2861" width="9.25" style="1" customWidth="1"/>
    <col min="2862" max="2863" width="11.25" style="1" customWidth="1"/>
    <col min="2864" max="2864" width="10.125" style="1" customWidth="1"/>
    <col min="2865" max="2866" width="9.375" style="1" customWidth="1"/>
    <col min="2867" max="2867" width="10.375" style="1" bestFit="1" customWidth="1"/>
    <col min="2868" max="2869" width="9.375" style="1" customWidth="1"/>
    <col min="2870" max="2870" width="9.25" style="1" bestFit="1" customWidth="1"/>
    <col min="2871" max="2871" width="9.375" style="1" customWidth="1"/>
    <col min="2872" max="2872" width="9" style="1" customWidth="1"/>
    <col min="2873" max="2873" width="9.75" style="1" customWidth="1"/>
    <col min="2874" max="2874" width="10.5" style="1" customWidth="1"/>
    <col min="2875" max="2875" width="11.125" style="1" bestFit="1" customWidth="1"/>
    <col min="2876" max="2876" width="10.375" style="1" bestFit="1" customWidth="1"/>
    <col min="2877" max="2877" width="9.375" style="1" customWidth="1"/>
    <col min="2878" max="2878" width="10" style="1" customWidth="1"/>
    <col min="2879" max="2879" width="8.5" style="1" bestFit="1" customWidth="1"/>
    <col min="2880" max="2880" width="10.25" style="1" customWidth="1"/>
    <col min="2881" max="2881" width="10.125" style="1" customWidth="1"/>
    <col min="2882" max="2882" width="9.25" style="1" bestFit="1" customWidth="1"/>
    <col min="2883" max="2883" width="11" style="1" bestFit="1" customWidth="1"/>
    <col min="2884" max="2884" width="10.625" style="1" customWidth="1"/>
    <col min="2885" max="2885" width="10.375" style="1" bestFit="1" customWidth="1"/>
    <col min="2886" max="2886" width="9.5" style="1" bestFit="1" customWidth="1"/>
    <col min="2887" max="3082" width="9" style="1"/>
    <col min="3083" max="3083" width="4" style="1" customWidth="1"/>
    <col min="3084" max="3084" width="17.75" style="1" customWidth="1"/>
    <col min="3085" max="3086" width="12.5" style="1" customWidth="1"/>
    <col min="3087" max="3087" width="12.25" style="1" bestFit="1" customWidth="1"/>
    <col min="3088" max="3089" width="11" style="1" customWidth="1"/>
    <col min="3090" max="3090" width="9.875" style="1" customWidth="1"/>
    <col min="3091" max="3092" width="11" style="1" customWidth="1"/>
    <col min="3093" max="3093" width="10.125" style="1" customWidth="1"/>
    <col min="3094" max="3095" width="11" style="1" customWidth="1"/>
    <col min="3096" max="3096" width="10.375" style="1" customWidth="1"/>
    <col min="3097" max="3098" width="11" style="1" customWidth="1"/>
    <col min="3099" max="3099" width="10.625" style="1" customWidth="1"/>
    <col min="3100" max="3102" width="11" style="1" customWidth="1"/>
    <col min="3103" max="3104" width="11.25" style="1" customWidth="1"/>
    <col min="3105" max="3105" width="10.375" style="1" bestFit="1" customWidth="1"/>
    <col min="3106" max="3107" width="11.25" style="1" customWidth="1"/>
    <col min="3108" max="3108" width="10.375" style="1" customWidth="1"/>
    <col min="3109" max="3110" width="11.25" style="1" customWidth="1"/>
    <col min="3111" max="3111" width="12.25" style="1" bestFit="1" customWidth="1"/>
    <col min="3112" max="3113" width="11.25" style="1" customWidth="1"/>
    <col min="3114" max="3114" width="9.625" style="1" customWidth="1"/>
    <col min="3115" max="3116" width="11.25" style="1" customWidth="1"/>
    <col min="3117" max="3117" width="9.25" style="1" customWidth="1"/>
    <col min="3118" max="3119" width="11.25" style="1" customWidth="1"/>
    <col min="3120" max="3120" width="10.125" style="1" customWidth="1"/>
    <col min="3121" max="3122" width="9.375" style="1" customWidth="1"/>
    <col min="3123" max="3123" width="10.375" style="1" bestFit="1" customWidth="1"/>
    <col min="3124" max="3125" width="9.375" style="1" customWidth="1"/>
    <col min="3126" max="3126" width="9.25" style="1" bestFit="1" customWidth="1"/>
    <col min="3127" max="3127" width="9.375" style="1" customWidth="1"/>
    <col min="3128" max="3128" width="9" style="1" customWidth="1"/>
    <col min="3129" max="3129" width="9.75" style="1" customWidth="1"/>
    <col min="3130" max="3130" width="10.5" style="1" customWidth="1"/>
    <col min="3131" max="3131" width="11.125" style="1" bestFit="1" customWidth="1"/>
    <col min="3132" max="3132" width="10.375" style="1" bestFit="1" customWidth="1"/>
    <col min="3133" max="3133" width="9.375" style="1" customWidth="1"/>
    <col min="3134" max="3134" width="10" style="1" customWidth="1"/>
    <col min="3135" max="3135" width="8.5" style="1" bestFit="1" customWidth="1"/>
    <col min="3136" max="3136" width="10.25" style="1" customWidth="1"/>
    <col min="3137" max="3137" width="10.125" style="1" customWidth="1"/>
    <col min="3138" max="3138" width="9.25" style="1" bestFit="1" customWidth="1"/>
    <col min="3139" max="3139" width="11" style="1" bestFit="1" customWidth="1"/>
    <col min="3140" max="3140" width="10.625" style="1" customWidth="1"/>
    <col min="3141" max="3141" width="10.375" style="1" bestFit="1" customWidth="1"/>
    <col min="3142" max="3142" width="9.5" style="1" bestFit="1" customWidth="1"/>
    <col min="3143" max="3338" width="9" style="1"/>
    <col min="3339" max="3339" width="4" style="1" customWidth="1"/>
    <col min="3340" max="3340" width="17.75" style="1" customWidth="1"/>
    <col min="3341" max="3342" width="12.5" style="1" customWidth="1"/>
    <col min="3343" max="3343" width="12.25" style="1" bestFit="1" customWidth="1"/>
    <col min="3344" max="3345" width="11" style="1" customWidth="1"/>
    <col min="3346" max="3346" width="9.875" style="1" customWidth="1"/>
    <col min="3347" max="3348" width="11" style="1" customWidth="1"/>
    <col min="3349" max="3349" width="10.125" style="1" customWidth="1"/>
    <col min="3350" max="3351" width="11" style="1" customWidth="1"/>
    <col min="3352" max="3352" width="10.375" style="1" customWidth="1"/>
    <col min="3353" max="3354" width="11" style="1" customWidth="1"/>
    <col min="3355" max="3355" width="10.625" style="1" customWidth="1"/>
    <col min="3356" max="3358" width="11" style="1" customWidth="1"/>
    <col min="3359" max="3360" width="11.25" style="1" customWidth="1"/>
    <col min="3361" max="3361" width="10.375" style="1" bestFit="1" customWidth="1"/>
    <col min="3362" max="3363" width="11.25" style="1" customWidth="1"/>
    <col min="3364" max="3364" width="10.375" style="1" customWidth="1"/>
    <col min="3365" max="3366" width="11.25" style="1" customWidth="1"/>
    <col min="3367" max="3367" width="12.25" style="1" bestFit="1" customWidth="1"/>
    <col min="3368" max="3369" width="11.25" style="1" customWidth="1"/>
    <col min="3370" max="3370" width="9.625" style="1" customWidth="1"/>
    <col min="3371" max="3372" width="11.25" style="1" customWidth="1"/>
    <col min="3373" max="3373" width="9.25" style="1" customWidth="1"/>
    <col min="3374" max="3375" width="11.25" style="1" customWidth="1"/>
    <col min="3376" max="3376" width="10.125" style="1" customWidth="1"/>
    <col min="3377" max="3378" width="9.375" style="1" customWidth="1"/>
    <col min="3379" max="3379" width="10.375" style="1" bestFit="1" customWidth="1"/>
    <col min="3380" max="3381" width="9.375" style="1" customWidth="1"/>
    <col min="3382" max="3382" width="9.25" style="1" bestFit="1" customWidth="1"/>
    <col min="3383" max="3383" width="9.375" style="1" customWidth="1"/>
    <col min="3384" max="3384" width="9" style="1" customWidth="1"/>
    <col min="3385" max="3385" width="9.75" style="1" customWidth="1"/>
    <col min="3386" max="3386" width="10.5" style="1" customWidth="1"/>
    <col min="3387" max="3387" width="11.125" style="1" bestFit="1" customWidth="1"/>
    <col min="3388" max="3388" width="10.375" style="1" bestFit="1" customWidth="1"/>
    <col min="3389" max="3389" width="9.375" style="1" customWidth="1"/>
    <col min="3390" max="3390" width="10" style="1" customWidth="1"/>
    <col min="3391" max="3391" width="8.5" style="1" bestFit="1" customWidth="1"/>
    <col min="3392" max="3392" width="10.25" style="1" customWidth="1"/>
    <col min="3393" max="3393" width="10.125" style="1" customWidth="1"/>
    <col min="3394" max="3394" width="9.25" style="1" bestFit="1" customWidth="1"/>
    <col min="3395" max="3395" width="11" style="1" bestFit="1" customWidth="1"/>
    <col min="3396" max="3396" width="10.625" style="1" customWidth="1"/>
    <col min="3397" max="3397" width="10.375" style="1" bestFit="1" customWidth="1"/>
    <col min="3398" max="3398" width="9.5" style="1" bestFit="1" customWidth="1"/>
    <col min="3399" max="3594" width="9" style="1"/>
    <col min="3595" max="3595" width="4" style="1" customWidth="1"/>
    <col min="3596" max="3596" width="17.75" style="1" customWidth="1"/>
    <col min="3597" max="3598" width="12.5" style="1" customWidth="1"/>
    <col min="3599" max="3599" width="12.25" style="1" bestFit="1" customWidth="1"/>
    <col min="3600" max="3601" width="11" style="1" customWidth="1"/>
    <col min="3602" max="3602" width="9.875" style="1" customWidth="1"/>
    <col min="3603" max="3604" width="11" style="1" customWidth="1"/>
    <col min="3605" max="3605" width="10.125" style="1" customWidth="1"/>
    <col min="3606" max="3607" width="11" style="1" customWidth="1"/>
    <col min="3608" max="3608" width="10.375" style="1" customWidth="1"/>
    <col min="3609" max="3610" width="11" style="1" customWidth="1"/>
    <col min="3611" max="3611" width="10.625" style="1" customWidth="1"/>
    <col min="3612" max="3614" width="11" style="1" customWidth="1"/>
    <col min="3615" max="3616" width="11.25" style="1" customWidth="1"/>
    <col min="3617" max="3617" width="10.375" style="1" bestFit="1" customWidth="1"/>
    <col min="3618" max="3619" width="11.25" style="1" customWidth="1"/>
    <col min="3620" max="3620" width="10.375" style="1" customWidth="1"/>
    <col min="3621" max="3622" width="11.25" style="1" customWidth="1"/>
    <col min="3623" max="3623" width="12.25" style="1" bestFit="1" customWidth="1"/>
    <col min="3624" max="3625" width="11.25" style="1" customWidth="1"/>
    <col min="3626" max="3626" width="9.625" style="1" customWidth="1"/>
    <col min="3627" max="3628" width="11.25" style="1" customWidth="1"/>
    <col min="3629" max="3629" width="9.25" style="1" customWidth="1"/>
    <col min="3630" max="3631" width="11.25" style="1" customWidth="1"/>
    <col min="3632" max="3632" width="10.125" style="1" customWidth="1"/>
    <col min="3633" max="3634" width="9.375" style="1" customWidth="1"/>
    <col min="3635" max="3635" width="10.375" style="1" bestFit="1" customWidth="1"/>
    <col min="3636" max="3637" width="9.375" style="1" customWidth="1"/>
    <col min="3638" max="3638" width="9.25" style="1" bestFit="1" customWidth="1"/>
    <col min="3639" max="3639" width="9.375" style="1" customWidth="1"/>
    <col min="3640" max="3640" width="9" style="1" customWidth="1"/>
    <col min="3641" max="3641" width="9.75" style="1" customWidth="1"/>
    <col min="3642" max="3642" width="10.5" style="1" customWidth="1"/>
    <col min="3643" max="3643" width="11.125" style="1" bestFit="1" customWidth="1"/>
    <col min="3644" max="3644" width="10.375" style="1" bestFit="1" customWidth="1"/>
    <col min="3645" max="3645" width="9.375" style="1" customWidth="1"/>
    <col min="3646" max="3646" width="10" style="1" customWidth="1"/>
    <col min="3647" max="3647" width="8.5" style="1" bestFit="1" customWidth="1"/>
    <col min="3648" max="3648" width="10.25" style="1" customWidth="1"/>
    <col min="3649" max="3649" width="10.125" style="1" customWidth="1"/>
    <col min="3650" max="3650" width="9.25" style="1" bestFit="1" customWidth="1"/>
    <col min="3651" max="3651" width="11" style="1" bestFit="1" customWidth="1"/>
    <col min="3652" max="3652" width="10.625" style="1" customWidth="1"/>
    <col min="3653" max="3653" width="10.375" style="1" bestFit="1" customWidth="1"/>
    <col min="3654" max="3654" width="9.5" style="1" bestFit="1" customWidth="1"/>
    <col min="3655" max="3850" width="9" style="1"/>
    <col min="3851" max="3851" width="4" style="1" customWidth="1"/>
    <col min="3852" max="3852" width="17.75" style="1" customWidth="1"/>
    <col min="3853" max="3854" width="12.5" style="1" customWidth="1"/>
    <col min="3855" max="3855" width="12.25" style="1" bestFit="1" customWidth="1"/>
    <col min="3856" max="3857" width="11" style="1" customWidth="1"/>
    <col min="3858" max="3858" width="9.875" style="1" customWidth="1"/>
    <col min="3859" max="3860" width="11" style="1" customWidth="1"/>
    <col min="3861" max="3861" width="10.125" style="1" customWidth="1"/>
    <col min="3862" max="3863" width="11" style="1" customWidth="1"/>
    <col min="3864" max="3864" width="10.375" style="1" customWidth="1"/>
    <col min="3865" max="3866" width="11" style="1" customWidth="1"/>
    <col min="3867" max="3867" width="10.625" style="1" customWidth="1"/>
    <col min="3868" max="3870" width="11" style="1" customWidth="1"/>
    <col min="3871" max="3872" width="11.25" style="1" customWidth="1"/>
    <col min="3873" max="3873" width="10.375" style="1" bestFit="1" customWidth="1"/>
    <col min="3874" max="3875" width="11.25" style="1" customWidth="1"/>
    <col min="3876" max="3876" width="10.375" style="1" customWidth="1"/>
    <col min="3877" max="3878" width="11.25" style="1" customWidth="1"/>
    <col min="3879" max="3879" width="12.25" style="1" bestFit="1" customWidth="1"/>
    <col min="3880" max="3881" width="11.25" style="1" customWidth="1"/>
    <col min="3882" max="3882" width="9.625" style="1" customWidth="1"/>
    <col min="3883" max="3884" width="11.25" style="1" customWidth="1"/>
    <col min="3885" max="3885" width="9.25" style="1" customWidth="1"/>
    <col min="3886" max="3887" width="11.25" style="1" customWidth="1"/>
    <col min="3888" max="3888" width="10.125" style="1" customWidth="1"/>
    <col min="3889" max="3890" width="9.375" style="1" customWidth="1"/>
    <col min="3891" max="3891" width="10.375" style="1" bestFit="1" customWidth="1"/>
    <col min="3892" max="3893" width="9.375" style="1" customWidth="1"/>
    <col min="3894" max="3894" width="9.25" style="1" bestFit="1" customWidth="1"/>
    <col min="3895" max="3895" width="9.375" style="1" customWidth="1"/>
    <col min="3896" max="3896" width="9" style="1" customWidth="1"/>
    <col min="3897" max="3897" width="9.75" style="1" customWidth="1"/>
    <col min="3898" max="3898" width="10.5" style="1" customWidth="1"/>
    <col min="3899" max="3899" width="11.125" style="1" bestFit="1" customWidth="1"/>
    <col min="3900" max="3900" width="10.375" style="1" bestFit="1" customWidth="1"/>
    <col min="3901" max="3901" width="9.375" style="1" customWidth="1"/>
    <col min="3902" max="3902" width="10" style="1" customWidth="1"/>
    <col min="3903" max="3903" width="8.5" style="1" bestFit="1" customWidth="1"/>
    <col min="3904" max="3904" width="10.25" style="1" customWidth="1"/>
    <col min="3905" max="3905" width="10.125" style="1" customWidth="1"/>
    <col min="3906" max="3906" width="9.25" style="1" bestFit="1" customWidth="1"/>
    <col min="3907" max="3907" width="11" style="1" bestFit="1" customWidth="1"/>
    <col min="3908" max="3908" width="10.625" style="1" customWidth="1"/>
    <col min="3909" max="3909" width="10.375" style="1" bestFit="1" customWidth="1"/>
    <col min="3910" max="3910" width="9.5" style="1" bestFit="1" customWidth="1"/>
    <col min="3911" max="4106" width="9" style="1"/>
    <col min="4107" max="4107" width="4" style="1" customWidth="1"/>
    <col min="4108" max="4108" width="17.75" style="1" customWidth="1"/>
    <col min="4109" max="4110" width="12.5" style="1" customWidth="1"/>
    <col min="4111" max="4111" width="12.25" style="1" bestFit="1" customWidth="1"/>
    <col min="4112" max="4113" width="11" style="1" customWidth="1"/>
    <col min="4114" max="4114" width="9.875" style="1" customWidth="1"/>
    <col min="4115" max="4116" width="11" style="1" customWidth="1"/>
    <col min="4117" max="4117" width="10.125" style="1" customWidth="1"/>
    <col min="4118" max="4119" width="11" style="1" customWidth="1"/>
    <col min="4120" max="4120" width="10.375" style="1" customWidth="1"/>
    <col min="4121" max="4122" width="11" style="1" customWidth="1"/>
    <col min="4123" max="4123" width="10.625" style="1" customWidth="1"/>
    <col min="4124" max="4126" width="11" style="1" customWidth="1"/>
    <col min="4127" max="4128" width="11.25" style="1" customWidth="1"/>
    <col min="4129" max="4129" width="10.375" style="1" bestFit="1" customWidth="1"/>
    <col min="4130" max="4131" width="11.25" style="1" customWidth="1"/>
    <col min="4132" max="4132" width="10.375" style="1" customWidth="1"/>
    <col min="4133" max="4134" width="11.25" style="1" customWidth="1"/>
    <col min="4135" max="4135" width="12.25" style="1" bestFit="1" customWidth="1"/>
    <col min="4136" max="4137" width="11.25" style="1" customWidth="1"/>
    <col min="4138" max="4138" width="9.625" style="1" customWidth="1"/>
    <col min="4139" max="4140" width="11.25" style="1" customWidth="1"/>
    <col min="4141" max="4141" width="9.25" style="1" customWidth="1"/>
    <col min="4142" max="4143" width="11.25" style="1" customWidth="1"/>
    <col min="4144" max="4144" width="10.125" style="1" customWidth="1"/>
    <col min="4145" max="4146" width="9.375" style="1" customWidth="1"/>
    <col min="4147" max="4147" width="10.375" style="1" bestFit="1" customWidth="1"/>
    <col min="4148" max="4149" width="9.375" style="1" customWidth="1"/>
    <col min="4150" max="4150" width="9.25" style="1" bestFit="1" customWidth="1"/>
    <col min="4151" max="4151" width="9.375" style="1" customWidth="1"/>
    <col min="4152" max="4152" width="9" style="1" customWidth="1"/>
    <col min="4153" max="4153" width="9.75" style="1" customWidth="1"/>
    <col min="4154" max="4154" width="10.5" style="1" customWidth="1"/>
    <col min="4155" max="4155" width="11.125" style="1" bestFit="1" customWidth="1"/>
    <col min="4156" max="4156" width="10.375" style="1" bestFit="1" customWidth="1"/>
    <col min="4157" max="4157" width="9.375" style="1" customWidth="1"/>
    <col min="4158" max="4158" width="10" style="1" customWidth="1"/>
    <col min="4159" max="4159" width="8.5" style="1" bestFit="1" customWidth="1"/>
    <col min="4160" max="4160" width="10.25" style="1" customWidth="1"/>
    <col min="4161" max="4161" width="10.125" style="1" customWidth="1"/>
    <col min="4162" max="4162" width="9.25" style="1" bestFit="1" customWidth="1"/>
    <col min="4163" max="4163" width="11" style="1" bestFit="1" customWidth="1"/>
    <col min="4164" max="4164" width="10.625" style="1" customWidth="1"/>
    <col min="4165" max="4165" width="10.375" style="1" bestFit="1" customWidth="1"/>
    <col min="4166" max="4166" width="9.5" style="1" bestFit="1" customWidth="1"/>
    <col min="4167" max="4362" width="9" style="1"/>
    <col min="4363" max="4363" width="4" style="1" customWidth="1"/>
    <col min="4364" max="4364" width="17.75" style="1" customWidth="1"/>
    <col min="4365" max="4366" width="12.5" style="1" customWidth="1"/>
    <col min="4367" max="4367" width="12.25" style="1" bestFit="1" customWidth="1"/>
    <col min="4368" max="4369" width="11" style="1" customWidth="1"/>
    <col min="4370" max="4370" width="9.875" style="1" customWidth="1"/>
    <col min="4371" max="4372" width="11" style="1" customWidth="1"/>
    <col min="4373" max="4373" width="10.125" style="1" customWidth="1"/>
    <col min="4374" max="4375" width="11" style="1" customWidth="1"/>
    <col min="4376" max="4376" width="10.375" style="1" customWidth="1"/>
    <col min="4377" max="4378" width="11" style="1" customWidth="1"/>
    <col min="4379" max="4379" width="10.625" style="1" customWidth="1"/>
    <col min="4380" max="4382" width="11" style="1" customWidth="1"/>
    <col min="4383" max="4384" width="11.25" style="1" customWidth="1"/>
    <col min="4385" max="4385" width="10.375" style="1" bestFit="1" customWidth="1"/>
    <col min="4386" max="4387" width="11.25" style="1" customWidth="1"/>
    <col min="4388" max="4388" width="10.375" style="1" customWidth="1"/>
    <col min="4389" max="4390" width="11.25" style="1" customWidth="1"/>
    <col min="4391" max="4391" width="12.25" style="1" bestFit="1" customWidth="1"/>
    <col min="4392" max="4393" width="11.25" style="1" customWidth="1"/>
    <col min="4394" max="4394" width="9.625" style="1" customWidth="1"/>
    <col min="4395" max="4396" width="11.25" style="1" customWidth="1"/>
    <col min="4397" max="4397" width="9.25" style="1" customWidth="1"/>
    <col min="4398" max="4399" width="11.25" style="1" customWidth="1"/>
    <col min="4400" max="4400" width="10.125" style="1" customWidth="1"/>
    <col min="4401" max="4402" width="9.375" style="1" customWidth="1"/>
    <col min="4403" max="4403" width="10.375" style="1" bestFit="1" customWidth="1"/>
    <col min="4404" max="4405" width="9.375" style="1" customWidth="1"/>
    <col min="4406" max="4406" width="9.25" style="1" bestFit="1" customWidth="1"/>
    <col min="4407" max="4407" width="9.375" style="1" customWidth="1"/>
    <col min="4408" max="4408" width="9" style="1" customWidth="1"/>
    <col min="4409" max="4409" width="9.75" style="1" customWidth="1"/>
    <col min="4410" max="4410" width="10.5" style="1" customWidth="1"/>
    <col min="4411" max="4411" width="11.125" style="1" bestFit="1" customWidth="1"/>
    <col min="4412" max="4412" width="10.375" style="1" bestFit="1" customWidth="1"/>
    <col min="4413" max="4413" width="9.375" style="1" customWidth="1"/>
    <col min="4414" max="4414" width="10" style="1" customWidth="1"/>
    <col min="4415" max="4415" width="8.5" style="1" bestFit="1" customWidth="1"/>
    <col min="4416" max="4416" width="10.25" style="1" customWidth="1"/>
    <col min="4417" max="4417" width="10.125" style="1" customWidth="1"/>
    <col min="4418" max="4418" width="9.25" style="1" bestFit="1" customWidth="1"/>
    <col min="4419" max="4419" width="11" style="1" bestFit="1" customWidth="1"/>
    <col min="4420" max="4420" width="10.625" style="1" customWidth="1"/>
    <col min="4421" max="4421" width="10.375" style="1" bestFit="1" customWidth="1"/>
    <col min="4422" max="4422" width="9.5" style="1" bestFit="1" customWidth="1"/>
    <col min="4423" max="4618" width="9" style="1"/>
    <col min="4619" max="4619" width="4" style="1" customWidth="1"/>
    <col min="4620" max="4620" width="17.75" style="1" customWidth="1"/>
    <col min="4621" max="4622" width="12.5" style="1" customWidth="1"/>
    <col min="4623" max="4623" width="12.25" style="1" bestFit="1" customWidth="1"/>
    <col min="4624" max="4625" width="11" style="1" customWidth="1"/>
    <col min="4626" max="4626" width="9.875" style="1" customWidth="1"/>
    <col min="4627" max="4628" width="11" style="1" customWidth="1"/>
    <col min="4629" max="4629" width="10.125" style="1" customWidth="1"/>
    <col min="4630" max="4631" width="11" style="1" customWidth="1"/>
    <col min="4632" max="4632" width="10.375" style="1" customWidth="1"/>
    <col min="4633" max="4634" width="11" style="1" customWidth="1"/>
    <col min="4635" max="4635" width="10.625" style="1" customWidth="1"/>
    <col min="4636" max="4638" width="11" style="1" customWidth="1"/>
    <col min="4639" max="4640" width="11.25" style="1" customWidth="1"/>
    <col min="4641" max="4641" width="10.375" style="1" bestFit="1" customWidth="1"/>
    <col min="4642" max="4643" width="11.25" style="1" customWidth="1"/>
    <col min="4644" max="4644" width="10.375" style="1" customWidth="1"/>
    <col min="4645" max="4646" width="11.25" style="1" customWidth="1"/>
    <col min="4647" max="4647" width="12.25" style="1" bestFit="1" customWidth="1"/>
    <col min="4648" max="4649" width="11.25" style="1" customWidth="1"/>
    <col min="4650" max="4650" width="9.625" style="1" customWidth="1"/>
    <col min="4651" max="4652" width="11.25" style="1" customWidth="1"/>
    <col min="4653" max="4653" width="9.25" style="1" customWidth="1"/>
    <col min="4654" max="4655" width="11.25" style="1" customWidth="1"/>
    <col min="4656" max="4656" width="10.125" style="1" customWidth="1"/>
    <col min="4657" max="4658" width="9.375" style="1" customWidth="1"/>
    <col min="4659" max="4659" width="10.375" style="1" bestFit="1" customWidth="1"/>
    <col min="4660" max="4661" width="9.375" style="1" customWidth="1"/>
    <col min="4662" max="4662" width="9.25" style="1" bestFit="1" customWidth="1"/>
    <col min="4663" max="4663" width="9.375" style="1" customWidth="1"/>
    <col min="4664" max="4664" width="9" style="1" customWidth="1"/>
    <col min="4665" max="4665" width="9.75" style="1" customWidth="1"/>
    <col min="4666" max="4666" width="10.5" style="1" customWidth="1"/>
    <col min="4667" max="4667" width="11.125" style="1" bestFit="1" customWidth="1"/>
    <col min="4668" max="4668" width="10.375" style="1" bestFit="1" customWidth="1"/>
    <col min="4669" max="4669" width="9.375" style="1" customWidth="1"/>
    <col min="4670" max="4670" width="10" style="1" customWidth="1"/>
    <col min="4671" max="4671" width="8.5" style="1" bestFit="1" customWidth="1"/>
    <col min="4672" max="4672" width="10.25" style="1" customWidth="1"/>
    <col min="4673" max="4673" width="10.125" style="1" customWidth="1"/>
    <col min="4674" max="4674" width="9.25" style="1" bestFit="1" customWidth="1"/>
    <col min="4675" max="4675" width="11" style="1" bestFit="1" customWidth="1"/>
    <col min="4676" max="4676" width="10.625" style="1" customWidth="1"/>
    <col min="4677" max="4677" width="10.375" style="1" bestFit="1" customWidth="1"/>
    <col min="4678" max="4678" width="9.5" style="1" bestFit="1" customWidth="1"/>
    <col min="4679" max="4874" width="9" style="1"/>
    <col min="4875" max="4875" width="4" style="1" customWidth="1"/>
    <col min="4876" max="4876" width="17.75" style="1" customWidth="1"/>
    <col min="4877" max="4878" width="12.5" style="1" customWidth="1"/>
    <col min="4879" max="4879" width="12.25" style="1" bestFit="1" customWidth="1"/>
    <col min="4880" max="4881" width="11" style="1" customWidth="1"/>
    <col min="4882" max="4882" width="9.875" style="1" customWidth="1"/>
    <col min="4883" max="4884" width="11" style="1" customWidth="1"/>
    <col min="4885" max="4885" width="10.125" style="1" customWidth="1"/>
    <col min="4886" max="4887" width="11" style="1" customWidth="1"/>
    <col min="4888" max="4888" width="10.375" style="1" customWidth="1"/>
    <col min="4889" max="4890" width="11" style="1" customWidth="1"/>
    <col min="4891" max="4891" width="10.625" style="1" customWidth="1"/>
    <col min="4892" max="4894" width="11" style="1" customWidth="1"/>
    <col min="4895" max="4896" width="11.25" style="1" customWidth="1"/>
    <col min="4897" max="4897" width="10.375" style="1" bestFit="1" customWidth="1"/>
    <col min="4898" max="4899" width="11.25" style="1" customWidth="1"/>
    <col min="4900" max="4900" width="10.375" style="1" customWidth="1"/>
    <col min="4901" max="4902" width="11.25" style="1" customWidth="1"/>
    <col min="4903" max="4903" width="12.25" style="1" bestFit="1" customWidth="1"/>
    <col min="4904" max="4905" width="11.25" style="1" customWidth="1"/>
    <col min="4906" max="4906" width="9.625" style="1" customWidth="1"/>
    <col min="4907" max="4908" width="11.25" style="1" customWidth="1"/>
    <col min="4909" max="4909" width="9.25" style="1" customWidth="1"/>
    <col min="4910" max="4911" width="11.25" style="1" customWidth="1"/>
    <col min="4912" max="4912" width="10.125" style="1" customWidth="1"/>
    <col min="4913" max="4914" width="9.375" style="1" customWidth="1"/>
    <col min="4915" max="4915" width="10.375" style="1" bestFit="1" customWidth="1"/>
    <col min="4916" max="4917" width="9.375" style="1" customWidth="1"/>
    <col min="4918" max="4918" width="9.25" style="1" bestFit="1" customWidth="1"/>
    <col min="4919" max="4919" width="9.375" style="1" customWidth="1"/>
    <col min="4920" max="4920" width="9" style="1" customWidth="1"/>
    <col min="4921" max="4921" width="9.75" style="1" customWidth="1"/>
    <col min="4922" max="4922" width="10.5" style="1" customWidth="1"/>
    <col min="4923" max="4923" width="11.125" style="1" bestFit="1" customWidth="1"/>
    <col min="4924" max="4924" width="10.375" style="1" bestFit="1" customWidth="1"/>
    <col min="4925" max="4925" width="9.375" style="1" customWidth="1"/>
    <col min="4926" max="4926" width="10" style="1" customWidth="1"/>
    <col min="4927" max="4927" width="8.5" style="1" bestFit="1" customWidth="1"/>
    <col min="4928" max="4928" width="10.25" style="1" customWidth="1"/>
    <col min="4929" max="4929" width="10.125" style="1" customWidth="1"/>
    <col min="4930" max="4930" width="9.25" style="1" bestFit="1" customWidth="1"/>
    <col min="4931" max="4931" width="11" style="1" bestFit="1" customWidth="1"/>
    <col min="4932" max="4932" width="10.625" style="1" customWidth="1"/>
    <col min="4933" max="4933" width="10.375" style="1" bestFit="1" customWidth="1"/>
    <col min="4934" max="4934" width="9.5" style="1" bestFit="1" customWidth="1"/>
    <col min="4935" max="5130" width="9" style="1"/>
    <col min="5131" max="5131" width="4" style="1" customWidth="1"/>
    <col min="5132" max="5132" width="17.75" style="1" customWidth="1"/>
    <col min="5133" max="5134" width="12.5" style="1" customWidth="1"/>
    <col min="5135" max="5135" width="12.25" style="1" bestFit="1" customWidth="1"/>
    <col min="5136" max="5137" width="11" style="1" customWidth="1"/>
    <col min="5138" max="5138" width="9.875" style="1" customWidth="1"/>
    <col min="5139" max="5140" width="11" style="1" customWidth="1"/>
    <col min="5141" max="5141" width="10.125" style="1" customWidth="1"/>
    <col min="5142" max="5143" width="11" style="1" customWidth="1"/>
    <col min="5144" max="5144" width="10.375" style="1" customWidth="1"/>
    <col min="5145" max="5146" width="11" style="1" customWidth="1"/>
    <col min="5147" max="5147" width="10.625" style="1" customWidth="1"/>
    <col min="5148" max="5150" width="11" style="1" customWidth="1"/>
    <col min="5151" max="5152" width="11.25" style="1" customWidth="1"/>
    <col min="5153" max="5153" width="10.375" style="1" bestFit="1" customWidth="1"/>
    <col min="5154" max="5155" width="11.25" style="1" customWidth="1"/>
    <col min="5156" max="5156" width="10.375" style="1" customWidth="1"/>
    <col min="5157" max="5158" width="11.25" style="1" customWidth="1"/>
    <col min="5159" max="5159" width="12.25" style="1" bestFit="1" customWidth="1"/>
    <col min="5160" max="5161" width="11.25" style="1" customWidth="1"/>
    <col min="5162" max="5162" width="9.625" style="1" customWidth="1"/>
    <col min="5163" max="5164" width="11.25" style="1" customWidth="1"/>
    <col min="5165" max="5165" width="9.25" style="1" customWidth="1"/>
    <col min="5166" max="5167" width="11.25" style="1" customWidth="1"/>
    <col min="5168" max="5168" width="10.125" style="1" customWidth="1"/>
    <col min="5169" max="5170" width="9.375" style="1" customWidth="1"/>
    <col min="5171" max="5171" width="10.375" style="1" bestFit="1" customWidth="1"/>
    <col min="5172" max="5173" width="9.375" style="1" customWidth="1"/>
    <col min="5174" max="5174" width="9.25" style="1" bestFit="1" customWidth="1"/>
    <col min="5175" max="5175" width="9.375" style="1" customWidth="1"/>
    <col min="5176" max="5176" width="9" style="1" customWidth="1"/>
    <col min="5177" max="5177" width="9.75" style="1" customWidth="1"/>
    <col min="5178" max="5178" width="10.5" style="1" customWidth="1"/>
    <col min="5179" max="5179" width="11.125" style="1" bestFit="1" customWidth="1"/>
    <col min="5180" max="5180" width="10.375" style="1" bestFit="1" customWidth="1"/>
    <col min="5181" max="5181" width="9.375" style="1" customWidth="1"/>
    <col min="5182" max="5182" width="10" style="1" customWidth="1"/>
    <col min="5183" max="5183" width="8.5" style="1" bestFit="1" customWidth="1"/>
    <col min="5184" max="5184" width="10.25" style="1" customWidth="1"/>
    <col min="5185" max="5185" width="10.125" style="1" customWidth="1"/>
    <col min="5186" max="5186" width="9.25" style="1" bestFit="1" customWidth="1"/>
    <col min="5187" max="5187" width="11" style="1" bestFit="1" customWidth="1"/>
    <col min="5188" max="5188" width="10.625" style="1" customWidth="1"/>
    <col min="5189" max="5189" width="10.375" style="1" bestFit="1" customWidth="1"/>
    <col min="5190" max="5190" width="9.5" style="1" bestFit="1" customWidth="1"/>
    <col min="5191" max="5386" width="9" style="1"/>
    <col min="5387" max="5387" width="4" style="1" customWidth="1"/>
    <col min="5388" max="5388" width="17.75" style="1" customWidth="1"/>
    <col min="5389" max="5390" width="12.5" style="1" customWidth="1"/>
    <col min="5391" max="5391" width="12.25" style="1" bestFit="1" customWidth="1"/>
    <col min="5392" max="5393" width="11" style="1" customWidth="1"/>
    <col min="5394" max="5394" width="9.875" style="1" customWidth="1"/>
    <col min="5395" max="5396" width="11" style="1" customWidth="1"/>
    <col min="5397" max="5397" width="10.125" style="1" customWidth="1"/>
    <col min="5398" max="5399" width="11" style="1" customWidth="1"/>
    <col min="5400" max="5400" width="10.375" style="1" customWidth="1"/>
    <col min="5401" max="5402" width="11" style="1" customWidth="1"/>
    <col min="5403" max="5403" width="10.625" style="1" customWidth="1"/>
    <col min="5404" max="5406" width="11" style="1" customWidth="1"/>
    <col min="5407" max="5408" width="11.25" style="1" customWidth="1"/>
    <col min="5409" max="5409" width="10.375" style="1" bestFit="1" customWidth="1"/>
    <col min="5410" max="5411" width="11.25" style="1" customWidth="1"/>
    <col min="5412" max="5412" width="10.375" style="1" customWidth="1"/>
    <col min="5413" max="5414" width="11.25" style="1" customWidth="1"/>
    <col min="5415" max="5415" width="12.25" style="1" bestFit="1" customWidth="1"/>
    <col min="5416" max="5417" width="11.25" style="1" customWidth="1"/>
    <col min="5418" max="5418" width="9.625" style="1" customWidth="1"/>
    <col min="5419" max="5420" width="11.25" style="1" customWidth="1"/>
    <col min="5421" max="5421" width="9.25" style="1" customWidth="1"/>
    <col min="5422" max="5423" width="11.25" style="1" customWidth="1"/>
    <col min="5424" max="5424" width="10.125" style="1" customWidth="1"/>
    <col min="5425" max="5426" width="9.375" style="1" customWidth="1"/>
    <col min="5427" max="5427" width="10.375" style="1" bestFit="1" customWidth="1"/>
    <col min="5428" max="5429" width="9.375" style="1" customWidth="1"/>
    <col min="5430" max="5430" width="9.25" style="1" bestFit="1" customWidth="1"/>
    <col min="5431" max="5431" width="9.375" style="1" customWidth="1"/>
    <col min="5432" max="5432" width="9" style="1" customWidth="1"/>
    <col min="5433" max="5433" width="9.75" style="1" customWidth="1"/>
    <col min="5434" max="5434" width="10.5" style="1" customWidth="1"/>
    <col min="5435" max="5435" width="11.125" style="1" bestFit="1" customWidth="1"/>
    <col min="5436" max="5436" width="10.375" style="1" bestFit="1" customWidth="1"/>
    <col min="5437" max="5437" width="9.375" style="1" customWidth="1"/>
    <col min="5438" max="5438" width="10" style="1" customWidth="1"/>
    <col min="5439" max="5439" width="8.5" style="1" bestFit="1" customWidth="1"/>
    <col min="5440" max="5440" width="10.25" style="1" customWidth="1"/>
    <col min="5441" max="5441" width="10.125" style="1" customWidth="1"/>
    <col min="5442" max="5442" width="9.25" style="1" bestFit="1" customWidth="1"/>
    <col min="5443" max="5443" width="11" style="1" bestFit="1" customWidth="1"/>
    <col min="5444" max="5444" width="10.625" style="1" customWidth="1"/>
    <col min="5445" max="5445" width="10.375" style="1" bestFit="1" customWidth="1"/>
    <col min="5446" max="5446" width="9.5" style="1" bestFit="1" customWidth="1"/>
    <col min="5447" max="5642" width="9" style="1"/>
    <col min="5643" max="5643" width="4" style="1" customWidth="1"/>
    <col min="5644" max="5644" width="17.75" style="1" customWidth="1"/>
    <col min="5645" max="5646" width="12.5" style="1" customWidth="1"/>
    <col min="5647" max="5647" width="12.25" style="1" bestFit="1" customWidth="1"/>
    <col min="5648" max="5649" width="11" style="1" customWidth="1"/>
    <col min="5650" max="5650" width="9.875" style="1" customWidth="1"/>
    <col min="5651" max="5652" width="11" style="1" customWidth="1"/>
    <col min="5653" max="5653" width="10.125" style="1" customWidth="1"/>
    <col min="5654" max="5655" width="11" style="1" customWidth="1"/>
    <col min="5656" max="5656" width="10.375" style="1" customWidth="1"/>
    <col min="5657" max="5658" width="11" style="1" customWidth="1"/>
    <col min="5659" max="5659" width="10.625" style="1" customWidth="1"/>
    <col min="5660" max="5662" width="11" style="1" customWidth="1"/>
    <col min="5663" max="5664" width="11.25" style="1" customWidth="1"/>
    <col min="5665" max="5665" width="10.375" style="1" bestFit="1" customWidth="1"/>
    <col min="5666" max="5667" width="11.25" style="1" customWidth="1"/>
    <col min="5668" max="5668" width="10.375" style="1" customWidth="1"/>
    <col min="5669" max="5670" width="11.25" style="1" customWidth="1"/>
    <col min="5671" max="5671" width="12.25" style="1" bestFit="1" customWidth="1"/>
    <col min="5672" max="5673" width="11.25" style="1" customWidth="1"/>
    <col min="5674" max="5674" width="9.625" style="1" customWidth="1"/>
    <col min="5675" max="5676" width="11.25" style="1" customWidth="1"/>
    <col min="5677" max="5677" width="9.25" style="1" customWidth="1"/>
    <col min="5678" max="5679" width="11.25" style="1" customWidth="1"/>
    <col min="5680" max="5680" width="10.125" style="1" customWidth="1"/>
    <col min="5681" max="5682" width="9.375" style="1" customWidth="1"/>
    <col min="5683" max="5683" width="10.375" style="1" bestFit="1" customWidth="1"/>
    <col min="5684" max="5685" width="9.375" style="1" customWidth="1"/>
    <col min="5686" max="5686" width="9.25" style="1" bestFit="1" customWidth="1"/>
    <col min="5687" max="5687" width="9.375" style="1" customWidth="1"/>
    <col min="5688" max="5688" width="9" style="1" customWidth="1"/>
    <col min="5689" max="5689" width="9.75" style="1" customWidth="1"/>
    <col min="5690" max="5690" width="10.5" style="1" customWidth="1"/>
    <col min="5691" max="5691" width="11.125" style="1" bestFit="1" customWidth="1"/>
    <col min="5692" max="5692" width="10.375" style="1" bestFit="1" customWidth="1"/>
    <col min="5693" max="5693" width="9.375" style="1" customWidth="1"/>
    <col min="5694" max="5694" width="10" style="1" customWidth="1"/>
    <col min="5695" max="5695" width="8.5" style="1" bestFit="1" customWidth="1"/>
    <col min="5696" max="5696" width="10.25" style="1" customWidth="1"/>
    <col min="5697" max="5697" width="10.125" style="1" customWidth="1"/>
    <col min="5698" max="5698" width="9.25" style="1" bestFit="1" customWidth="1"/>
    <col min="5699" max="5699" width="11" style="1" bestFit="1" customWidth="1"/>
    <col min="5700" max="5700" width="10.625" style="1" customWidth="1"/>
    <col min="5701" max="5701" width="10.375" style="1" bestFit="1" customWidth="1"/>
    <col min="5702" max="5702" width="9.5" style="1" bestFit="1" customWidth="1"/>
    <col min="5703" max="5898" width="9" style="1"/>
    <col min="5899" max="5899" width="4" style="1" customWidth="1"/>
    <col min="5900" max="5900" width="17.75" style="1" customWidth="1"/>
    <col min="5901" max="5902" width="12.5" style="1" customWidth="1"/>
    <col min="5903" max="5903" width="12.25" style="1" bestFit="1" customWidth="1"/>
    <col min="5904" max="5905" width="11" style="1" customWidth="1"/>
    <col min="5906" max="5906" width="9.875" style="1" customWidth="1"/>
    <col min="5907" max="5908" width="11" style="1" customWidth="1"/>
    <col min="5909" max="5909" width="10.125" style="1" customWidth="1"/>
    <col min="5910" max="5911" width="11" style="1" customWidth="1"/>
    <col min="5912" max="5912" width="10.375" style="1" customWidth="1"/>
    <col min="5913" max="5914" width="11" style="1" customWidth="1"/>
    <col min="5915" max="5915" width="10.625" style="1" customWidth="1"/>
    <col min="5916" max="5918" width="11" style="1" customWidth="1"/>
    <col min="5919" max="5920" width="11.25" style="1" customWidth="1"/>
    <col min="5921" max="5921" width="10.375" style="1" bestFit="1" customWidth="1"/>
    <col min="5922" max="5923" width="11.25" style="1" customWidth="1"/>
    <col min="5924" max="5924" width="10.375" style="1" customWidth="1"/>
    <col min="5925" max="5926" width="11.25" style="1" customWidth="1"/>
    <col min="5927" max="5927" width="12.25" style="1" bestFit="1" customWidth="1"/>
    <col min="5928" max="5929" width="11.25" style="1" customWidth="1"/>
    <col min="5930" max="5930" width="9.625" style="1" customWidth="1"/>
    <col min="5931" max="5932" width="11.25" style="1" customWidth="1"/>
    <col min="5933" max="5933" width="9.25" style="1" customWidth="1"/>
    <col min="5934" max="5935" width="11.25" style="1" customWidth="1"/>
    <col min="5936" max="5936" width="10.125" style="1" customWidth="1"/>
    <col min="5937" max="5938" width="9.375" style="1" customWidth="1"/>
    <col min="5939" max="5939" width="10.375" style="1" bestFit="1" customWidth="1"/>
    <col min="5940" max="5941" width="9.375" style="1" customWidth="1"/>
    <col min="5942" max="5942" width="9.25" style="1" bestFit="1" customWidth="1"/>
    <col min="5943" max="5943" width="9.375" style="1" customWidth="1"/>
    <col min="5944" max="5944" width="9" style="1" customWidth="1"/>
    <col min="5945" max="5945" width="9.75" style="1" customWidth="1"/>
    <col min="5946" max="5946" width="10.5" style="1" customWidth="1"/>
    <col min="5947" max="5947" width="11.125" style="1" bestFit="1" customWidth="1"/>
    <col min="5948" max="5948" width="10.375" style="1" bestFit="1" customWidth="1"/>
    <col min="5949" max="5949" width="9.375" style="1" customWidth="1"/>
    <col min="5950" max="5950" width="10" style="1" customWidth="1"/>
    <col min="5951" max="5951" width="8.5" style="1" bestFit="1" customWidth="1"/>
    <col min="5952" max="5952" width="10.25" style="1" customWidth="1"/>
    <col min="5953" max="5953" width="10.125" style="1" customWidth="1"/>
    <col min="5954" max="5954" width="9.25" style="1" bestFit="1" customWidth="1"/>
    <col min="5955" max="5955" width="11" style="1" bestFit="1" customWidth="1"/>
    <col min="5956" max="5956" width="10.625" style="1" customWidth="1"/>
    <col min="5957" max="5957" width="10.375" style="1" bestFit="1" customWidth="1"/>
    <col min="5958" max="5958" width="9.5" style="1" bestFit="1" customWidth="1"/>
    <col min="5959" max="6154" width="9" style="1"/>
    <col min="6155" max="6155" width="4" style="1" customWidth="1"/>
    <col min="6156" max="6156" width="17.75" style="1" customWidth="1"/>
    <col min="6157" max="6158" width="12.5" style="1" customWidth="1"/>
    <col min="6159" max="6159" width="12.25" style="1" bestFit="1" customWidth="1"/>
    <col min="6160" max="6161" width="11" style="1" customWidth="1"/>
    <col min="6162" max="6162" width="9.875" style="1" customWidth="1"/>
    <col min="6163" max="6164" width="11" style="1" customWidth="1"/>
    <col min="6165" max="6165" width="10.125" style="1" customWidth="1"/>
    <col min="6166" max="6167" width="11" style="1" customWidth="1"/>
    <col min="6168" max="6168" width="10.375" style="1" customWidth="1"/>
    <col min="6169" max="6170" width="11" style="1" customWidth="1"/>
    <col min="6171" max="6171" width="10.625" style="1" customWidth="1"/>
    <col min="6172" max="6174" width="11" style="1" customWidth="1"/>
    <col min="6175" max="6176" width="11.25" style="1" customWidth="1"/>
    <col min="6177" max="6177" width="10.375" style="1" bestFit="1" customWidth="1"/>
    <col min="6178" max="6179" width="11.25" style="1" customWidth="1"/>
    <col min="6180" max="6180" width="10.375" style="1" customWidth="1"/>
    <col min="6181" max="6182" width="11.25" style="1" customWidth="1"/>
    <col min="6183" max="6183" width="12.25" style="1" bestFit="1" customWidth="1"/>
    <col min="6184" max="6185" width="11.25" style="1" customWidth="1"/>
    <col min="6186" max="6186" width="9.625" style="1" customWidth="1"/>
    <col min="6187" max="6188" width="11.25" style="1" customWidth="1"/>
    <col min="6189" max="6189" width="9.25" style="1" customWidth="1"/>
    <col min="6190" max="6191" width="11.25" style="1" customWidth="1"/>
    <col min="6192" max="6192" width="10.125" style="1" customWidth="1"/>
    <col min="6193" max="6194" width="9.375" style="1" customWidth="1"/>
    <col min="6195" max="6195" width="10.375" style="1" bestFit="1" customWidth="1"/>
    <col min="6196" max="6197" width="9.375" style="1" customWidth="1"/>
    <col min="6198" max="6198" width="9.25" style="1" bestFit="1" customWidth="1"/>
    <col min="6199" max="6199" width="9.375" style="1" customWidth="1"/>
    <col min="6200" max="6200" width="9" style="1" customWidth="1"/>
    <col min="6201" max="6201" width="9.75" style="1" customWidth="1"/>
    <col min="6202" max="6202" width="10.5" style="1" customWidth="1"/>
    <col min="6203" max="6203" width="11.125" style="1" bestFit="1" customWidth="1"/>
    <col min="6204" max="6204" width="10.375" style="1" bestFit="1" customWidth="1"/>
    <col min="6205" max="6205" width="9.375" style="1" customWidth="1"/>
    <col min="6206" max="6206" width="10" style="1" customWidth="1"/>
    <col min="6207" max="6207" width="8.5" style="1" bestFit="1" customWidth="1"/>
    <col min="6208" max="6208" width="10.25" style="1" customWidth="1"/>
    <col min="6209" max="6209" width="10.125" style="1" customWidth="1"/>
    <col min="6210" max="6210" width="9.25" style="1" bestFit="1" customWidth="1"/>
    <col min="6211" max="6211" width="11" style="1" bestFit="1" customWidth="1"/>
    <col min="6212" max="6212" width="10.625" style="1" customWidth="1"/>
    <col min="6213" max="6213" width="10.375" style="1" bestFit="1" customWidth="1"/>
    <col min="6214" max="6214" width="9.5" style="1" bestFit="1" customWidth="1"/>
    <col min="6215" max="6410" width="9" style="1"/>
    <col min="6411" max="6411" width="4" style="1" customWidth="1"/>
    <col min="6412" max="6412" width="17.75" style="1" customWidth="1"/>
    <col min="6413" max="6414" width="12.5" style="1" customWidth="1"/>
    <col min="6415" max="6415" width="12.25" style="1" bestFit="1" customWidth="1"/>
    <col min="6416" max="6417" width="11" style="1" customWidth="1"/>
    <col min="6418" max="6418" width="9.875" style="1" customWidth="1"/>
    <col min="6419" max="6420" width="11" style="1" customWidth="1"/>
    <col min="6421" max="6421" width="10.125" style="1" customWidth="1"/>
    <col min="6422" max="6423" width="11" style="1" customWidth="1"/>
    <col min="6424" max="6424" width="10.375" style="1" customWidth="1"/>
    <col min="6425" max="6426" width="11" style="1" customWidth="1"/>
    <col min="6427" max="6427" width="10.625" style="1" customWidth="1"/>
    <col min="6428" max="6430" width="11" style="1" customWidth="1"/>
    <col min="6431" max="6432" width="11.25" style="1" customWidth="1"/>
    <col min="6433" max="6433" width="10.375" style="1" bestFit="1" customWidth="1"/>
    <col min="6434" max="6435" width="11.25" style="1" customWidth="1"/>
    <col min="6436" max="6436" width="10.375" style="1" customWidth="1"/>
    <col min="6437" max="6438" width="11.25" style="1" customWidth="1"/>
    <col min="6439" max="6439" width="12.25" style="1" bestFit="1" customWidth="1"/>
    <col min="6440" max="6441" width="11.25" style="1" customWidth="1"/>
    <col min="6442" max="6442" width="9.625" style="1" customWidth="1"/>
    <col min="6443" max="6444" width="11.25" style="1" customWidth="1"/>
    <col min="6445" max="6445" width="9.25" style="1" customWidth="1"/>
    <col min="6446" max="6447" width="11.25" style="1" customWidth="1"/>
    <col min="6448" max="6448" width="10.125" style="1" customWidth="1"/>
    <col min="6449" max="6450" width="9.375" style="1" customWidth="1"/>
    <col min="6451" max="6451" width="10.375" style="1" bestFit="1" customWidth="1"/>
    <col min="6452" max="6453" width="9.375" style="1" customWidth="1"/>
    <col min="6454" max="6454" width="9.25" style="1" bestFit="1" customWidth="1"/>
    <col min="6455" max="6455" width="9.375" style="1" customWidth="1"/>
    <col min="6456" max="6456" width="9" style="1" customWidth="1"/>
    <col min="6457" max="6457" width="9.75" style="1" customWidth="1"/>
    <col min="6458" max="6458" width="10.5" style="1" customWidth="1"/>
    <col min="6459" max="6459" width="11.125" style="1" bestFit="1" customWidth="1"/>
    <col min="6460" max="6460" width="10.375" style="1" bestFit="1" customWidth="1"/>
    <col min="6461" max="6461" width="9.375" style="1" customWidth="1"/>
    <col min="6462" max="6462" width="10" style="1" customWidth="1"/>
    <col min="6463" max="6463" width="8.5" style="1" bestFit="1" customWidth="1"/>
    <col min="6464" max="6464" width="10.25" style="1" customWidth="1"/>
    <col min="6465" max="6465" width="10.125" style="1" customWidth="1"/>
    <col min="6466" max="6466" width="9.25" style="1" bestFit="1" customWidth="1"/>
    <col min="6467" max="6467" width="11" style="1" bestFit="1" customWidth="1"/>
    <col min="6468" max="6468" width="10.625" style="1" customWidth="1"/>
    <col min="6469" max="6469" width="10.375" style="1" bestFit="1" customWidth="1"/>
    <col min="6470" max="6470" width="9.5" style="1" bestFit="1" customWidth="1"/>
    <col min="6471" max="6666" width="9" style="1"/>
    <col min="6667" max="6667" width="4" style="1" customWidth="1"/>
    <col min="6668" max="6668" width="17.75" style="1" customWidth="1"/>
    <col min="6669" max="6670" width="12.5" style="1" customWidth="1"/>
    <col min="6671" max="6671" width="12.25" style="1" bestFit="1" customWidth="1"/>
    <col min="6672" max="6673" width="11" style="1" customWidth="1"/>
    <col min="6674" max="6674" width="9.875" style="1" customWidth="1"/>
    <col min="6675" max="6676" width="11" style="1" customWidth="1"/>
    <col min="6677" max="6677" width="10.125" style="1" customWidth="1"/>
    <col min="6678" max="6679" width="11" style="1" customWidth="1"/>
    <col min="6680" max="6680" width="10.375" style="1" customWidth="1"/>
    <col min="6681" max="6682" width="11" style="1" customWidth="1"/>
    <col min="6683" max="6683" width="10.625" style="1" customWidth="1"/>
    <col min="6684" max="6686" width="11" style="1" customWidth="1"/>
    <col min="6687" max="6688" width="11.25" style="1" customWidth="1"/>
    <col min="6689" max="6689" width="10.375" style="1" bestFit="1" customWidth="1"/>
    <col min="6690" max="6691" width="11.25" style="1" customWidth="1"/>
    <col min="6692" max="6692" width="10.375" style="1" customWidth="1"/>
    <col min="6693" max="6694" width="11.25" style="1" customWidth="1"/>
    <col min="6695" max="6695" width="12.25" style="1" bestFit="1" customWidth="1"/>
    <col min="6696" max="6697" width="11.25" style="1" customWidth="1"/>
    <col min="6698" max="6698" width="9.625" style="1" customWidth="1"/>
    <col min="6699" max="6700" width="11.25" style="1" customWidth="1"/>
    <col min="6701" max="6701" width="9.25" style="1" customWidth="1"/>
    <col min="6702" max="6703" width="11.25" style="1" customWidth="1"/>
    <col min="6704" max="6704" width="10.125" style="1" customWidth="1"/>
    <col min="6705" max="6706" width="9.375" style="1" customWidth="1"/>
    <col min="6707" max="6707" width="10.375" style="1" bestFit="1" customWidth="1"/>
    <col min="6708" max="6709" width="9.375" style="1" customWidth="1"/>
    <col min="6710" max="6710" width="9.25" style="1" bestFit="1" customWidth="1"/>
    <col min="6711" max="6711" width="9.375" style="1" customWidth="1"/>
    <col min="6712" max="6712" width="9" style="1" customWidth="1"/>
    <col min="6713" max="6713" width="9.75" style="1" customWidth="1"/>
    <col min="6714" max="6714" width="10.5" style="1" customWidth="1"/>
    <col min="6715" max="6715" width="11.125" style="1" bestFit="1" customWidth="1"/>
    <col min="6716" max="6716" width="10.375" style="1" bestFit="1" customWidth="1"/>
    <col min="6717" max="6717" width="9.375" style="1" customWidth="1"/>
    <col min="6718" max="6718" width="10" style="1" customWidth="1"/>
    <col min="6719" max="6719" width="8.5" style="1" bestFit="1" customWidth="1"/>
    <col min="6720" max="6720" width="10.25" style="1" customWidth="1"/>
    <col min="6721" max="6721" width="10.125" style="1" customWidth="1"/>
    <col min="6722" max="6722" width="9.25" style="1" bestFit="1" customWidth="1"/>
    <col min="6723" max="6723" width="11" style="1" bestFit="1" customWidth="1"/>
    <col min="6724" max="6724" width="10.625" style="1" customWidth="1"/>
    <col min="6725" max="6725" width="10.375" style="1" bestFit="1" customWidth="1"/>
    <col min="6726" max="6726" width="9.5" style="1" bestFit="1" customWidth="1"/>
    <col min="6727" max="6922" width="9" style="1"/>
    <col min="6923" max="6923" width="4" style="1" customWidth="1"/>
    <col min="6924" max="6924" width="17.75" style="1" customWidth="1"/>
    <col min="6925" max="6926" width="12.5" style="1" customWidth="1"/>
    <col min="6927" max="6927" width="12.25" style="1" bestFit="1" customWidth="1"/>
    <col min="6928" max="6929" width="11" style="1" customWidth="1"/>
    <col min="6930" max="6930" width="9.875" style="1" customWidth="1"/>
    <col min="6931" max="6932" width="11" style="1" customWidth="1"/>
    <col min="6933" max="6933" width="10.125" style="1" customWidth="1"/>
    <col min="6934" max="6935" width="11" style="1" customWidth="1"/>
    <col min="6936" max="6936" width="10.375" style="1" customWidth="1"/>
    <col min="6937" max="6938" width="11" style="1" customWidth="1"/>
    <col min="6939" max="6939" width="10.625" style="1" customWidth="1"/>
    <col min="6940" max="6942" width="11" style="1" customWidth="1"/>
    <col min="6943" max="6944" width="11.25" style="1" customWidth="1"/>
    <col min="6945" max="6945" width="10.375" style="1" bestFit="1" customWidth="1"/>
    <col min="6946" max="6947" width="11.25" style="1" customWidth="1"/>
    <col min="6948" max="6948" width="10.375" style="1" customWidth="1"/>
    <col min="6949" max="6950" width="11.25" style="1" customWidth="1"/>
    <col min="6951" max="6951" width="12.25" style="1" bestFit="1" customWidth="1"/>
    <col min="6952" max="6953" width="11.25" style="1" customWidth="1"/>
    <col min="6954" max="6954" width="9.625" style="1" customWidth="1"/>
    <col min="6955" max="6956" width="11.25" style="1" customWidth="1"/>
    <col min="6957" max="6957" width="9.25" style="1" customWidth="1"/>
    <col min="6958" max="6959" width="11.25" style="1" customWidth="1"/>
    <col min="6960" max="6960" width="10.125" style="1" customWidth="1"/>
    <col min="6961" max="6962" width="9.375" style="1" customWidth="1"/>
    <col min="6963" max="6963" width="10.375" style="1" bestFit="1" customWidth="1"/>
    <col min="6964" max="6965" width="9.375" style="1" customWidth="1"/>
    <col min="6966" max="6966" width="9.25" style="1" bestFit="1" customWidth="1"/>
    <col min="6967" max="6967" width="9.375" style="1" customWidth="1"/>
    <col min="6968" max="6968" width="9" style="1" customWidth="1"/>
    <col min="6969" max="6969" width="9.75" style="1" customWidth="1"/>
    <col min="6970" max="6970" width="10.5" style="1" customWidth="1"/>
    <col min="6971" max="6971" width="11.125" style="1" bestFit="1" customWidth="1"/>
    <col min="6972" max="6972" width="10.375" style="1" bestFit="1" customWidth="1"/>
    <col min="6973" max="6973" width="9.375" style="1" customWidth="1"/>
    <col min="6974" max="6974" width="10" style="1" customWidth="1"/>
    <col min="6975" max="6975" width="8.5" style="1" bestFit="1" customWidth="1"/>
    <col min="6976" max="6976" width="10.25" style="1" customWidth="1"/>
    <col min="6977" max="6977" width="10.125" style="1" customWidth="1"/>
    <col min="6978" max="6978" width="9.25" style="1" bestFit="1" customWidth="1"/>
    <col min="6979" max="6979" width="11" style="1" bestFit="1" customWidth="1"/>
    <col min="6980" max="6980" width="10.625" style="1" customWidth="1"/>
    <col min="6981" max="6981" width="10.375" style="1" bestFit="1" customWidth="1"/>
    <col min="6982" max="6982" width="9.5" style="1" bestFit="1" customWidth="1"/>
    <col min="6983" max="7178" width="9" style="1"/>
    <col min="7179" max="7179" width="4" style="1" customWidth="1"/>
    <col min="7180" max="7180" width="17.75" style="1" customWidth="1"/>
    <col min="7181" max="7182" width="12.5" style="1" customWidth="1"/>
    <col min="7183" max="7183" width="12.25" style="1" bestFit="1" customWidth="1"/>
    <col min="7184" max="7185" width="11" style="1" customWidth="1"/>
    <col min="7186" max="7186" width="9.875" style="1" customWidth="1"/>
    <col min="7187" max="7188" width="11" style="1" customWidth="1"/>
    <col min="7189" max="7189" width="10.125" style="1" customWidth="1"/>
    <col min="7190" max="7191" width="11" style="1" customWidth="1"/>
    <col min="7192" max="7192" width="10.375" style="1" customWidth="1"/>
    <col min="7193" max="7194" width="11" style="1" customWidth="1"/>
    <col min="7195" max="7195" width="10.625" style="1" customWidth="1"/>
    <col min="7196" max="7198" width="11" style="1" customWidth="1"/>
    <col min="7199" max="7200" width="11.25" style="1" customWidth="1"/>
    <col min="7201" max="7201" width="10.375" style="1" bestFit="1" customWidth="1"/>
    <col min="7202" max="7203" width="11.25" style="1" customWidth="1"/>
    <col min="7204" max="7204" width="10.375" style="1" customWidth="1"/>
    <col min="7205" max="7206" width="11.25" style="1" customWidth="1"/>
    <col min="7207" max="7207" width="12.25" style="1" bestFit="1" customWidth="1"/>
    <col min="7208" max="7209" width="11.25" style="1" customWidth="1"/>
    <col min="7210" max="7210" width="9.625" style="1" customWidth="1"/>
    <col min="7211" max="7212" width="11.25" style="1" customWidth="1"/>
    <col min="7213" max="7213" width="9.25" style="1" customWidth="1"/>
    <col min="7214" max="7215" width="11.25" style="1" customWidth="1"/>
    <col min="7216" max="7216" width="10.125" style="1" customWidth="1"/>
    <col min="7217" max="7218" width="9.375" style="1" customWidth="1"/>
    <col min="7219" max="7219" width="10.375" style="1" bestFit="1" customWidth="1"/>
    <col min="7220" max="7221" width="9.375" style="1" customWidth="1"/>
    <col min="7222" max="7222" width="9.25" style="1" bestFit="1" customWidth="1"/>
    <col min="7223" max="7223" width="9.375" style="1" customWidth="1"/>
    <col min="7224" max="7224" width="9" style="1" customWidth="1"/>
    <col min="7225" max="7225" width="9.75" style="1" customWidth="1"/>
    <col min="7226" max="7226" width="10.5" style="1" customWidth="1"/>
    <col min="7227" max="7227" width="11.125" style="1" bestFit="1" customWidth="1"/>
    <col min="7228" max="7228" width="10.375" style="1" bestFit="1" customWidth="1"/>
    <col min="7229" max="7229" width="9.375" style="1" customWidth="1"/>
    <col min="7230" max="7230" width="10" style="1" customWidth="1"/>
    <col min="7231" max="7231" width="8.5" style="1" bestFit="1" customWidth="1"/>
    <col min="7232" max="7232" width="10.25" style="1" customWidth="1"/>
    <col min="7233" max="7233" width="10.125" style="1" customWidth="1"/>
    <col min="7234" max="7234" width="9.25" style="1" bestFit="1" customWidth="1"/>
    <col min="7235" max="7235" width="11" style="1" bestFit="1" customWidth="1"/>
    <col min="7236" max="7236" width="10.625" style="1" customWidth="1"/>
    <col min="7237" max="7237" width="10.375" style="1" bestFit="1" customWidth="1"/>
    <col min="7238" max="7238" width="9.5" style="1" bestFit="1" customWidth="1"/>
    <col min="7239" max="7434" width="9" style="1"/>
    <col min="7435" max="7435" width="4" style="1" customWidth="1"/>
    <col min="7436" max="7436" width="17.75" style="1" customWidth="1"/>
    <col min="7437" max="7438" width="12.5" style="1" customWidth="1"/>
    <col min="7439" max="7439" width="12.25" style="1" bestFit="1" customWidth="1"/>
    <col min="7440" max="7441" width="11" style="1" customWidth="1"/>
    <col min="7442" max="7442" width="9.875" style="1" customWidth="1"/>
    <col min="7443" max="7444" width="11" style="1" customWidth="1"/>
    <col min="7445" max="7445" width="10.125" style="1" customWidth="1"/>
    <col min="7446" max="7447" width="11" style="1" customWidth="1"/>
    <col min="7448" max="7448" width="10.375" style="1" customWidth="1"/>
    <col min="7449" max="7450" width="11" style="1" customWidth="1"/>
    <col min="7451" max="7451" width="10.625" style="1" customWidth="1"/>
    <col min="7452" max="7454" width="11" style="1" customWidth="1"/>
    <col min="7455" max="7456" width="11.25" style="1" customWidth="1"/>
    <col min="7457" max="7457" width="10.375" style="1" bestFit="1" customWidth="1"/>
    <col min="7458" max="7459" width="11.25" style="1" customWidth="1"/>
    <col min="7460" max="7460" width="10.375" style="1" customWidth="1"/>
    <col min="7461" max="7462" width="11.25" style="1" customWidth="1"/>
    <col min="7463" max="7463" width="12.25" style="1" bestFit="1" customWidth="1"/>
    <col min="7464" max="7465" width="11.25" style="1" customWidth="1"/>
    <col min="7466" max="7466" width="9.625" style="1" customWidth="1"/>
    <col min="7467" max="7468" width="11.25" style="1" customWidth="1"/>
    <col min="7469" max="7469" width="9.25" style="1" customWidth="1"/>
    <col min="7470" max="7471" width="11.25" style="1" customWidth="1"/>
    <col min="7472" max="7472" width="10.125" style="1" customWidth="1"/>
    <col min="7473" max="7474" width="9.375" style="1" customWidth="1"/>
    <col min="7475" max="7475" width="10.375" style="1" bestFit="1" customWidth="1"/>
    <col min="7476" max="7477" width="9.375" style="1" customWidth="1"/>
    <col min="7478" max="7478" width="9.25" style="1" bestFit="1" customWidth="1"/>
    <col min="7479" max="7479" width="9.375" style="1" customWidth="1"/>
    <col min="7480" max="7480" width="9" style="1" customWidth="1"/>
    <col min="7481" max="7481" width="9.75" style="1" customWidth="1"/>
    <col min="7482" max="7482" width="10.5" style="1" customWidth="1"/>
    <col min="7483" max="7483" width="11.125" style="1" bestFit="1" customWidth="1"/>
    <col min="7484" max="7484" width="10.375" style="1" bestFit="1" customWidth="1"/>
    <col min="7485" max="7485" width="9.375" style="1" customWidth="1"/>
    <col min="7486" max="7486" width="10" style="1" customWidth="1"/>
    <col min="7487" max="7487" width="8.5" style="1" bestFit="1" customWidth="1"/>
    <col min="7488" max="7488" width="10.25" style="1" customWidth="1"/>
    <col min="7489" max="7489" width="10.125" style="1" customWidth="1"/>
    <col min="7490" max="7490" width="9.25" style="1" bestFit="1" customWidth="1"/>
    <col min="7491" max="7491" width="11" style="1" bestFit="1" customWidth="1"/>
    <col min="7492" max="7492" width="10.625" style="1" customWidth="1"/>
    <col min="7493" max="7493" width="10.375" style="1" bestFit="1" customWidth="1"/>
    <col min="7494" max="7494" width="9.5" style="1" bestFit="1" customWidth="1"/>
    <col min="7495" max="7690" width="9" style="1"/>
    <col min="7691" max="7691" width="4" style="1" customWidth="1"/>
    <col min="7692" max="7692" width="17.75" style="1" customWidth="1"/>
    <col min="7693" max="7694" width="12.5" style="1" customWidth="1"/>
    <col min="7695" max="7695" width="12.25" style="1" bestFit="1" customWidth="1"/>
    <col min="7696" max="7697" width="11" style="1" customWidth="1"/>
    <col min="7698" max="7698" width="9.875" style="1" customWidth="1"/>
    <col min="7699" max="7700" width="11" style="1" customWidth="1"/>
    <col min="7701" max="7701" width="10.125" style="1" customWidth="1"/>
    <col min="7702" max="7703" width="11" style="1" customWidth="1"/>
    <col min="7704" max="7704" width="10.375" style="1" customWidth="1"/>
    <col min="7705" max="7706" width="11" style="1" customWidth="1"/>
    <col min="7707" max="7707" width="10.625" style="1" customWidth="1"/>
    <col min="7708" max="7710" width="11" style="1" customWidth="1"/>
    <col min="7711" max="7712" width="11.25" style="1" customWidth="1"/>
    <col min="7713" max="7713" width="10.375" style="1" bestFit="1" customWidth="1"/>
    <col min="7714" max="7715" width="11.25" style="1" customWidth="1"/>
    <col min="7716" max="7716" width="10.375" style="1" customWidth="1"/>
    <col min="7717" max="7718" width="11.25" style="1" customWidth="1"/>
    <col min="7719" max="7719" width="12.25" style="1" bestFit="1" customWidth="1"/>
    <col min="7720" max="7721" width="11.25" style="1" customWidth="1"/>
    <col min="7722" max="7722" width="9.625" style="1" customWidth="1"/>
    <col min="7723" max="7724" width="11.25" style="1" customWidth="1"/>
    <col min="7725" max="7725" width="9.25" style="1" customWidth="1"/>
    <col min="7726" max="7727" width="11.25" style="1" customWidth="1"/>
    <col min="7728" max="7728" width="10.125" style="1" customWidth="1"/>
    <col min="7729" max="7730" width="9.375" style="1" customWidth="1"/>
    <col min="7731" max="7731" width="10.375" style="1" bestFit="1" customWidth="1"/>
    <col min="7732" max="7733" width="9.375" style="1" customWidth="1"/>
    <col min="7734" max="7734" width="9.25" style="1" bestFit="1" customWidth="1"/>
    <col min="7735" max="7735" width="9.375" style="1" customWidth="1"/>
    <col min="7736" max="7736" width="9" style="1" customWidth="1"/>
    <col min="7737" max="7737" width="9.75" style="1" customWidth="1"/>
    <col min="7738" max="7738" width="10.5" style="1" customWidth="1"/>
    <col min="7739" max="7739" width="11.125" style="1" bestFit="1" customWidth="1"/>
    <col min="7740" max="7740" width="10.375" style="1" bestFit="1" customWidth="1"/>
    <col min="7741" max="7741" width="9.375" style="1" customWidth="1"/>
    <col min="7742" max="7742" width="10" style="1" customWidth="1"/>
    <col min="7743" max="7743" width="8.5" style="1" bestFit="1" customWidth="1"/>
    <col min="7744" max="7744" width="10.25" style="1" customWidth="1"/>
    <col min="7745" max="7745" width="10.125" style="1" customWidth="1"/>
    <col min="7746" max="7746" width="9.25" style="1" bestFit="1" customWidth="1"/>
    <col min="7747" max="7747" width="11" style="1" bestFit="1" customWidth="1"/>
    <col min="7748" max="7748" width="10.625" style="1" customWidth="1"/>
    <col min="7749" max="7749" width="10.375" style="1" bestFit="1" customWidth="1"/>
    <col min="7750" max="7750" width="9.5" style="1" bestFit="1" customWidth="1"/>
    <col min="7751" max="7946" width="9" style="1"/>
    <col min="7947" max="7947" width="4" style="1" customWidth="1"/>
    <col min="7948" max="7948" width="17.75" style="1" customWidth="1"/>
    <col min="7949" max="7950" width="12.5" style="1" customWidth="1"/>
    <col min="7951" max="7951" width="12.25" style="1" bestFit="1" customWidth="1"/>
    <col min="7952" max="7953" width="11" style="1" customWidth="1"/>
    <col min="7954" max="7954" width="9.875" style="1" customWidth="1"/>
    <col min="7955" max="7956" width="11" style="1" customWidth="1"/>
    <col min="7957" max="7957" width="10.125" style="1" customWidth="1"/>
    <col min="7958" max="7959" width="11" style="1" customWidth="1"/>
    <col min="7960" max="7960" width="10.375" style="1" customWidth="1"/>
    <col min="7961" max="7962" width="11" style="1" customWidth="1"/>
    <col min="7963" max="7963" width="10.625" style="1" customWidth="1"/>
    <col min="7964" max="7966" width="11" style="1" customWidth="1"/>
    <col min="7967" max="7968" width="11.25" style="1" customWidth="1"/>
    <col min="7969" max="7969" width="10.375" style="1" bestFit="1" customWidth="1"/>
    <col min="7970" max="7971" width="11.25" style="1" customWidth="1"/>
    <col min="7972" max="7972" width="10.375" style="1" customWidth="1"/>
    <col min="7973" max="7974" width="11.25" style="1" customWidth="1"/>
    <col min="7975" max="7975" width="12.25" style="1" bestFit="1" customWidth="1"/>
    <col min="7976" max="7977" width="11.25" style="1" customWidth="1"/>
    <col min="7978" max="7978" width="9.625" style="1" customWidth="1"/>
    <col min="7979" max="7980" width="11.25" style="1" customWidth="1"/>
    <col min="7981" max="7981" width="9.25" style="1" customWidth="1"/>
    <col min="7982" max="7983" width="11.25" style="1" customWidth="1"/>
    <col min="7984" max="7984" width="10.125" style="1" customWidth="1"/>
    <col min="7985" max="7986" width="9.375" style="1" customWidth="1"/>
    <col min="7987" max="7987" width="10.375" style="1" bestFit="1" customWidth="1"/>
    <col min="7988" max="7989" width="9.375" style="1" customWidth="1"/>
    <col min="7990" max="7990" width="9.25" style="1" bestFit="1" customWidth="1"/>
    <col min="7991" max="7991" width="9.375" style="1" customWidth="1"/>
    <col min="7992" max="7992" width="9" style="1" customWidth="1"/>
    <col min="7993" max="7993" width="9.75" style="1" customWidth="1"/>
    <col min="7994" max="7994" width="10.5" style="1" customWidth="1"/>
    <col min="7995" max="7995" width="11.125" style="1" bestFit="1" customWidth="1"/>
    <col min="7996" max="7996" width="10.375" style="1" bestFit="1" customWidth="1"/>
    <col min="7997" max="7997" width="9.375" style="1" customWidth="1"/>
    <col min="7998" max="7998" width="10" style="1" customWidth="1"/>
    <col min="7999" max="7999" width="8.5" style="1" bestFit="1" customWidth="1"/>
    <col min="8000" max="8000" width="10.25" style="1" customWidth="1"/>
    <col min="8001" max="8001" width="10.125" style="1" customWidth="1"/>
    <col min="8002" max="8002" width="9.25" style="1" bestFit="1" customWidth="1"/>
    <col min="8003" max="8003" width="11" style="1" bestFit="1" customWidth="1"/>
    <col min="8004" max="8004" width="10.625" style="1" customWidth="1"/>
    <col min="8005" max="8005" width="10.375" style="1" bestFit="1" customWidth="1"/>
    <col min="8006" max="8006" width="9.5" style="1" bestFit="1" customWidth="1"/>
    <col min="8007" max="8202" width="9" style="1"/>
    <col min="8203" max="8203" width="4" style="1" customWidth="1"/>
    <col min="8204" max="8204" width="17.75" style="1" customWidth="1"/>
    <col min="8205" max="8206" width="12.5" style="1" customWidth="1"/>
    <col min="8207" max="8207" width="12.25" style="1" bestFit="1" customWidth="1"/>
    <col min="8208" max="8209" width="11" style="1" customWidth="1"/>
    <col min="8210" max="8210" width="9.875" style="1" customWidth="1"/>
    <col min="8211" max="8212" width="11" style="1" customWidth="1"/>
    <col min="8213" max="8213" width="10.125" style="1" customWidth="1"/>
    <col min="8214" max="8215" width="11" style="1" customWidth="1"/>
    <col min="8216" max="8216" width="10.375" style="1" customWidth="1"/>
    <col min="8217" max="8218" width="11" style="1" customWidth="1"/>
    <col min="8219" max="8219" width="10.625" style="1" customWidth="1"/>
    <col min="8220" max="8222" width="11" style="1" customWidth="1"/>
    <col min="8223" max="8224" width="11.25" style="1" customWidth="1"/>
    <col min="8225" max="8225" width="10.375" style="1" bestFit="1" customWidth="1"/>
    <col min="8226" max="8227" width="11.25" style="1" customWidth="1"/>
    <col min="8228" max="8228" width="10.375" style="1" customWidth="1"/>
    <col min="8229" max="8230" width="11.25" style="1" customWidth="1"/>
    <col min="8231" max="8231" width="12.25" style="1" bestFit="1" customWidth="1"/>
    <col min="8232" max="8233" width="11.25" style="1" customWidth="1"/>
    <col min="8234" max="8234" width="9.625" style="1" customWidth="1"/>
    <col min="8235" max="8236" width="11.25" style="1" customWidth="1"/>
    <col min="8237" max="8237" width="9.25" style="1" customWidth="1"/>
    <col min="8238" max="8239" width="11.25" style="1" customWidth="1"/>
    <col min="8240" max="8240" width="10.125" style="1" customWidth="1"/>
    <col min="8241" max="8242" width="9.375" style="1" customWidth="1"/>
    <col min="8243" max="8243" width="10.375" style="1" bestFit="1" customWidth="1"/>
    <col min="8244" max="8245" width="9.375" style="1" customWidth="1"/>
    <col min="8246" max="8246" width="9.25" style="1" bestFit="1" customWidth="1"/>
    <col min="8247" max="8247" width="9.375" style="1" customWidth="1"/>
    <col min="8248" max="8248" width="9" style="1" customWidth="1"/>
    <col min="8249" max="8249" width="9.75" style="1" customWidth="1"/>
    <col min="8250" max="8250" width="10.5" style="1" customWidth="1"/>
    <col min="8251" max="8251" width="11.125" style="1" bestFit="1" customWidth="1"/>
    <col min="8252" max="8252" width="10.375" style="1" bestFit="1" customWidth="1"/>
    <col min="8253" max="8253" width="9.375" style="1" customWidth="1"/>
    <col min="8254" max="8254" width="10" style="1" customWidth="1"/>
    <col min="8255" max="8255" width="8.5" style="1" bestFit="1" customWidth="1"/>
    <col min="8256" max="8256" width="10.25" style="1" customWidth="1"/>
    <col min="8257" max="8257" width="10.125" style="1" customWidth="1"/>
    <col min="8258" max="8258" width="9.25" style="1" bestFit="1" customWidth="1"/>
    <col min="8259" max="8259" width="11" style="1" bestFit="1" customWidth="1"/>
    <col min="8260" max="8260" width="10.625" style="1" customWidth="1"/>
    <col min="8261" max="8261" width="10.375" style="1" bestFit="1" customWidth="1"/>
    <col min="8262" max="8262" width="9.5" style="1" bestFit="1" customWidth="1"/>
    <col min="8263" max="8458" width="9" style="1"/>
    <col min="8459" max="8459" width="4" style="1" customWidth="1"/>
    <col min="8460" max="8460" width="17.75" style="1" customWidth="1"/>
    <col min="8461" max="8462" width="12.5" style="1" customWidth="1"/>
    <col min="8463" max="8463" width="12.25" style="1" bestFit="1" customWidth="1"/>
    <col min="8464" max="8465" width="11" style="1" customWidth="1"/>
    <col min="8466" max="8466" width="9.875" style="1" customWidth="1"/>
    <col min="8467" max="8468" width="11" style="1" customWidth="1"/>
    <col min="8469" max="8469" width="10.125" style="1" customWidth="1"/>
    <col min="8470" max="8471" width="11" style="1" customWidth="1"/>
    <col min="8472" max="8472" width="10.375" style="1" customWidth="1"/>
    <col min="8473" max="8474" width="11" style="1" customWidth="1"/>
    <col min="8475" max="8475" width="10.625" style="1" customWidth="1"/>
    <col min="8476" max="8478" width="11" style="1" customWidth="1"/>
    <col min="8479" max="8480" width="11.25" style="1" customWidth="1"/>
    <col min="8481" max="8481" width="10.375" style="1" bestFit="1" customWidth="1"/>
    <col min="8482" max="8483" width="11.25" style="1" customWidth="1"/>
    <col min="8484" max="8484" width="10.375" style="1" customWidth="1"/>
    <col min="8485" max="8486" width="11.25" style="1" customWidth="1"/>
    <col min="8487" max="8487" width="12.25" style="1" bestFit="1" customWidth="1"/>
    <col min="8488" max="8489" width="11.25" style="1" customWidth="1"/>
    <col min="8490" max="8490" width="9.625" style="1" customWidth="1"/>
    <col min="8491" max="8492" width="11.25" style="1" customWidth="1"/>
    <col min="8493" max="8493" width="9.25" style="1" customWidth="1"/>
    <col min="8494" max="8495" width="11.25" style="1" customWidth="1"/>
    <col min="8496" max="8496" width="10.125" style="1" customWidth="1"/>
    <col min="8497" max="8498" width="9.375" style="1" customWidth="1"/>
    <col min="8499" max="8499" width="10.375" style="1" bestFit="1" customWidth="1"/>
    <col min="8500" max="8501" width="9.375" style="1" customWidth="1"/>
    <col min="8502" max="8502" width="9.25" style="1" bestFit="1" customWidth="1"/>
    <col min="8503" max="8503" width="9.375" style="1" customWidth="1"/>
    <col min="8504" max="8504" width="9" style="1" customWidth="1"/>
    <col min="8505" max="8505" width="9.75" style="1" customWidth="1"/>
    <col min="8506" max="8506" width="10.5" style="1" customWidth="1"/>
    <col min="8507" max="8507" width="11.125" style="1" bestFit="1" customWidth="1"/>
    <col min="8508" max="8508" width="10.375" style="1" bestFit="1" customWidth="1"/>
    <col min="8509" max="8509" width="9.375" style="1" customWidth="1"/>
    <col min="8510" max="8510" width="10" style="1" customWidth="1"/>
    <col min="8511" max="8511" width="8.5" style="1" bestFit="1" customWidth="1"/>
    <col min="8512" max="8512" width="10.25" style="1" customWidth="1"/>
    <col min="8513" max="8513" width="10.125" style="1" customWidth="1"/>
    <col min="8514" max="8514" width="9.25" style="1" bestFit="1" customWidth="1"/>
    <col min="8515" max="8515" width="11" style="1" bestFit="1" customWidth="1"/>
    <col min="8516" max="8516" width="10.625" style="1" customWidth="1"/>
    <col min="8517" max="8517" width="10.375" style="1" bestFit="1" customWidth="1"/>
    <col min="8518" max="8518" width="9.5" style="1" bestFit="1" customWidth="1"/>
    <col min="8519" max="8714" width="9" style="1"/>
    <col min="8715" max="8715" width="4" style="1" customWidth="1"/>
    <col min="8716" max="8716" width="17.75" style="1" customWidth="1"/>
    <col min="8717" max="8718" width="12.5" style="1" customWidth="1"/>
    <col min="8719" max="8719" width="12.25" style="1" bestFit="1" customWidth="1"/>
    <col min="8720" max="8721" width="11" style="1" customWidth="1"/>
    <col min="8722" max="8722" width="9.875" style="1" customWidth="1"/>
    <col min="8723" max="8724" width="11" style="1" customWidth="1"/>
    <col min="8725" max="8725" width="10.125" style="1" customWidth="1"/>
    <col min="8726" max="8727" width="11" style="1" customWidth="1"/>
    <col min="8728" max="8728" width="10.375" style="1" customWidth="1"/>
    <col min="8729" max="8730" width="11" style="1" customWidth="1"/>
    <col min="8731" max="8731" width="10.625" style="1" customWidth="1"/>
    <col min="8732" max="8734" width="11" style="1" customWidth="1"/>
    <col min="8735" max="8736" width="11.25" style="1" customWidth="1"/>
    <col min="8737" max="8737" width="10.375" style="1" bestFit="1" customWidth="1"/>
    <col min="8738" max="8739" width="11.25" style="1" customWidth="1"/>
    <col min="8740" max="8740" width="10.375" style="1" customWidth="1"/>
    <col min="8741" max="8742" width="11.25" style="1" customWidth="1"/>
    <col min="8743" max="8743" width="12.25" style="1" bestFit="1" customWidth="1"/>
    <col min="8744" max="8745" width="11.25" style="1" customWidth="1"/>
    <col min="8746" max="8746" width="9.625" style="1" customWidth="1"/>
    <col min="8747" max="8748" width="11.25" style="1" customWidth="1"/>
    <col min="8749" max="8749" width="9.25" style="1" customWidth="1"/>
    <col min="8750" max="8751" width="11.25" style="1" customWidth="1"/>
    <col min="8752" max="8752" width="10.125" style="1" customWidth="1"/>
    <col min="8753" max="8754" width="9.375" style="1" customWidth="1"/>
    <col min="8755" max="8755" width="10.375" style="1" bestFit="1" customWidth="1"/>
    <col min="8756" max="8757" width="9.375" style="1" customWidth="1"/>
    <col min="8758" max="8758" width="9.25" style="1" bestFit="1" customWidth="1"/>
    <col min="8759" max="8759" width="9.375" style="1" customWidth="1"/>
    <col min="8760" max="8760" width="9" style="1" customWidth="1"/>
    <col min="8761" max="8761" width="9.75" style="1" customWidth="1"/>
    <col min="8762" max="8762" width="10.5" style="1" customWidth="1"/>
    <col min="8763" max="8763" width="11.125" style="1" bestFit="1" customWidth="1"/>
    <col min="8764" max="8764" width="10.375" style="1" bestFit="1" customWidth="1"/>
    <col min="8765" max="8765" width="9.375" style="1" customWidth="1"/>
    <col min="8766" max="8766" width="10" style="1" customWidth="1"/>
    <col min="8767" max="8767" width="8.5" style="1" bestFit="1" customWidth="1"/>
    <col min="8768" max="8768" width="10.25" style="1" customWidth="1"/>
    <col min="8769" max="8769" width="10.125" style="1" customWidth="1"/>
    <col min="8770" max="8770" width="9.25" style="1" bestFit="1" customWidth="1"/>
    <col min="8771" max="8771" width="11" style="1" bestFit="1" customWidth="1"/>
    <col min="8772" max="8772" width="10.625" style="1" customWidth="1"/>
    <col min="8773" max="8773" width="10.375" style="1" bestFit="1" customWidth="1"/>
    <col min="8774" max="8774" width="9.5" style="1" bestFit="1" customWidth="1"/>
    <col min="8775" max="8970" width="9" style="1"/>
    <col min="8971" max="8971" width="4" style="1" customWidth="1"/>
    <col min="8972" max="8972" width="17.75" style="1" customWidth="1"/>
    <col min="8973" max="8974" width="12.5" style="1" customWidth="1"/>
    <col min="8975" max="8975" width="12.25" style="1" bestFit="1" customWidth="1"/>
    <col min="8976" max="8977" width="11" style="1" customWidth="1"/>
    <col min="8978" max="8978" width="9.875" style="1" customWidth="1"/>
    <col min="8979" max="8980" width="11" style="1" customWidth="1"/>
    <col min="8981" max="8981" width="10.125" style="1" customWidth="1"/>
    <col min="8982" max="8983" width="11" style="1" customWidth="1"/>
    <col min="8984" max="8984" width="10.375" style="1" customWidth="1"/>
    <col min="8985" max="8986" width="11" style="1" customWidth="1"/>
    <col min="8987" max="8987" width="10.625" style="1" customWidth="1"/>
    <col min="8988" max="8990" width="11" style="1" customWidth="1"/>
    <col min="8991" max="8992" width="11.25" style="1" customWidth="1"/>
    <col min="8993" max="8993" width="10.375" style="1" bestFit="1" customWidth="1"/>
    <col min="8994" max="8995" width="11.25" style="1" customWidth="1"/>
    <col min="8996" max="8996" width="10.375" style="1" customWidth="1"/>
    <col min="8997" max="8998" width="11.25" style="1" customWidth="1"/>
    <col min="8999" max="8999" width="12.25" style="1" bestFit="1" customWidth="1"/>
    <col min="9000" max="9001" width="11.25" style="1" customWidth="1"/>
    <col min="9002" max="9002" width="9.625" style="1" customWidth="1"/>
    <col min="9003" max="9004" width="11.25" style="1" customWidth="1"/>
    <col min="9005" max="9005" width="9.25" style="1" customWidth="1"/>
    <col min="9006" max="9007" width="11.25" style="1" customWidth="1"/>
    <col min="9008" max="9008" width="10.125" style="1" customWidth="1"/>
    <col min="9009" max="9010" width="9.375" style="1" customWidth="1"/>
    <col min="9011" max="9011" width="10.375" style="1" bestFit="1" customWidth="1"/>
    <col min="9012" max="9013" width="9.375" style="1" customWidth="1"/>
    <col min="9014" max="9014" width="9.25" style="1" bestFit="1" customWidth="1"/>
    <col min="9015" max="9015" width="9.375" style="1" customWidth="1"/>
    <col min="9016" max="9016" width="9" style="1" customWidth="1"/>
    <col min="9017" max="9017" width="9.75" style="1" customWidth="1"/>
    <col min="9018" max="9018" width="10.5" style="1" customWidth="1"/>
    <col min="9019" max="9019" width="11.125" style="1" bestFit="1" customWidth="1"/>
    <col min="9020" max="9020" width="10.375" style="1" bestFit="1" customWidth="1"/>
    <col min="9021" max="9021" width="9.375" style="1" customWidth="1"/>
    <col min="9022" max="9022" width="10" style="1" customWidth="1"/>
    <col min="9023" max="9023" width="8.5" style="1" bestFit="1" customWidth="1"/>
    <col min="9024" max="9024" width="10.25" style="1" customWidth="1"/>
    <col min="9025" max="9025" width="10.125" style="1" customWidth="1"/>
    <col min="9026" max="9026" width="9.25" style="1" bestFit="1" customWidth="1"/>
    <col min="9027" max="9027" width="11" style="1" bestFit="1" customWidth="1"/>
    <col min="9028" max="9028" width="10.625" style="1" customWidth="1"/>
    <col min="9029" max="9029" width="10.375" style="1" bestFit="1" customWidth="1"/>
    <col min="9030" max="9030" width="9.5" style="1" bestFit="1" customWidth="1"/>
    <col min="9031" max="9226" width="9" style="1"/>
    <col min="9227" max="9227" width="4" style="1" customWidth="1"/>
    <col min="9228" max="9228" width="17.75" style="1" customWidth="1"/>
    <col min="9229" max="9230" width="12.5" style="1" customWidth="1"/>
    <col min="9231" max="9231" width="12.25" style="1" bestFit="1" customWidth="1"/>
    <col min="9232" max="9233" width="11" style="1" customWidth="1"/>
    <col min="9234" max="9234" width="9.875" style="1" customWidth="1"/>
    <col min="9235" max="9236" width="11" style="1" customWidth="1"/>
    <col min="9237" max="9237" width="10.125" style="1" customWidth="1"/>
    <col min="9238" max="9239" width="11" style="1" customWidth="1"/>
    <col min="9240" max="9240" width="10.375" style="1" customWidth="1"/>
    <col min="9241" max="9242" width="11" style="1" customWidth="1"/>
    <col min="9243" max="9243" width="10.625" style="1" customWidth="1"/>
    <col min="9244" max="9246" width="11" style="1" customWidth="1"/>
    <col min="9247" max="9248" width="11.25" style="1" customWidth="1"/>
    <col min="9249" max="9249" width="10.375" style="1" bestFit="1" customWidth="1"/>
    <col min="9250" max="9251" width="11.25" style="1" customWidth="1"/>
    <col min="9252" max="9252" width="10.375" style="1" customWidth="1"/>
    <col min="9253" max="9254" width="11.25" style="1" customWidth="1"/>
    <col min="9255" max="9255" width="12.25" style="1" bestFit="1" customWidth="1"/>
    <col min="9256" max="9257" width="11.25" style="1" customWidth="1"/>
    <col min="9258" max="9258" width="9.625" style="1" customWidth="1"/>
    <col min="9259" max="9260" width="11.25" style="1" customWidth="1"/>
    <col min="9261" max="9261" width="9.25" style="1" customWidth="1"/>
    <col min="9262" max="9263" width="11.25" style="1" customWidth="1"/>
    <col min="9264" max="9264" width="10.125" style="1" customWidth="1"/>
    <col min="9265" max="9266" width="9.375" style="1" customWidth="1"/>
    <col min="9267" max="9267" width="10.375" style="1" bestFit="1" customWidth="1"/>
    <col min="9268" max="9269" width="9.375" style="1" customWidth="1"/>
    <col min="9270" max="9270" width="9.25" style="1" bestFit="1" customWidth="1"/>
    <col min="9271" max="9271" width="9.375" style="1" customWidth="1"/>
    <col min="9272" max="9272" width="9" style="1" customWidth="1"/>
    <col min="9273" max="9273" width="9.75" style="1" customWidth="1"/>
    <col min="9274" max="9274" width="10.5" style="1" customWidth="1"/>
    <col min="9275" max="9275" width="11.125" style="1" bestFit="1" customWidth="1"/>
    <col min="9276" max="9276" width="10.375" style="1" bestFit="1" customWidth="1"/>
    <col min="9277" max="9277" width="9.375" style="1" customWidth="1"/>
    <col min="9278" max="9278" width="10" style="1" customWidth="1"/>
    <col min="9279" max="9279" width="8.5" style="1" bestFit="1" customWidth="1"/>
    <col min="9280" max="9280" width="10.25" style="1" customWidth="1"/>
    <col min="9281" max="9281" width="10.125" style="1" customWidth="1"/>
    <col min="9282" max="9282" width="9.25" style="1" bestFit="1" customWidth="1"/>
    <col min="9283" max="9283" width="11" style="1" bestFit="1" customWidth="1"/>
    <col min="9284" max="9284" width="10.625" style="1" customWidth="1"/>
    <col min="9285" max="9285" width="10.375" style="1" bestFit="1" customWidth="1"/>
    <col min="9286" max="9286" width="9.5" style="1" bestFit="1" customWidth="1"/>
    <col min="9287" max="9482" width="9" style="1"/>
    <col min="9483" max="9483" width="4" style="1" customWidth="1"/>
    <col min="9484" max="9484" width="17.75" style="1" customWidth="1"/>
    <col min="9485" max="9486" width="12.5" style="1" customWidth="1"/>
    <col min="9487" max="9487" width="12.25" style="1" bestFit="1" customWidth="1"/>
    <col min="9488" max="9489" width="11" style="1" customWidth="1"/>
    <col min="9490" max="9490" width="9.875" style="1" customWidth="1"/>
    <col min="9491" max="9492" width="11" style="1" customWidth="1"/>
    <col min="9493" max="9493" width="10.125" style="1" customWidth="1"/>
    <col min="9494" max="9495" width="11" style="1" customWidth="1"/>
    <col min="9496" max="9496" width="10.375" style="1" customWidth="1"/>
    <col min="9497" max="9498" width="11" style="1" customWidth="1"/>
    <col min="9499" max="9499" width="10.625" style="1" customWidth="1"/>
    <col min="9500" max="9502" width="11" style="1" customWidth="1"/>
    <col min="9503" max="9504" width="11.25" style="1" customWidth="1"/>
    <col min="9505" max="9505" width="10.375" style="1" bestFit="1" customWidth="1"/>
    <col min="9506" max="9507" width="11.25" style="1" customWidth="1"/>
    <col min="9508" max="9508" width="10.375" style="1" customWidth="1"/>
    <col min="9509" max="9510" width="11.25" style="1" customWidth="1"/>
    <col min="9511" max="9511" width="12.25" style="1" bestFit="1" customWidth="1"/>
    <col min="9512" max="9513" width="11.25" style="1" customWidth="1"/>
    <col min="9514" max="9514" width="9.625" style="1" customWidth="1"/>
    <col min="9515" max="9516" width="11.25" style="1" customWidth="1"/>
    <col min="9517" max="9517" width="9.25" style="1" customWidth="1"/>
    <col min="9518" max="9519" width="11.25" style="1" customWidth="1"/>
    <col min="9520" max="9520" width="10.125" style="1" customWidth="1"/>
    <col min="9521" max="9522" width="9.375" style="1" customWidth="1"/>
    <col min="9523" max="9523" width="10.375" style="1" bestFit="1" customWidth="1"/>
    <col min="9524" max="9525" width="9.375" style="1" customWidth="1"/>
    <col min="9526" max="9526" width="9.25" style="1" bestFit="1" customWidth="1"/>
    <col min="9527" max="9527" width="9.375" style="1" customWidth="1"/>
    <col min="9528" max="9528" width="9" style="1" customWidth="1"/>
    <col min="9529" max="9529" width="9.75" style="1" customWidth="1"/>
    <col min="9530" max="9530" width="10.5" style="1" customWidth="1"/>
    <col min="9531" max="9531" width="11.125" style="1" bestFit="1" customWidth="1"/>
    <col min="9532" max="9532" width="10.375" style="1" bestFit="1" customWidth="1"/>
    <col min="9533" max="9533" width="9.375" style="1" customWidth="1"/>
    <col min="9534" max="9534" width="10" style="1" customWidth="1"/>
    <col min="9535" max="9535" width="8.5" style="1" bestFit="1" customWidth="1"/>
    <col min="9536" max="9536" width="10.25" style="1" customWidth="1"/>
    <col min="9537" max="9537" width="10.125" style="1" customWidth="1"/>
    <col min="9538" max="9538" width="9.25" style="1" bestFit="1" customWidth="1"/>
    <col min="9539" max="9539" width="11" style="1" bestFit="1" customWidth="1"/>
    <col min="9540" max="9540" width="10.625" style="1" customWidth="1"/>
    <col min="9541" max="9541" width="10.375" style="1" bestFit="1" customWidth="1"/>
    <col min="9542" max="9542" width="9.5" style="1" bestFit="1" customWidth="1"/>
    <col min="9543" max="9738" width="9" style="1"/>
    <col min="9739" max="9739" width="4" style="1" customWidth="1"/>
    <col min="9740" max="9740" width="17.75" style="1" customWidth="1"/>
    <col min="9741" max="9742" width="12.5" style="1" customWidth="1"/>
    <col min="9743" max="9743" width="12.25" style="1" bestFit="1" customWidth="1"/>
    <col min="9744" max="9745" width="11" style="1" customWidth="1"/>
    <col min="9746" max="9746" width="9.875" style="1" customWidth="1"/>
    <col min="9747" max="9748" width="11" style="1" customWidth="1"/>
    <col min="9749" max="9749" width="10.125" style="1" customWidth="1"/>
    <col min="9750" max="9751" width="11" style="1" customWidth="1"/>
    <col min="9752" max="9752" width="10.375" style="1" customWidth="1"/>
    <col min="9753" max="9754" width="11" style="1" customWidth="1"/>
    <col min="9755" max="9755" width="10.625" style="1" customWidth="1"/>
    <col min="9756" max="9758" width="11" style="1" customWidth="1"/>
    <col min="9759" max="9760" width="11.25" style="1" customWidth="1"/>
    <col min="9761" max="9761" width="10.375" style="1" bestFit="1" customWidth="1"/>
    <col min="9762" max="9763" width="11.25" style="1" customWidth="1"/>
    <col min="9764" max="9764" width="10.375" style="1" customWidth="1"/>
    <col min="9765" max="9766" width="11.25" style="1" customWidth="1"/>
    <col min="9767" max="9767" width="12.25" style="1" bestFit="1" customWidth="1"/>
    <col min="9768" max="9769" width="11.25" style="1" customWidth="1"/>
    <col min="9770" max="9770" width="9.625" style="1" customWidth="1"/>
    <col min="9771" max="9772" width="11.25" style="1" customWidth="1"/>
    <col min="9773" max="9773" width="9.25" style="1" customWidth="1"/>
    <col min="9774" max="9775" width="11.25" style="1" customWidth="1"/>
    <col min="9776" max="9776" width="10.125" style="1" customWidth="1"/>
    <col min="9777" max="9778" width="9.375" style="1" customWidth="1"/>
    <col min="9779" max="9779" width="10.375" style="1" bestFit="1" customWidth="1"/>
    <col min="9780" max="9781" width="9.375" style="1" customWidth="1"/>
    <col min="9782" max="9782" width="9.25" style="1" bestFit="1" customWidth="1"/>
    <col min="9783" max="9783" width="9.375" style="1" customWidth="1"/>
    <col min="9784" max="9784" width="9" style="1" customWidth="1"/>
    <col min="9785" max="9785" width="9.75" style="1" customWidth="1"/>
    <col min="9786" max="9786" width="10.5" style="1" customWidth="1"/>
    <col min="9787" max="9787" width="11.125" style="1" bestFit="1" customWidth="1"/>
    <col min="9788" max="9788" width="10.375" style="1" bestFit="1" customWidth="1"/>
    <col min="9789" max="9789" width="9.375" style="1" customWidth="1"/>
    <col min="9790" max="9790" width="10" style="1" customWidth="1"/>
    <col min="9791" max="9791" width="8.5" style="1" bestFit="1" customWidth="1"/>
    <col min="9792" max="9792" width="10.25" style="1" customWidth="1"/>
    <col min="9793" max="9793" width="10.125" style="1" customWidth="1"/>
    <col min="9794" max="9794" width="9.25" style="1" bestFit="1" customWidth="1"/>
    <col min="9795" max="9795" width="11" style="1" bestFit="1" customWidth="1"/>
    <col min="9796" max="9796" width="10.625" style="1" customWidth="1"/>
    <col min="9797" max="9797" width="10.375" style="1" bestFit="1" customWidth="1"/>
    <col min="9798" max="9798" width="9.5" style="1" bestFit="1" customWidth="1"/>
    <col min="9799" max="9994" width="9" style="1"/>
    <col min="9995" max="9995" width="4" style="1" customWidth="1"/>
    <col min="9996" max="9996" width="17.75" style="1" customWidth="1"/>
    <col min="9997" max="9998" width="12.5" style="1" customWidth="1"/>
    <col min="9999" max="9999" width="12.25" style="1" bestFit="1" customWidth="1"/>
    <col min="10000" max="10001" width="11" style="1" customWidth="1"/>
    <col min="10002" max="10002" width="9.875" style="1" customWidth="1"/>
    <col min="10003" max="10004" width="11" style="1" customWidth="1"/>
    <col min="10005" max="10005" width="10.125" style="1" customWidth="1"/>
    <col min="10006" max="10007" width="11" style="1" customWidth="1"/>
    <col min="10008" max="10008" width="10.375" style="1" customWidth="1"/>
    <col min="10009" max="10010" width="11" style="1" customWidth="1"/>
    <col min="10011" max="10011" width="10.625" style="1" customWidth="1"/>
    <col min="10012" max="10014" width="11" style="1" customWidth="1"/>
    <col min="10015" max="10016" width="11.25" style="1" customWidth="1"/>
    <col min="10017" max="10017" width="10.375" style="1" bestFit="1" customWidth="1"/>
    <col min="10018" max="10019" width="11.25" style="1" customWidth="1"/>
    <col min="10020" max="10020" width="10.375" style="1" customWidth="1"/>
    <col min="10021" max="10022" width="11.25" style="1" customWidth="1"/>
    <col min="10023" max="10023" width="12.25" style="1" bestFit="1" customWidth="1"/>
    <col min="10024" max="10025" width="11.25" style="1" customWidth="1"/>
    <col min="10026" max="10026" width="9.625" style="1" customWidth="1"/>
    <col min="10027" max="10028" width="11.25" style="1" customWidth="1"/>
    <col min="10029" max="10029" width="9.25" style="1" customWidth="1"/>
    <col min="10030" max="10031" width="11.25" style="1" customWidth="1"/>
    <col min="10032" max="10032" width="10.125" style="1" customWidth="1"/>
    <col min="10033" max="10034" width="9.375" style="1" customWidth="1"/>
    <col min="10035" max="10035" width="10.375" style="1" bestFit="1" customWidth="1"/>
    <col min="10036" max="10037" width="9.375" style="1" customWidth="1"/>
    <col min="10038" max="10038" width="9.25" style="1" bestFit="1" customWidth="1"/>
    <col min="10039" max="10039" width="9.375" style="1" customWidth="1"/>
    <col min="10040" max="10040" width="9" style="1" customWidth="1"/>
    <col min="10041" max="10041" width="9.75" style="1" customWidth="1"/>
    <col min="10042" max="10042" width="10.5" style="1" customWidth="1"/>
    <col min="10043" max="10043" width="11.125" style="1" bestFit="1" customWidth="1"/>
    <col min="10044" max="10044" width="10.375" style="1" bestFit="1" customWidth="1"/>
    <col min="10045" max="10045" width="9.375" style="1" customWidth="1"/>
    <col min="10046" max="10046" width="10" style="1" customWidth="1"/>
    <col min="10047" max="10047" width="8.5" style="1" bestFit="1" customWidth="1"/>
    <col min="10048" max="10048" width="10.25" style="1" customWidth="1"/>
    <col min="10049" max="10049" width="10.125" style="1" customWidth="1"/>
    <col min="10050" max="10050" width="9.25" style="1" bestFit="1" customWidth="1"/>
    <col min="10051" max="10051" width="11" style="1" bestFit="1" customWidth="1"/>
    <col min="10052" max="10052" width="10.625" style="1" customWidth="1"/>
    <col min="10053" max="10053" width="10.375" style="1" bestFit="1" customWidth="1"/>
    <col min="10054" max="10054" width="9.5" style="1" bestFit="1" customWidth="1"/>
    <col min="10055" max="10250" width="9" style="1"/>
    <col min="10251" max="10251" width="4" style="1" customWidth="1"/>
    <col min="10252" max="10252" width="17.75" style="1" customWidth="1"/>
    <col min="10253" max="10254" width="12.5" style="1" customWidth="1"/>
    <col min="10255" max="10255" width="12.25" style="1" bestFit="1" customWidth="1"/>
    <col min="10256" max="10257" width="11" style="1" customWidth="1"/>
    <col min="10258" max="10258" width="9.875" style="1" customWidth="1"/>
    <col min="10259" max="10260" width="11" style="1" customWidth="1"/>
    <col min="10261" max="10261" width="10.125" style="1" customWidth="1"/>
    <col min="10262" max="10263" width="11" style="1" customWidth="1"/>
    <col min="10264" max="10264" width="10.375" style="1" customWidth="1"/>
    <col min="10265" max="10266" width="11" style="1" customWidth="1"/>
    <col min="10267" max="10267" width="10.625" style="1" customWidth="1"/>
    <col min="10268" max="10270" width="11" style="1" customWidth="1"/>
    <col min="10271" max="10272" width="11.25" style="1" customWidth="1"/>
    <col min="10273" max="10273" width="10.375" style="1" bestFit="1" customWidth="1"/>
    <col min="10274" max="10275" width="11.25" style="1" customWidth="1"/>
    <col min="10276" max="10276" width="10.375" style="1" customWidth="1"/>
    <col min="10277" max="10278" width="11.25" style="1" customWidth="1"/>
    <col min="10279" max="10279" width="12.25" style="1" bestFit="1" customWidth="1"/>
    <col min="10280" max="10281" width="11.25" style="1" customWidth="1"/>
    <col min="10282" max="10282" width="9.625" style="1" customWidth="1"/>
    <col min="10283" max="10284" width="11.25" style="1" customWidth="1"/>
    <col min="10285" max="10285" width="9.25" style="1" customWidth="1"/>
    <col min="10286" max="10287" width="11.25" style="1" customWidth="1"/>
    <col min="10288" max="10288" width="10.125" style="1" customWidth="1"/>
    <col min="10289" max="10290" width="9.375" style="1" customWidth="1"/>
    <col min="10291" max="10291" width="10.375" style="1" bestFit="1" customWidth="1"/>
    <col min="10292" max="10293" width="9.375" style="1" customWidth="1"/>
    <col min="10294" max="10294" width="9.25" style="1" bestFit="1" customWidth="1"/>
    <col min="10295" max="10295" width="9.375" style="1" customWidth="1"/>
    <col min="10296" max="10296" width="9" style="1" customWidth="1"/>
    <col min="10297" max="10297" width="9.75" style="1" customWidth="1"/>
    <col min="10298" max="10298" width="10.5" style="1" customWidth="1"/>
    <col min="10299" max="10299" width="11.125" style="1" bestFit="1" customWidth="1"/>
    <col min="10300" max="10300" width="10.375" style="1" bestFit="1" customWidth="1"/>
    <col min="10301" max="10301" width="9.375" style="1" customWidth="1"/>
    <col min="10302" max="10302" width="10" style="1" customWidth="1"/>
    <col min="10303" max="10303" width="8.5" style="1" bestFit="1" customWidth="1"/>
    <col min="10304" max="10304" width="10.25" style="1" customWidth="1"/>
    <col min="10305" max="10305" width="10.125" style="1" customWidth="1"/>
    <col min="10306" max="10306" width="9.25" style="1" bestFit="1" customWidth="1"/>
    <col min="10307" max="10307" width="11" style="1" bestFit="1" customWidth="1"/>
    <col min="10308" max="10308" width="10.625" style="1" customWidth="1"/>
    <col min="10309" max="10309" width="10.375" style="1" bestFit="1" customWidth="1"/>
    <col min="10310" max="10310" width="9.5" style="1" bestFit="1" customWidth="1"/>
    <col min="10311" max="10506" width="9" style="1"/>
    <col min="10507" max="10507" width="4" style="1" customWidth="1"/>
    <col min="10508" max="10508" width="17.75" style="1" customWidth="1"/>
    <col min="10509" max="10510" width="12.5" style="1" customWidth="1"/>
    <col min="10511" max="10511" width="12.25" style="1" bestFit="1" customWidth="1"/>
    <col min="10512" max="10513" width="11" style="1" customWidth="1"/>
    <col min="10514" max="10514" width="9.875" style="1" customWidth="1"/>
    <col min="10515" max="10516" width="11" style="1" customWidth="1"/>
    <col min="10517" max="10517" width="10.125" style="1" customWidth="1"/>
    <col min="10518" max="10519" width="11" style="1" customWidth="1"/>
    <col min="10520" max="10520" width="10.375" style="1" customWidth="1"/>
    <col min="10521" max="10522" width="11" style="1" customWidth="1"/>
    <col min="10523" max="10523" width="10.625" style="1" customWidth="1"/>
    <col min="10524" max="10526" width="11" style="1" customWidth="1"/>
    <col min="10527" max="10528" width="11.25" style="1" customWidth="1"/>
    <col min="10529" max="10529" width="10.375" style="1" bestFit="1" customWidth="1"/>
    <col min="10530" max="10531" width="11.25" style="1" customWidth="1"/>
    <col min="10532" max="10532" width="10.375" style="1" customWidth="1"/>
    <col min="10533" max="10534" width="11.25" style="1" customWidth="1"/>
    <col min="10535" max="10535" width="12.25" style="1" bestFit="1" customWidth="1"/>
    <col min="10536" max="10537" width="11.25" style="1" customWidth="1"/>
    <col min="10538" max="10538" width="9.625" style="1" customWidth="1"/>
    <col min="10539" max="10540" width="11.25" style="1" customWidth="1"/>
    <col min="10541" max="10541" width="9.25" style="1" customWidth="1"/>
    <col min="10542" max="10543" width="11.25" style="1" customWidth="1"/>
    <col min="10544" max="10544" width="10.125" style="1" customWidth="1"/>
    <col min="10545" max="10546" width="9.375" style="1" customWidth="1"/>
    <col min="10547" max="10547" width="10.375" style="1" bestFit="1" customWidth="1"/>
    <col min="10548" max="10549" width="9.375" style="1" customWidth="1"/>
    <col min="10550" max="10550" width="9.25" style="1" bestFit="1" customWidth="1"/>
    <col min="10551" max="10551" width="9.375" style="1" customWidth="1"/>
    <col min="10552" max="10552" width="9" style="1" customWidth="1"/>
    <col min="10553" max="10553" width="9.75" style="1" customWidth="1"/>
    <col min="10554" max="10554" width="10.5" style="1" customWidth="1"/>
    <col min="10555" max="10555" width="11.125" style="1" bestFit="1" customWidth="1"/>
    <col min="10556" max="10556" width="10.375" style="1" bestFit="1" customWidth="1"/>
    <col min="10557" max="10557" width="9.375" style="1" customWidth="1"/>
    <col min="10558" max="10558" width="10" style="1" customWidth="1"/>
    <col min="10559" max="10559" width="8.5" style="1" bestFit="1" customWidth="1"/>
    <col min="10560" max="10560" width="10.25" style="1" customWidth="1"/>
    <col min="10561" max="10561" width="10.125" style="1" customWidth="1"/>
    <col min="10562" max="10562" width="9.25" style="1" bestFit="1" customWidth="1"/>
    <col min="10563" max="10563" width="11" style="1" bestFit="1" customWidth="1"/>
    <col min="10564" max="10564" width="10.625" style="1" customWidth="1"/>
    <col min="10565" max="10565" width="10.375" style="1" bestFit="1" customWidth="1"/>
    <col min="10566" max="10566" width="9.5" style="1" bestFit="1" customWidth="1"/>
    <col min="10567" max="10762" width="9" style="1"/>
    <col min="10763" max="10763" width="4" style="1" customWidth="1"/>
    <col min="10764" max="10764" width="17.75" style="1" customWidth="1"/>
    <col min="10765" max="10766" width="12.5" style="1" customWidth="1"/>
    <col min="10767" max="10767" width="12.25" style="1" bestFit="1" customWidth="1"/>
    <col min="10768" max="10769" width="11" style="1" customWidth="1"/>
    <col min="10770" max="10770" width="9.875" style="1" customWidth="1"/>
    <col min="10771" max="10772" width="11" style="1" customWidth="1"/>
    <col min="10773" max="10773" width="10.125" style="1" customWidth="1"/>
    <col min="10774" max="10775" width="11" style="1" customWidth="1"/>
    <col min="10776" max="10776" width="10.375" style="1" customWidth="1"/>
    <col min="10777" max="10778" width="11" style="1" customWidth="1"/>
    <col min="10779" max="10779" width="10.625" style="1" customWidth="1"/>
    <col min="10780" max="10782" width="11" style="1" customWidth="1"/>
    <col min="10783" max="10784" width="11.25" style="1" customWidth="1"/>
    <col min="10785" max="10785" width="10.375" style="1" bestFit="1" customWidth="1"/>
    <col min="10786" max="10787" width="11.25" style="1" customWidth="1"/>
    <col min="10788" max="10788" width="10.375" style="1" customWidth="1"/>
    <col min="10789" max="10790" width="11.25" style="1" customWidth="1"/>
    <col min="10791" max="10791" width="12.25" style="1" bestFit="1" customWidth="1"/>
    <col min="10792" max="10793" width="11.25" style="1" customWidth="1"/>
    <col min="10794" max="10794" width="9.625" style="1" customWidth="1"/>
    <col min="10795" max="10796" width="11.25" style="1" customWidth="1"/>
    <col min="10797" max="10797" width="9.25" style="1" customWidth="1"/>
    <col min="10798" max="10799" width="11.25" style="1" customWidth="1"/>
    <col min="10800" max="10800" width="10.125" style="1" customWidth="1"/>
    <col min="10801" max="10802" width="9.375" style="1" customWidth="1"/>
    <col min="10803" max="10803" width="10.375" style="1" bestFit="1" customWidth="1"/>
    <col min="10804" max="10805" width="9.375" style="1" customWidth="1"/>
    <col min="10806" max="10806" width="9.25" style="1" bestFit="1" customWidth="1"/>
    <col min="10807" max="10807" width="9.375" style="1" customWidth="1"/>
    <col min="10808" max="10808" width="9" style="1" customWidth="1"/>
    <col min="10809" max="10809" width="9.75" style="1" customWidth="1"/>
    <col min="10810" max="10810" width="10.5" style="1" customWidth="1"/>
    <col min="10811" max="10811" width="11.125" style="1" bestFit="1" customWidth="1"/>
    <col min="10812" max="10812" width="10.375" style="1" bestFit="1" customWidth="1"/>
    <col min="10813" max="10813" width="9.375" style="1" customWidth="1"/>
    <col min="10814" max="10814" width="10" style="1" customWidth="1"/>
    <col min="10815" max="10815" width="8.5" style="1" bestFit="1" customWidth="1"/>
    <col min="10816" max="10816" width="10.25" style="1" customWidth="1"/>
    <col min="10817" max="10817" width="10.125" style="1" customWidth="1"/>
    <col min="10818" max="10818" width="9.25" style="1" bestFit="1" customWidth="1"/>
    <col min="10819" max="10819" width="11" style="1" bestFit="1" customWidth="1"/>
    <col min="10820" max="10820" width="10.625" style="1" customWidth="1"/>
    <col min="10821" max="10821" width="10.375" style="1" bestFit="1" customWidth="1"/>
    <col min="10822" max="10822" width="9.5" style="1" bestFit="1" customWidth="1"/>
    <col min="10823" max="11018" width="9" style="1"/>
    <col min="11019" max="11019" width="4" style="1" customWidth="1"/>
    <col min="11020" max="11020" width="17.75" style="1" customWidth="1"/>
    <col min="11021" max="11022" width="12.5" style="1" customWidth="1"/>
    <col min="11023" max="11023" width="12.25" style="1" bestFit="1" customWidth="1"/>
    <col min="11024" max="11025" width="11" style="1" customWidth="1"/>
    <col min="11026" max="11026" width="9.875" style="1" customWidth="1"/>
    <col min="11027" max="11028" width="11" style="1" customWidth="1"/>
    <col min="11029" max="11029" width="10.125" style="1" customWidth="1"/>
    <col min="11030" max="11031" width="11" style="1" customWidth="1"/>
    <col min="11032" max="11032" width="10.375" style="1" customWidth="1"/>
    <col min="11033" max="11034" width="11" style="1" customWidth="1"/>
    <col min="11035" max="11035" width="10.625" style="1" customWidth="1"/>
    <col min="11036" max="11038" width="11" style="1" customWidth="1"/>
    <col min="11039" max="11040" width="11.25" style="1" customWidth="1"/>
    <col min="11041" max="11041" width="10.375" style="1" bestFit="1" customWidth="1"/>
    <col min="11042" max="11043" width="11.25" style="1" customWidth="1"/>
    <col min="11044" max="11044" width="10.375" style="1" customWidth="1"/>
    <col min="11045" max="11046" width="11.25" style="1" customWidth="1"/>
    <col min="11047" max="11047" width="12.25" style="1" bestFit="1" customWidth="1"/>
    <col min="11048" max="11049" width="11.25" style="1" customWidth="1"/>
    <col min="11050" max="11050" width="9.625" style="1" customWidth="1"/>
    <col min="11051" max="11052" width="11.25" style="1" customWidth="1"/>
    <col min="11053" max="11053" width="9.25" style="1" customWidth="1"/>
    <col min="11054" max="11055" width="11.25" style="1" customWidth="1"/>
    <col min="11056" max="11056" width="10.125" style="1" customWidth="1"/>
    <col min="11057" max="11058" width="9.375" style="1" customWidth="1"/>
    <col min="11059" max="11059" width="10.375" style="1" bestFit="1" customWidth="1"/>
    <col min="11060" max="11061" width="9.375" style="1" customWidth="1"/>
    <col min="11062" max="11062" width="9.25" style="1" bestFit="1" customWidth="1"/>
    <col min="11063" max="11063" width="9.375" style="1" customWidth="1"/>
    <col min="11064" max="11064" width="9" style="1" customWidth="1"/>
    <col min="11065" max="11065" width="9.75" style="1" customWidth="1"/>
    <col min="11066" max="11066" width="10.5" style="1" customWidth="1"/>
    <col min="11067" max="11067" width="11.125" style="1" bestFit="1" customWidth="1"/>
    <col min="11068" max="11068" width="10.375" style="1" bestFit="1" customWidth="1"/>
    <col min="11069" max="11069" width="9.375" style="1" customWidth="1"/>
    <col min="11070" max="11070" width="10" style="1" customWidth="1"/>
    <col min="11071" max="11071" width="8.5" style="1" bestFit="1" customWidth="1"/>
    <col min="11072" max="11072" width="10.25" style="1" customWidth="1"/>
    <col min="11073" max="11073" width="10.125" style="1" customWidth="1"/>
    <col min="11074" max="11074" width="9.25" style="1" bestFit="1" customWidth="1"/>
    <col min="11075" max="11075" width="11" style="1" bestFit="1" customWidth="1"/>
    <col min="11076" max="11076" width="10.625" style="1" customWidth="1"/>
    <col min="11077" max="11077" width="10.375" style="1" bestFit="1" customWidth="1"/>
    <col min="11078" max="11078" width="9.5" style="1" bestFit="1" customWidth="1"/>
    <col min="11079" max="11274" width="9" style="1"/>
    <col min="11275" max="11275" width="4" style="1" customWidth="1"/>
    <col min="11276" max="11276" width="17.75" style="1" customWidth="1"/>
    <col min="11277" max="11278" width="12.5" style="1" customWidth="1"/>
    <col min="11279" max="11279" width="12.25" style="1" bestFit="1" customWidth="1"/>
    <col min="11280" max="11281" width="11" style="1" customWidth="1"/>
    <col min="11282" max="11282" width="9.875" style="1" customWidth="1"/>
    <col min="11283" max="11284" width="11" style="1" customWidth="1"/>
    <col min="11285" max="11285" width="10.125" style="1" customWidth="1"/>
    <col min="11286" max="11287" width="11" style="1" customWidth="1"/>
    <col min="11288" max="11288" width="10.375" style="1" customWidth="1"/>
    <col min="11289" max="11290" width="11" style="1" customWidth="1"/>
    <col min="11291" max="11291" width="10.625" style="1" customWidth="1"/>
    <col min="11292" max="11294" width="11" style="1" customWidth="1"/>
    <col min="11295" max="11296" width="11.25" style="1" customWidth="1"/>
    <col min="11297" max="11297" width="10.375" style="1" bestFit="1" customWidth="1"/>
    <col min="11298" max="11299" width="11.25" style="1" customWidth="1"/>
    <col min="11300" max="11300" width="10.375" style="1" customWidth="1"/>
    <col min="11301" max="11302" width="11.25" style="1" customWidth="1"/>
    <col min="11303" max="11303" width="12.25" style="1" bestFit="1" customWidth="1"/>
    <col min="11304" max="11305" width="11.25" style="1" customWidth="1"/>
    <col min="11306" max="11306" width="9.625" style="1" customWidth="1"/>
    <col min="11307" max="11308" width="11.25" style="1" customWidth="1"/>
    <col min="11309" max="11309" width="9.25" style="1" customWidth="1"/>
    <col min="11310" max="11311" width="11.25" style="1" customWidth="1"/>
    <col min="11312" max="11312" width="10.125" style="1" customWidth="1"/>
    <col min="11313" max="11314" width="9.375" style="1" customWidth="1"/>
    <col min="11315" max="11315" width="10.375" style="1" bestFit="1" customWidth="1"/>
    <col min="11316" max="11317" width="9.375" style="1" customWidth="1"/>
    <col min="11318" max="11318" width="9.25" style="1" bestFit="1" customWidth="1"/>
    <col min="11319" max="11319" width="9.375" style="1" customWidth="1"/>
    <col min="11320" max="11320" width="9" style="1" customWidth="1"/>
    <col min="11321" max="11321" width="9.75" style="1" customWidth="1"/>
    <col min="11322" max="11322" width="10.5" style="1" customWidth="1"/>
    <col min="11323" max="11323" width="11.125" style="1" bestFit="1" customWidth="1"/>
    <col min="11324" max="11324" width="10.375" style="1" bestFit="1" customWidth="1"/>
    <col min="11325" max="11325" width="9.375" style="1" customWidth="1"/>
    <col min="11326" max="11326" width="10" style="1" customWidth="1"/>
    <col min="11327" max="11327" width="8.5" style="1" bestFit="1" customWidth="1"/>
    <col min="11328" max="11328" width="10.25" style="1" customWidth="1"/>
    <col min="11329" max="11329" width="10.125" style="1" customWidth="1"/>
    <col min="11330" max="11330" width="9.25" style="1" bestFit="1" customWidth="1"/>
    <col min="11331" max="11331" width="11" style="1" bestFit="1" customWidth="1"/>
    <col min="11332" max="11332" width="10.625" style="1" customWidth="1"/>
    <col min="11333" max="11333" width="10.375" style="1" bestFit="1" customWidth="1"/>
    <col min="11334" max="11334" width="9.5" style="1" bestFit="1" customWidth="1"/>
    <col min="11335" max="11530" width="9" style="1"/>
    <col min="11531" max="11531" width="4" style="1" customWidth="1"/>
    <col min="11532" max="11532" width="17.75" style="1" customWidth="1"/>
    <col min="11533" max="11534" width="12.5" style="1" customWidth="1"/>
    <col min="11535" max="11535" width="12.25" style="1" bestFit="1" customWidth="1"/>
    <col min="11536" max="11537" width="11" style="1" customWidth="1"/>
    <col min="11538" max="11538" width="9.875" style="1" customWidth="1"/>
    <col min="11539" max="11540" width="11" style="1" customWidth="1"/>
    <col min="11541" max="11541" width="10.125" style="1" customWidth="1"/>
    <col min="11542" max="11543" width="11" style="1" customWidth="1"/>
    <col min="11544" max="11544" width="10.375" style="1" customWidth="1"/>
    <col min="11545" max="11546" width="11" style="1" customWidth="1"/>
    <col min="11547" max="11547" width="10.625" style="1" customWidth="1"/>
    <col min="11548" max="11550" width="11" style="1" customWidth="1"/>
    <col min="11551" max="11552" width="11.25" style="1" customWidth="1"/>
    <col min="11553" max="11553" width="10.375" style="1" bestFit="1" customWidth="1"/>
    <col min="11554" max="11555" width="11.25" style="1" customWidth="1"/>
    <col min="11556" max="11556" width="10.375" style="1" customWidth="1"/>
    <col min="11557" max="11558" width="11.25" style="1" customWidth="1"/>
    <col min="11559" max="11559" width="12.25" style="1" bestFit="1" customWidth="1"/>
    <col min="11560" max="11561" width="11.25" style="1" customWidth="1"/>
    <col min="11562" max="11562" width="9.625" style="1" customWidth="1"/>
    <col min="11563" max="11564" width="11.25" style="1" customWidth="1"/>
    <col min="11565" max="11565" width="9.25" style="1" customWidth="1"/>
    <col min="11566" max="11567" width="11.25" style="1" customWidth="1"/>
    <col min="11568" max="11568" width="10.125" style="1" customWidth="1"/>
    <col min="11569" max="11570" width="9.375" style="1" customWidth="1"/>
    <col min="11571" max="11571" width="10.375" style="1" bestFit="1" customWidth="1"/>
    <col min="11572" max="11573" width="9.375" style="1" customWidth="1"/>
    <col min="11574" max="11574" width="9.25" style="1" bestFit="1" customWidth="1"/>
    <col min="11575" max="11575" width="9.375" style="1" customWidth="1"/>
    <col min="11576" max="11576" width="9" style="1" customWidth="1"/>
    <col min="11577" max="11577" width="9.75" style="1" customWidth="1"/>
    <col min="11578" max="11578" width="10.5" style="1" customWidth="1"/>
    <col min="11579" max="11579" width="11.125" style="1" bestFit="1" customWidth="1"/>
    <col min="11580" max="11580" width="10.375" style="1" bestFit="1" customWidth="1"/>
    <col min="11581" max="11581" width="9.375" style="1" customWidth="1"/>
    <col min="11582" max="11582" width="10" style="1" customWidth="1"/>
    <col min="11583" max="11583" width="8.5" style="1" bestFit="1" customWidth="1"/>
    <col min="11584" max="11584" width="10.25" style="1" customWidth="1"/>
    <col min="11585" max="11585" width="10.125" style="1" customWidth="1"/>
    <col min="11586" max="11586" width="9.25" style="1" bestFit="1" customWidth="1"/>
    <col min="11587" max="11587" width="11" style="1" bestFit="1" customWidth="1"/>
    <col min="11588" max="11588" width="10.625" style="1" customWidth="1"/>
    <col min="11589" max="11589" width="10.375" style="1" bestFit="1" customWidth="1"/>
    <col min="11590" max="11590" width="9.5" style="1" bestFit="1" customWidth="1"/>
    <col min="11591" max="11786" width="9" style="1"/>
    <col min="11787" max="11787" width="4" style="1" customWidth="1"/>
    <col min="11788" max="11788" width="17.75" style="1" customWidth="1"/>
    <col min="11789" max="11790" width="12.5" style="1" customWidth="1"/>
    <col min="11791" max="11791" width="12.25" style="1" bestFit="1" customWidth="1"/>
    <col min="11792" max="11793" width="11" style="1" customWidth="1"/>
    <col min="11794" max="11794" width="9.875" style="1" customWidth="1"/>
    <col min="11795" max="11796" width="11" style="1" customWidth="1"/>
    <col min="11797" max="11797" width="10.125" style="1" customWidth="1"/>
    <col min="11798" max="11799" width="11" style="1" customWidth="1"/>
    <col min="11800" max="11800" width="10.375" style="1" customWidth="1"/>
    <col min="11801" max="11802" width="11" style="1" customWidth="1"/>
    <col min="11803" max="11803" width="10.625" style="1" customWidth="1"/>
    <col min="11804" max="11806" width="11" style="1" customWidth="1"/>
    <col min="11807" max="11808" width="11.25" style="1" customWidth="1"/>
    <col min="11809" max="11809" width="10.375" style="1" bestFit="1" customWidth="1"/>
    <col min="11810" max="11811" width="11.25" style="1" customWidth="1"/>
    <col min="11812" max="11812" width="10.375" style="1" customWidth="1"/>
    <col min="11813" max="11814" width="11.25" style="1" customWidth="1"/>
    <col min="11815" max="11815" width="12.25" style="1" bestFit="1" customWidth="1"/>
    <col min="11816" max="11817" width="11.25" style="1" customWidth="1"/>
    <col min="11818" max="11818" width="9.625" style="1" customWidth="1"/>
    <col min="11819" max="11820" width="11.25" style="1" customWidth="1"/>
    <col min="11821" max="11821" width="9.25" style="1" customWidth="1"/>
    <col min="11822" max="11823" width="11.25" style="1" customWidth="1"/>
    <col min="11824" max="11824" width="10.125" style="1" customWidth="1"/>
    <col min="11825" max="11826" width="9.375" style="1" customWidth="1"/>
    <col min="11827" max="11827" width="10.375" style="1" bestFit="1" customWidth="1"/>
    <col min="11828" max="11829" width="9.375" style="1" customWidth="1"/>
    <col min="11830" max="11830" width="9.25" style="1" bestFit="1" customWidth="1"/>
    <col min="11831" max="11831" width="9.375" style="1" customWidth="1"/>
    <col min="11832" max="11832" width="9" style="1" customWidth="1"/>
    <col min="11833" max="11833" width="9.75" style="1" customWidth="1"/>
    <col min="11834" max="11834" width="10.5" style="1" customWidth="1"/>
    <col min="11835" max="11835" width="11.125" style="1" bestFit="1" customWidth="1"/>
    <col min="11836" max="11836" width="10.375" style="1" bestFit="1" customWidth="1"/>
    <col min="11837" max="11837" width="9.375" style="1" customWidth="1"/>
    <col min="11838" max="11838" width="10" style="1" customWidth="1"/>
    <col min="11839" max="11839" width="8.5" style="1" bestFit="1" customWidth="1"/>
    <col min="11840" max="11840" width="10.25" style="1" customWidth="1"/>
    <col min="11841" max="11841" width="10.125" style="1" customWidth="1"/>
    <col min="11842" max="11842" width="9.25" style="1" bestFit="1" customWidth="1"/>
    <col min="11843" max="11843" width="11" style="1" bestFit="1" customWidth="1"/>
    <col min="11844" max="11844" width="10.625" style="1" customWidth="1"/>
    <col min="11845" max="11845" width="10.375" style="1" bestFit="1" customWidth="1"/>
    <col min="11846" max="11846" width="9.5" style="1" bestFit="1" customWidth="1"/>
    <col min="11847" max="12042" width="9" style="1"/>
    <col min="12043" max="12043" width="4" style="1" customWidth="1"/>
    <col min="12044" max="12044" width="17.75" style="1" customWidth="1"/>
    <col min="12045" max="12046" width="12.5" style="1" customWidth="1"/>
    <col min="12047" max="12047" width="12.25" style="1" bestFit="1" customWidth="1"/>
    <col min="12048" max="12049" width="11" style="1" customWidth="1"/>
    <col min="12050" max="12050" width="9.875" style="1" customWidth="1"/>
    <col min="12051" max="12052" width="11" style="1" customWidth="1"/>
    <col min="12053" max="12053" width="10.125" style="1" customWidth="1"/>
    <col min="12054" max="12055" width="11" style="1" customWidth="1"/>
    <col min="12056" max="12056" width="10.375" style="1" customWidth="1"/>
    <col min="12057" max="12058" width="11" style="1" customWidth="1"/>
    <col min="12059" max="12059" width="10.625" style="1" customWidth="1"/>
    <col min="12060" max="12062" width="11" style="1" customWidth="1"/>
    <col min="12063" max="12064" width="11.25" style="1" customWidth="1"/>
    <col min="12065" max="12065" width="10.375" style="1" bestFit="1" customWidth="1"/>
    <col min="12066" max="12067" width="11.25" style="1" customWidth="1"/>
    <col min="12068" max="12068" width="10.375" style="1" customWidth="1"/>
    <col min="12069" max="12070" width="11.25" style="1" customWidth="1"/>
    <col min="12071" max="12071" width="12.25" style="1" bestFit="1" customWidth="1"/>
    <col min="12072" max="12073" width="11.25" style="1" customWidth="1"/>
    <col min="12074" max="12074" width="9.625" style="1" customWidth="1"/>
    <col min="12075" max="12076" width="11.25" style="1" customWidth="1"/>
    <col min="12077" max="12077" width="9.25" style="1" customWidth="1"/>
    <col min="12078" max="12079" width="11.25" style="1" customWidth="1"/>
    <col min="12080" max="12080" width="10.125" style="1" customWidth="1"/>
    <col min="12081" max="12082" width="9.375" style="1" customWidth="1"/>
    <col min="12083" max="12083" width="10.375" style="1" bestFit="1" customWidth="1"/>
    <col min="12084" max="12085" width="9.375" style="1" customWidth="1"/>
    <col min="12086" max="12086" width="9.25" style="1" bestFit="1" customWidth="1"/>
    <col min="12087" max="12087" width="9.375" style="1" customWidth="1"/>
    <col min="12088" max="12088" width="9" style="1" customWidth="1"/>
    <col min="12089" max="12089" width="9.75" style="1" customWidth="1"/>
    <col min="12090" max="12090" width="10.5" style="1" customWidth="1"/>
    <col min="12091" max="12091" width="11.125" style="1" bestFit="1" customWidth="1"/>
    <col min="12092" max="12092" width="10.375" style="1" bestFit="1" customWidth="1"/>
    <col min="12093" max="12093" width="9.375" style="1" customWidth="1"/>
    <col min="12094" max="12094" width="10" style="1" customWidth="1"/>
    <col min="12095" max="12095" width="8.5" style="1" bestFit="1" customWidth="1"/>
    <col min="12096" max="12096" width="10.25" style="1" customWidth="1"/>
    <col min="12097" max="12097" width="10.125" style="1" customWidth="1"/>
    <col min="12098" max="12098" width="9.25" style="1" bestFit="1" customWidth="1"/>
    <col min="12099" max="12099" width="11" style="1" bestFit="1" customWidth="1"/>
    <col min="12100" max="12100" width="10.625" style="1" customWidth="1"/>
    <col min="12101" max="12101" width="10.375" style="1" bestFit="1" customWidth="1"/>
    <col min="12102" max="12102" width="9.5" style="1" bestFit="1" customWidth="1"/>
    <col min="12103" max="12298" width="9" style="1"/>
    <col min="12299" max="12299" width="4" style="1" customWidth="1"/>
    <col min="12300" max="12300" width="17.75" style="1" customWidth="1"/>
    <col min="12301" max="12302" width="12.5" style="1" customWidth="1"/>
    <col min="12303" max="12303" width="12.25" style="1" bestFit="1" customWidth="1"/>
    <col min="12304" max="12305" width="11" style="1" customWidth="1"/>
    <col min="12306" max="12306" width="9.875" style="1" customWidth="1"/>
    <col min="12307" max="12308" width="11" style="1" customWidth="1"/>
    <col min="12309" max="12309" width="10.125" style="1" customWidth="1"/>
    <col min="12310" max="12311" width="11" style="1" customWidth="1"/>
    <col min="12312" max="12312" width="10.375" style="1" customWidth="1"/>
    <col min="12313" max="12314" width="11" style="1" customWidth="1"/>
    <col min="12315" max="12315" width="10.625" style="1" customWidth="1"/>
    <col min="12316" max="12318" width="11" style="1" customWidth="1"/>
    <col min="12319" max="12320" width="11.25" style="1" customWidth="1"/>
    <col min="12321" max="12321" width="10.375" style="1" bestFit="1" customWidth="1"/>
    <col min="12322" max="12323" width="11.25" style="1" customWidth="1"/>
    <col min="12324" max="12324" width="10.375" style="1" customWidth="1"/>
    <col min="12325" max="12326" width="11.25" style="1" customWidth="1"/>
    <col min="12327" max="12327" width="12.25" style="1" bestFit="1" customWidth="1"/>
    <col min="12328" max="12329" width="11.25" style="1" customWidth="1"/>
    <col min="12330" max="12330" width="9.625" style="1" customWidth="1"/>
    <col min="12331" max="12332" width="11.25" style="1" customWidth="1"/>
    <col min="12333" max="12333" width="9.25" style="1" customWidth="1"/>
    <col min="12334" max="12335" width="11.25" style="1" customWidth="1"/>
    <col min="12336" max="12336" width="10.125" style="1" customWidth="1"/>
    <col min="12337" max="12338" width="9.375" style="1" customWidth="1"/>
    <col min="12339" max="12339" width="10.375" style="1" bestFit="1" customWidth="1"/>
    <col min="12340" max="12341" width="9.375" style="1" customWidth="1"/>
    <col min="12342" max="12342" width="9.25" style="1" bestFit="1" customWidth="1"/>
    <col min="12343" max="12343" width="9.375" style="1" customWidth="1"/>
    <col min="12344" max="12344" width="9" style="1" customWidth="1"/>
    <col min="12345" max="12345" width="9.75" style="1" customWidth="1"/>
    <col min="12346" max="12346" width="10.5" style="1" customWidth="1"/>
    <col min="12347" max="12347" width="11.125" style="1" bestFit="1" customWidth="1"/>
    <col min="12348" max="12348" width="10.375" style="1" bestFit="1" customWidth="1"/>
    <col min="12349" max="12349" width="9.375" style="1" customWidth="1"/>
    <col min="12350" max="12350" width="10" style="1" customWidth="1"/>
    <col min="12351" max="12351" width="8.5" style="1" bestFit="1" customWidth="1"/>
    <col min="12352" max="12352" width="10.25" style="1" customWidth="1"/>
    <col min="12353" max="12353" width="10.125" style="1" customWidth="1"/>
    <col min="12354" max="12354" width="9.25" style="1" bestFit="1" customWidth="1"/>
    <col min="12355" max="12355" width="11" style="1" bestFit="1" customWidth="1"/>
    <col min="12356" max="12356" width="10.625" style="1" customWidth="1"/>
    <col min="12357" max="12357" width="10.375" style="1" bestFit="1" customWidth="1"/>
    <col min="12358" max="12358" width="9.5" style="1" bestFit="1" customWidth="1"/>
    <col min="12359" max="12554" width="9" style="1"/>
    <col min="12555" max="12555" width="4" style="1" customWidth="1"/>
    <col min="12556" max="12556" width="17.75" style="1" customWidth="1"/>
    <col min="12557" max="12558" width="12.5" style="1" customWidth="1"/>
    <col min="12559" max="12559" width="12.25" style="1" bestFit="1" customWidth="1"/>
    <col min="12560" max="12561" width="11" style="1" customWidth="1"/>
    <col min="12562" max="12562" width="9.875" style="1" customWidth="1"/>
    <col min="12563" max="12564" width="11" style="1" customWidth="1"/>
    <col min="12565" max="12565" width="10.125" style="1" customWidth="1"/>
    <col min="12566" max="12567" width="11" style="1" customWidth="1"/>
    <col min="12568" max="12568" width="10.375" style="1" customWidth="1"/>
    <col min="12569" max="12570" width="11" style="1" customWidth="1"/>
    <col min="12571" max="12571" width="10.625" style="1" customWidth="1"/>
    <col min="12572" max="12574" width="11" style="1" customWidth="1"/>
    <col min="12575" max="12576" width="11.25" style="1" customWidth="1"/>
    <col min="12577" max="12577" width="10.375" style="1" bestFit="1" customWidth="1"/>
    <col min="12578" max="12579" width="11.25" style="1" customWidth="1"/>
    <col min="12580" max="12580" width="10.375" style="1" customWidth="1"/>
    <col min="12581" max="12582" width="11.25" style="1" customWidth="1"/>
    <col min="12583" max="12583" width="12.25" style="1" bestFit="1" customWidth="1"/>
    <col min="12584" max="12585" width="11.25" style="1" customWidth="1"/>
    <col min="12586" max="12586" width="9.625" style="1" customWidth="1"/>
    <col min="12587" max="12588" width="11.25" style="1" customWidth="1"/>
    <col min="12589" max="12589" width="9.25" style="1" customWidth="1"/>
    <col min="12590" max="12591" width="11.25" style="1" customWidth="1"/>
    <col min="12592" max="12592" width="10.125" style="1" customWidth="1"/>
    <col min="12593" max="12594" width="9.375" style="1" customWidth="1"/>
    <col min="12595" max="12595" width="10.375" style="1" bestFit="1" customWidth="1"/>
    <col min="12596" max="12597" width="9.375" style="1" customWidth="1"/>
    <col min="12598" max="12598" width="9.25" style="1" bestFit="1" customWidth="1"/>
    <col min="12599" max="12599" width="9.375" style="1" customWidth="1"/>
    <col min="12600" max="12600" width="9" style="1" customWidth="1"/>
    <col min="12601" max="12601" width="9.75" style="1" customWidth="1"/>
    <col min="12602" max="12602" width="10.5" style="1" customWidth="1"/>
    <col min="12603" max="12603" width="11.125" style="1" bestFit="1" customWidth="1"/>
    <col min="12604" max="12604" width="10.375" style="1" bestFit="1" customWidth="1"/>
    <col min="12605" max="12605" width="9.375" style="1" customWidth="1"/>
    <col min="12606" max="12606" width="10" style="1" customWidth="1"/>
    <col min="12607" max="12607" width="8.5" style="1" bestFit="1" customWidth="1"/>
    <col min="12608" max="12608" width="10.25" style="1" customWidth="1"/>
    <col min="12609" max="12609" width="10.125" style="1" customWidth="1"/>
    <col min="12610" max="12610" width="9.25" style="1" bestFit="1" customWidth="1"/>
    <col min="12611" max="12611" width="11" style="1" bestFit="1" customWidth="1"/>
    <col min="12612" max="12612" width="10.625" style="1" customWidth="1"/>
    <col min="12613" max="12613" width="10.375" style="1" bestFit="1" customWidth="1"/>
    <col min="12614" max="12614" width="9.5" style="1" bestFit="1" customWidth="1"/>
    <col min="12615" max="12810" width="9" style="1"/>
    <col min="12811" max="12811" width="4" style="1" customWidth="1"/>
    <col min="12812" max="12812" width="17.75" style="1" customWidth="1"/>
    <col min="12813" max="12814" width="12.5" style="1" customWidth="1"/>
    <col min="12815" max="12815" width="12.25" style="1" bestFit="1" customWidth="1"/>
    <col min="12816" max="12817" width="11" style="1" customWidth="1"/>
    <col min="12818" max="12818" width="9.875" style="1" customWidth="1"/>
    <col min="12819" max="12820" width="11" style="1" customWidth="1"/>
    <col min="12821" max="12821" width="10.125" style="1" customWidth="1"/>
    <col min="12822" max="12823" width="11" style="1" customWidth="1"/>
    <col min="12824" max="12824" width="10.375" style="1" customWidth="1"/>
    <col min="12825" max="12826" width="11" style="1" customWidth="1"/>
    <col min="12827" max="12827" width="10.625" style="1" customWidth="1"/>
    <col min="12828" max="12830" width="11" style="1" customWidth="1"/>
    <col min="12831" max="12832" width="11.25" style="1" customWidth="1"/>
    <col min="12833" max="12833" width="10.375" style="1" bestFit="1" customWidth="1"/>
    <col min="12834" max="12835" width="11.25" style="1" customWidth="1"/>
    <col min="12836" max="12836" width="10.375" style="1" customWidth="1"/>
    <col min="12837" max="12838" width="11.25" style="1" customWidth="1"/>
    <col min="12839" max="12839" width="12.25" style="1" bestFit="1" customWidth="1"/>
    <col min="12840" max="12841" width="11.25" style="1" customWidth="1"/>
    <col min="12842" max="12842" width="9.625" style="1" customWidth="1"/>
    <col min="12843" max="12844" width="11.25" style="1" customWidth="1"/>
    <col min="12845" max="12845" width="9.25" style="1" customWidth="1"/>
    <col min="12846" max="12847" width="11.25" style="1" customWidth="1"/>
    <col min="12848" max="12848" width="10.125" style="1" customWidth="1"/>
    <col min="12849" max="12850" width="9.375" style="1" customWidth="1"/>
    <col min="12851" max="12851" width="10.375" style="1" bestFit="1" customWidth="1"/>
    <col min="12852" max="12853" width="9.375" style="1" customWidth="1"/>
    <col min="12854" max="12854" width="9.25" style="1" bestFit="1" customWidth="1"/>
    <col min="12855" max="12855" width="9.375" style="1" customWidth="1"/>
    <col min="12856" max="12856" width="9" style="1" customWidth="1"/>
    <col min="12857" max="12857" width="9.75" style="1" customWidth="1"/>
    <col min="12858" max="12858" width="10.5" style="1" customWidth="1"/>
    <col min="12859" max="12859" width="11.125" style="1" bestFit="1" customWidth="1"/>
    <col min="12860" max="12860" width="10.375" style="1" bestFit="1" customWidth="1"/>
    <col min="12861" max="12861" width="9.375" style="1" customWidth="1"/>
    <col min="12862" max="12862" width="10" style="1" customWidth="1"/>
    <col min="12863" max="12863" width="8.5" style="1" bestFit="1" customWidth="1"/>
    <col min="12864" max="12864" width="10.25" style="1" customWidth="1"/>
    <col min="12865" max="12865" width="10.125" style="1" customWidth="1"/>
    <col min="12866" max="12866" width="9.25" style="1" bestFit="1" customWidth="1"/>
    <col min="12867" max="12867" width="11" style="1" bestFit="1" customWidth="1"/>
    <col min="12868" max="12868" width="10.625" style="1" customWidth="1"/>
    <col min="12869" max="12869" width="10.375" style="1" bestFit="1" customWidth="1"/>
    <col min="12870" max="12870" width="9.5" style="1" bestFit="1" customWidth="1"/>
    <col min="12871" max="13066" width="9" style="1"/>
    <col min="13067" max="13067" width="4" style="1" customWidth="1"/>
    <col min="13068" max="13068" width="17.75" style="1" customWidth="1"/>
    <col min="13069" max="13070" width="12.5" style="1" customWidth="1"/>
    <col min="13071" max="13071" width="12.25" style="1" bestFit="1" customWidth="1"/>
    <col min="13072" max="13073" width="11" style="1" customWidth="1"/>
    <col min="13074" max="13074" width="9.875" style="1" customWidth="1"/>
    <col min="13075" max="13076" width="11" style="1" customWidth="1"/>
    <col min="13077" max="13077" width="10.125" style="1" customWidth="1"/>
    <col min="13078" max="13079" width="11" style="1" customWidth="1"/>
    <col min="13080" max="13080" width="10.375" style="1" customWidth="1"/>
    <col min="13081" max="13082" width="11" style="1" customWidth="1"/>
    <col min="13083" max="13083" width="10.625" style="1" customWidth="1"/>
    <col min="13084" max="13086" width="11" style="1" customWidth="1"/>
    <col min="13087" max="13088" width="11.25" style="1" customWidth="1"/>
    <col min="13089" max="13089" width="10.375" style="1" bestFit="1" customWidth="1"/>
    <col min="13090" max="13091" width="11.25" style="1" customWidth="1"/>
    <col min="13092" max="13092" width="10.375" style="1" customWidth="1"/>
    <col min="13093" max="13094" width="11.25" style="1" customWidth="1"/>
    <col min="13095" max="13095" width="12.25" style="1" bestFit="1" customWidth="1"/>
    <col min="13096" max="13097" width="11.25" style="1" customWidth="1"/>
    <col min="13098" max="13098" width="9.625" style="1" customWidth="1"/>
    <col min="13099" max="13100" width="11.25" style="1" customWidth="1"/>
    <col min="13101" max="13101" width="9.25" style="1" customWidth="1"/>
    <col min="13102" max="13103" width="11.25" style="1" customWidth="1"/>
    <col min="13104" max="13104" width="10.125" style="1" customWidth="1"/>
    <col min="13105" max="13106" width="9.375" style="1" customWidth="1"/>
    <col min="13107" max="13107" width="10.375" style="1" bestFit="1" customWidth="1"/>
    <col min="13108" max="13109" width="9.375" style="1" customWidth="1"/>
    <col min="13110" max="13110" width="9.25" style="1" bestFit="1" customWidth="1"/>
    <col min="13111" max="13111" width="9.375" style="1" customWidth="1"/>
    <col min="13112" max="13112" width="9" style="1" customWidth="1"/>
    <col min="13113" max="13113" width="9.75" style="1" customWidth="1"/>
    <col min="13114" max="13114" width="10.5" style="1" customWidth="1"/>
    <col min="13115" max="13115" width="11.125" style="1" bestFit="1" customWidth="1"/>
    <col min="13116" max="13116" width="10.375" style="1" bestFit="1" customWidth="1"/>
    <col min="13117" max="13117" width="9.375" style="1" customWidth="1"/>
    <col min="13118" max="13118" width="10" style="1" customWidth="1"/>
    <col min="13119" max="13119" width="8.5" style="1" bestFit="1" customWidth="1"/>
    <col min="13120" max="13120" width="10.25" style="1" customWidth="1"/>
    <col min="13121" max="13121" width="10.125" style="1" customWidth="1"/>
    <col min="13122" max="13122" width="9.25" style="1" bestFit="1" customWidth="1"/>
    <col min="13123" max="13123" width="11" style="1" bestFit="1" customWidth="1"/>
    <col min="13124" max="13124" width="10.625" style="1" customWidth="1"/>
    <col min="13125" max="13125" width="10.375" style="1" bestFit="1" customWidth="1"/>
    <col min="13126" max="13126" width="9.5" style="1" bestFit="1" customWidth="1"/>
    <col min="13127" max="13322" width="9" style="1"/>
    <col min="13323" max="13323" width="4" style="1" customWidth="1"/>
    <col min="13324" max="13324" width="17.75" style="1" customWidth="1"/>
    <col min="13325" max="13326" width="12.5" style="1" customWidth="1"/>
    <col min="13327" max="13327" width="12.25" style="1" bestFit="1" customWidth="1"/>
    <col min="13328" max="13329" width="11" style="1" customWidth="1"/>
    <col min="13330" max="13330" width="9.875" style="1" customWidth="1"/>
    <col min="13331" max="13332" width="11" style="1" customWidth="1"/>
    <col min="13333" max="13333" width="10.125" style="1" customWidth="1"/>
    <col min="13334" max="13335" width="11" style="1" customWidth="1"/>
    <col min="13336" max="13336" width="10.375" style="1" customWidth="1"/>
    <col min="13337" max="13338" width="11" style="1" customWidth="1"/>
    <col min="13339" max="13339" width="10.625" style="1" customWidth="1"/>
    <col min="13340" max="13342" width="11" style="1" customWidth="1"/>
    <col min="13343" max="13344" width="11.25" style="1" customWidth="1"/>
    <col min="13345" max="13345" width="10.375" style="1" bestFit="1" customWidth="1"/>
    <col min="13346" max="13347" width="11.25" style="1" customWidth="1"/>
    <col min="13348" max="13348" width="10.375" style="1" customWidth="1"/>
    <col min="13349" max="13350" width="11.25" style="1" customWidth="1"/>
    <col min="13351" max="13351" width="12.25" style="1" bestFit="1" customWidth="1"/>
    <col min="13352" max="13353" width="11.25" style="1" customWidth="1"/>
    <col min="13354" max="13354" width="9.625" style="1" customWidth="1"/>
    <col min="13355" max="13356" width="11.25" style="1" customWidth="1"/>
    <col min="13357" max="13357" width="9.25" style="1" customWidth="1"/>
    <col min="13358" max="13359" width="11.25" style="1" customWidth="1"/>
    <col min="13360" max="13360" width="10.125" style="1" customWidth="1"/>
    <col min="13361" max="13362" width="9.375" style="1" customWidth="1"/>
    <col min="13363" max="13363" width="10.375" style="1" bestFit="1" customWidth="1"/>
    <col min="13364" max="13365" width="9.375" style="1" customWidth="1"/>
    <col min="13366" max="13366" width="9.25" style="1" bestFit="1" customWidth="1"/>
    <col min="13367" max="13367" width="9.375" style="1" customWidth="1"/>
    <col min="13368" max="13368" width="9" style="1" customWidth="1"/>
    <col min="13369" max="13369" width="9.75" style="1" customWidth="1"/>
    <col min="13370" max="13370" width="10.5" style="1" customWidth="1"/>
    <col min="13371" max="13371" width="11.125" style="1" bestFit="1" customWidth="1"/>
    <col min="13372" max="13372" width="10.375" style="1" bestFit="1" customWidth="1"/>
    <col min="13373" max="13373" width="9.375" style="1" customWidth="1"/>
    <col min="13374" max="13374" width="10" style="1" customWidth="1"/>
    <col min="13375" max="13375" width="8.5" style="1" bestFit="1" customWidth="1"/>
    <col min="13376" max="13376" width="10.25" style="1" customWidth="1"/>
    <col min="13377" max="13377" width="10.125" style="1" customWidth="1"/>
    <col min="13378" max="13378" width="9.25" style="1" bestFit="1" customWidth="1"/>
    <col min="13379" max="13379" width="11" style="1" bestFit="1" customWidth="1"/>
    <col min="13380" max="13380" width="10.625" style="1" customWidth="1"/>
    <col min="13381" max="13381" width="10.375" style="1" bestFit="1" customWidth="1"/>
    <col min="13382" max="13382" width="9.5" style="1" bestFit="1" customWidth="1"/>
    <col min="13383" max="13578" width="9" style="1"/>
    <col min="13579" max="13579" width="4" style="1" customWidth="1"/>
    <col min="13580" max="13580" width="17.75" style="1" customWidth="1"/>
    <col min="13581" max="13582" width="12.5" style="1" customWidth="1"/>
    <col min="13583" max="13583" width="12.25" style="1" bestFit="1" customWidth="1"/>
    <col min="13584" max="13585" width="11" style="1" customWidth="1"/>
    <col min="13586" max="13586" width="9.875" style="1" customWidth="1"/>
    <col min="13587" max="13588" width="11" style="1" customWidth="1"/>
    <col min="13589" max="13589" width="10.125" style="1" customWidth="1"/>
    <col min="13590" max="13591" width="11" style="1" customWidth="1"/>
    <col min="13592" max="13592" width="10.375" style="1" customWidth="1"/>
    <col min="13593" max="13594" width="11" style="1" customWidth="1"/>
    <col min="13595" max="13595" width="10.625" style="1" customWidth="1"/>
    <col min="13596" max="13598" width="11" style="1" customWidth="1"/>
    <col min="13599" max="13600" width="11.25" style="1" customWidth="1"/>
    <col min="13601" max="13601" width="10.375" style="1" bestFit="1" customWidth="1"/>
    <col min="13602" max="13603" width="11.25" style="1" customWidth="1"/>
    <col min="13604" max="13604" width="10.375" style="1" customWidth="1"/>
    <col min="13605" max="13606" width="11.25" style="1" customWidth="1"/>
    <col min="13607" max="13607" width="12.25" style="1" bestFit="1" customWidth="1"/>
    <col min="13608" max="13609" width="11.25" style="1" customWidth="1"/>
    <col min="13610" max="13610" width="9.625" style="1" customWidth="1"/>
    <col min="13611" max="13612" width="11.25" style="1" customWidth="1"/>
    <col min="13613" max="13613" width="9.25" style="1" customWidth="1"/>
    <col min="13614" max="13615" width="11.25" style="1" customWidth="1"/>
    <col min="13616" max="13616" width="10.125" style="1" customWidth="1"/>
    <col min="13617" max="13618" width="9.375" style="1" customWidth="1"/>
    <col min="13619" max="13619" width="10.375" style="1" bestFit="1" customWidth="1"/>
    <col min="13620" max="13621" width="9.375" style="1" customWidth="1"/>
    <col min="13622" max="13622" width="9.25" style="1" bestFit="1" customWidth="1"/>
    <col min="13623" max="13623" width="9.375" style="1" customWidth="1"/>
    <col min="13624" max="13624" width="9" style="1" customWidth="1"/>
    <col min="13625" max="13625" width="9.75" style="1" customWidth="1"/>
    <col min="13626" max="13626" width="10.5" style="1" customWidth="1"/>
    <col min="13627" max="13627" width="11.125" style="1" bestFit="1" customWidth="1"/>
    <col min="13628" max="13628" width="10.375" style="1" bestFit="1" customWidth="1"/>
    <col min="13629" max="13629" width="9.375" style="1" customWidth="1"/>
    <col min="13630" max="13630" width="10" style="1" customWidth="1"/>
    <col min="13631" max="13631" width="8.5" style="1" bestFit="1" customWidth="1"/>
    <col min="13632" max="13632" width="10.25" style="1" customWidth="1"/>
    <col min="13633" max="13633" width="10.125" style="1" customWidth="1"/>
    <col min="13634" max="13634" width="9.25" style="1" bestFit="1" customWidth="1"/>
    <col min="13635" max="13635" width="11" style="1" bestFit="1" customWidth="1"/>
    <col min="13636" max="13636" width="10.625" style="1" customWidth="1"/>
    <col min="13637" max="13637" width="10.375" style="1" bestFit="1" customWidth="1"/>
    <col min="13638" max="13638" width="9.5" style="1" bestFit="1" customWidth="1"/>
    <col min="13639" max="13834" width="9" style="1"/>
    <col min="13835" max="13835" width="4" style="1" customWidth="1"/>
    <col min="13836" max="13836" width="17.75" style="1" customWidth="1"/>
    <col min="13837" max="13838" width="12.5" style="1" customWidth="1"/>
    <col min="13839" max="13839" width="12.25" style="1" bestFit="1" customWidth="1"/>
    <col min="13840" max="13841" width="11" style="1" customWidth="1"/>
    <col min="13842" max="13842" width="9.875" style="1" customWidth="1"/>
    <col min="13843" max="13844" width="11" style="1" customWidth="1"/>
    <col min="13845" max="13845" width="10.125" style="1" customWidth="1"/>
    <col min="13846" max="13847" width="11" style="1" customWidth="1"/>
    <col min="13848" max="13848" width="10.375" style="1" customWidth="1"/>
    <col min="13849" max="13850" width="11" style="1" customWidth="1"/>
    <col min="13851" max="13851" width="10.625" style="1" customWidth="1"/>
    <col min="13852" max="13854" width="11" style="1" customWidth="1"/>
    <col min="13855" max="13856" width="11.25" style="1" customWidth="1"/>
    <col min="13857" max="13857" width="10.375" style="1" bestFit="1" customWidth="1"/>
    <col min="13858" max="13859" width="11.25" style="1" customWidth="1"/>
    <col min="13860" max="13860" width="10.375" style="1" customWidth="1"/>
    <col min="13861" max="13862" width="11.25" style="1" customWidth="1"/>
    <col min="13863" max="13863" width="12.25" style="1" bestFit="1" customWidth="1"/>
    <col min="13864" max="13865" width="11.25" style="1" customWidth="1"/>
    <col min="13866" max="13866" width="9.625" style="1" customWidth="1"/>
    <col min="13867" max="13868" width="11.25" style="1" customWidth="1"/>
    <col min="13869" max="13869" width="9.25" style="1" customWidth="1"/>
    <col min="13870" max="13871" width="11.25" style="1" customWidth="1"/>
    <col min="13872" max="13872" width="10.125" style="1" customWidth="1"/>
    <col min="13873" max="13874" width="9.375" style="1" customWidth="1"/>
    <col min="13875" max="13875" width="10.375" style="1" bestFit="1" customWidth="1"/>
    <col min="13876" max="13877" width="9.375" style="1" customWidth="1"/>
    <col min="13878" max="13878" width="9.25" style="1" bestFit="1" customWidth="1"/>
    <col min="13879" max="13879" width="9.375" style="1" customWidth="1"/>
    <col min="13880" max="13880" width="9" style="1" customWidth="1"/>
    <col min="13881" max="13881" width="9.75" style="1" customWidth="1"/>
    <col min="13882" max="13882" width="10.5" style="1" customWidth="1"/>
    <col min="13883" max="13883" width="11.125" style="1" bestFit="1" customWidth="1"/>
    <col min="13884" max="13884" width="10.375" style="1" bestFit="1" customWidth="1"/>
    <col min="13885" max="13885" width="9.375" style="1" customWidth="1"/>
    <col min="13886" max="13886" width="10" style="1" customWidth="1"/>
    <col min="13887" max="13887" width="8.5" style="1" bestFit="1" customWidth="1"/>
    <col min="13888" max="13888" width="10.25" style="1" customWidth="1"/>
    <col min="13889" max="13889" width="10.125" style="1" customWidth="1"/>
    <col min="13890" max="13890" width="9.25" style="1" bestFit="1" customWidth="1"/>
    <col min="13891" max="13891" width="11" style="1" bestFit="1" customWidth="1"/>
    <col min="13892" max="13892" width="10.625" style="1" customWidth="1"/>
    <col min="13893" max="13893" width="10.375" style="1" bestFit="1" customWidth="1"/>
    <col min="13894" max="13894" width="9.5" style="1" bestFit="1" customWidth="1"/>
    <col min="13895" max="14090" width="9" style="1"/>
    <col min="14091" max="14091" width="4" style="1" customWidth="1"/>
    <col min="14092" max="14092" width="17.75" style="1" customWidth="1"/>
    <col min="14093" max="14094" width="12.5" style="1" customWidth="1"/>
    <col min="14095" max="14095" width="12.25" style="1" bestFit="1" customWidth="1"/>
    <col min="14096" max="14097" width="11" style="1" customWidth="1"/>
    <col min="14098" max="14098" width="9.875" style="1" customWidth="1"/>
    <col min="14099" max="14100" width="11" style="1" customWidth="1"/>
    <col min="14101" max="14101" width="10.125" style="1" customWidth="1"/>
    <col min="14102" max="14103" width="11" style="1" customWidth="1"/>
    <col min="14104" max="14104" width="10.375" style="1" customWidth="1"/>
    <col min="14105" max="14106" width="11" style="1" customWidth="1"/>
    <col min="14107" max="14107" width="10.625" style="1" customWidth="1"/>
    <col min="14108" max="14110" width="11" style="1" customWidth="1"/>
    <col min="14111" max="14112" width="11.25" style="1" customWidth="1"/>
    <col min="14113" max="14113" width="10.375" style="1" bestFit="1" customWidth="1"/>
    <col min="14114" max="14115" width="11.25" style="1" customWidth="1"/>
    <col min="14116" max="14116" width="10.375" style="1" customWidth="1"/>
    <col min="14117" max="14118" width="11.25" style="1" customWidth="1"/>
    <col min="14119" max="14119" width="12.25" style="1" bestFit="1" customWidth="1"/>
    <col min="14120" max="14121" width="11.25" style="1" customWidth="1"/>
    <col min="14122" max="14122" width="9.625" style="1" customWidth="1"/>
    <col min="14123" max="14124" width="11.25" style="1" customWidth="1"/>
    <col min="14125" max="14125" width="9.25" style="1" customWidth="1"/>
    <col min="14126" max="14127" width="11.25" style="1" customWidth="1"/>
    <col min="14128" max="14128" width="10.125" style="1" customWidth="1"/>
    <col min="14129" max="14130" width="9.375" style="1" customWidth="1"/>
    <col min="14131" max="14131" width="10.375" style="1" bestFit="1" customWidth="1"/>
    <col min="14132" max="14133" width="9.375" style="1" customWidth="1"/>
    <col min="14134" max="14134" width="9.25" style="1" bestFit="1" customWidth="1"/>
    <col min="14135" max="14135" width="9.375" style="1" customWidth="1"/>
    <col min="14136" max="14136" width="9" style="1" customWidth="1"/>
    <col min="14137" max="14137" width="9.75" style="1" customWidth="1"/>
    <col min="14138" max="14138" width="10.5" style="1" customWidth="1"/>
    <col min="14139" max="14139" width="11.125" style="1" bestFit="1" customWidth="1"/>
    <col min="14140" max="14140" width="10.375" style="1" bestFit="1" customWidth="1"/>
    <col min="14141" max="14141" width="9.375" style="1" customWidth="1"/>
    <col min="14142" max="14142" width="10" style="1" customWidth="1"/>
    <col min="14143" max="14143" width="8.5" style="1" bestFit="1" customWidth="1"/>
    <col min="14144" max="14144" width="10.25" style="1" customWidth="1"/>
    <col min="14145" max="14145" width="10.125" style="1" customWidth="1"/>
    <col min="14146" max="14146" width="9.25" style="1" bestFit="1" customWidth="1"/>
    <col min="14147" max="14147" width="11" style="1" bestFit="1" customWidth="1"/>
    <col min="14148" max="14148" width="10.625" style="1" customWidth="1"/>
    <col min="14149" max="14149" width="10.375" style="1" bestFit="1" customWidth="1"/>
    <col min="14150" max="14150" width="9.5" style="1" bestFit="1" customWidth="1"/>
    <col min="14151" max="14346" width="9" style="1"/>
    <col min="14347" max="14347" width="4" style="1" customWidth="1"/>
    <col min="14348" max="14348" width="17.75" style="1" customWidth="1"/>
    <col min="14349" max="14350" width="12.5" style="1" customWidth="1"/>
    <col min="14351" max="14351" width="12.25" style="1" bestFit="1" customWidth="1"/>
    <col min="14352" max="14353" width="11" style="1" customWidth="1"/>
    <col min="14354" max="14354" width="9.875" style="1" customWidth="1"/>
    <col min="14355" max="14356" width="11" style="1" customWidth="1"/>
    <col min="14357" max="14357" width="10.125" style="1" customWidth="1"/>
    <col min="14358" max="14359" width="11" style="1" customWidth="1"/>
    <col min="14360" max="14360" width="10.375" style="1" customWidth="1"/>
    <col min="14361" max="14362" width="11" style="1" customWidth="1"/>
    <col min="14363" max="14363" width="10.625" style="1" customWidth="1"/>
    <col min="14364" max="14366" width="11" style="1" customWidth="1"/>
    <col min="14367" max="14368" width="11.25" style="1" customWidth="1"/>
    <col min="14369" max="14369" width="10.375" style="1" bestFit="1" customWidth="1"/>
    <col min="14370" max="14371" width="11.25" style="1" customWidth="1"/>
    <col min="14372" max="14372" width="10.375" style="1" customWidth="1"/>
    <col min="14373" max="14374" width="11.25" style="1" customWidth="1"/>
    <col min="14375" max="14375" width="12.25" style="1" bestFit="1" customWidth="1"/>
    <col min="14376" max="14377" width="11.25" style="1" customWidth="1"/>
    <col min="14378" max="14378" width="9.625" style="1" customWidth="1"/>
    <col min="14379" max="14380" width="11.25" style="1" customWidth="1"/>
    <col min="14381" max="14381" width="9.25" style="1" customWidth="1"/>
    <col min="14382" max="14383" width="11.25" style="1" customWidth="1"/>
    <col min="14384" max="14384" width="10.125" style="1" customWidth="1"/>
    <col min="14385" max="14386" width="9.375" style="1" customWidth="1"/>
    <col min="14387" max="14387" width="10.375" style="1" bestFit="1" customWidth="1"/>
    <col min="14388" max="14389" width="9.375" style="1" customWidth="1"/>
    <col min="14390" max="14390" width="9.25" style="1" bestFit="1" customWidth="1"/>
    <col min="14391" max="14391" width="9.375" style="1" customWidth="1"/>
    <col min="14392" max="14392" width="9" style="1" customWidth="1"/>
    <col min="14393" max="14393" width="9.75" style="1" customWidth="1"/>
    <col min="14394" max="14394" width="10.5" style="1" customWidth="1"/>
    <col min="14395" max="14395" width="11.125" style="1" bestFit="1" customWidth="1"/>
    <col min="14396" max="14396" width="10.375" style="1" bestFit="1" customWidth="1"/>
    <col min="14397" max="14397" width="9.375" style="1" customWidth="1"/>
    <col min="14398" max="14398" width="10" style="1" customWidth="1"/>
    <col min="14399" max="14399" width="8.5" style="1" bestFit="1" customWidth="1"/>
    <col min="14400" max="14400" width="10.25" style="1" customWidth="1"/>
    <col min="14401" max="14401" width="10.125" style="1" customWidth="1"/>
    <col min="14402" max="14402" width="9.25" style="1" bestFit="1" customWidth="1"/>
    <col min="14403" max="14403" width="11" style="1" bestFit="1" customWidth="1"/>
    <col min="14404" max="14404" width="10.625" style="1" customWidth="1"/>
    <col min="14405" max="14405" width="10.375" style="1" bestFit="1" customWidth="1"/>
    <col min="14406" max="14406" width="9.5" style="1" bestFit="1" customWidth="1"/>
    <col min="14407" max="14602" width="9" style="1"/>
    <col min="14603" max="14603" width="4" style="1" customWidth="1"/>
    <col min="14604" max="14604" width="17.75" style="1" customWidth="1"/>
    <col min="14605" max="14606" width="12.5" style="1" customWidth="1"/>
    <col min="14607" max="14607" width="12.25" style="1" bestFit="1" customWidth="1"/>
    <col min="14608" max="14609" width="11" style="1" customWidth="1"/>
    <col min="14610" max="14610" width="9.875" style="1" customWidth="1"/>
    <col min="14611" max="14612" width="11" style="1" customWidth="1"/>
    <col min="14613" max="14613" width="10.125" style="1" customWidth="1"/>
    <col min="14614" max="14615" width="11" style="1" customWidth="1"/>
    <col min="14616" max="14616" width="10.375" style="1" customWidth="1"/>
    <col min="14617" max="14618" width="11" style="1" customWidth="1"/>
    <col min="14619" max="14619" width="10.625" style="1" customWidth="1"/>
    <col min="14620" max="14622" width="11" style="1" customWidth="1"/>
    <col min="14623" max="14624" width="11.25" style="1" customWidth="1"/>
    <col min="14625" max="14625" width="10.375" style="1" bestFit="1" customWidth="1"/>
    <col min="14626" max="14627" width="11.25" style="1" customWidth="1"/>
    <col min="14628" max="14628" width="10.375" style="1" customWidth="1"/>
    <col min="14629" max="14630" width="11.25" style="1" customWidth="1"/>
    <col min="14631" max="14631" width="12.25" style="1" bestFit="1" customWidth="1"/>
    <col min="14632" max="14633" width="11.25" style="1" customWidth="1"/>
    <col min="14634" max="14634" width="9.625" style="1" customWidth="1"/>
    <col min="14635" max="14636" width="11.25" style="1" customWidth="1"/>
    <col min="14637" max="14637" width="9.25" style="1" customWidth="1"/>
    <col min="14638" max="14639" width="11.25" style="1" customWidth="1"/>
    <col min="14640" max="14640" width="10.125" style="1" customWidth="1"/>
    <col min="14641" max="14642" width="9.375" style="1" customWidth="1"/>
    <col min="14643" max="14643" width="10.375" style="1" bestFit="1" customWidth="1"/>
    <col min="14644" max="14645" width="9.375" style="1" customWidth="1"/>
    <col min="14646" max="14646" width="9.25" style="1" bestFit="1" customWidth="1"/>
    <col min="14647" max="14647" width="9.375" style="1" customWidth="1"/>
    <col min="14648" max="14648" width="9" style="1" customWidth="1"/>
    <col min="14649" max="14649" width="9.75" style="1" customWidth="1"/>
    <col min="14650" max="14650" width="10.5" style="1" customWidth="1"/>
    <col min="14651" max="14651" width="11.125" style="1" bestFit="1" customWidth="1"/>
    <col min="14652" max="14652" width="10.375" style="1" bestFit="1" customWidth="1"/>
    <col min="14653" max="14653" width="9.375" style="1" customWidth="1"/>
    <col min="14654" max="14654" width="10" style="1" customWidth="1"/>
    <col min="14655" max="14655" width="8.5" style="1" bestFit="1" customWidth="1"/>
    <col min="14656" max="14656" width="10.25" style="1" customWidth="1"/>
    <col min="14657" max="14657" width="10.125" style="1" customWidth="1"/>
    <col min="14658" max="14658" width="9.25" style="1" bestFit="1" customWidth="1"/>
    <col min="14659" max="14659" width="11" style="1" bestFit="1" customWidth="1"/>
    <col min="14660" max="14660" width="10.625" style="1" customWidth="1"/>
    <col min="14661" max="14661" width="10.375" style="1" bestFit="1" customWidth="1"/>
    <col min="14662" max="14662" width="9.5" style="1" bestFit="1" customWidth="1"/>
    <col min="14663" max="14858" width="9" style="1"/>
    <col min="14859" max="14859" width="4" style="1" customWidth="1"/>
    <col min="14860" max="14860" width="17.75" style="1" customWidth="1"/>
    <col min="14861" max="14862" width="12.5" style="1" customWidth="1"/>
    <col min="14863" max="14863" width="12.25" style="1" bestFit="1" customWidth="1"/>
    <col min="14864" max="14865" width="11" style="1" customWidth="1"/>
    <col min="14866" max="14866" width="9.875" style="1" customWidth="1"/>
    <col min="14867" max="14868" width="11" style="1" customWidth="1"/>
    <col min="14869" max="14869" width="10.125" style="1" customWidth="1"/>
    <col min="14870" max="14871" width="11" style="1" customWidth="1"/>
    <col min="14872" max="14872" width="10.375" style="1" customWidth="1"/>
    <col min="14873" max="14874" width="11" style="1" customWidth="1"/>
    <col min="14875" max="14875" width="10.625" style="1" customWidth="1"/>
    <col min="14876" max="14878" width="11" style="1" customWidth="1"/>
    <col min="14879" max="14880" width="11.25" style="1" customWidth="1"/>
    <col min="14881" max="14881" width="10.375" style="1" bestFit="1" customWidth="1"/>
    <col min="14882" max="14883" width="11.25" style="1" customWidth="1"/>
    <col min="14884" max="14884" width="10.375" style="1" customWidth="1"/>
    <col min="14885" max="14886" width="11.25" style="1" customWidth="1"/>
    <col min="14887" max="14887" width="12.25" style="1" bestFit="1" customWidth="1"/>
    <col min="14888" max="14889" width="11.25" style="1" customWidth="1"/>
    <col min="14890" max="14890" width="9.625" style="1" customWidth="1"/>
    <col min="14891" max="14892" width="11.25" style="1" customWidth="1"/>
    <col min="14893" max="14893" width="9.25" style="1" customWidth="1"/>
    <col min="14894" max="14895" width="11.25" style="1" customWidth="1"/>
    <col min="14896" max="14896" width="10.125" style="1" customWidth="1"/>
    <col min="14897" max="14898" width="9.375" style="1" customWidth="1"/>
    <col min="14899" max="14899" width="10.375" style="1" bestFit="1" customWidth="1"/>
    <col min="14900" max="14901" width="9.375" style="1" customWidth="1"/>
    <col min="14902" max="14902" width="9.25" style="1" bestFit="1" customWidth="1"/>
    <col min="14903" max="14903" width="9.375" style="1" customWidth="1"/>
    <col min="14904" max="14904" width="9" style="1" customWidth="1"/>
    <col min="14905" max="14905" width="9.75" style="1" customWidth="1"/>
    <col min="14906" max="14906" width="10.5" style="1" customWidth="1"/>
    <col min="14907" max="14907" width="11.125" style="1" bestFit="1" customWidth="1"/>
    <col min="14908" max="14908" width="10.375" style="1" bestFit="1" customWidth="1"/>
    <col min="14909" max="14909" width="9.375" style="1" customWidth="1"/>
    <col min="14910" max="14910" width="10" style="1" customWidth="1"/>
    <col min="14911" max="14911" width="8.5" style="1" bestFit="1" customWidth="1"/>
    <col min="14912" max="14912" width="10.25" style="1" customWidth="1"/>
    <col min="14913" max="14913" width="10.125" style="1" customWidth="1"/>
    <col min="14914" max="14914" width="9.25" style="1" bestFit="1" customWidth="1"/>
    <col min="14915" max="14915" width="11" style="1" bestFit="1" customWidth="1"/>
    <col min="14916" max="14916" width="10.625" style="1" customWidth="1"/>
    <col min="14917" max="14917" width="10.375" style="1" bestFit="1" customWidth="1"/>
    <col min="14918" max="14918" width="9.5" style="1" bestFit="1" customWidth="1"/>
    <col min="14919" max="15114" width="9" style="1"/>
    <col min="15115" max="15115" width="4" style="1" customWidth="1"/>
    <col min="15116" max="15116" width="17.75" style="1" customWidth="1"/>
    <col min="15117" max="15118" width="12.5" style="1" customWidth="1"/>
    <col min="15119" max="15119" width="12.25" style="1" bestFit="1" customWidth="1"/>
    <col min="15120" max="15121" width="11" style="1" customWidth="1"/>
    <col min="15122" max="15122" width="9.875" style="1" customWidth="1"/>
    <col min="15123" max="15124" width="11" style="1" customWidth="1"/>
    <col min="15125" max="15125" width="10.125" style="1" customWidth="1"/>
    <col min="15126" max="15127" width="11" style="1" customWidth="1"/>
    <col min="15128" max="15128" width="10.375" style="1" customWidth="1"/>
    <col min="15129" max="15130" width="11" style="1" customWidth="1"/>
    <col min="15131" max="15131" width="10.625" style="1" customWidth="1"/>
    <col min="15132" max="15134" width="11" style="1" customWidth="1"/>
    <col min="15135" max="15136" width="11.25" style="1" customWidth="1"/>
    <col min="15137" max="15137" width="10.375" style="1" bestFit="1" customWidth="1"/>
    <col min="15138" max="15139" width="11.25" style="1" customWidth="1"/>
    <col min="15140" max="15140" width="10.375" style="1" customWidth="1"/>
    <col min="15141" max="15142" width="11.25" style="1" customWidth="1"/>
    <col min="15143" max="15143" width="12.25" style="1" bestFit="1" customWidth="1"/>
    <col min="15144" max="15145" width="11.25" style="1" customWidth="1"/>
    <col min="15146" max="15146" width="9.625" style="1" customWidth="1"/>
    <col min="15147" max="15148" width="11.25" style="1" customWidth="1"/>
    <col min="15149" max="15149" width="9.25" style="1" customWidth="1"/>
    <col min="15150" max="15151" width="11.25" style="1" customWidth="1"/>
    <col min="15152" max="15152" width="10.125" style="1" customWidth="1"/>
    <col min="15153" max="15154" width="9.375" style="1" customWidth="1"/>
    <col min="15155" max="15155" width="10.375" style="1" bestFit="1" customWidth="1"/>
    <col min="15156" max="15157" width="9.375" style="1" customWidth="1"/>
    <col min="15158" max="15158" width="9.25" style="1" bestFit="1" customWidth="1"/>
    <col min="15159" max="15159" width="9.375" style="1" customWidth="1"/>
    <col min="15160" max="15160" width="9" style="1" customWidth="1"/>
    <col min="15161" max="15161" width="9.75" style="1" customWidth="1"/>
    <col min="15162" max="15162" width="10.5" style="1" customWidth="1"/>
    <col min="15163" max="15163" width="11.125" style="1" bestFit="1" customWidth="1"/>
    <col min="15164" max="15164" width="10.375" style="1" bestFit="1" customWidth="1"/>
    <col min="15165" max="15165" width="9.375" style="1" customWidth="1"/>
    <col min="15166" max="15166" width="10" style="1" customWidth="1"/>
    <col min="15167" max="15167" width="8.5" style="1" bestFit="1" customWidth="1"/>
    <col min="15168" max="15168" width="10.25" style="1" customWidth="1"/>
    <col min="15169" max="15169" width="10.125" style="1" customWidth="1"/>
    <col min="15170" max="15170" width="9.25" style="1" bestFit="1" customWidth="1"/>
    <col min="15171" max="15171" width="11" style="1" bestFit="1" customWidth="1"/>
    <col min="15172" max="15172" width="10.625" style="1" customWidth="1"/>
    <col min="15173" max="15173" width="10.375" style="1" bestFit="1" customWidth="1"/>
    <col min="15174" max="15174" width="9.5" style="1" bestFit="1" customWidth="1"/>
    <col min="15175" max="15370" width="9" style="1"/>
    <col min="15371" max="15371" width="4" style="1" customWidth="1"/>
    <col min="15372" max="15372" width="17.75" style="1" customWidth="1"/>
    <col min="15373" max="15374" width="12.5" style="1" customWidth="1"/>
    <col min="15375" max="15375" width="12.25" style="1" bestFit="1" customWidth="1"/>
    <col min="15376" max="15377" width="11" style="1" customWidth="1"/>
    <col min="15378" max="15378" width="9.875" style="1" customWidth="1"/>
    <col min="15379" max="15380" width="11" style="1" customWidth="1"/>
    <col min="15381" max="15381" width="10.125" style="1" customWidth="1"/>
    <col min="15382" max="15383" width="11" style="1" customWidth="1"/>
    <col min="15384" max="15384" width="10.375" style="1" customWidth="1"/>
    <col min="15385" max="15386" width="11" style="1" customWidth="1"/>
    <col min="15387" max="15387" width="10.625" style="1" customWidth="1"/>
    <col min="15388" max="15390" width="11" style="1" customWidth="1"/>
    <col min="15391" max="15392" width="11.25" style="1" customWidth="1"/>
    <col min="15393" max="15393" width="10.375" style="1" bestFit="1" customWidth="1"/>
    <col min="15394" max="15395" width="11.25" style="1" customWidth="1"/>
    <col min="15396" max="15396" width="10.375" style="1" customWidth="1"/>
    <col min="15397" max="15398" width="11.25" style="1" customWidth="1"/>
    <col min="15399" max="15399" width="12.25" style="1" bestFit="1" customWidth="1"/>
    <col min="15400" max="15401" width="11.25" style="1" customWidth="1"/>
    <col min="15402" max="15402" width="9.625" style="1" customWidth="1"/>
    <col min="15403" max="15404" width="11.25" style="1" customWidth="1"/>
    <col min="15405" max="15405" width="9.25" style="1" customWidth="1"/>
    <col min="15406" max="15407" width="11.25" style="1" customWidth="1"/>
    <col min="15408" max="15408" width="10.125" style="1" customWidth="1"/>
    <col min="15409" max="15410" width="9.375" style="1" customWidth="1"/>
    <col min="15411" max="15411" width="10.375" style="1" bestFit="1" customWidth="1"/>
    <col min="15412" max="15413" width="9.375" style="1" customWidth="1"/>
    <col min="15414" max="15414" width="9.25" style="1" bestFit="1" customWidth="1"/>
    <col min="15415" max="15415" width="9.375" style="1" customWidth="1"/>
    <col min="15416" max="15416" width="9" style="1" customWidth="1"/>
    <col min="15417" max="15417" width="9.75" style="1" customWidth="1"/>
    <col min="15418" max="15418" width="10.5" style="1" customWidth="1"/>
    <col min="15419" max="15419" width="11.125" style="1" bestFit="1" customWidth="1"/>
    <col min="15420" max="15420" width="10.375" style="1" bestFit="1" customWidth="1"/>
    <col min="15421" max="15421" width="9.375" style="1" customWidth="1"/>
    <col min="15422" max="15422" width="10" style="1" customWidth="1"/>
    <col min="15423" max="15423" width="8.5" style="1" bestFit="1" customWidth="1"/>
    <col min="15424" max="15424" width="10.25" style="1" customWidth="1"/>
    <col min="15425" max="15425" width="10.125" style="1" customWidth="1"/>
    <col min="15426" max="15426" width="9.25" style="1" bestFit="1" customWidth="1"/>
    <col min="15427" max="15427" width="11" style="1" bestFit="1" customWidth="1"/>
    <col min="15428" max="15428" width="10.625" style="1" customWidth="1"/>
    <col min="15429" max="15429" width="10.375" style="1" bestFit="1" customWidth="1"/>
    <col min="15430" max="15430" width="9.5" style="1" bestFit="1" customWidth="1"/>
    <col min="15431" max="15626" width="9" style="1"/>
    <col min="15627" max="15627" width="4" style="1" customWidth="1"/>
    <col min="15628" max="15628" width="17.75" style="1" customWidth="1"/>
    <col min="15629" max="15630" width="12.5" style="1" customWidth="1"/>
    <col min="15631" max="15631" width="12.25" style="1" bestFit="1" customWidth="1"/>
    <col min="15632" max="15633" width="11" style="1" customWidth="1"/>
    <col min="15634" max="15634" width="9.875" style="1" customWidth="1"/>
    <col min="15635" max="15636" width="11" style="1" customWidth="1"/>
    <col min="15637" max="15637" width="10.125" style="1" customWidth="1"/>
    <col min="15638" max="15639" width="11" style="1" customWidth="1"/>
    <col min="15640" max="15640" width="10.375" style="1" customWidth="1"/>
    <col min="15641" max="15642" width="11" style="1" customWidth="1"/>
    <col min="15643" max="15643" width="10.625" style="1" customWidth="1"/>
    <col min="15644" max="15646" width="11" style="1" customWidth="1"/>
    <col min="15647" max="15648" width="11.25" style="1" customWidth="1"/>
    <col min="15649" max="15649" width="10.375" style="1" bestFit="1" customWidth="1"/>
    <col min="15650" max="15651" width="11.25" style="1" customWidth="1"/>
    <col min="15652" max="15652" width="10.375" style="1" customWidth="1"/>
    <col min="15653" max="15654" width="11.25" style="1" customWidth="1"/>
    <col min="15655" max="15655" width="12.25" style="1" bestFit="1" customWidth="1"/>
    <col min="15656" max="15657" width="11.25" style="1" customWidth="1"/>
    <col min="15658" max="15658" width="9.625" style="1" customWidth="1"/>
    <col min="15659" max="15660" width="11.25" style="1" customWidth="1"/>
    <col min="15661" max="15661" width="9.25" style="1" customWidth="1"/>
    <col min="15662" max="15663" width="11.25" style="1" customWidth="1"/>
    <col min="15664" max="15664" width="10.125" style="1" customWidth="1"/>
    <col min="15665" max="15666" width="9.375" style="1" customWidth="1"/>
    <col min="15667" max="15667" width="10.375" style="1" bestFit="1" customWidth="1"/>
    <col min="15668" max="15669" width="9.375" style="1" customWidth="1"/>
    <col min="15670" max="15670" width="9.25" style="1" bestFit="1" customWidth="1"/>
    <col min="15671" max="15671" width="9.375" style="1" customWidth="1"/>
    <col min="15672" max="15672" width="9" style="1" customWidth="1"/>
    <col min="15673" max="15673" width="9.75" style="1" customWidth="1"/>
    <col min="15674" max="15674" width="10.5" style="1" customWidth="1"/>
    <col min="15675" max="15675" width="11.125" style="1" bestFit="1" customWidth="1"/>
    <col min="15676" max="15676" width="10.375" style="1" bestFit="1" customWidth="1"/>
    <col min="15677" max="15677" width="9.375" style="1" customWidth="1"/>
    <col min="15678" max="15678" width="10" style="1" customWidth="1"/>
    <col min="15679" max="15679" width="8.5" style="1" bestFit="1" customWidth="1"/>
    <col min="15680" max="15680" width="10.25" style="1" customWidth="1"/>
    <col min="15681" max="15681" width="10.125" style="1" customWidth="1"/>
    <col min="15682" max="15682" width="9.25" style="1" bestFit="1" customWidth="1"/>
    <col min="15683" max="15683" width="11" style="1" bestFit="1" customWidth="1"/>
    <col min="15684" max="15684" width="10.625" style="1" customWidth="1"/>
    <col min="15685" max="15685" width="10.375" style="1" bestFit="1" customWidth="1"/>
    <col min="15686" max="15686" width="9.5" style="1" bestFit="1" customWidth="1"/>
    <col min="15687" max="15882" width="9" style="1"/>
    <col min="15883" max="15883" width="4" style="1" customWidth="1"/>
    <col min="15884" max="15884" width="17.75" style="1" customWidth="1"/>
    <col min="15885" max="15886" width="12.5" style="1" customWidth="1"/>
    <col min="15887" max="15887" width="12.25" style="1" bestFit="1" customWidth="1"/>
    <col min="15888" max="15889" width="11" style="1" customWidth="1"/>
    <col min="15890" max="15890" width="9.875" style="1" customWidth="1"/>
    <col min="15891" max="15892" width="11" style="1" customWidth="1"/>
    <col min="15893" max="15893" width="10.125" style="1" customWidth="1"/>
    <col min="15894" max="15895" width="11" style="1" customWidth="1"/>
    <col min="15896" max="15896" width="10.375" style="1" customWidth="1"/>
    <col min="15897" max="15898" width="11" style="1" customWidth="1"/>
    <col min="15899" max="15899" width="10.625" style="1" customWidth="1"/>
    <col min="15900" max="15902" width="11" style="1" customWidth="1"/>
    <col min="15903" max="15904" width="11.25" style="1" customWidth="1"/>
    <col min="15905" max="15905" width="10.375" style="1" bestFit="1" customWidth="1"/>
    <col min="15906" max="15907" width="11.25" style="1" customWidth="1"/>
    <col min="15908" max="15908" width="10.375" style="1" customWidth="1"/>
    <col min="15909" max="15910" width="11.25" style="1" customWidth="1"/>
    <col min="15911" max="15911" width="12.25" style="1" bestFit="1" customWidth="1"/>
    <col min="15912" max="15913" width="11.25" style="1" customWidth="1"/>
    <col min="15914" max="15914" width="9.625" style="1" customWidth="1"/>
    <col min="15915" max="15916" width="11.25" style="1" customWidth="1"/>
    <col min="15917" max="15917" width="9.25" style="1" customWidth="1"/>
    <col min="15918" max="15919" width="11.25" style="1" customWidth="1"/>
    <col min="15920" max="15920" width="10.125" style="1" customWidth="1"/>
    <col min="15921" max="15922" width="9.375" style="1" customWidth="1"/>
    <col min="15923" max="15923" width="10.375" style="1" bestFit="1" customWidth="1"/>
    <col min="15924" max="15925" width="9.375" style="1" customWidth="1"/>
    <col min="15926" max="15926" width="9.25" style="1" bestFit="1" customWidth="1"/>
    <col min="15927" max="15927" width="9.375" style="1" customWidth="1"/>
    <col min="15928" max="15928" width="9" style="1" customWidth="1"/>
    <col min="15929" max="15929" width="9.75" style="1" customWidth="1"/>
    <col min="15930" max="15930" width="10.5" style="1" customWidth="1"/>
    <col min="15931" max="15931" width="11.125" style="1" bestFit="1" customWidth="1"/>
    <col min="15932" max="15932" width="10.375" style="1" bestFit="1" customWidth="1"/>
    <col min="15933" max="15933" width="9.375" style="1" customWidth="1"/>
    <col min="15934" max="15934" width="10" style="1" customWidth="1"/>
    <col min="15935" max="15935" width="8.5" style="1" bestFit="1" customWidth="1"/>
    <col min="15936" max="15936" width="10.25" style="1" customWidth="1"/>
    <col min="15937" max="15937" width="10.125" style="1" customWidth="1"/>
    <col min="15938" max="15938" width="9.25" style="1" bestFit="1" customWidth="1"/>
    <col min="15939" max="15939" width="11" style="1" bestFit="1" customWidth="1"/>
    <col min="15940" max="15940" width="10.625" style="1" customWidth="1"/>
    <col min="15941" max="15941" width="10.375" style="1" bestFit="1" customWidth="1"/>
    <col min="15942" max="15942" width="9.5" style="1" bestFit="1" customWidth="1"/>
    <col min="15943" max="16138" width="9" style="1"/>
    <col min="16139" max="16139" width="4" style="1" customWidth="1"/>
    <col min="16140" max="16140" width="17.75" style="1" customWidth="1"/>
    <col min="16141" max="16142" width="12.5" style="1" customWidth="1"/>
    <col min="16143" max="16143" width="12.25" style="1" bestFit="1" customWidth="1"/>
    <col min="16144" max="16145" width="11" style="1" customWidth="1"/>
    <col min="16146" max="16146" width="9.875" style="1" customWidth="1"/>
    <col min="16147" max="16148" width="11" style="1" customWidth="1"/>
    <col min="16149" max="16149" width="10.125" style="1" customWidth="1"/>
    <col min="16150" max="16151" width="11" style="1" customWidth="1"/>
    <col min="16152" max="16152" width="10.375" style="1" customWidth="1"/>
    <col min="16153" max="16154" width="11" style="1" customWidth="1"/>
    <col min="16155" max="16155" width="10.625" style="1" customWidth="1"/>
    <col min="16156" max="16158" width="11" style="1" customWidth="1"/>
    <col min="16159" max="16160" width="11.25" style="1" customWidth="1"/>
    <col min="16161" max="16161" width="10.375" style="1" bestFit="1" customWidth="1"/>
    <col min="16162" max="16163" width="11.25" style="1" customWidth="1"/>
    <col min="16164" max="16164" width="10.375" style="1" customWidth="1"/>
    <col min="16165" max="16166" width="11.25" style="1" customWidth="1"/>
    <col min="16167" max="16167" width="12.25" style="1" bestFit="1" customWidth="1"/>
    <col min="16168" max="16169" width="11.25" style="1" customWidth="1"/>
    <col min="16170" max="16170" width="9.625" style="1" customWidth="1"/>
    <col min="16171" max="16172" width="11.25" style="1" customWidth="1"/>
    <col min="16173" max="16173" width="9.25" style="1" customWidth="1"/>
    <col min="16174" max="16175" width="11.25" style="1" customWidth="1"/>
    <col min="16176" max="16176" width="10.125" style="1" customWidth="1"/>
    <col min="16177" max="16178" width="9.375" style="1" customWidth="1"/>
    <col min="16179" max="16179" width="10.375" style="1" bestFit="1" customWidth="1"/>
    <col min="16180" max="16181" width="9.375" style="1" customWidth="1"/>
    <col min="16182" max="16182" width="9.25" style="1" bestFit="1" customWidth="1"/>
    <col min="16183" max="16183" width="9.375" style="1" customWidth="1"/>
    <col min="16184" max="16184" width="9" style="1" customWidth="1"/>
    <col min="16185" max="16185" width="9.75" style="1" customWidth="1"/>
    <col min="16186" max="16186" width="10.5" style="1" customWidth="1"/>
    <col min="16187" max="16187" width="11.125" style="1" bestFit="1" customWidth="1"/>
    <col min="16188" max="16188" width="10.375" style="1" bestFit="1" customWidth="1"/>
    <col min="16189" max="16189" width="9.375" style="1" customWidth="1"/>
    <col min="16190" max="16190" width="10" style="1" customWidth="1"/>
    <col min="16191" max="16191" width="8.5" style="1" bestFit="1" customWidth="1"/>
    <col min="16192" max="16192" width="10.25" style="1" customWidth="1"/>
    <col min="16193" max="16193" width="10.125" style="1" customWidth="1"/>
    <col min="16194" max="16194" width="9.25" style="1" bestFit="1" customWidth="1"/>
    <col min="16195" max="16195" width="11" style="1" bestFit="1" customWidth="1"/>
    <col min="16196" max="16196" width="10.625" style="1" customWidth="1"/>
    <col min="16197" max="16197" width="10.375" style="1" bestFit="1" customWidth="1"/>
    <col min="16198" max="16198" width="9.5" style="1" bestFit="1" customWidth="1"/>
    <col min="16199" max="16384" width="9" style="1"/>
  </cols>
  <sheetData>
    <row r="1" spans="1:122" ht="26.25">
      <c r="D1" s="2"/>
      <c r="E1" s="2"/>
      <c r="F1" s="57">
        <v>2025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>
        <v>2026</v>
      </c>
      <c r="S1" s="57"/>
      <c r="T1" s="57"/>
      <c r="U1" s="57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57">
        <v>2025</v>
      </c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>
        <v>2026</v>
      </c>
      <c r="BA1" s="57"/>
      <c r="BB1" s="57"/>
      <c r="BC1" s="57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57">
        <v>2025</v>
      </c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>
        <v>2026</v>
      </c>
      <c r="CE1" s="57"/>
      <c r="CF1" s="57"/>
      <c r="CG1" s="57"/>
      <c r="CH1" s="57">
        <v>2025</v>
      </c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>
        <v>2026</v>
      </c>
      <c r="CU1" s="57"/>
      <c r="CV1" s="57"/>
      <c r="CW1" s="57"/>
      <c r="CX1" s="57">
        <v>2025</v>
      </c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>
        <v>2026</v>
      </c>
      <c r="DK1" s="57"/>
      <c r="DL1" s="57"/>
      <c r="DM1" s="57"/>
      <c r="DN1" s="58" t="s">
        <v>336</v>
      </c>
      <c r="DO1" s="58"/>
      <c r="DP1" s="58"/>
      <c r="DQ1" s="58"/>
      <c r="DR1" s="58"/>
    </row>
    <row r="2" spans="1:122" s="3" customFormat="1" ht="58.5" customHeight="1">
      <c r="A2" s="44" t="s">
        <v>0</v>
      </c>
      <c r="B2" s="45" t="s">
        <v>94</v>
      </c>
      <c r="C2" s="46" t="s">
        <v>313</v>
      </c>
      <c r="D2" s="45" t="s">
        <v>314</v>
      </c>
      <c r="E2" s="46" t="s">
        <v>315</v>
      </c>
      <c r="F2" s="48" t="s">
        <v>247</v>
      </c>
      <c r="G2" s="48" t="s">
        <v>248</v>
      </c>
      <c r="H2" s="48" t="s">
        <v>249</v>
      </c>
      <c r="I2" s="48" t="s">
        <v>250</v>
      </c>
      <c r="J2" s="48" t="s">
        <v>251</v>
      </c>
      <c r="K2" s="48" t="s">
        <v>252</v>
      </c>
      <c r="L2" s="48" t="s">
        <v>253</v>
      </c>
      <c r="M2" s="48" t="s">
        <v>254</v>
      </c>
      <c r="N2" s="48" t="s">
        <v>255</v>
      </c>
      <c r="O2" s="48" t="s">
        <v>256</v>
      </c>
      <c r="P2" s="48" t="s">
        <v>257</v>
      </c>
      <c r="Q2" s="48" t="s">
        <v>318</v>
      </c>
      <c r="R2" s="48" t="s">
        <v>247</v>
      </c>
      <c r="S2" s="48" t="s">
        <v>248</v>
      </c>
      <c r="T2" s="48" t="s">
        <v>249</v>
      </c>
      <c r="U2" s="48" t="s">
        <v>250</v>
      </c>
      <c r="V2" s="51" t="s">
        <v>291</v>
      </c>
      <c r="W2" s="51" t="s">
        <v>292</v>
      </c>
      <c r="X2" s="51" t="s">
        <v>293</v>
      </c>
      <c r="Y2" s="51" t="s">
        <v>294</v>
      </c>
      <c r="Z2" s="51" t="s">
        <v>295</v>
      </c>
      <c r="AA2" s="51" t="s">
        <v>296</v>
      </c>
      <c r="AB2" s="51" t="s">
        <v>297</v>
      </c>
      <c r="AC2" s="51" t="s">
        <v>298</v>
      </c>
      <c r="AD2" s="51" t="s">
        <v>299</v>
      </c>
      <c r="AE2" s="51" t="s">
        <v>300</v>
      </c>
      <c r="AF2" s="51" t="s">
        <v>301</v>
      </c>
      <c r="AG2" s="51" t="s">
        <v>302</v>
      </c>
      <c r="AH2" s="51" t="s">
        <v>303</v>
      </c>
      <c r="AI2" s="51" t="s">
        <v>304</v>
      </c>
      <c r="AJ2" s="51" t="s">
        <v>241</v>
      </c>
      <c r="AK2" s="53" t="s">
        <v>239</v>
      </c>
      <c r="AL2" s="53" t="s">
        <v>240</v>
      </c>
      <c r="AM2" s="53" t="s">
        <v>241</v>
      </c>
      <c r="AN2" s="48" t="s">
        <v>258</v>
      </c>
      <c r="AO2" s="48" t="s">
        <v>259</v>
      </c>
      <c r="AP2" s="48" t="s">
        <v>260</v>
      </c>
      <c r="AQ2" s="48" t="s">
        <v>261</v>
      </c>
      <c r="AR2" s="48" t="s">
        <v>262</v>
      </c>
      <c r="AS2" s="48" t="s">
        <v>263</v>
      </c>
      <c r="AT2" s="48" t="s">
        <v>264</v>
      </c>
      <c r="AU2" s="48" t="s">
        <v>265</v>
      </c>
      <c r="AV2" s="48" t="s">
        <v>266</v>
      </c>
      <c r="AW2" s="48" t="s">
        <v>267</v>
      </c>
      <c r="AX2" s="48" t="s">
        <v>268</v>
      </c>
      <c r="AY2" s="48" t="s">
        <v>317</v>
      </c>
      <c r="AZ2" s="48" t="s">
        <v>258</v>
      </c>
      <c r="BA2" s="48" t="s">
        <v>259</v>
      </c>
      <c r="BB2" s="48" t="s">
        <v>260</v>
      </c>
      <c r="BC2" s="48" t="s">
        <v>261</v>
      </c>
      <c r="BD2" s="55" t="s">
        <v>242</v>
      </c>
      <c r="BE2" s="55" t="s">
        <v>243</v>
      </c>
      <c r="BF2" s="55" t="s">
        <v>244</v>
      </c>
      <c r="BG2" s="55" t="s">
        <v>245</v>
      </c>
      <c r="BH2" s="55" t="s">
        <v>246</v>
      </c>
      <c r="BI2" s="55" t="s">
        <v>305</v>
      </c>
      <c r="BJ2" s="55" t="s">
        <v>306</v>
      </c>
      <c r="BK2" s="55" t="s">
        <v>307</v>
      </c>
      <c r="BL2" s="55" t="s">
        <v>308</v>
      </c>
      <c r="BM2" s="55" t="s">
        <v>309</v>
      </c>
      <c r="BN2" s="55" t="s">
        <v>310</v>
      </c>
      <c r="BO2" s="55" t="s">
        <v>311</v>
      </c>
      <c r="BP2" s="55" t="s">
        <v>312</v>
      </c>
      <c r="BQ2" s="55" t="s">
        <v>241</v>
      </c>
      <c r="BR2" s="49" t="s">
        <v>280</v>
      </c>
      <c r="BS2" s="49" t="s">
        <v>281</v>
      </c>
      <c r="BT2" s="49" t="s">
        <v>282</v>
      </c>
      <c r="BU2" s="49" t="s">
        <v>283</v>
      </c>
      <c r="BV2" s="49" t="s">
        <v>284</v>
      </c>
      <c r="BW2" s="49" t="s">
        <v>285</v>
      </c>
      <c r="BX2" s="49" t="s">
        <v>286</v>
      </c>
      <c r="BY2" s="49" t="s">
        <v>287</v>
      </c>
      <c r="BZ2" s="49" t="s">
        <v>288</v>
      </c>
      <c r="CA2" s="49" t="s">
        <v>289</v>
      </c>
      <c r="CB2" s="49" t="s">
        <v>290</v>
      </c>
      <c r="CC2" s="49" t="s">
        <v>319</v>
      </c>
      <c r="CD2" s="49" t="s">
        <v>280</v>
      </c>
      <c r="CE2" s="49" t="s">
        <v>281</v>
      </c>
      <c r="CF2" s="49" t="s">
        <v>282</v>
      </c>
      <c r="CG2" s="49" t="s">
        <v>282</v>
      </c>
      <c r="CH2" s="40" t="s">
        <v>324</v>
      </c>
      <c r="CI2" s="40" t="s">
        <v>325</v>
      </c>
      <c r="CJ2" s="40" t="s">
        <v>326</v>
      </c>
      <c r="CK2" s="40" t="s">
        <v>327</v>
      </c>
      <c r="CL2" s="40" t="s">
        <v>328</v>
      </c>
      <c r="CM2" s="40" t="s">
        <v>329</v>
      </c>
      <c r="CN2" s="40" t="s">
        <v>330</v>
      </c>
      <c r="CO2" s="40" t="s">
        <v>331</v>
      </c>
      <c r="CP2" s="40" t="s">
        <v>332</v>
      </c>
      <c r="CQ2" s="40" t="s">
        <v>333</v>
      </c>
      <c r="CR2" s="40" t="s">
        <v>334</v>
      </c>
      <c r="CS2" s="40" t="s">
        <v>335</v>
      </c>
      <c r="CT2" s="40" t="s">
        <v>324</v>
      </c>
      <c r="CU2" s="40" t="s">
        <v>325</v>
      </c>
      <c r="CV2" s="40" t="s">
        <v>326</v>
      </c>
      <c r="CW2" s="40" t="s">
        <v>327</v>
      </c>
      <c r="CX2" s="42" t="s">
        <v>269</v>
      </c>
      <c r="CY2" s="42" t="s">
        <v>270</v>
      </c>
      <c r="CZ2" s="42" t="s">
        <v>271</v>
      </c>
      <c r="DA2" s="42" t="s">
        <v>272</v>
      </c>
      <c r="DB2" s="42" t="s">
        <v>273</v>
      </c>
      <c r="DC2" s="42" t="s">
        <v>274</v>
      </c>
      <c r="DD2" s="42" t="s">
        <v>275</v>
      </c>
      <c r="DE2" s="42" t="s">
        <v>276</v>
      </c>
      <c r="DF2" s="42" t="s">
        <v>277</v>
      </c>
      <c r="DG2" s="42" t="s">
        <v>278</v>
      </c>
      <c r="DH2" s="42" t="s">
        <v>279</v>
      </c>
      <c r="DI2" s="42" t="s">
        <v>316</v>
      </c>
      <c r="DJ2" s="42" t="s">
        <v>269</v>
      </c>
      <c r="DK2" s="42" t="s">
        <v>270</v>
      </c>
      <c r="DL2" s="42" t="s">
        <v>271</v>
      </c>
      <c r="DM2" s="42" t="s">
        <v>272</v>
      </c>
      <c r="DN2" s="49">
        <v>10101</v>
      </c>
      <c r="DO2" s="49">
        <v>10107</v>
      </c>
      <c r="DP2" s="49">
        <v>10109</v>
      </c>
      <c r="DQ2" s="49">
        <v>10113</v>
      </c>
      <c r="DR2" s="49">
        <v>10198</v>
      </c>
    </row>
    <row r="3" spans="1:122" s="3" customFormat="1" ht="65.25" customHeight="1">
      <c r="A3" s="44"/>
      <c r="B3" s="45"/>
      <c r="C3" s="47"/>
      <c r="D3" s="45"/>
      <c r="E3" s="47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4"/>
      <c r="AL3" s="54"/>
      <c r="AM3" s="54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50"/>
      <c r="DO3" s="50"/>
      <c r="DP3" s="50"/>
      <c r="DQ3" s="50"/>
      <c r="DR3" s="50"/>
    </row>
    <row r="4" spans="1:122" s="8" customFormat="1" ht="25.5">
      <c r="A4" s="4"/>
      <c r="B4" s="4"/>
      <c r="C4" s="4"/>
      <c r="D4" s="5" t="s">
        <v>1</v>
      </c>
      <c r="E4" s="4"/>
      <c r="F4" s="6">
        <v>185.84530000000001</v>
      </c>
      <c r="G4" s="6">
        <v>136.08269999999999</v>
      </c>
      <c r="H4" s="6">
        <v>87.538049999999998</v>
      </c>
      <c r="I4" s="6">
        <v>647.02449999999999</v>
      </c>
      <c r="J4" s="6">
        <v>95.405199999999994</v>
      </c>
      <c r="K4" s="6">
        <v>761.25805000000003</v>
      </c>
      <c r="L4" s="6">
        <v>177.6181</v>
      </c>
      <c r="M4" s="6">
        <v>32.141199999999998</v>
      </c>
      <c r="N4" s="6">
        <v>958.90840000000003</v>
      </c>
      <c r="O4" s="6">
        <v>551.05520000000001</v>
      </c>
      <c r="P4" s="6">
        <v>228.38525000000001</v>
      </c>
      <c r="Q4" s="6">
        <v>1130.8007500000001</v>
      </c>
      <c r="R4" s="6">
        <v>126.00020000000001</v>
      </c>
      <c r="S4" s="6">
        <v>117.282</v>
      </c>
      <c r="T4" s="6">
        <v>430.57225</v>
      </c>
      <c r="U4" s="6">
        <v>551.05520000000001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228.38525000000001</v>
      </c>
      <c r="AK4" s="6">
        <v>0</v>
      </c>
      <c r="AL4" s="6">
        <v>0</v>
      </c>
      <c r="AM4" s="6">
        <v>228.38525000000001</v>
      </c>
      <c r="AN4" s="6">
        <v>44662.488100000002</v>
      </c>
      <c r="AO4" s="6">
        <v>30432.558150000001</v>
      </c>
      <c r="AP4" s="6">
        <v>36424.859550000001</v>
      </c>
      <c r="AQ4" s="6">
        <v>34667.720600000001</v>
      </c>
      <c r="AR4" s="6">
        <v>34667.489350000003</v>
      </c>
      <c r="AS4" s="6">
        <v>39880.559050000003</v>
      </c>
      <c r="AT4" s="6">
        <v>40304.745900000002</v>
      </c>
      <c r="AU4" s="6">
        <v>38626.202449999997</v>
      </c>
      <c r="AV4" s="6">
        <v>42362.290350000003</v>
      </c>
      <c r="AW4" s="6">
        <v>40966.764200000005</v>
      </c>
      <c r="AX4" s="6">
        <v>35344.452799999999</v>
      </c>
      <c r="AY4" s="6">
        <v>43432.22795</v>
      </c>
      <c r="AZ4" s="6">
        <v>52613.820499999994</v>
      </c>
      <c r="BA4" s="6">
        <v>35626.407599999999</v>
      </c>
      <c r="BB4" s="6">
        <v>45996.120799999997</v>
      </c>
      <c r="BC4" s="6">
        <v>40966.764200000005</v>
      </c>
      <c r="BD4" s="6">
        <v>0</v>
      </c>
      <c r="BE4" s="6">
        <v>0</v>
      </c>
      <c r="BF4" s="6">
        <v>0</v>
      </c>
      <c r="BG4" s="6">
        <v>19427.502799999998</v>
      </c>
      <c r="BH4" s="6">
        <v>0</v>
      </c>
      <c r="BI4" s="6">
        <v>0</v>
      </c>
      <c r="BJ4" s="6">
        <v>15907.9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9.0499999999992724</v>
      </c>
      <c r="BR4" s="7">
        <v>4.1611049430092095E-3</v>
      </c>
      <c r="BS4" s="7">
        <v>4.471615541791053E-3</v>
      </c>
      <c r="BT4" s="7">
        <v>2.4032501725871442E-3</v>
      </c>
      <c r="BU4" s="7">
        <v>1.8663600859873088E-2</v>
      </c>
      <c r="BV4" s="7">
        <v>2.7520077683387241E-3</v>
      </c>
      <c r="BW4" s="7">
        <v>1.9088449814496769E-2</v>
      </c>
      <c r="BX4" s="7">
        <v>4.4068780495648777E-3</v>
      </c>
      <c r="BY4" s="7">
        <v>8.3210872312921354E-4</v>
      </c>
      <c r="BZ4" s="7">
        <v>2.2635896031055838E-2</v>
      </c>
      <c r="CA4" s="7">
        <v>1.3451274728698245E-2</v>
      </c>
      <c r="CB4" s="7">
        <v>6.4616999813900079E-3</v>
      </c>
      <c r="CC4" s="7">
        <v>2.6035983033193676E-2</v>
      </c>
      <c r="CD4" s="7">
        <v>2.3948118346585386E-3</v>
      </c>
      <c r="CE4" s="7">
        <v>3.2919962438199917E-3</v>
      </c>
      <c r="CF4" s="7">
        <f t="shared" ref="CF4:CG67" si="0">+T4/BB4</f>
        <v>9.3610557262472447E-3</v>
      </c>
      <c r="CG4" s="7">
        <f t="shared" si="0"/>
        <v>1.3451274728698245E-2</v>
      </c>
      <c r="CH4" s="31">
        <v>10000</v>
      </c>
      <c r="CI4" s="31">
        <v>9000</v>
      </c>
      <c r="CJ4" s="31"/>
      <c r="CK4" s="31">
        <v>5000</v>
      </c>
      <c r="CL4" s="31"/>
      <c r="CM4" s="31"/>
      <c r="CN4" s="31">
        <v>5000</v>
      </c>
      <c r="CO4" s="31">
        <v>13000</v>
      </c>
      <c r="CP4" s="31">
        <v>5000</v>
      </c>
      <c r="CQ4" s="31">
        <v>15000</v>
      </c>
      <c r="CR4" s="31"/>
      <c r="CS4" s="31"/>
      <c r="CT4" s="31">
        <v>6000</v>
      </c>
      <c r="CU4" s="31">
        <v>5000</v>
      </c>
      <c r="CV4" s="31">
        <v>5000</v>
      </c>
      <c r="CW4" s="31">
        <v>15000</v>
      </c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>
        <v>42061.475449999998</v>
      </c>
      <c r="DO4" s="33">
        <v>5491.6750000000002</v>
      </c>
      <c r="DP4" s="33">
        <v>0</v>
      </c>
      <c r="DQ4" s="33">
        <v>0</v>
      </c>
      <c r="DR4" s="33">
        <v>0</v>
      </c>
    </row>
    <row r="5" spans="1:122" ht="25.5">
      <c r="A5" s="10">
        <v>1</v>
      </c>
      <c r="B5" s="10" t="s">
        <v>110</v>
      </c>
      <c r="C5" s="10" t="s">
        <v>95</v>
      </c>
      <c r="D5" s="11" t="s">
        <v>2</v>
      </c>
      <c r="E5" s="10" t="s">
        <v>217</v>
      </c>
      <c r="F5" s="12">
        <v>35453.906600000002</v>
      </c>
      <c r="G5" s="12">
        <v>31801.023549999998</v>
      </c>
      <c r="H5" s="12">
        <v>38523.460800000001</v>
      </c>
      <c r="I5" s="12">
        <v>37859.640550000004</v>
      </c>
      <c r="J5" s="12">
        <v>30808.78875</v>
      </c>
      <c r="K5" s="12">
        <v>34307.495450000002</v>
      </c>
      <c r="L5" s="12">
        <v>42820.013400000003</v>
      </c>
      <c r="M5" s="12">
        <v>44164.893050000006</v>
      </c>
      <c r="N5" s="12">
        <v>48161.440050000005</v>
      </c>
      <c r="O5" s="12">
        <v>50114.964400000004</v>
      </c>
      <c r="P5" s="12">
        <v>43781.188350000004</v>
      </c>
      <c r="Q5" s="12">
        <v>43582.551549999996</v>
      </c>
      <c r="R5" s="12">
        <v>40482.048949999989</v>
      </c>
      <c r="S5" s="12">
        <v>40264.1855</v>
      </c>
      <c r="T5" s="12">
        <v>41656.933000000005</v>
      </c>
      <c r="U5" s="12">
        <v>50114.964400000004</v>
      </c>
      <c r="V5" s="12">
        <v>48.085000000000001</v>
      </c>
      <c r="W5" s="12">
        <v>15483.078</v>
      </c>
      <c r="X5" s="12">
        <v>109.30465</v>
      </c>
      <c r="Y5" s="12">
        <v>3695.9612999999999</v>
      </c>
      <c r="Z5" s="12">
        <v>38.076999999999998</v>
      </c>
      <c r="AA5" s="12">
        <v>6826.4944999999998</v>
      </c>
      <c r="AB5" s="12">
        <v>435.51054999999997</v>
      </c>
      <c r="AC5" s="12">
        <v>3002.0554000000002</v>
      </c>
      <c r="AD5" s="12">
        <v>104.098</v>
      </c>
      <c r="AE5" s="12">
        <v>647.38099999999997</v>
      </c>
      <c r="AF5" s="12">
        <v>337.59904999999998</v>
      </c>
      <c r="AG5" s="12">
        <v>414.6</v>
      </c>
      <c r="AH5" s="12">
        <v>1986.3717999999999</v>
      </c>
      <c r="AI5" s="12">
        <v>1488.345</v>
      </c>
      <c r="AJ5" s="12">
        <v>9164.2271000000128</v>
      </c>
      <c r="AK5" s="12">
        <v>15678.544649999998</v>
      </c>
      <c r="AL5" s="12">
        <v>4849.3849500000006</v>
      </c>
      <c r="AM5" s="12">
        <v>23253.258750000008</v>
      </c>
      <c r="AN5" s="12">
        <v>23159.18765</v>
      </c>
      <c r="AO5" s="12">
        <v>23088.573850000001</v>
      </c>
      <c r="AP5" s="12">
        <v>25776.18015</v>
      </c>
      <c r="AQ5" s="12">
        <v>28381.495800000004</v>
      </c>
      <c r="AR5" s="12">
        <v>30546.245200000001</v>
      </c>
      <c r="AS5" s="12">
        <v>33691.9133</v>
      </c>
      <c r="AT5" s="12">
        <v>34772.991699999999</v>
      </c>
      <c r="AU5" s="12">
        <v>38460.570200000002</v>
      </c>
      <c r="AV5" s="12">
        <v>36987.707049999997</v>
      </c>
      <c r="AW5" s="12">
        <v>32197.51485</v>
      </c>
      <c r="AX5" s="12">
        <v>24815.656649999997</v>
      </c>
      <c r="AY5" s="12">
        <v>33847.295249999996</v>
      </c>
      <c r="AZ5" s="12">
        <v>25247.433949999999</v>
      </c>
      <c r="BA5" s="12">
        <v>23964.082150000002</v>
      </c>
      <c r="BB5" s="12">
        <v>31749.760799999996</v>
      </c>
      <c r="BC5" s="12">
        <v>32197.51485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308.3</v>
      </c>
      <c r="BJ5" s="12">
        <v>12128.52</v>
      </c>
      <c r="BK5" s="12">
        <v>309.6293</v>
      </c>
      <c r="BL5" s="12">
        <v>10129.4776</v>
      </c>
      <c r="BM5" s="12">
        <v>0.12975</v>
      </c>
      <c r="BN5" s="12">
        <v>0</v>
      </c>
      <c r="BO5" s="12">
        <v>0</v>
      </c>
      <c r="BP5" s="12">
        <v>1701.8</v>
      </c>
      <c r="BQ5" s="12">
        <v>237.79999999999671</v>
      </c>
      <c r="BR5" s="13">
        <v>1.5308786791578159</v>
      </c>
      <c r="BS5" s="13">
        <v>1.3773489760174165</v>
      </c>
      <c r="BT5" s="13">
        <v>1.4945372268435204</v>
      </c>
      <c r="BU5" s="13">
        <v>1.3339550817473123</v>
      </c>
      <c r="BV5" s="13">
        <v>1.0085949532677752</v>
      </c>
      <c r="BW5" s="13">
        <v>1.0182709169562063</v>
      </c>
      <c r="BX5" s="13">
        <v>1.2314158577273064</v>
      </c>
      <c r="BY5" s="13">
        <v>1.1483161279288574</v>
      </c>
      <c r="BZ5" s="13">
        <v>1.3020931517840604</v>
      </c>
      <c r="CA5" s="13">
        <v>1.5564854813631681</v>
      </c>
      <c r="CB5" s="13">
        <v>1.7642566935660762</v>
      </c>
      <c r="CC5" s="13">
        <v>1.2876228729088774</v>
      </c>
      <c r="CD5" s="13">
        <v>1.6034124113432919</v>
      </c>
      <c r="CE5" s="13">
        <v>1.6801889280787663</v>
      </c>
      <c r="CF5" s="13">
        <f t="shared" si="0"/>
        <v>1.3120392705446779</v>
      </c>
      <c r="CG5" s="13">
        <f t="shared" si="0"/>
        <v>1.5564854813631681</v>
      </c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>
        <v>7771.9202500000001</v>
      </c>
      <c r="DO5" s="34">
        <v>4115.7299999999996</v>
      </c>
      <c r="DP5" s="34">
        <v>0</v>
      </c>
      <c r="DQ5" s="34">
        <v>0</v>
      </c>
      <c r="DR5" s="34">
        <v>241</v>
      </c>
    </row>
    <row r="6" spans="1:122" ht="25.5">
      <c r="A6" s="14">
        <f>+A5+1</f>
        <v>2</v>
      </c>
      <c r="B6" s="28" t="s">
        <v>111</v>
      </c>
      <c r="C6" s="28" t="s">
        <v>95</v>
      </c>
      <c r="D6" s="11" t="s">
        <v>3</v>
      </c>
      <c r="E6" s="28" t="s">
        <v>219</v>
      </c>
      <c r="F6" s="15">
        <v>59406.613700000009</v>
      </c>
      <c r="G6" s="15">
        <v>46391.813199999997</v>
      </c>
      <c r="H6" s="15">
        <v>47509.008799999989</v>
      </c>
      <c r="I6" s="15">
        <v>57340.171849999999</v>
      </c>
      <c r="J6" s="15">
        <v>56579.123250000004</v>
      </c>
      <c r="K6" s="15">
        <v>57929.866500000011</v>
      </c>
      <c r="L6" s="15">
        <v>67058.415699999998</v>
      </c>
      <c r="M6" s="15">
        <v>75369.570650000009</v>
      </c>
      <c r="N6" s="15">
        <v>70984.459300000002</v>
      </c>
      <c r="O6" s="15">
        <v>69760.1391</v>
      </c>
      <c r="P6" s="12">
        <v>64535.529399999999</v>
      </c>
      <c r="Q6" s="12">
        <v>81766.757450000019</v>
      </c>
      <c r="R6" s="12">
        <v>75220.318449999977</v>
      </c>
      <c r="S6" s="12">
        <v>69079.895149999997</v>
      </c>
      <c r="T6" s="12">
        <v>81721.102550000011</v>
      </c>
      <c r="U6" s="15">
        <v>69760.1391</v>
      </c>
      <c r="V6" s="12">
        <v>294.44499999999999</v>
      </c>
      <c r="W6" s="12">
        <v>32765.485049999999</v>
      </c>
      <c r="X6" s="12">
        <v>148.5069</v>
      </c>
      <c r="Y6" s="12">
        <v>1791.268</v>
      </c>
      <c r="Z6" s="12">
        <v>176.16499999999999</v>
      </c>
      <c r="AA6" s="12">
        <v>1235.0329999999999</v>
      </c>
      <c r="AB6" s="12">
        <v>31.687000000000001</v>
      </c>
      <c r="AC6" s="12">
        <v>11028.232</v>
      </c>
      <c r="AD6" s="12">
        <v>452.39664999999997</v>
      </c>
      <c r="AE6" s="12">
        <v>712.90464999999995</v>
      </c>
      <c r="AF6" s="12">
        <v>629.27189999999996</v>
      </c>
      <c r="AG6" s="12">
        <v>10.74</v>
      </c>
      <c r="AH6" s="12">
        <v>2274.9582500000001</v>
      </c>
      <c r="AI6" s="12">
        <v>1884.3409999999999</v>
      </c>
      <c r="AJ6" s="12">
        <v>11100.09499999999</v>
      </c>
      <c r="AK6" s="12">
        <v>33384.601950000004</v>
      </c>
      <c r="AL6" s="12">
        <v>12927.9154</v>
      </c>
      <c r="AM6" s="12">
        <v>18223.012049999998</v>
      </c>
      <c r="AN6" s="15">
        <v>35782.250950000001</v>
      </c>
      <c r="AO6" s="15">
        <v>31513.1728</v>
      </c>
      <c r="AP6" s="15">
        <v>40028.770499999999</v>
      </c>
      <c r="AQ6" s="15">
        <v>48535.329299999998</v>
      </c>
      <c r="AR6" s="15">
        <v>51150.83885</v>
      </c>
      <c r="AS6" s="15">
        <v>49156.706950000007</v>
      </c>
      <c r="AT6" s="15">
        <v>66588.441900000005</v>
      </c>
      <c r="AU6" s="15">
        <v>68816.816800000001</v>
      </c>
      <c r="AV6" s="15">
        <v>46928.386150000006</v>
      </c>
      <c r="AW6" s="15">
        <v>47300.943050000002</v>
      </c>
      <c r="AX6" s="12">
        <v>42873.585399999996</v>
      </c>
      <c r="AY6" s="12">
        <v>51644.646200000003</v>
      </c>
      <c r="AZ6" s="12">
        <v>48835.921499999997</v>
      </c>
      <c r="BA6" s="12">
        <v>45771.997049999991</v>
      </c>
      <c r="BB6" s="12">
        <v>56561.099549999999</v>
      </c>
      <c r="BC6" s="15">
        <v>47300.943050000002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485.73599999999999</v>
      </c>
      <c r="BJ6" s="12">
        <v>15691.97365</v>
      </c>
      <c r="BK6" s="12">
        <v>859.02625</v>
      </c>
      <c r="BL6" s="12">
        <v>19808.980500000001</v>
      </c>
      <c r="BM6" s="12">
        <v>44</v>
      </c>
      <c r="BN6" s="12">
        <v>0</v>
      </c>
      <c r="BO6" s="12">
        <v>3618.96</v>
      </c>
      <c r="BP6" s="12">
        <v>2036.4090000000001</v>
      </c>
      <c r="BQ6" s="12">
        <v>328.49999999999716</v>
      </c>
      <c r="BR6" s="16">
        <v>1.6602257298740455</v>
      </c>
      <c r="BS6" s="16">
        <v>1.4721403488765814</v>
      </c>
      <c r="BT6" s="16">
        <v>1.1868715478033478</v>
      </c>
      <c r="BU6" s="16">
        <v>1.1814109984827073</v>
      </c>
      <c r="BV6" s="16">
        <v>1.1061230768065891</v>
      </c>
      <c r="BW6" s="16">
        <v>1.1784732968163159</v>
      </c>
      <c r="BX6" s="16">
        <v>1.0070578885252457</v>
      </c>
      <c r="BY6" s="16">
        <v>1.0952202405560847</v>
      </c>
      <c r="BZ6" s="16">
        <v>1.5126124106017227</v>
      </c>
      <c r="CA6" s="16">
        <v>1.4748149741170964</v>
      </c>
      <c r="CB6" s="16">
        <v>1.5052515155403823</v>
      </c>
      <c r="CC6" s="16">
        <v>1.5832571905585058</v>
      </c>
      <c r="CD6" s="16">
        <v>1.5402661839809859</v>
      </c>
      <c r="CE6" s="16">
        <v>1.509217416809215</v>
      </c>
      <c r="CF6" s="16">
        <f t="shared" si="0"/>
        <v>1.4448287462615286</v>
      </c>
      <c r="CG6" s="16">
        <f t="shared" si="0"/>
        <v>1.4748149741170964</v>
      </c>
      <c r="CH6" s="30"/>
      <c r="CI6" s="30"/>
      <c r="CJ6" s="30"/>
      <c r="CK6" s="30"/>
      <c r="CL6" s="30"/>
      <c r="CM6" s="30"/>
      <c r="CN6" s="30">
        <v>7500</v>
      </c>
      <c r="CO6" s="30"/>
      <c r="CP6" s="30"/>
      <c r="CQ6" s="30"/>
      <c r="CR6" s="32"/>
      <c r="CS6" s="32"/>
      <c r="CT6" s="32"/>
      <c r="CU6" s="32"/>
      <c r="CV6" s="32"/>
      <c r="CW6" s="30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>
        <v>12521.49265</v>
      </c>
      <c r="DO6" s="35">
        <v>5831.86</v>
      </c>
      <c r="DP6" s="35">
        <v>20</v>
      </c>
      <c r="DQ6" s="35">
        <v>0</v>
      </c>
      <c r="DR6" s="35">
        <v>281</v>
      </c>
    </row>
    <row r="7" spans="1:122" ht="25.5">
      <c r="A7" s="14">
        <f t="shared" ref="A7:A70" si="1">+A6+1</f>
        <v>3</v>
      </c>
      <c r="B7" s="14" t="s">
        <v>112</v>
      </c>
      <c r="C7" s="14" t="s">
        <v>95</v>
      </c>
      <c r="D7" s="17" t="s">
        <v>4</v>
      </c>
      <c r="E7" s="14" t="s">
        <v>221</v>
      </c>
      <c r="F7" s="15">
        <v>22039.197650000002</v>
      </c>
      <c r="G7" s="15">
        <v>18792.337950000001</v>
      </c>
      <c r="H7" s="15">
        <v>17691.356600000003</v>
      </c>
      <c r="I7" s="15">
        <v>25416.112599999993</v>
      </c>
      <c r="J7" s="15">
        <v>25150.985850000001</v>
      </c>
      <c r="K7" s="15">
        <v>32578.490349999993</v>
      </c>
      <c r="L7" s="15">
        <v>40707.072500000002</v>
      </c>
      <c r="M7" s="15">
        <v>31025.966800000002</v>
      </c>
      <c r="N7" s="15">
        <v>27327.678150000003</v>
      </c>
      <c r="O7" s="15">
        <v>21475.228500000001</v>
      </c>
      <c r="P7" s="12">
        <v>20839.375499999998</v>
      </c>
      <c r="Q7" s="12">
        <v>24815.545500000004</v>
      </c>
      <c r="R7" s="12">
        <v>24119.4234</v>
      </c>
      <c r="S7" s="12">
        <v>20112.561000000002</v>
      </c>
      <c r="T7" s="12">
        <v>18822.584950000004</v>
      </c>
      <c r="U7" s="15">
        <v>21475.228500000001</v>
      </c>
      <c r="V7" s="12">
        <v>66.212000000000003</v>
      </c>
      <c r="W7" s="12">
        <v>11294.725700000001</v>
      </c>
      <c r="X7" s="12">
        <v>4.4459999999999997</v>
      </c>
      <c r="Y7" s="12">
        <v>2399.9998999999998</v>
      </c>
      <c r="Z7" s="12">
        <v>25.486000000000001</v>
      </c>
      <c r="AA7" s="12">
        <v>13.9186</v>
      </c>
      <c r="AB7" s="12">
        <v>50.429499999999997</v>
      </c>
      <c r="AC7" s="12">
        <v>240.9024</v>
      </c>
      <c r="AD7" s="12">
        <v>12.197000000000001</v>
      </c>
      <c r="AE7" s="12">
        <v>298.30515000000003</v>
      </c>
      <c r="AF7" s="12">
        <v>175.13749999999999</v>
      </c>
      <c r="AG7" s="12">
        <v>318.964</v>
      </c>
      <c r="AH7" s="12">
        <v>1616.67545</v>
      </c>
      <c r="AI7" s="12">
        <v>85.345799999999997</v>
      </c>
      <c r="AJ7" s="12">
        <v>4236.6305000000002</v>
      </c>
      <c r="AK7" s="12">
        <v>11390.869700000001</v>
      </c>
      <c r="AL7" s="12">
        <v>1042.9054000000001</v>
      </c>
      <c r="AM7" s="12">
        <v>8405.6003999999975</v>
      </c>
      <c r="AN7" s="15">
        <v>8022.26865</v>
      </c>
      <c r="AO7" s="15">
        <v>8924.5069500000009</v>
      </c>
      <c r="AP7" s="15">
        <v>9768.8546000000006</v>
      </c>
      <c r="AQ7" s="15">
        <v>13109.5026</v>
      </c>
      <c r="AR7" s="15">
        <v>9134.3088500000013</v>
      </c>
      <c r="AS7" s="15">
        <v>7767.6363499999989</v>
      </c>
      <c r="AT7" s="15">
        <v>8468.2644999999993</v>
      </c>
      <c r="AU7" s="15">
        <v>8710.4377999999997</v>
      </c>
      <c r="AV7" s="15">
        <v>10362.41015</v>
      </c>
      <c r="AW7" s="15">
        <v>11392.0375</v>
      </c>
      <c r="AX7" s="12">
        <v>10898.2505</v>
      </c>
      <c r="AY7" s="12">
        <v>13984.9395</v>
      </c>
      <c r="AZ7" s="12">
        <v>9688.3564000000006</v>
      </c>
      <c r="BA7" s="12">
        <v>12249.714</v>
      </c>
      <c r="BB7" s="12">
        <v>12295.12795</v>
      </c>
      <c r="BC7" s="15">
        <v>11392.0375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262.33330000000001</v>
      </c>
      <c r="BJ7" s="12">
        <v>2352.7600000000002</v>
      </c>
      <c r="BK7" s="12">
        <v>416.12729999999999</v>
      </c>
      <c r="BL7" s="12">
        <v>5879.0438999999997</v>
      </c>
      <c r="BM7" s="12">
        <v>0</v>
      </c>
      <c r="BN7" s="12">
        <v>0</v>
      </c>
      <c r="BO7" s="12">
        <v>170.5</v>
      </c>
      <c r="BP7" s="12">
        <v>1817.4859999999999</v>
      </c>
      <c r="BQ7" s="12">
        <v>1.1368683772161603E-12</v>
      </c>
      <c r="BR7" s="16">
        <v>2.7472525056861565</v>
      </c>
      <c r="BS7" s="16">
        <v>2.1057004107100838</v>
      </c>
      <c r="BT7" s="16">
        <v>1.8109959994695797</v>
      </c>
      <c r="BU7" s="16">
        <v>1.9387549150796914</v>
      </c>
      <c r="BV7" s="16">
        <v>2.7534634818046464</v>
      </c>
      <c r="BW7" s="16">
        <v>4.1941317644202023</v>
      </c>
      <c r="BX7" s="16">
        <v>4.8070147667210916</v>
      </c>
      <c r="BY7" s="16">
        <v>3.5619296655789223</v>
      </c>
      <c r="BZ7" s="16">
        <v>2.6371932546985706</v>
      </c>
      <c r="CA7" s="16">
        <v>1.8851086559362187</v>
      </c>
      <c r="CB7" s="16">
        <v>1.9121762249821654</v>
      </c>
      <c r="CC7" s="16">
        <v>1.7744478265351096</v>
      </c>
      <c r="CD7" s="16">
        <v>2.4895268510146877</v>
      </c>
      <c r="CE7" s="16">
        <v>1.6418800471586521</v>
      </c>
      <c r="CF7" s="16">
        <f t="shared" si="0"/>
        <v>1.5308978504774327</v>
      </c>
      <c r="CG7" s="16">
        <f t="shared" si="0"/>
        <v>1.8851086559362187</v>
      </c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2"/>
      <c r="CS7" s="32"/>
      <c r="CT7" s="32"/>
      <c r="CU7" s="32"/>
      <c r="CV7" s="32"/>
      <c r="CW7" s="30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>
        <v>0</v>
      </c>
      <c r="DO7" s="35">
        <v>2246.33</v>
      </c>
      <c r="DP7" s="35">
        <v>1232.74935</v>
      </c>
      <c r="DQ7" s="35">
        <v>0</v>
      </c>
      <c r="DR7" s="35">
        <v>0</v>
      </c>
    </row>
    <row r="8" spans="1:122" ht="25.5">
      <c r="A8" s="14">
        <f t="shared" si="1"/>
        <v>4</v>
      </c>
      <c r="B8" s="14" t="s">
        <v>113</v>
      </c>
      <c r="C8" s="14" t="s">
        <v>95</v>
      </c>
      <c r="D8" s="17" t="s">
        <v>5</v>
      </c>
      <c r="E8" s="14" t="s">
        <v>222</v>
      </c>
      <c r="F8" s="15"/>
      <c r="G8" s="15"/>
      <c r="H8" s="15"/>
      <c r="I8" s="15"/>
      <c r="J8" s="15"/>
      <c r="K8" s="15"/>
      <c r="L8" s="15"/>
      <c r="M8" s="15"/>
      <c r="N8" s="15"/>
      <c r="O8" s="15">
        <v>376.06854999999996</v>
      </c>
      <c r="P8" s="12">
        <v>170.38645</v>
      </c>
      <c r="Q8" s="12">
        <v>150.67365000000001</v>
      </c>
      <c r="R8" s="12">
        <v>149.14234999999999</v>
      </c>
      <c r="S8" s="12">
        <v>363.95245</v>
      </c>
      <c r="T8" s="12">
        <v>140.95684999999997</v>
      </c>
      <c r="U8" s="15">
        <v>376.06854999999996</v>
      </c>
      <c r="V8" s="12">
        <v>0</v>
      </c>
      <c r="W8" s="12">
        <v>0</v>
      </c>
      <c r="X8" s="12">
        <v>3.8814500000000001</v>
      </c>
      <c r="Y8" s="12">
        <v>76.033799999999999</v>
      </c>
      <c r="Z8" s="12">
        <v>0</v>
      </c>
      <c r="AA8" s="12">
        <v>0</v>
      </c>
      <c r="AB8" s="12">
        <v>0</v>
      </c>
      <c r="AC8" s="12">
        <v>0</v>
      </c>
      <c r="AD8" s="12">
        <v>2.0700000000000003</v>
      </c>
      <c r="AE8" s="12">
        <v>0</v>
      </c>
      <c r="AF8" s="12">
        <v>2.06E-2</v>
      </c>
      <c r="AG8" s="12">
        <v>0</v>
      </c>
      <c r="AH8" s="12">
        <v>10.808999999999999</v>
      </c>
      <c r="AI8" s="12">
        <v>0</v>
      </c>
      <c r="AJ8" s="12">
        <v>77.571600000000004</v>
      </c>
      <c r="AK8" s="12">
        <v>3.8814500000000001</v>
      </c>
      <c r="AL8" s="12">
        <v>26.240000000000002</v>
      </c>
      <c r="AM8" s="12">
        <v>140.26499999999999</v>
      </c>
      <c r="AN8" s="15"/>
      <c r="AO8" s="15"/>
      <c r="AP8" s="15"/>
      <c r="AQ8" s="15"/>
      <c r="AR8" s="15"/>
      <c r="AS8" s="15"/>
      <c r="AT8" s="15"/>
      <c r="AU8" s="15"/>
      <c r="AV8" s="15"/>
      <c r="AW8" s="15">
        <v>509.10094999999995</v>
      </c>
      <c r="AX8" s="12">
        <v>2857.7372</v>
      </c>
      <c r="AY8" s="12">
        <v>1471.1285</v>
      </c>
      <c r="AZ8" s="12">
        <v>250.58670000000001</v>
      </c>
      <c r="BA8" s="12">
        <v>333.30430000000001</v>
      </c>
      <c r="BB8" s="12">
        <v>398.4923</v>
      </c>
      <c r="BC8" s="15">
        <v>509.10094999999995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0.29499999999999998</v>
      </c>
      <c r="BK8" s="12">
        <v>0</v>
      </c>
      <c r="BL8" s="12">
        <v>2857.4422</v>
      </c>
      <c r="BM8" s="12">
        <v>0</v>
      </c>
      <c r="BN8" s="12">
        <v>0</v>
      </c>
      <c r="BO8" s="12">
        <v>0</v>
      </c>
      <c r="BP8" s="12">
        <v>0</v>
      </c>
      <c r="BQ8" s="12">
        <v>7.2775119264179011E-14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0.73869151098618058</v>
      </c>
      <c r="CB8" s="16">
        <v>5.9622854753754125E-2</v>
      </c>
      <c r="CC8" s="16">
        <v>0.10242045477332538</v>
      </c>
      <c r="CD8" s="16">
        <v>0.59517264882773102</v>
      </c>
      <c r="CE8" s="16">
        <v>1.091952459059184</v>
      </c>
      <c r="CF8" s="16">
        <f t="shared" si="0"/>
        <v>0.35372540448083933</v>
      </c>
      <c r="CG8" s="16">
        <f t="shared" si="0"/>
        <v>0.73869151098618058</v>
      </c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2"/>
      <c r="CS8" s="32"/>
      <c r="CT8" s="32"/>
      <c r="CU8" s="32"/>
      <c r="CV8" s="32"/>
      <c r="CW8" s="30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>
        <v>0</v>
      </c>
      <c r="DO8" s="35">
        <v>0</v>
      </c>
      <c r="DP8" s="35">
        <v>0</v>
      </c>
      <c r="DQ8" s="35">
        <v>0</v>
      </c>
      <c r="DR8" s="35">
        <v>0</v>
      </c>
    </row>
    <row r="9" spans="1:122" ht="25.5">
      <c r="A9" s="14">
        <f t="shared" si="1"/>
        <v>5</v>
      </c>
      <c r="B9" s="14" t="s">
        <v>114</v>
      </c>
      <c r="C9" s="14" t="s">
        <v>95</v>
      </c>
      <c r="D9" s="17" t="s">
        <v>6</v>
      </c>
      <c r="E9" s="14" t="s">
        <v>225</v>
      </c>
      <c r="F9" s="15">
        <v>46449.329549999995</v>
      </c>
      <c r="G9" s="15">
        <v>38264.52395000001</v>
      </c>
      <c r="H9" s="15">
        <v>46402.86819999999</v>
      </c>
      <c r="I9" s="15">
        <v>53656.841949999995</v>
      </c>
      <c r="J9" s="15">
        <v>59903.565850000021</v>
      </c>
      <c r="K9" s="15">
        <v>61494.672300000006</v>
      </c>
      <c r="L9" s="15">
        <v>65326.543249999988</v>
      </c>
      <c r="M9" s="15">
        <v>55795.98345</v>
      </c>
      <c r="N9" s="15">
        <v>52744.036899999977</v>
      </c>
      <c r="O9" s="15">
        <v>60116.62465000002</v>
      </c>
      <c r="P9" s="12">
        <v>49791.341449999985</v>
      </c>
      <c r="Q9" s="12">
        <v>54771.266749999995</v>
      </c>
      <c r="R9" s="12">
        <v>55929.454799999985</v>
      </c>
      <c r="S9" s="12">
        <v>49775.562850000009</v>
      </c>
      <c r="T9" s="12">
        <v>59552.036850000004</v>
      </c>
      <c r="U9" s="15">
        <v>60116.62465000002</v>
      </c>
      <c r="V9" s="12">
        <v>318.858</v>
      </c>
      <c r="W9" s="12">
        <v>21789.848900000001</v>
      </c>
      <c r="X9" s="12">
        <v>236.31825000000001</v>
      </c>
      <c r="Y9" s="12">
        <v>6353.9053000000004</v>
      </c>
      <c r="Z9" s="12">
        <v>43.5</v>
      </c>
      <c r="AA9" s="12">
        <v>1254.039</v>
      </c>
      <c r="AB9" s="12">
        <v>172.017</v>
      </c>
      <c r="AC9" s="12">
        <v>2783.4140000000002</v>
      </c>
      <c r="AD9" s="12">
        <v>171.4975</v>
      </c>
      <c r="AE9" s="12">
        <v>382.07144999999997</v>
      </c>
      <c r="AF9" s="12">
        <v>497.24304999999998</v>
      </c>
      <c r="AG9" s="12">
        <v>2600.2600000000002</v>
      </c>
      <c r="AH9" s="12">
        <v>1882.7668000000001</v>
      </c>
      <c r="AI9" s="12">
        <v>1450.904</v>
      </c>
      <c r="AJ9" s="12">
        <v>9854.6981999999916</v>
      </c>
      <c r="AK9" s="12">
        <v>22388.525150000001</v>
      </c>
      <c r="AL9" s="12">
        <v>4251.4610999999995</v>
      </c>
      <c r="AM9" s="12">
        <v>23151.355199999984</v>
      </c>
      <c r="AN9" s="15">
        <v>36786.449000000001</v>
      </c>
      <c r="AO9" s="15">
        <v>40677.275200000004</v>
      </c>
      <c r="AP9" s="15">
        <v>41816.366000000002</v>
      </c>
      <c r="AQ9" s="15">
        <v>44880.408050000005</v>
      </c>
      <c r="AR9" s="15">
        <v>50206.342749999996</v>
      </c>
      <c r="AS9" s="15">
        <v>51069.696049999999</v>
      </c>
      <c r="AT9" s="15">
        <v>48776.911549999997</v>
      </c>
      <c r="AU9" s="15">
        <v>47142.15655</v>
      </c>
      <c r="AV9" s="15">
        <v>43004.981900000006</v>
      </c>
      <c r="AW9" s="15">
        <v>52274.520399999994</v>
      </c>
      <c r="AX9" s="12">
        <v>45228.83</v>
      </c>
      <c r="AY9" s="12">
        <v>56416.01</v>
      </c>
      <c r="AZ9" s="12">
        <v>45172.652799999996</v>
      </c>
      <c r="BA9" s="12">
        <v>44085.379200000003</v>
      </c>
      <c r="BB9" s="12">
        <v>48711.114650000003</v>
      </c>
      <c r="BC9" s="15">
        <v>52274.520399999994</v>
      </c>
      <c r="BD9" s="12">
        <v>0</v>
      </c>
      <c r="BE9" s="12">
        <v>1</v>
      </c>
      <c r="BF9" s="12">
        <v>0</v>
      </c>
      <c r="BG9" s="12">
        <v>715</v>
      </c>
      <c r="BH9" s="12">
        <v>0</v>
      </c>
      <c r="BI9" s="12">
        <v>315.78530000000001</v>
      </c>
      <c r="BJ9" s="12">
        <v>14293.8745</v>
      </c>
      <c r="BK9" s="12">
        <v>736.75760000000002</v>
      </c>
      <c r="BL9" s="12">
        <v>22122.4578</v>
      </c>
      <c r="BM9" s="12">
        <v>18.203299999999999</v>
      </c>
      <c r="BN9" s="12">
        <v>0</v>
      </c>
      <c r="BO9" s="12">
        <v>27</v>
      </c>
      <c r="BP9" s="12">
        <v>5984.5114999999996</v>
      </c>
      <c r="BQ9" s="12">
        <v>1014.2399999999993</v>
      </c>
      <c r="BR9" s="16">
        <v>1.2626750016018125</v>
      </c>
      <c r="BS9" s="16">
        <v>0.9406855243342358</v>
      </c>
      <c r="BT9" s="16">
        <v>1.1096819891044571</v>
      </c>
      <c r="BU9" s="16">
        <v>1.1955515620584913</v>
      </c>
      <c r="BV9" s="16">
        <v>1.1931473708070486</v>
      </c>
      <c r="BW9" s="16">
        <v>1.2041323339734271</v>
      </c>
      <c r="BX9" s="16">
        <v>1.3392923244645241</v>
      </c>
      <c r="BY9" s="16">
        <v>1.1835687531778816</v>
      </c>
      <c r="BZ9" s="16">
        <v>1.2264634135330252</v>
      </c>
      <c r="CA9" s="16">
        <v>1.1500177178096125</v>
      </c>
      <c r="CB9" s="16">
        <v>1.1008761767660138</v>
      </c>
      <c r="CC9" s="16">
        <v>0.97084616139992874</v>
      </c>
      <c r="CD9" s="16">
        <v>1.2381264179375358</v>
      </c>
      <c r="CE9" s="16">
        <v>1.1290718998737796</v>
      </c>
      <c r="CF9" s="16">
        <f t="shared" si="0"/>
        <v>1.2225554122071398</v>
      </c>
      <c r="CG9" s="16">
        <f t="shared" si="0"/>
        <v>1.1500177178096125</v>
      </c>
      <c r="CH9" s="30"/>
      <c r="CI9" s="30">
        <v>8500</v>
      </c>
      <c r="CJ9" s="30"/>
      <c r="CK9" s="30"/>
      <c r="CL9" s="30"/>
      <c r="CM9" s="30"/>
      <c r="CN9" s="30"/>
      <c r="CO9" s="30"/>
      <c r="CP9" s="30">
        <v>5000</v>
      </c>
      <c r="CQ9" s="30"/>
      <c r="CR9" s="32"/>
      <c r="CS9" s="32"/>
      <c r="CT9" s="32"/>
      <c r="CU9" s="32"/>
      <c r="CV9" s="32"/>
      <c r="CW9" s="30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>
        <v>9571.0512500000004</v>
      </c>
      <c r="DO9" s="35">
        <v>2233.91</v>
      </c>
      <c r="DP9" s="35">
        <v>0</v>
      </c>
      <c r="DQ9" s="35">
        <v>0</v>
      </c>
      <c r="DR9" s="35">
        <v>874</v>
      </c>
    </row>
    <row r="10" spans="1:122" ht="25.5">
      <c r="A10" s="14">
        <f t="shared" si="1"/>
        <v>6</v>
      </c>
      <c r="B10" s="14" t="s">
        <v>115</v>
      </c>
      <c r="C10" s="14" t="s">
        <v>95</v>
      </c>
      <c r="D10" s="17" t="s">
        <v>7</v>
      </c>
      <c r="E10" s="14" t="s">
        <v>227</v>
      </c>
      <c r="F10" s="15"/>
      <c r="G10" s="15"/>
      <c r="H10" s="15"/>
      <c r="I10" s="15"/>
      <c r="J10" s="15"/>
      <c r="K10" s="15"/>
      <c r="L10" s="15"/>
      <c r="M10" s="15"/>
      <c r="N10" s="15"/>
      <c r="O10" s="15">
        <v>11187.206749999999</v>
      </c>
      <c r="P10" s="12">
        <v>12118.35205</v>
      </c>
      <c r="Q10" s="12">
        <v>12901.073350000001</v>
      </c>
      <c r="R10" s="12">
        <v>15194.816000000001</v>
      </c>
      <c r="S10" s="12">
        <v>13117.522849999999</v>
      </c>
      <c r="T10" s="12">
        <v>16921.486599999997</v>
      </c>
      <c r="U10" s="15">
        <v>11187.206749999999</v>
      </c>
      <c r="V10" s="12">
        <v>0</v>
      </c>
      <c r="W10" s="12">
        <v>0</v>
      </c>
      <c r="X10" s="12">
        <v>194.56039999999999</v>
      </c>
      <c r="Y10" s="12">
        <v>2596.62435</v>
      </c>
      <c r="Z10" s="12">
        <v>0</v>
      </c>
      <c r="AA10" s="12">
        <v>1.06</v>
      </c>
      <c r="AB10" s="12">
        <v>0</v>
      </c>
      <c r="AC10" s="12">
        <v>0</v>
      </c>
      <c r="AD10" s="12">
        <v>17.657400000000003</v>
      </c>
      <c r="AE10" s="12">
        <v>58.330599999999997</v>
      </c>
      <c r="AF10" s="12">
        <v>472.08330000000001</v>
      </c>
      <c r="AG10" s="12">
        <v>0</v>
      </c>
      <c r="AH10" s="12">
        <v>1352.9686999999999</v>
      </c>
      <c r="AI10" s="12">
        <v>564.89099999999996</v>
      </c>
      <c r="AJ10" s="12">
        <v>6860.176300000001</v>
      </c>
      <c r="AK10" s="12">
        <v>194.56039999999999</v>
      </c>
      <c r="AL10" s="12">
        <v>604.5444500000001</v>
      </c>
      <c r="AM10" s="12">
        <v>11319.2472</v>
      </c>
      <c r="AN10" s="15"/>
      <c r="AO10" s="15"/>
      <c r="AP10" s="15"/>
      <c r="AQ10" s="15"/>
      <c r="AR10" s="15"/>
      <c r="AS10" s="15"/>
      <c r="AT10" s="15"/>
      <c r="AU10" s="15"/>
      <c r="AV10" s="15"/>
      <c r="AW10" s="15">
        <v>23640.777500000004</v>
      </c>
      <c r="AX10" s="12">
        <v>22371.69715</v>
      </c>
      <c r="AY10" s="12">
        <v>23908.167750000001</v>
      </c>
      <c r="AZ10" s="12">
        <v>25032.844850000001</v>
      </c>
      <c r="BA10" s="12">
        <v>23827.755850000001</v>
      </c>
      <c r="BB10" s="12">
        <v>27875.459750000002</v>
      </c>
      <c r="BC10" s="15">
        <v>23640.777500000004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13404.028</v>
      </c>
      <c r="BK10" s="12">
        <v>25.239000000000001</v>
      </c>
      <c r="BL10" s="12">
        <v>8846.1756999999998</v>
      </c>
      <c r="BM10" s="12">
        <v>96.254450000000006</v>
      </c>
      <c r="BN10" s="12">
        <v>0</v>
      </c>
      <c r="BO10" s="12">
        <v>0</v>
      </c>
      <c r="BP10" s="12">
        <v>0</v>
      </c>
      <c r="BQ10" s="12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0.47321653232428579</v>
      </c>
      <c r="CB10" s="16">
        <v>0.54168228582515021</v>
      </c>
      <c r="CC10" s="16">
        <v>0.53960945417910577</v>
      </c>
      <c r="CD10" s="16">
        <v>0.60699517338318021</v>
      </c>
      <c r="CE10" s="16">
        <v>0.5505144056610769</v>
      </c>
      <c r="CF10" s="16">
        <f t="shared" si="0"/>
        <v>0.60703883457922148</v>
      </c>
      <c r="CG10" s="16">
        <f t="shared" si="0"/>
        <v>0.47321653232428579</v>
      </c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2"/>
      <c r="CS10" s="32"/>
      <c r="CT10" s="32"/>
      <c r="CU10" s="32"/>
      <c r="CV10" s="32"/>
      <c r="CW10" s="30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>
        <v>0</v>
      </c>
      <c r="DO10" s="35">
        <v>4091.98</v>
      </c>
      <c r="DP10" s="35">
        <v>5305.2435999999998</v>
      </c>
      <c r="DQ10" s="35">
        <v>0</v>
      </c>
      <c r="DR10" s="35">
        <v>0</v>
      </c>
    </row>
    <row r="11" spans="1:122" ht="25.5">
      <c r="A11" s="14">
        <f t="shared" si="1"/>
        <v>7</v>
      </c>
      <c r="B11" s="14" t="s">
        <v>116</v>
      </c>
      <c r="C11" s="14" t="s">
        <v>95</v>
      </c>
      <c r="D11" s="17" t="s">
        <v>8</v>
      </c>
      <c r="E11" s="14" t="s">
        <v>227</v>
      </c>
      <c r="F11" s="15"/>
      <c r="G11" s="15"/>
      <c r="H11" s="15"/>
      <c r="I11" s="15"/>
      <c r="J11" s="15"/>
      <c r="K11" s="15"/>
      <c r="L11" s="15"/>
      <c r="M11" s="15"/>
      <c r="N11" s="15"/>
      <c r="O11" s="15">
        <v>7290.21335</v>
      </c>
      <c r="P11" s="12">
        <v>5487.1978499999996</v>
      </c>
      <c r="Q11" s="12">
        <v>3906.3445000000002</v>
      </c>
      <c r="R11" s="12">
        <v>4504.1596500000005</v>
      </c>
      <c r="S11" s="12">
        <v>6071.3616499999998</v>
      </c>
      <c r="T11" s="12">
        <v>6183.1535000000003</v>
      </c>
      <c r="U11" s="15">
        <v>7290.21335</v>
      </c>
      <c r="V11" s="12">
        <v>0</v>
      </c>
      <c r="W11" s="12">
        <v>330.88164999999998</v>
      </c>
      <c r="X11" s="12">
        <v>278.90730000000002</v>
      </c>
      <c r="Y11" s="12">
        <v>755.58429999999998</v>
      </c>
      <c r="Z11" s="12">
        <v>0</v>
      </c>
      <c r="AA11" s="12">
        <v>0</v>
      </c>
      <c r="AB11" s="12">
        <v>0</v>
      </c>
      <c r="AC11" s="12">
        <v>0</v>
      </c>
      <c r="AD11" s="12">
        <v>5.40435</v>
      </c>
      <c r="AE11" s="12">
        <v>45.358450000000005</v>
      </c>
      <c r="AF11" s="12">
        <v>105.23045</v>
      </c>
      <c r="AG11" s="12">
        <v>0</v>
      </c>
      <c r="AH11" s="12">
        <v>439.70825000000002</v>
      </c>
      <c r="AI11" s="12">
        <v>27.6</v>
      </c>
      <c r="AJ11" s="12">
        <v>3498.5231000000008</v>
      </c>
      <c r="AK11" s="12">
        <v>609.78895</v>
      </c>
      <c r="AL11" s="12">
        <v>291.67740000000003</v>
      </c>
      <c r="AM11" s="12">
        <v>4585.7314999999999</v>
      </c>
      <c r="AN11" s="15"/>
      <c r="AO11" s="15"/>
      <c r="AP11" s="15"/>
      <c r="AQ11" s="15"/>
      <c r="AR11" s="15"/>
      <c r="AS11" s="15"/>
      <c r="AT11" s="15"/>
      <c r="AU11" s="15"/>
      <c r="AV11" s="15"/>
      <c r="AW11" s="15">
        <v>17026.22795</v>
      </c>
      <c r="AX11" s="12">
        <v>11362.205849999998</v>
      </c>
      <c r="AY11" s="12">
        <v>12324.523300000001</v>
      </c>
      <c r="AZ11" s="12">
        <v>11754.951350000001</v>
      </c>
      <c r="BA11" s="12">
        <v>14268.52615</v>
      </c>
      <c r="BB11" s="12">
        <v>17402.661599999999</v>
      </c>
      <c r="BC11" s="15">
        <v>17026.22795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6332.6198000000004</v>
      </c>
      <c r="BK11" s="12">
        <v>1.1428</v>
      </c>
      <c r="BL11" s="12">
        <v>5027.9856499999996</v>
      </c>
      <c r="BM11" s="12">
        <v>0</v>
      </c>
      <c r="BN11" s="12">
        <v>0</v>
      </c>
      <c r="BO11" s="12">
        <v>0</v>
      </c>
      <c r="BP11" s="12">
        <v>0</v>
      </c>
      <c r="BQ11" s="12">
        <v>0.45759999999881984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0.42817548146358514</v>
      </c>
      <c r="CB11" s="16">
        <v>0.48293420506899198</v>
      </c>
      <c r="CC11" s="16">
        <v>0.31695704611958497</v>
      </c>
      <c r="CD11" s="16">
        <v>0.38317127105762117</v>
      </c>
      <c r="CE11" s="16">
        <v>0.42550727287274864</v>
      </c>
      <c r="CF11" s="16">
        <f t="shared" si="0"/>
        <v>0.35529930088395217</v>
      </c>
      <c r="CG11" s="16">
        <f t="shared" si="0"/>
        <v>0.42817548146358514</v>
      </c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2"/>
      <c r="CS11" s="32"/>
      <c r="CT11" s="32"/>
      <c r="CU11" s="32"/>
      <c r="CV11" s="32"/>
      <c r="CW11" s="30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>
        <v>0</v>
      </c>
      <c r="DO11" s="35">
        <v>2708.32</v>
      </c>
      <c r="DP11" s="35">
        <v>2226.71065</v>
      </c>
      <c r="DQ11" s="35">
        <v>0</v>
      </c>
      <c r="DR11" s="35">
        <v>0</v>
      </c>
    </row>
    <row r="12" spans="1:122" ht="25.5">
      <c r="A12" s="14">
        <f t="shared" si="1"/>
        <v>8</v>
      </c>
      <c r="B12" s="14" t="s">
        <v>117</v>
      </c>
      <c r="C12" s="14" t="s">
        <v>95</v>
      </c>
      <c r="D12" s="17" t="s">
        <v>9</v>
      </c>
      <c r="E12" s="14" t="s">
        <v>227</v>
      </c>
      <c r="F12" s="15">
        <v>14615.221949999999</v>
      </c>
      <c r="G12" s="15">
        <v>24125.402099999999</v>
      </c>
      <c r="H12" s="15">
        <v>22406.466049999999</v>
      </c>
      <c r="I12" s="15">
        <v>27479.255399999998</v>
      </c>
      <c r="J12" s="15">
        <v>22953.8462</v>
      </c>
      <c r="K12" s="15">
        <v>29157.765100000001</v>
      </c>
      <c r="L12" s="15">
        <v>32248.3305</v>
      </c>
      <c r="M12" s="15">
        <v>31950.939399999999</v>
      </c>
      <c r="N12" s="15">
        <v>32572.561900000004</v>
      </c>
      <c r="O12" s="15">
        <v>22235.770099999998</v>
      </c>
      <c r="P12" s="12">
        <v>16291.7138</v>
      </c>
      <c r="Q12" s="12">
        <v>18055.02075</v>
      </c>
      <c r="R12" s="12">
        <v>20522.083750000002</v>
      </c>
      <c r="S12" s="12">
        <v>20857.9159</v>
      </c>
      <c r="T12" s="12">
        <v>20338.351000000002</v>
      </c>
      <c r="U12" s="15">
        <v>22235.770099999998</v>
      </c>
      <c r="V12" s="12">
        <v>92.757300000000001</v>
      </c>
      <c r="W12" s="12">
        <v>3736.6151</v>
      </c>
      <c r="X12" s="12">
        <v>0</v>
      </c>
      <c r="Y12" s="12">
        <v>2150.9162500000002</v>
      </c>
      <c r="Z12" s="12">
        <v>620.58680000000004</v>
      </c>
      <c r="AA12" s="12">
        <v>35.06</v>
      </c>
      <c r="AB12" s="12">
        <v>0</v>
      </c>
      <c r="AC12" s="12">
        <v>71</v>
      </c>
      <c r="AD12" s="12">
        <v>27.690999999999999</v>
      </c>
      <c r="AE12" s="12">
        <v>667.41499999999996</v>
      </c>
      <c r="AF12" s="12">
        <v>33.783299999999997</v>
      </c>
      <c r="AG12" s="12">
        <v>22.745000000000001</v>
      </c>
      <c r="AH12" s="12">
        <v>1294.4508499999999</v>
      </c>
      <c r="AI12" s="12">
        <v>1234.1364000000001</v>
      </c>
      <c r="AJ12" s="12">
        <v>6304.5568000000003</v>
      </c>
      <c r="AK12" s="12">
        <v>4449.9592000000002</v>
      </c>
      <c r="AL12" s="12">
        <v>1434.6268</v>
      </c>
      <c r="AM12" s="12">
        <v>10407.1278</v>
      </c>
      <c r="AN12" s="15">
        <v>10330.132949999999</v>
      </c>
      <c r="AO12" s="15">
        <v>11750.1121</v>
      </c>
      <c r="AP12" s="15">
        <v>13464.754949999999</v>
      </c>
      <c r="AQ12" s="15">
        <v>23201.092499999999</v>
      </c>
      <c r="AR12" s="15">
        <v>23377.612849999998</v>
      </c>
      <c r="AS12" s="15">
        <v>35323.922449999998</v>
      </c>
      <c r="AT12" s="15">
        <v>47018.908000000003</v>
      </c>
      <c r="AU12" s="15">
        <v>46535.790850000005</v>
      </c>
      <c r="AV12" s="15">
        <v>48085.303450000007</v>
      </c>
      <c r="AW12" s="15">
        <v>13054.0101</v>
      </c>
      <c r="AX12" s="12">
        <v>10792.039799999999</v>
      </c>
      <c r="AY12" s="12">
        <v>12497.061750000001</v>
      </c>
      <c r="AZ12" s="12">
        <v>13170.191750000002</v>
      </c>
      <c r="BA12" s="12">
        <v>10593.455900000001</v>
      </c>
      <c r="BB12" s="12">
        <v>12073.547999999999</v>
      </c>
      <c r="BC12" s="15">
        <v>13054.0101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212.511</v>
      </c>
      <c r="BJ12" s="12">
        <v>2466.69</v>
      </c>
      <c r="BK12" s="12">
        <v>716.81759999999997</v>
      </c>
      <c r="BL12" s="12">
        <v>6450.1211999999996</v>
      </c>
      <c r="BM12" s="12">
        <v>0</v>
      </c>
      <c r="BN12" s="12">
        <v>70</v>
      </c>
      <c r="BO12" s="12">
        <v>75</v>
      </c>
      <c r="BP12" s="12">
        <v>764.9</v>
      </c>
      <c r="BQ12" s="12">
        <v>35.999999999999517</v>
      </c>
      <c r="BR12" s="16">
        <v>1.4148145063321764</v>
      </c>
      <c r="BS12" s="16">
        <v>2.0532061221781874</v>
      </c>
      <c r="BT12" s="16">
        <v>1.6640827206439432</v>
      </c>
      <c r="BU12" s="16">
        <v>1.184394890025114</v>
      </c>
      <c r="BV12" s="16">
        <v>0.98187297168795407</v>
      </c>
      <c r="BW12" s="16">
        <v>0.82543961931951304</v>
      </c>
      <c r="BX12" s="16">
        <v>0.68585877196467426</v>
      </c>
      <c r="BY12" s="16">
        <v>0.68658851211937655</v>
      </c>
      <c r="BZ12" s="16">
        <v>0.67739121026592997</v>
      </c>
      <c r="CA12" s="16">
        <v>1.703367005974662</v>
      </c>
      <c r="CB12" s="16">
        <v>1.5096046810353685</v>
      </c>
      <c r="CC12" s="16">
        <v>1.4447412608807826</v>
      </c>
      <c r="CD12" s="16">
        <v>1.558222092704155</v>
      </c>
      <c r="CE12" s="16">
        <v>1.9689434776426453</v>
      </c>
      <c r="CF12" s="16">
        <f t="shared" si="0"/>
        <v>1.6845380496271687</v>
      </c>
      <c r="CG12" s="16">
        <f t="shared" si="0"/>
        <v>1.703367005974662</v>
      </c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2"/>
      <c r="CS12" s="32"/>
      <c r="CT12" s="32"/>
      <c r="CU12" s="32"/>
      <c r="CV12" s="32"/>
      <c r="CW12" s="30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>
        <v>0</v>
      </c>
      <c r="DO12" s="35">
        <v>975.16899999999998</v>
      </c>
      <c r="DP12" s="35">
        <v>2877.5115000000001</v>
      </c>
      <c r="DQ12" s="35">
        <v>0</v>
      </c>
      <c r="DR12" s="35">
        <v>0</v>
      </c>
    </row>
    <row r="13" spans="1:122" ht="25.5">
      <c r="A13" s="14">
        <f t="shared" si="1"/>
        <v>9</v>
      </c>
      <c r="B13" s="14" t="s">
        <v>118</v>
      </c>
      <c r="C13" s="14" t="s">
        <v>95</v>
      </c>
      <c r="D13" s="17" t="s">
        <v>10</v>
      </c>
      <c r="E13" s="14" t="s">
        <v>236</v>
      </c>
      <c r="F13" s="15">
        <v>18163.778399999999</v>
      </c>
      <c r="G13" s="15">
        <v>13925.8554</v>
      </c>
      <c r="H13" s="15">
        <v>14913.185249999995</v>
      </c>
      <c r="I13" s="15">
        <v>13763.070900000001</v>
      </c>
      <c r="J13" s="15">
        <v>14333.870149999999</v>
      </c>
      <c r="K13" s="15">
        <v>23506.810450000008</v>
      </c>
      <c r="L13" s="15">
        <v>25985.750250000005</v>
      </c>
      <c r="M13" s="15">
        <v>23856.175400000004</v>
      </c>
      <c r="N13" s="15">
        <v>26385.959049999994</v>
      </c>
      <c r="O13" s="15">
        <v>28572.280049999994</v>
      </c>
      <c r="P13" s="12">
        <v>23991.200049999996</v>
      </c>
      <c r="Q13" s="12">
        <v>26986.155949999997</v>
      </c>
      <c r="R13" s="12">
        <v>25353.151849999998</v>
      </c>
      <c r="S13" s="12">
        <v>23823.481199999998</v>
      </c>
      <c r="T13" s="12">
        <v>21542.178200000002</v>
      </c>
      <c r="U13" s="15">
        <v>28572.280049999994</v>
      </c>
      <c r="V13" s="12">
        <v>108.63</v>
      </c>
      <c r="W13" s="12">
        <v>8194.384</v>
      </c>
      <c r="X13" s="12">
        <v>425.48185000000001</v>
      </c>
      <c r="Y13" s="12">
        <v>1575.9649999999999</v>
      </c>
      <c r="Z13" s="12">
        <v>165.9101</v>
      </c>
      <c r="AA13" s="12">
        <v>120.14805</v>
      </c>
      <c r="AB13" s="12">
        <v>154.13</v>
      </c>
      <c r="AC13" s="12">
        <v>59.805999999999997</v>
      </c>
      <c r="AD13" s="12">
        <v>21.107349999999997</v>
      </c>
      <c r="AE13" s="12">
        <v>251.1884</v>
      </c>
      <c r="AF13" s="12">
        <v>120.34529999999999</v>
      </c>
      <c r="AG13" s="12">
        <v>264.71899999999999</v>
      </c>
      <c r="AH13" s="12">
        <v>1716.0794000000001</v>
      </c>
      <c r="AI13" s="12">
        <v>2382.1381500000002</v>
      </c>
      <c r="AJ13" s="12">
        <v>8431.1674499999972</v>
      </c>
      <c r="AK13" s="12">
        <v>8894.4059499999985</v>
      </c>
      <c r="AL13" s="12">
        <v>1100.2010500000001</v>
      </c>
      <c r="AM13" s="12">
        <v>13996.593049999998</v>
      </c>
      <c r="AN13" s="15">
        <v>13441.396399999998</v>
      </c>
      <c r="AO13" s="15">
        <v>14815.981400000001</v>
      </c>
      <c r="AP13" s="15">
        <v>16480.96225</v>
      </c>
      <c r="AQ13" s="15">
        <v>17207.3249</v>
      </c>
      <c r="AR13" s="15">
        <v>18475.613150000001</v>
      </c>
      <c r="AS13" s="15">
        <v>20784.370450000002</v>
      </c>
      <c r="AT13" s="15">
        <v>24167.784250000001</v>
      </c>
      <c r="AU13" s="15">
        <v>21443.801400000004</v>
      </c>
      <c r="AV13" s="15">
        <v>23897.59605</v>
      </c>
      <c r="AW13" s="15">
        <v>26189.199050000003</v>
      </c>
      <c r="AX13" s="12">
        <v>20697.694049999998</v>
      </c>
      <c r="AY13" s="12">
        <v>25251.440950000004</v>
      </c>
      <c r="AZ13" s="12">
        <v>27605.507850000002</v>
      </c>
      <c r="BA13" s="12">
        <v>21517.605199999998</v>
      </c>
      <c r="BB13" s="12">
        <v>22411.4732</v>
      </c>
      <c r="BC13" s="15">
        <v>26189.199050000003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505.56</v>
      </c>
      <c r="BJ13" s="12">
        <v>10029.6034</v>
      </c>
      <c r="BK13" s="12">
        <v>811.7509</v>
      </c>
      <c r="BL13" s="12">
        <v>7812.8972999999996</v>
      </c>
      <c r="BM13" s="12">
        <v>192.74244999999999</v>
      </c>
      <c r="BN13" s="12">
        <v>0</v>
      </c>
      <c r="BO13" s="12">
        <v>0</v>
      </c>
      <c r="BP13" s="12">
        <v>1235.1400000000001</v>
      </c>
      <c r="BQ13" s="12">
        <v>109.99999999999767</v>
      </c>
      <c r="BR13" s="16">
        <v>1.3513312054393398</v>
      </c>
      <c r="BS13" s="16">
        <v>0.93992122587302918</v>
      </c>
      <c r="BT13" s="16">
        <v>0.90487345482512671</v>
      </c>
      <c r="BU13" s="16">
        <v>0.79983791670023041</v>
      </c>
      <c r="BV13" s="16">
        <v>0.77582649266500792</v>
      </c>
      <c r="BW13" s="16">
        <v>1.1309849632708027</v>
      </c>
      <c r="BX13" s="16">
        <v>1.075222700649523</v>
      </c>
      <c r="BY13" s="16">
        <v>1.1124974977617541</v>
      </c>
      <c r="BZ13" s="16">
        <v>1.104126080079088</v>
      </c>
      <c r="CA13" s="16">
        <v>1.0909948026837419</v>
      </c>
      <c r="CB13" s="16">
        <v>1.159124296264298</v>
      </c>
      <c r="CC13" s="16">
        <v>1.0686976637663916</v>
      </c>
      <c r="CD13" s="16">
        <v>0.91840918079686751</v>
      </c>
      <c r="CE13" s="16">
        <v>1.10716229703852</v>
      </c>
      <c r="CF13" s="16">
        <f t="shared" si="0"/>
        <v>0.96121205454713265</v>
      </c>
      <c r="CG13" s="16">
        <f t="shared" si="0"/>
        <v>1.0909948026837419</v>
      </c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2"/>
      <c r="CS13" s="32"/>
      <c r="CT13" s="32"/>
      <c r="CU13" s="32"/>
      <c r="CV13" s="32"/>
      <c r="CW13" s="30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>
        <v>0</v>
      </c>
      <c r="DO13" s="35">
        <v>3995.6149999999998</v>
      </c>
      <c r="DP13" s="35">
        <v>3623.7787499999999</v>
      </c>
      <c r="DQ13" s="35">
        <v>0</v>
      </c>
      <c r="DR13" s="35">
        <v>0</v>
      </c>
    </row>
    <row r="14" spans="1:122" ht="25.5">
      <c r="A14" s="14">
        <f t="shared" si="1"/>
        <v>10</v>
      </c>
      <c r="B14" s="14" t="s">
        <v>119</v>
      </c>
      <c r="C14" s="14" t="s">
        <v>95</v>
      </c>
      <c r="D14" s="17" t="s">
        <v>11</v>
      </c>
      <c r="E14" s="14" t="s">
        <v>238</v>
      </c>
      <c r="F14" s="15">
        <v>44146.031299999995</v>
      </c>
      <c r="G14" s="15">
        <v>36465.862450000008</v>
      </c>
      <c r="H14" s="15">
        <v>32870.027499999997</v>
      </c>
      <c r="I14" s="15">
        <v>46244.640850000018</v>
      </c>
      <c r="J14" s="15">
        <v>46121.98629999999</v>
      </c>
      <c r="K14" s="15">
        <v>47794.948650000006</v>
      </c>
      <c r="L14" s="15">
        <v>49085.177999999985</v>
      </c>
      <c r="M14" s="15">
        <v>50266.044850000006</v>
      </c>
      <c r="N14" s="15">
        <v>59137.006399999998</v>
      </c>
      <c r="O14" s="15">
        <v>51133.237450000001</v>
      </c>
      <c r="P14" s="12">
        <v>43734.192300000002</v>
      </c>
      <c r="Q14" s="12">
        <v>49545.196799999991</v>
      </c>
      <c r="R14" s="12">
        <v>49612.698599999989</v>
      </c>
      <c r="S14" s="12">
        <v>44407.450199999992</v>
      </c>
      <c r="T14" s="12">
        <v>48820.370999999999</v>
      </c>
      <c r="U14" s="15">
        <v>51133.237450000001</v>
      </c>
      <c r="V14" s="12">
        <v>388.78680000000003</v>
      </c>
      <c r="W14" s="12">
        <v>18249.322400000001</v>
      </c>
      <c r="X14" s="12">
        <v>567.90210000000002</v>
      </c>
      <c r="Y14" s="12">
        <v>6288.6190500000002</v>
      </c>
      <c r="Z14" s="12">
        <v>148.83500000000001</v>
      </c>
      <c r="AA14" s="12">
        <v>2359.5639999999999</v>
      </c>
      <c r="AB14" s="12">
        <v>131.10599999999999</v>
      </c>
      <c r="AC14" s="12">
        <v>1035.325</v>
      </c>
      <c r="AD14" s="12">
        <v>181.07655</v>
      </c>
      <c r="AE14" s="12">
        <v>1047.2438500000001</v>
      </c>
      <c r="AF14" s="12">
        <v>2372.8725999999997</v>
      </c>
      <c r="AG14" s="12">
        <v>212.74029999999999</v>
      </c>
      <c r="AH14" s="12">
        <v>2254.4695999999999</v>
      </c>
      <c r="AI14" s="12">
        <v>1176.1569999999999</v>
      </c>
      <c r="AJ14" s="12">
        <v>7320.1720500000138</v>
      </c>
      <c r="AK14" s="12">
        <v>19354.846300000001</v>
      </c>
      <c r="AL14" s="12">
        <v>3021.37165</v>
      </c>
      <c r="AM14" s="12">
        <v>21357.97435</v>
      </c>
      <c r="AN14" s="15">
        <v>29983.169050000004</v>
      </c>
      <c r="AO14" s="15">
        <v>26874.405250000003</v>
      </c>
      <c r="AP14" s="15">
        <v>26890.473900000001</v>
      </c>
      <c r="AQ14" s="15">
        <v>31036.327499999999</v>
      </c>
      <c r="AR14" s="15">
        <v>31677.327850000001</v>
      </c>
      <c r="AS14" s="15">
        <v>37237.9807</v>
      </c>
      <c r="AT14" s="15">
        <v>36617.482899999995</v>
      </c>
      <c r="AU14" s="15">
        <v>37465.926599999999</v>
      </c>
      <c r="AV14" s="15">
        <v>38436.003499999999</v>
      </c>
      <c r="AW14" s="15">
        <v>49546.010750000001</v>
      </c>
      <c r="AX14" s="12">
        <v>31973.710949999997</v>
      </c>
      <c r="AY14" s="12">
        <v>33354.982600000003</v>
      </c>
      <c r="AZ14" s="12">
        <v>30432.817599999998</v>
      </c>
      <c r="BA14" s="12">
        <v>31538.931799999998</v>
      </c>
      <c r="BB14" s="12">
        <v>37959.965499999998</v>
      </c>
      <c r="BC14" s="15">
        <v>49546.010750000001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503.93799999999999</v>
      </c>
      <c r="BJ14" s="12">
        <v>7452.4141</v>
      </c>
      <c r="BK14" s="12">
        <v>438.988</v>
      </c>
      <c r="BL14" s="12">
        <v>17254.948499999999</v>
      </c>
      <c r="BM14" s="12">
        <v>618.62234999999998</v>
      </c>
      <c r="BN14" s="12">
        <v>0</v>
      </c>
      <c r="BO14" s="12">
        <v>829.85</v>
      </c>
      <c r="BP14" s="12">
        <v>4805.95</v>
      </c>
      <c r="BQ14" s="12">
        <v>68.999999999997385</v>
      </c>
      <c r="BR14" s="16">
        <v>1.4723604174856222</v>
      </c>
      <c r="BS14" s="16">
        <v>1.3568993289628244</v>
      </c>
      <c r="BT14" s="16">
        <v>1.2223669847633289</v>
      </c>
      <c r="BU14" s="16">
        <v>1.49001652498995</v>
      </c>
      <c r="BV14" s="16">
        <v>1.455993590065394</v>
      </c>
      <c r="BW14" s="16">
        <v>1.2835000113204313</v>
      </c>
      <c r="BX14" s="16">
        <v>1.3404847660896972</v>
      </c>
      <c r="BY14" s="16">
        <v>1.3416469152533921</v>
      </c>
      <c r="BZ14" s="16">
        <v>1.5385836459297857</v>
      </c>
      <c r="CA14" s="16">
        <v>1.0320354086226811</v>
      </c>
      <c r="CB14" s="16">
        <v>1.3678172160995283</v>
      </c>
      <c r="CC14" s="16">
        <v>1.4853911751103712</v>
      </c>
      <c r="CD14" s="16">
        <v>1.6302367809676614</v>
      </c>
      <c r="CE14" s="16">
        <v>1.4080201092923508</v>
      </c>
      <c r="CF14" s="16">
        <f t="shared" si="0"/>
        <v>1.2861015640280284</v>
      </c>
      <c r="CG14" s="16">
        <f t="shared" si="0"/>
        <v>1.0320354086226811</v>
      </c>
      <c r="CH14" s="30"/>
      <c r="CI14" s="30"/>
      <c r="CJ14" s="30"/>
      <c r="CK14" s="30"/>
      <c r="CL14" s="30"/>
      <c r="CM14" s="30"/>
      <c r="CN14" s="30"/>
      <c r="CO14" s="30"/>
      <c r="CP14" s="30"/>
      <c r="CQ14" s="30">
        <v>4500</v>
      </c>
      <c r="CR14" s="32"/>
      <c r="CS14" s="32"/>
      <c r="CT14" s="32"/>
      <c r="CU14" s="32"/>
      <c r="CV14" s="32"/>
      <c r="CW14" s="30">
        <v>4500</v>
      </c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>
        <v>6390.9416000000001</v>
      </c>
      <c r="DO14" s="35">
        <v>1760.009</v>
      </c>
      <c r="DP14" s="35">
        <v>0</v>
      </c>
      <c r="DQ14" s="35">
        <v>0</v>
      </c>
      <c r="DR14" s="35">
        <v>644</v>
      </c>
    </row>
    <row r="15" spans="1:122" ht="25.5">
      <c r="A15" s="14">
        <f t="shared" si="1"/>
        <v>11</v>
      </c>
      <c r="B15" s="29" t="s">
        <v>120</v>
      </c>
      <c r="C15" s="29" t="s">
        <v>12</v>
      </c>
      <c r="D15" s="19" t="s">
        <v>2</v>
      </c>
      <c r="E15" s="29" t="s">
        <v>217</v>
      </c>
      <c r="F15" s="15">
        <v>31371.768299999996</v>
      </c>
      <c r="G15" s="15">
        <v>29602.05635000001</v>
      </c>
      <c r="H15" s="15">
        <v>28149.726049999997</v>
      </c>
      <c r="I15" s="15">
        <v>30610.269049999999</v>
      </c>
      <c r="J15" s="15">
        <v>28430.3639</v>
      </c>
      <c r="K15" s="15">
        <v>32918.90165</v>
      </c>
      <c r="L15" s="15">
        <v>31238.033300000003</v>
      </c>
      <c r="M15" s="15">
        <v>27389.748799999998</v>
      </c>
      <c r="N15" s="15">
        <v>32140.077000000005</v>
      </c>
      <c r="O15" s="15">
        <v>35051.235300000008</v>
      </c>
      <c r="P15" s="15">
        <v>28873.733950000002</v>
      </c>
      <c r="Q15" s="15">
        <v>40662.300749999995</v>
      </c>
      <c r="R15" s="15">
        <v>37749.889150000003</v>
      </c>
      <c r="S15" s="15">
        <v>35993.859150000004</v>
      </c>
      <c r="T15" s="15">
        <v>36172.989300000001</v>
      </c>
      <c r="U15" s="15">
        <v>35051.235300000008</v>
      </c>
      <c r="V15" s="15">
        <v>184.44370000000001</v>
      </c>
      <c r="W15" s="15">
        <v>6018.0222999999996</v>
      </c>
      <c r="X15" s="15">
        <v>0</v>
      </c>
      <c r="Y15" s="15">
        <v>3649.7067000000002</v>
      </c>
      <c r="Z15" s="15">
        <v>0</v>
      </c>
      <c r="AA15" s="15">
        <v>1180.4665500000001</v>
      </c>
      <c r="AB15" s="15">
        <v>170.137</v>
      </c>
      <c r="AC15" s="15">
        <v>1208.1310000000001</v>
      </c>
      <c r="AD15" s="15">
        <v>74.114900000000006</v>
      </c>
      <c r="AE15" s="15">
        <v>141.7492</v>
      </c>
      <c r="AF15" s="15">
        <v>173.3262</v>
      </c>
      <c r="AG15" s="15">
        <v>0</v>
      </c>
      <c r="AH15" s="15">
        <v>2533.8469500000001</v>
      </c>
      <c r="AI15" s="15">
        <v>8679.2484000000004</v>
      </c>
      <c r="AJ15" s="15">
        <v>4860.5410500000025</v>
      </c>
      <c r="AK15" s="15">
        <v>6202.4659999999994</v>
      </c>
      <c r="AL15" s="15">
        <v>2151.7239</v>
      </c>
      <c r="AM15" s="15">
        <v>20519.54405</v>
      </c>
      <c r="AN15" s="15">
        <v>33678.9591</v>
      </c>
      <c r="AO15" s="15">
        <v>38470.111400000002</v>
      </c>
      <c r="AP15" s="15">
        <v>38526.691749999998</v>
      </c>
      <c r="AQ15" s="15">
        <v>51227.95435</v>
      </c>
      <c r="AR15" s="15">
        <v>48573.795550000003</v>
      </c>
      <c r="AS15" s="15">
        <v>45424.260199999997</v>
      </c>
      <c r="AT15" s="15">
        <v>50785.058600000004</v>
      </c>
      <c r="AU15" s="15">
        <v>47157.943999999996</v>
      </c>
      <c r="AV15" s="15">
        <v>50847.936050000004</v>
      </c>
      <c r="AW15" s="15">
        <v>52173.705099999992</v>
      </c>
      <c r="AX15" s="15">
        <v>48209.1728</v>
      </c>
      <c r="AY15" s="15">
        <v>62265.2595</v>
      </c>
      <c r="AZ15" s="15">
        <v>49952.30285</v>
      </c>
      <c r="BA15" s="15">
        <v>51739.325850000001</v>
      </c>
      <c r="BB15" s="15">
        <v>56951.550199999998</v>
      </c>
      <c r="BC15" s="15">
        <v>52173.705099999992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695.62009999999998</v>
      </c>
      <c r="BJ15" s="15">
        <v>25260.396099999998</v>
      </c>
      <c r="BK15" s="15">
        <v>7692.8477000000003</v>
      </c>
      <c r="BL15" s="15">
        <v>10218.545249999999</v>
      </c>
      <c r="BM15" s="15">
        <v>696.76509999999996</v>
      </c>
      <c r="BN15" s="15">
        <v>0</v>
      </c>
      <c r="BO15" s="15">
        <v>0</v>
      </c>
      <c r="BP15" s="15">
        <v>1811.6709999999998</v>
      </c>
      <c r="BQ15" s="15">
        <v>1833.3275500000018</v>
      </c>
      <c r="BR15" s="16">
        <v>0.93149459301430715</v>
      </c>
      <c r="BS15" s="16">
        <v>0.76948195034340372</v>
      </c>
      <c r="BT15" s="16">
        <v>0.73065515805675163</v>
      </c>
      <c r="BU15" s="16">
        <v>0.59753057560847145</v>
      </c>
      <c r="BV15" s="16">
        <v>0.58530249856087269</v>
      </c>
      <c r="BW15" s="16">
        <v>0.72469868535140181</v>
      </c>
      <c r="BX15" s="16">
        <v>0.61510283065814952</v>
      </c>
      <c r="BY15" s="16">
        <v>0.58080879861938006</v>
      </c>
      <c r="BZ15" s="16">
        <v>0.63208223374879746</v>
      </c>
      <c r="CA15" s="16">
        <v>0.67181802083670716</v>
      </c>
      <c r="CB15" s="16">
        <v>0.59892614357407103</v>
      </c>
      <c r="CC15" s="16">
        <v>0.65304956690977889</v>
      </c>
      <c r="CD15" s="16">
        <v>0.75571869555959825</v>
      </c>
      <c r="CE15" s="16">
        <v>0.6956770031049796</v>
      </c>
      <c r="CF15" s="16">
        <f t="shared" si="0"/>
        <v>0.63515372580674723</v>
      </c>
      <c r="CG15" s="16">
        <f t="shared" si="0"/>
        <v>0.67181802083670716</v>
      </c>
      <c r="CH15" s="30"/>
      <c r="CI15" s="30">
        <v>2000</v>
      </c>
      <c r="CJ15" s="30">
        <v>8500</v>
      </c>
      <c r="CK15" s="30">
        <v>4300</v>
      </c>
      <c r="CL15" s="30">
        <v>4500</v>
      </c>
      <c r="CM15" s="30">
        <v>5000</v>
      </c>
      <c r="CN15" s="30">
        <v>7000</v>
      </c>
      <c r="CO15" s="30">
        <v>12000</v>
      </c>
      <c r="CP15" s="30">
        <v>2000</v>
      </c>
      <c r="CQ15" s="30">
        <v>3000</v>
      </c>
      <c r="CR15" s="30">
        <v>4000</v>
      </c>
      <c r="CS15" s="30">
        <v>12000</v>
      </c>
      <c r="CT15" s="30"/>
      <c r="CU15" s="30">
        <v>1800</v>
      </c>
      <c r="CV15" s="30">
        <v>4000</v>
      </c>
      <c r="CW15" s="30">
        <v>3000</v>
      </c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>
        <v>8847.4238999999998</v>
      </c>
      <c r="DO15" s="35">
        <v>4182.7299999999996</v>
      </c>
      <c r="DP15" s="35">
        <v>0</v>
      </c>
      <c r="DQ15" s="35">
        <v>0</v>
      </c>
      <c r="DR15" s="35">
        <v>533.80200000000002</v>
      </c>
    </row>
    <row r="16" spans="1:122" ht="25.5">
      <c r="A16" s="14">
        <f t="shared" si="1"/>
        <v>12</v>
      </c>
      <c r="B16" s="14" t="s">
        <v>121</v>
      </c>
      <c r="C16" s="14" t="s">
        <v>12</v>
      </c>
      <c r="D16" s="17" t="s">
        <v>3</v>
      </c>
      <c r="E16" s="14" t="s">
        <v>219</v>
      </c>
      <c r="F16" s="15">
        <v>28935.690399999992</v>
      </c>
      <c r="G16" s="15">
        <v>26558.267600000003</v>
      </c>
      <c r="H16" s="15">
        <v>30181.93989999999</v>
      </c>
      <c r="I16" s="15">
        <v>25772.233850000004</v>
      </c>
      <c r="J16" s="15">
        <v>21299.767800000001</v>
      </c>
      <c r="K16" s="15">
        <v>25850.20995</v>
      </c>
      <c r="L16" s="15">
        <v>24140.228099999997</v>
      </c>
      <c r="M16" s="15">
        <v>22135.173300000006</v>
      </c>
      <c r="N16" s="15">
        <v>23187.326149999994</v>
      </c>
      <c r="O16" s="15">
        <v>24652.861700000001</v>
      </c>
      <c r="P16" s="15">
        <v>20239.412500000002</v>
      </c>
      <c r="Q16" s="15">
        <v>26787.301800000001</v>
      </c>
      <c r="R16" s="15">
        <v>27680.764750000002</v>
      </c>
      <c r="S16" s="15">
        <v>28994.565750000002</v>
      </c>
      <c r="T16" s="15">
        <v>25874.638149999999</v>
      </c>
      <c r="U16" s="15">
        <v>24652.861700000001</v>
      </c>
      <c r="V16" s="15">
        <v>182.29249999999999</v>
      </c>
      <c r="W16" s="15">
        <v>7294.6755000000003</v>
      </c>
      <c r="X16" s="15">
        <v>292.2346</v>
      </c>
      <c r="Y16" s="15">
        <v>1409.63985</v>
      </c>
      <c r="Z16" s="15">
        <v>129.714</v>
      </c>
      <c r="AA16" s="15">
        <v>680.42349999999999</v>
      </c>
      <c r="AB16" s="15">
        <v>253.12700000000001</v>
      </c>
      <c r="AC16" s="15">
        <v>354.65649999999999</v>
      </c>
      <c r="AD16" s="15">
        <v>53.426949999999998</v>
      </c>
      <c r="AE16" s="15">
        <v>434.94619999999998</v>
      </c>
      <c r="AF16" s="15">
        <v>443.88324999999998</v>
      </c>
      <c r="AG16" s="15">
        <v>0</v>
      </c>
      <c r="AH16" s="15">
        <v>2906.53955</v>
      </c>
      <c r="AI16" s="15">
        <v>2990.8280500000001</v>
      </c>
      <c r="AJ16" s="15">
        <v>2813.0250500000025</v>
      </c>
      <c r="AK16" s="15">
        <v>7898.9165999999996</v>
      </c>
      <c r="AL16" s="15">
        <v>1527.3606500000001</v>
      </c>
      <c r="AM16" s="15">
        <v>10813.135250000001</v>
      </c>
      <c r="AN16" s="15">
        <v>59119.643649999998</v>
      </c>
      <c r="AO16" s="15">
        <v>56303.503700000001</v>
      </c>
      <c r="AP16" s="15">
        <v>51200.497100000008</v>
      </c>
      <c r="AQ16" s="15">
        <v>64008.374449999996</v>
      </c>
      <c r="AR16" s="15">
        <v>42075.862600000008</v>
      </c>
      <c r="AS16" s="15">
        <v>43073.036099999998</v>
      </c>
      <c r="AT16" s="15">
        <v>52586.986249999994</v>
      </c>
      <c r="AU16" s="15">
        <v>48990.501649999998</v>
      </c>
      <c r="AV16" s="15">
        <v>36081.845399999998</v>
      </c>
      <c r="AW16" s="15">
        <v>32677.716549999997</v>
      </c>
      <c r="AX16" s="15">
        <v>28808.507100000003</v>
      </c>
      <c r="AY16" s="15">
        <v>44401.711299999995</v>
      </c>
      <c r="AZ16" s="15">
        <v>31800.233250000001</v>
      </c>
      <c r="BA16" s="15">
        <v>32906.797149999999</v>
      </c>
      <c r="BB16" s="15">
        <v>35370.184850000005</v>
      </c>
      <c r="BC16" s="15">
        <v>32677.716549999997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343.65300000000002</v>
      </c>
      <c r="BJ16" s="15">
        <v>14468.0738</v>
      </c>
      <c r="BK16" s="15">
        <v>2561.1266000000001</v>
      </c>
      <c r="BL16" s="15">
        <v>8686.1172999999999</v>
      </c>
      <c r="BM16" s="15">
        <v>794.07039999999995</v>
      </c>
      <c r="BN16" s="15">
        <v>0</v>
      </c>
      <c r="BO16" s="15">
        <v>38.049999999999997</v>
      </c>
      <c r="BP16" s="15">
        <v>23.116</v>
      </c>
      <c r="BQ16" s="15">
        <v>1894.3000000000031</v>
      </c>
      <c r="BR16" s="16">
        <v>0.48944290955650904</v>
      </c>
      <c r="BS16" s="16">
        <v>0.47169831102358206</v>
      </c>
      <c r="BT16" s="16">
        <v>0.58948529036840125</v>
      </c>
      <c r="BU16" s="16">
        <v>0.40263846834810546</v>
      </c>
      <c r="BV16" s="16">
        <v>0.50622296214076901</v>
      </c>
      <c r="BW16" s="16">
        <v>0.60014831297206839</v>
      </c>
      <c r="BX16" s="16">
        <v>0.45905327194900808</v>
      </c>
      <c r="BY16" s="16">
        <v>0.45182581428006274</v>
      </c>
      <c r="BZ16" s="16">
        <v>0.6426313813206459</v>
      </c>
      <c r="CA16" s="16">
        <v>0.75442424694145294</v>
      </c>
      <c r="CB16" s="16">
        <v>0.70254985549042914</v>
      </c>
      <c r="CC16" s="16">
        <v>0.60329435545877264</v>
      </c>
      <c r="CD16" s="16">
        <v>0.8704579155877733</v>
      </c>
      <c r="CE16" s="16">
        <v>0.88111175383715523</v>
      </c>
      <c r="CF16" s="16">
        <f t="shared" si="0"/>
        <v>0.73153810927849861</v>
      </c>
      <c r="CG16" s="16">
        <f t="shared" si="0"/>
        <v>0.75442424694145294</v>
      </c>
      <c r="CH16" s="30">
        <v>3000</v>
      </c>
      <c r="CI16" s="30">
        <v>8000</v>
      </c>
      <c r="CJ16" s="30">
        <v>7000</v>
      </c>
      <c r="CK16" s="30">
        <v>12500</v>
      </c>
      <c r="CL16" s="30">
        <v>7500</v>
      </c>
      <c r="CM16" s="30">
        <v>7500</v>
      </c>
      <c r="CN16" s="30">
        <v>7900</v>
      </c>
      <c r="CO16" s="30">
        <v>15500</v>
      </c>
      <c r="CP16" s="30">
        <v>2000</v>
      </c>
      <c r="CQ16" s="30">
        <v>4000</v>
      </c>
      <c r="CR16" s="30"/>
      <c r="CS16" s="30">
        <v>3000</v>
      </c>
      <c r="CT16" s="30"/>
      <c r="CU16" s="30"/>
      <c r="CV16" s="30">
        <v>2000</v>
      </c>
      <c r="CW16" s="30">
        <v>4000</v>
      </c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>
        <v>7864.2367999999997</v>
      </c>
      <c r="DO16" s="35">
        <v>3605.87</v>
      </c>
      <c r="DP16" s="35">
        <v>0</v>
      </c>
      <c r="DQ16" s="35">
        <v>0</v>
      </c>
      <c r="DR16" s="35">
        <v>475.84399999999999</v>
      </c>
    </row>
    <row r="17" spans="1:122" ht="25.5">
      <c r="A17" s="14">
        <f t="shared" si="1"/>
        <v>13</v>
      </c>
      <c r="B17" s="14" t="s">
        <v>123</v>
      </c>
      <c r="C17" s="14" t="s">
        <v>12</v>
      </c>
      <c r="D17" s="17" t="s">
        <v>13</v>
      </c>
      <c r="E17" s="14" t="s">
        <v>220</v>
      </c>
      <c r="F17" s="15">
        <v>19840.946000000004</v>
      </c>
      <c r="G17" s="15">
        <v>18444.517800000005</v>
      </c>
      <c r="H17" s="15">
        <v>15616.57245</v>
      </c>
      <c r="I17" s="15">
        <v>21267.447400000001</v>
      </c>
      <c r="J17" s="15">
        <v>22749.338050000006</v>
      </c>
      <c r="K17" s="15">
        <v>21024.823049999995</v>
      </c>
      <c r="L17" s="15">
        <v>23329.039399999998</v>
      </c>
      <c r="M17" s="15">
        <v>21980.860250000002</v>
      </c>
      <c r="N17" s="15">
        <v>22728.54795</v>
      </c>
      <c r="O17" s="15">
        <v>23221.887600000002</v>
      </c>
      <c r="P17" s="15">
        <v>21269.006449999997</v>
      </c>
      <c r="Q17" s="15">
        <v>20487.888200000005</v>
      </c>
      <c r="R17" s="15">
        <v>22491.36635</v>
      </c>
      <c r="S17" s="15">
        <v>20107.253349999999</v>
      </c>
      <c r="T17" s="15">
        <v>20189.72695</v>
      </c>
      <c r="U17" s="15">
        <v>23221.887600000002</v>
      </c>
      <c r="V17" s="15">
        <v>216.90100000000001</v>
      </c>
      <c r="W17" s="15">
        <v>14135.8663</v>
      </c>
      <c r="X17" s="15">
        <v>48.130499999999998</v>
      </c>
      <c r="Y17" s="15">
        <v>1112.1288500000001</v>
      </c>
      <c r="Z17" s="15">
        <v>190.596</v>
      </c>
      <c r="AA17" s="15">
        <v>407.49185</v>
      </c>
      <c r="AB17" s="15">
        <v>0</v>
      </c>
      <c r="AC17" s="15">
        <v>551.54499999999996</v>
      </c>
      <c r="AD17" s="15">
        <v>19.02</v>
      </c>
      <c r="AE17" s="15">
        <v>358.58390000000003</v>
      </c>
      <c r="AF17" s="15">
        <v>113.73784999999999</v>
      </c>
      <c r="AG17" s="15">
        <v>67.206999999999994</v>
      </c>
      <c r="AH17" s="15">
        <v>1380.4147499999999</v>
      </c>
      <c r="AI17" s="15">
        <v>312.149</v>
      </c>
      <c r="AJ17" s="15">
        <v>2355.2344499999963</v>
      </c>
      <c r="AK17" s="15">
        <v>14591.493799999998</v>
      </c>
      <c r="AL17" s="15">
        <v>1492.8858499999999</v>
      </c>
      <c r="AM17" s="15">
        <v>5184.6267999999991</v>
      </c>
      <c r="AN17" s="15">
        <v>8552.2997999999989</v>
      </c>
      <c r="AO17" s="15">
        <v>10769.690350000001</v>
      </c>
      <c r="AP17" s="15">
        <v>9615.062249999999</v>
      </c>
      <c r="AQ17" s="15">
        <v>10171.5064</v>
      </c>
      <c r="AR17" s="15">
        <v>11261.02745</v>
      </c>
      <c r="AS17" s="15">
        <v>8413.6909500000002</v>
      </c>
      <c r="AT17" s="15">
        <v>8675.5757999999987</v>
      </c>
      <c r="AU17" s="15">
        <v>9437.3803499999995</v>
      </c>
      <c r="AV17" s="15">
        <v>23229.295299999998</v>
      </c>
      <c r="AW17" s="15">
        <v>34749.946100000001</v>
      </c>
      <c r="AX17" s="15">
        <v>10425.356750000001</v>
      </c>
      <c r="AY17" s="15">
        <v>10318.6041</v>
      </c>
      <c r="AZ17" s="15">
        <v>9283.9374500000013</v>
      </c>
      <c r="BA17" s="15">
        <v>8231.0160500000002</v>
      </c>
      <c r="BB17" s="15">
        <v>9622.3231000000014</v>
      </c>
      <c r="BC17" s="15">
        <v>34749.946100000001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158.74055000000001</v>
      </c>
      <c r="BJ17" s="15">
        <v>556.73199999999997</v>
      </c>
      <c r="BK17" s="15">
        <v>379.87689999999998</v>
      </c>
      <c r="BL17" s="15">
        <v>2051.6388999999999</v>
      </c>
      <c r="BM17" s="15">
        <v>1169.3384000000001</v>
      </c>
      <c r="BN17" s="15">
        <v>0</v>
      </c>
      <c r="BO17" s="15">
        <v>4255.0050000000001</v>
      </c>
      <c r="BP17" s="15">
        <v>1120.2750000000001</v>
      </c>
      <c r="BQ17" s="15">
        <v>733.75000000000114</v>
      </c>
      <c r="BR17" s="16">
        <v>2.3199544524854012</v>
      </c>
      <c r="BS17" s="16">
        <v>1.7126321370976096</v>
      </c>
      <c r="BT17" s="16">
        <v>1.6241779869911921</v>
      </c>
      <c r="BU17" s="16">
        <v>2.090884728735952</v>
      </c>
      <c r="BV17" s="16">
        <v>2.0201831627717066</v>
      </c>
      <c r="BW17" s="16">
        <v>2.4988822592776594</v>
      </c>
      <c r="BX17" s="16">
        <v>2.689047959214419</v>
      </c>
      <c r="BY17" s="16">
        <v>2.3291273038497384</v>
      </c>
      <c r="BZ17" s="16">
        <v>0.97844328278008508</v>
      </c>
      <c r="CA17" s="16">
        <v>0.66825679479255373</v>
      </c>
      <c r="CB17" s="16">
        <v>2.0401226509586827</v>
      </c>
      <c r="CC17" s="16">
        <v>1.9855290503877365</v>
      </c>
      <c r="CD17" s="16">
        <v>2.4226107156721524</v>
      </c>
      <c r="CE17" s="16">
        <v>2.4428640677963442</v>
      </c>
      <c r="CF17" s="16">
        <f t="shared" si="0"/>
        <v>2.0982175239989602</v>
      </c>
      <c r="CG17" s="16">
        <f t="shared" si="0"/>
        <v>0.66825679479255373</v>
      </c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>
        <v>0</v>
      </c>
      <c r="DO17" s="35">
        <v>0</v>
      </c>
      <c r="DP17" s="35">
        <v>0</v>
      </c>
      <c r="DQ17" s="35">
        <v>0</v>
      </c>
      <c r="DR17" s="35">
        <v>0</v>
      </c>
    </row>
    <row r="18" spans="1:122" ht="25.5">
      <c r="A18" s="14">
        <f t="shared" si="1"/>
        <v>14</v>
      </c>
      <c r="B18" s="18" t="s">
        <v>122</v>
      </c>
      <c r="C18" s="18" t="s">
        <v>12</v>
      </c>
      <c r="D18" s="17" t="s">
        <v>14</v>
      </c>
      <c r="E18" s="18" t="s">
        <v>223</v>
      </c>
      <c r="F18" s="15">
        <v>51513.636050000001</v>
      </c>
      <c r="G18" s="15">
        <v>45573.68725000001</v>
      </c>
      <c r="H18" s="15">
        <v>41761.635199999997</v>
      </c>
      <c r="I18" s="15">
        <v>50395.7664</v>
      </c>
      <c r="J18" s="15">
        <v>50485.429699999993</v>
      </c>
      <c r="K18" s="15">
        <v>52143.675199999991</v>
      </c>
      <c r="L18" s="15">
        <v>50644.096149999998</v>
      </c>
      <c r="M18" s="15">
        <v>45224.586149999996</v>
      </c>
      <c r="N18" s="15">
        <v>47111.24755</v>
      </c>
      <c r="O18" s="15">
        <v>47242.191100000011</v>
      </c>
      <c r="P18" s="15">
        <v>41748.881099999999</v>
      </c>
      <c r="Q18" s="15">
        <v>49290.833799999993</v>
      </c>
      <c r="R18" s="15">
        <v>45413.314349999993</v>
      </c>
      <c r="S18" s="15">
        <v>41145.865549999995</v>
      </c>
      <c r="T18" s="15">
        <v>39082.488849999994</v>
      </c>
      <c r="U18" s="15">
        <v>47242.191100000011</v>
      </c>
      <c r="V18" s="15">
        <v>216.01249999999999</v>
      </c>
      <c r="W18" s="15">
        <v>15608.318499999999</v>
      </c>
      <c r="X18" s="15">
        <v>192.65770000000001</v>
      </c>
      <c r="Y18" s="15">
        <v>4613.1746499999999</v>
      </c>
      <c r="Z18" s="15">
        <v>1144.201</v>
      </c>
      <c r="AA18" s="15">
        <v>2793.3069999999998</v>
      </c>
      <c r="AB18" s="15">
        <v>82.56</v>
      </c>
      <c r="AC18" s="15">
        <v>0</v>
      </c>
      <c r="AD18" s="15">
        <v>386.81725</v>
      </c>
      <c r="AE18" s="15">
        <v>2288.7478000000001</v>
      </c>
      <c r="AF18" s="15">
        <v>458.77715000000001</v>
      </c>
      <c r="AG18" s="15">
        <v>697.09799999999996</v>
      </c>
      <c r="AH18" s="15">
        <v>4209.0486499999997</v>
      </c>
      <c r="AI18" s="15">
        <v>4045.5068000000001</v>
      </c>
      <c r="AJ18" s="15">
        <v>5012.6540999999952</v>
      </c>
      <c r="AK18" s="15">
        <v>17161.189699999999</v>
      </c>
      <c r="AL18" s="15">
        <v>3413.2507499999997</v>
      </c>
      <c r="AM18" s="15">
        <v>21174.44065</v>
      </c>
      <c r="AN18" s="15">
        <v>36348.8344</v>
      </c>
      <c r="AO18" s="15">
        <v>39473.296849999999</v>
      </c>
      <c r="AP18" s="15">
        <v>38547.515200000002</v>
      </c>
      <c r="AQ18" s="15">
        <v>51003.987800000003</v>
      </c>
      <c r="AR18" s="15">
        <v>49349.061249999999</v>
      </c>
      <c r="AS18" s="15">
        <v>43520.973249999995</v>
      </c>
      <c r="AT18" s="15">
        <v>43052.257100000003</v>
      </c>
      <c r="AU18" s="15">
        <v>35889.54365</v>
      </c>
      <c r="AV18" s="15">
        <v>32714.231350000002</v>
      </c>
      <c r="AW18" s="15">
        <v>29681.243549999999</v>
      </c>
      <c r="AX18" s="15">
        <v>27995.608100000001</v>
      </c>
      <c r="AY18" s="15">
        <v>40525.233200000002</v>
      </c>
      <c r="AZ18" s="15">
        <v>27277.707849999999</v>
      </c>
      <c r="BA18" s="15">
        <v>25481.05215</v>
      </c>
      <c r="BB18" s="15">
        <v>24414.936449999997</v>
      </c>
      <c r="BC18" s="15">
        <v>29681.243549999999</v>
      </c>
      <c r="BD18" s="15">
        <v>0</v>
      </c>
      <c r="BE18" s="15">
        <v>137.69999999999999</v>
      </c>
      <c r="BF18" s="15">
        <v>0</v>
      </c>
      <c r="BG18" s="15">
        <v>0</v>
      </c>
      <c r="BH18" s="15">
        <v>0</v>
      </c>
      <c r="BI18" s="15">
        <v>2934.9906999999998</v>
      </c>
      <c r="BJ18" s="15">
        <v>2343.2316000000001</v>
      </c>
      <c r="BK18" s="15">
        <v>4156.1944000000003</v>
      </c>
      <c r="BL18" s="15">
        <v>12275.899600000001</v>
      </c>
      <c r="BM18" s="15">
        <v>383.3938</v>
      </c>
      <c r="BN18" s="15">
        <v>40.607999999999997</v>
      </c>
      <c r="BO18" s="15">
        <v>150</v>
      </c>
      <c r="BP18" s="15">
        <v>3847.89</v>
      </c>
      <c r="BQ18" s="15">
        <v>1725.6999999999991</v>
      </c>
      <c r="BR18" s="16">
        <v>1.4172018690646102</v>
      </c>
      <c r="BS18" s="16">
        <v>1.1545447400348068</v>
      </c>
      <c r="BT18" s="16">
        <v>1.0833807311138954</v>
      </c>
      <c r="BU18" s="16">
        <v>0.98807502263577907</v>
      </c>
      <c r="BV18" s="16">
        <v>1.023027154341259</v>
      </c>
      <c r="BW18" s="16">
        <v>1.1981275074081665</v>
      </c>
      <c r="BX18" s="16">
        <v>1.1763400936765287</v>
      </c>
      <c r="BY18" s="16">
        <v>1.2601047979611186</v>
      </c>
      <c r="BZ18" s="16">
        <v>1.4400841959565098</v>
      </c>
      <c r="CA18" s="16">
        <v>1.5916513410368891</v>
      </c>
      <c r="CB18" s="16">
        <v>1.4912653781576546</v>
      </c>
      <c r="CC18" s="16">
        <v>1.2162998188496541</v>
      </c>
      <c r="CD18" s="16">
        <v>1.6648508225004688</v>
      </c>
      <c r="CE18" s="16">
        <v>1.6147632094540489</v>
      </c>
      <c r="CF18" s="16">
        <f t="shared" si="0"/>
        <v>1.6007614408515078</v>
      </c>
      <c r="CG18" s="16">
        <f t="shared" si="0"/>
        <v>1.5916513410368891</v>
      </c>
      <c r="CH18" s="30"/>
      <c r="CI18" s="30"/>
      <c r="CJ18" s="30"/>
      <c r="CK18" s="30"/>
      <c r="CL18" s="30">
        <v>4900</v>
      </c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>
        <v>0</v>
      </c>
      <c r="DO18" s="35">
        <v>0</v>
      </c>
      <c r="DP18" s="35">
        <v>0</v>
      </c>
      <c r="DQ18" s="35">
        <v>0</v>
      </c>
      <c r="DR18" s="35">
        <v>0</v>
      </c>
    </row>
    <row r="19" spans="1:122" ht="25.5">
      <c r="A19" s="14">
        <f t="shared" si="1"/>
        <v>15</v>
      </c>
      <c r="B19" s="14" t="s">
        <v>124</v>
      </c>
      <c r="C19" s="14" t="s">
        <v>12</v>
      </c>
      <c r="D19" s="17" t="s">
        <v>15</v>
      </c>
      <c r="E19" s="14" t="s">
        <v>225</v>
      </c>
      <c r="F19" s="15">
        <v>16689.328600000001</v>
      </c>
      <c r="G19" s="15">
        <v>22178.054650000002</v>
      </c>
      <c r="H19" s="15">
        <v>17310.3328</v>
      </c>
      <c r="I19" s="15">
        <v>16396.446499999995</v>
      </c>
      <c r="J19" s="15">
        <v>13861.977650000003</v>
      </c>
      <c r="K19" s="15">
        <v>17030.136749999998</v>
      </c>
      <c r="L19" s="15">
        <v>18890.148799999995</v>
      </c>
      <c r="M19" s="15">
        <v>15533.550650000001</v>
      </c>
      <c r="N19" s="15">
        <v>17443.140899999999</v>
      </c>
      <c r="O19" s="15">
        <v>17385.155499999997</v>
      </c>
      <c r="P19" s="15">
        <v>13774.834199999998</v>
      </c>
      <c r="Q19" s="15">
        <v>18304.956299999998</v>
      </c>
      <c r="R19" s="15">
        <v>20651.941949999997</v>
      </c>
      <c r="S19" s="15">
        <v>18453.558300000001</v>
      </c>
      <c r="T19" s="15">
        <v>14521.235049999999</v>
      </c>
      <c r="U19" s="15">
        <v>17385.155499999997</v>
      </c>
      <c r="V19" s="15">
        <v>0</v>
      </c>
      <c r="W19" s="15">
        <v>6992.9303</v>
      </c>
      <c r="X19" s="15">
        <v>4.3480499999999997</v>
      </c>
      <c r="Y19" s="15">
        <v>1147.7173499999999</v>
      </c>
      <c r="Z19" s="15">
        <v>0</v>
      </c>
      <c r="AA19" s="15">
        <v>344.46300000000002</v>
      </c>
      <c r="AB19" s="15">
        <v>0</v>
      </c>
      <c r="AC19" s="15">
        <v>0</v>
      </c>
      <c r="AD19" s="15">
        <v>47.482349999999997</v>
      </c>
      <c r="AE19" s="15">
        <v>237.76849999999999</v>
      </c>
      <c r="AF19" s="15">
        <v>324.9742</v>
      </c>
      <c r="AG19" s="15">
        <v>0</v>
      </c>
      <c r="AH19" s="15">
        <v>1423.9694</v>
      </c>
      <c r="AI19" s="15">
        <v>1214.8822500000001</v>
      </c>
      <c r="AJ19" s="15">
        <v>2036.2987999999968</v>
      </c>
      <c r="AK19" s="15">
        <v>6997.2783499999996</v>
      </c>
      <c r="AL19" s="15">
        <v>617.37380000000007</v>
      </c>
      <c r="AM19" s="15">
        <v>6160.1820499999976</v>
      </c>
      <c r="AN19" s="15">
        <v>16612.9617</v>
      </c>
      <c r="AO19" s="15">
        <v>23904.431400000001</v>
      </c>
      <c r="AP19" s="15">
        <v>22750.127400000001</v>
      </c>
      <c r="AQ19" s="15">
        <v>23352.123500000002</v>
      </c>
      <c r="AR19" s="15">
        <v>17799.172699999999</v>
      </c>
      <c r="AS19" s="15">
        <v>14510.377049999999</v>
      </c>
      <c r="AT19" s="15">
        <v>21473.669450000001</v>
      </c>
      <c r="AU19" s="15">
        <v>17519.593950000002</v>
      </c>
      <c r="AV19" s="15">
        <v>17394.253199999999</v>
      </c>
      <c r="AW19" s="15">
        <v>18852.702600000001</v>
      </c>
      <c r="AX19" s="15">
        <v>15288.859899999999</v>
      </c>
      <c r="AY19" s="15">
        <v>18719.092799999999</v>
      </c>
      <c r="AZ19" s="15">
        <v>19659.487000000001</v>
      </c>
      <c r="BA19" s="15">
        <v>21037.23545</v>
      </c>
      <c r="BB19" s="15">
        <v>18591.481400000001</v>
      </c>
      <c r="BC19" s="15">
        <v>18852.702600000001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158.54599999999999</v>
      </c>
      <c r="BJ19" s="15">
        <v>7506.491</v>
      </c>
      <c r="BK19" s="15">
        <v>708.0127</v>
      </c>
      <c r="BL19" s="15">
        <v>5807.1475</v>
      </c>
      <c r="BM19" s="15">
        <v>322.54770000000002</v>
      </c>
      <c r="BN19" s="15">
        <v>0</v>
      </c>
      <c r="BO19" s="15">
        <v>0</v>
      </c>
      <c r="BP19" s="15">
        <v>701.11500000000001</v>
      </c>
      <c r="BQ19" s="15">
        <v>84.999999999999375</v>
      </c>
      <c r="BR19" s="16">
        <v>1.0045968263443357</v>
      </c>
      <c r="BS19" s="16">
        <v>0.92778005378534123</v>
      </c>
      <c r="BT19" s="16">
        <v>0.76088948846941395</v>
      </c>
      <c r="BU19" s="16">
        <v>0.70213942213863312</v>
      </c>
      <c r="BV19" s="16">
        <v>0.77879898597759001</v>
      </c>
      <c r="BW19" s="16">
        <v>1.1736522553009743</v>
      </c>
      <c r="BX19" s="16">
        <v>0.87968890663910237</v>
      </c>
      <c r="BY19" s="16">
        <v>0.88663873685268824</v>
      </c>
      <c r="BZ19" s="16">
        <v>1.0028105661932067</v>
      </c>
      <c r="CA19" s="16">
        <v>0.92215720307389759</v>
      </c>
      <c r="CB19" s="16">
        <v>0.90097196848536742</v>
      </c>
      <c r="CC19" s="16">
        <v>0.97787625156706304</v>
      </c>
      <c r="CD19" s="16">
        <v>1.0504822404572407</v>
      </c>
      <c r="CE19" s="16">
        <v>0.87718551916478171</v>
      </c>
      <c r="CF19" s="16">
        <f t="shared" si="0"/>
        <v>0.78106928316105029</v>
      </c>
      <c r="CG19" s="16">
        <f t="shared" si="0"/>
        <v>0.92215720307389759</v>
      </c>
      <c r="CH19" s="30"/>
      <c r="CI19" s="30"/>
      <c r="CJ19" s="30"/>
      <c r="CK19" s="30"/>
      <c r="CL19" s="30">
        <v>2000</v>
      </c>
      <c r="CM19" s="30"/>
      <c r="CN19" s="30"/>
      <c r="CO19" s="30">
        <v>1000</v>
      </c>
      <c r="CP19" s="30"/>
      <c r="CQ19" s="30"/>
      <c r="CR19" s="30"/>
      <c r="CS19" s="30">
        <v>4000</v>
      </c>
      <c r="CT19" s="30"/>
      <c r="CU19" s="30">
        <v>4000</v>
      </c>
      <c r="CV19" s="30"/>
      <c r="CW19" s="30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>
        <v>4816.2491499999996</v>
      </c>
      <c r="DO19" s="35">
        <v>3283.8980000000001</v>
      </c>
      <c r="DP19" s="35">
        <v>0</v>
      </c>
      <c r="DQ19" s="35">
        <v>0</v>
      </c>
      <c r="DR19" s="35">
        <v>255.761</v>
      </c>
    </row>
    <row r="20" spans="1:122" ht="25.5">
      <c r="A20" s="14">
        <f t="shared" si="1"/>
        <v>16</v>
      </c>
      <c r="B20" s="18" t="s">
        <v>125</v>
      </c>
      <c r="C20" s="18" t="s">
        <v>12</v>
      </c>
      <c r="D20" s="17" t="s">
        <v>9</v>
      </c>
      <c r="E20" s="18" t="s">
        <v>227</v>
      </c>
      <c r="F20" s="15">
        <v>58197.638000000006</v>
      </c>
      <c r="G20" s="15">
        <v>44941.808699999994</v>
      </c>
      <c r="H20" s="15">
        <v>46638.157150000006</v>
      </c>
      <c r="I20" s="15">
        <v>53851.840550000008</v>
      </c>
      <c r="J20" s="15">
        <v>46571.853349999998</v>
      </c>
      <c r="K20" s="15">
        <v>45080.368300000002</v>
      </c>
      <c r="L20" s="15">
        <v>50370.107099999994</v>
      </c>
      <c r="M20" s="15">
        <v>47828.341699999997</v>
      </c>
      <c r="N20" s="15">
        <v>50835.308100000002</v>
      </c>
      <c r="O20" s="15">
        <v>59317.489399999999</v>
      </c>
      <c r="P20" s="15">
        <v>39561.976649999997</v>
      </c>
      <c r="Q20" s="15">
        <v>47184.124199999991</v>
      </c>
      <c r="R20" s="15">
        <v>43959.272150000004</v>
      </c>
      <c r="S20" s="15">
        <v>43834.589950000009</v>
      </c>
      <c r="T20" s="15">
        <v>47693.845900000008</v>
      </c>
      <c r="U20" s="15">
        <v>59317.489399999999</v>
      </c>
      <c r="V20" s="15">
        <v>115.4602</v>
      </c>
      <c r="W20" s="15">
        <v>15294.424199999999</v>
      </c>
      <c r="X20" s="15">
        <v>4.04</v>
      </c>
      <c r="Y20" s="15">
        <v>4092.7100999999998</v>
      </c>
      <c r="Z20" s="15">
        <v>300.04930000000002</v>
      </c>
      <c r="AA20" s="15">
        <v>410.85750000000002</v>
      </c>
      <c r="AB20" s="15">
        <v>18.8</v>
      </c>
      <c r="AC20" s="15">
        <v>394.76560000000001</v>
      </c>
      <c r="AD20" s="15">
        <v>114.1015</v>
      </c>
      <c r="AE20" s="15">
        <v>165.8503</v>
      </c>
      <c r="AF20" s="15">
        <v>530.61024999999995</v>
      </c>
      <c r="AG20" s="15">
        <v>0</v>
      </c>
      <c r="AH20" s="15">
        <v>3025.7471</v>
      </c>
      <c r="AI20" s="15">
        <v>10272.73545</v>
      </c>
      <c r="AJ20" s="15">
        <v>4821.8251499999997</v>
      </c>
      <c r="AK20" s="15">
        <v>15713.9737</v>
      </c>
      <c r="AL20" s="15">
        <v>1256.2914000000001</v>
      </c>
      <c r="AM20" s="15">
        <v>22591.711549999993</v>
      </c>
      <c r="AN20" s="15">
        <v>45208.379000000001</v>
      </c>
      <c r="AO20" s="15">
        <v>49461.8554</v>
      </c>
      <c r="AP20" s="15">
        <v>48582.876149999996</v>
      </c>
      <c r="AQ20" s="15">
        <v>64469.770150000004</v>
      </c>
      <c r="AR20" s="15">
        <v>58138.413</v>
      </c>
      <c r="AS20" s="15">
        <v>58464.82944999999</v>
      </c>
      <c r="AT20" s="15">
        <v>63807.473450000012</v>
      </c>
      <c r="AU20" s="15">
        <v>60939.056450000004</v>
      </c>
      <c r="AV20" s="15">
        <v>60911.900800000003</v>
      </c>
      <c r="AW20" s="15">
        <v>60892.964599999992</v>
      </c>
      <c r="AX20" s="15">
        <v>49419.610650000002</v>
      </c>
      <c r="AY20" s="15">
        <v>64605.241550000006</v>
      </c>
      <c r="AZ20" s="15">
        <v>61836.153650000007</v>
      </c>
      <c r="BA20" s="15">
        <v>57935.986999999994</v>
      </c>
      <c r="BB20" s="15">
        <v>61105.425900000002</v>
      </c>
      <c r="BC20" s="15">
        <v>60892.964599999992</v>
      </c>
      <c r="BD20" s="15">
        <v>0</v>
      </c>
      <c r="BE20" s="15">
        <v>0</v>
      </c>
      <c r="BF20" s="15">
        <v>0</v>
      </c>
      <c r="BG20" s="15">
        <v>450</v>
      </c>
      <c r="BH20" s="15">
        <v>0</v>
      </c>
      <c r="BI20" s="15">
        <v>182.0367</v>
      </c>
      <c r="BJ20" s="15">
        <v>26088.527999999998</v>
      </c>
      <c r="BK20" s="15">
        <v>8897.4063499999993</v>
      </c>
      <c r="BL20" s="15">
        <v>11550.595300000001</v>
      </c>
      <c r="BM20" s="15">
        <v>1018.7492999999999</v>
      </c>
      <c r="BN20" s="15">
        <v>0</v>
      </c>
      <c r="BO20" s="15">
        <v>2.8</v>
      </c>
      <c r="BP20" s="15">
        <v>951.68499999999995</v>
      </c>
      <c r="BQ20" s="15">
        <v>277.81000000000188</v>
      </c>
      <c r="BR20" s="16">
        <v>1.2873197245139005</v>
      </c>
      <c r="BS20" s="16">
        <v>0.90861550454494255</v>
      </c>
      <c r="BT20" s="16">
        <v>0.95997110187557333</v>
      </c>
      <c r="BU20" s="16">
        <v>0.8353037466196086</v>
      </c>
      <c r="BV20" s="16">
        <v>0.80105133502698112</v>
      </c>
      <c r="BW20" s="16">
        <v>0.77106815711407173</v>
      </c>
      <c r="BX20" s="16">
        <v>0.78940764108878825</v>
      </c>
      <c r="BY20" s="16">
        <v>0.78485530440141882</v>
      </c>
      <c r="BZ20" s="16">
        <v>0.83457103509073216</v>
      </c>
      <c r="CA20" s="16">
        <v>0.97412713914736881</v>
      </c>
      <c r="CB20" s="16">
        <v>0.80053193721387594</v>
      </c>
      <c r="CC20" s="16">
        <v>0.7303451402388571</v>
      </c>
      <c r="CD20" s="16">
        <v>0.71089919982434091</v>
      </c>
      <c r="CE20" s="16">
        <v>0.75660383502226369</v>
      </c>
      <c r="CF20" s="16">
        <f t="shared" si="0"/>
        <v>0.78051736318885567</v>
      </c>
      <c r="CG20" s="16">
        <f t="shared" si="0"/>
        <v>0.97412713914736881</v>
      </c>
      <c r="CH20" s="30"/>
      <c r="CI20" s="30"/>
      <c r="CJ20" s="30"/>
      <c r="CK20" s="30"/>
      <c r="CL20" s="30"/>
      <c r="CM20" s="30">
        <v>4000</v>
      </c>
      <c r="CN20" s="30">
        <v>5000</v>
      </c>
      <c r="CO20" s="30"/>
      <c r="CP20" s="30">
        <v>5000</v>
      </c>
      <c r="CQ20" s="30">
        <v>21000</v>
      </c>
      <c r="CR20" s="30"/>
      <c r="CS20" s="30">
        <v>7000</v>
      </c>
      <c r="CT20" s="30"/>
      <c r="CU20" s="30"/>
      <c r="CV20" s="30">
        <v>7500</v>
      </c>
      <c r="CW20" s="30">
        <v>21000</v>
      </c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>
        <v>10433.9737</v>
      </c>
      <c r="DO20" s="35">
        <v>4905.6379999999999</v>
      </c>
      <c r="DP20" s="35">
        <v>150.19999999999999</v>
      </c>
      <c r="DQ20" s="35">
        <v>0</v>
      </c>
      <c r="DR20" s="35">
        <v>792.10699999999997</v>
      </c>
    </row>
    <row r="21" spans="1:122" ht="25.5">
      <c r="A21" s="14">
        <f t="shared" si="1"/>
        <v>17</v>
      </c>
      <c r="B21" s="18" t="s">
        <v>126</v>
      </c>
      <c r="C21" s="18" t="s">
        <v>12</v>
      </c>
      <c r="D21" s="17" t="s">
        <v>16</v>
      </c>
      <c r="E21" s="18" t="s">
        <v>231</v>
      </c>
      <c r="F21" s="15">
        <v>3950.9577499999996</v>
      </c>
      <c r="G21" s="15">
        <v>2832.9369500000003</v>
      </c>
      <c r="H21" s="15">
        <v>3172.9493500000003</v>
      </c>
      <c r="I21" s="15">
        <v>4286.2664999999997</v>
      </c>
      <c r="J21" s="15">
        <v>4859.8955500000002</v>
      </c>
      <c r="K21" s="15">
        <v>4074.6920999999998</v>
      </c>
      <c r="L21" s="15">
        <v>4104.5535500000005</v>
      </c>
      <c r="M21" s="15">
        <v>3487.8836000000006</v>
      </c>
      <c r="N21" s="15">
        <v>4842.0996499999992</v>
      </c>
      <c r="O21" s="15">
        <v>3849.13985</v>
      </c>
      <c r="P21" s="15">
        <v>3547.4788999999996</v>
      </c>
      <c r="Q21" s="15">
        <v>4499.5493500000002</v>
      </c>
      <c r="R21" s="15">
        <v>3473.9357999999997</v>
      </c>
      <c r="S21" s="15">
        <v>2520.5103000000004</v>
      </c>
      <c r="T21" s="15">
        <v>3139.2474000000002</v>
      </c>
      <c r="U21" s="15">
        <v>3849.13985</v>
      </c>
      <c r="V21" s="15">
        <v>12.14</v>
      </c>
      <c r="W21" s="15">
        <v>785.38610000000006</v>
      </c>
      <c r="X21" s="15">
        <v>0</v>
      </c>
      <c r="Y21" s="15">
        <v>527.27470000000005</v>
      </c>
      <c r="Z21" s="15">
        <v>0</v>
      </c>
      <c r="AA21" s="15">
        <v>10.5436</v>
      </c>
      <c r="AB21" s="15">
        <v>6.8</v>
      </c>
      <c r="AC21" s="15">
        <v>27.85</v>
      </c>
      <c r="AD21" s="15">
        <v>56.968000000000004</v>
      </c>
      <c r="AE21" s="15">
        <v>56.168999999999997</v>
      </c>
      <c r="AF21" s="15">
        <v>69.515600000000006</v>
      </c>
      <c r="AG21" s="15">
        <v>24.062999999999999</v>
      </c>
      <c r="AH21" s="15">
        <v>1248.97785</v>
      </c>
      <c r="AI21" s="15">
        <v>14.8</v>
      </c>
      <c r="AJ21" s="15">
        <v>706.99104999999963</v>
      </c>
      <c r="AK21" s="15">
        <v>797.52610000000004</v>
      </c>
      <c r="AL21" s="15">
        <v>309.82069999999999</v>
      </c>
      <c r="AM21" s="15">
        <v>2440.1320999999998</v>
      </c>
      <c r="AN21" s="15">
        <v>1668.5199500000001</v>
      </c>
      <c r="AO21" s="15">
        <v>1966.1440499999999</v>
      </c>
      <c r="AP21" s="15">
        <v>2155.3395</v>
      </c>
      <c r="AQ21" s="15">
        <v>4710.8363000000008</v>
      </c>
      <c r="AR21" s="15">
        <v>2928.1233000000002</v>
      </c>
      <c r="AS21" s="15">
        <v>2053.0347499999998</v>
      </c>
      <c r="AT21" s="15">
        <v>2118.3775000000001</v>
      </c>
      <c r="AU21" s="15">
        <v>2308.2262499999997</v>
      </c>
      <c r="AV21" s="15">
        <v>3267.2205999999996</v>
      </c>
      <c r="AW21" s="15">
        <v>2366.1841000000004</v>
      </c>
      <c r="AX21" s="15">
        <v>2384.7651500000002</v>
      </c>
      <c r="AY21" s="15">
        <v>3347.9310999999998</v>
      </c>
      <c r="AZ21" s="15">
        <v>2216.1546499999999</v>
      </c>
      <c r="BA21" s="15">
        <v>2231.2490500000004</v>
      </c>
      <c r="BB21" s="15">
        <v>2089.3261000000002</v>
      </c>
      <c r="BC21" s="15">
        <v>2366.1841000000004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5</v>
      </c>
      <c r="BJ21" s="15">
        <v>614.63199999999995</v>
      </c>
      <c r="BK21" s="15">
        <v>0</v>
      </c>
      <c r="BL21" s="15">
        <v>1358.3534999999999</v>
      </c>
      <c r="BM21" s="15">
        <v>121.67965</v>
      </c>
      <c r="BN21" s="15">
        <v>0</v>
      </c>
      <c r="BO21" s="15">
        <v>0</v>
      </c>
      <c r="BP21" s="15">
        <v>95.1</v>
      </c>
      <c r="BQ21" s="15">
        <v>190.00000000000034</v>
      </c>
      <c r="BR21" s="16">
        <v>2.3679415700123929</v>
      </c>
      <c r="BS21" s="16">
        <v>1.4408593052986125</v>
      </c>
      <c r="BT21" s="16">
        <v>1.4721343667668134</v>
      </c>
      <c r="BU21" s="16">
        <v>0.9098737945956642</v>
      </c>
      <c r="BV21" s="16">
        <v>1.6597305004198422</v>
      </c>
      <c r="BW21" s="16">
        <v>1.9847165762781172</v>
      </c>
      <c r="BX21" s="16">
        <v>1.9375930635592573</v>
      </c>
      <c r="BY21" s="16">
        <v>1.5110666036312519</v>
      </c>
      <c r="BZ21" s="16">
        <v>1.4820240941184075</v>
      </c>
      <c r="CA21" s="16">
        <v>1.6267288120142467</v>
      </c>
      <c r="CB21" s="16">
        <v>1.4875590160314107</v>
      </c>
      <c r="CC21" s="16">
        <v>1.3439790771082476</v>
      </c>
      <c r="CD21" s="16">
        <v>1.5675511634533266</v>
      </c>
      <c r="CE21" s="16">
        <v>1.1296409515558112</v>
      </c>
      <c r="CF21" s="16">
        <f t="shared" si="0"/>
        <v>1.5025167205827754</v>
      </c>
      <c r="CG21" s="16">
        <f t="shared" si="0"/>
        <v>1.6267288120142467</v>
      </c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>
        <v>0</v>
      </c>
      <c r="DO21" s="35">
        <v>0</v>
      </c>
      <c r="DP21" s="35">
        <v>0</v>
      </c>
      <c r="DQ21" s="35">
        <v>0</v>
      </c>
      <c r="DR21" s="35">
        <v>0</v>
      </c>
    </row>
    <row r="22" spans="1:122" ht="25.5">
      <c r="A22" s="14">
        <f t="shared" si="1"/>
        <v>18</v>
      </c>
      <c r="B22" s="14" t="s">
        <v>127</v>
      </c>
      <c r="C22" s="14" t="s">
        <v>12</v>
      </c>
      <c r="D22" s="17" t="s">
        <v>10</v>
      </c>
      <c r="E22" s="14" t="s">
        <v>236</v>
      </c>
      <c r="F22" s="15">
        <v>89688.23295000002</v>
      </c>
      <c r="G22" s="15">
        <v>73850.01069999997</v>
      </c>
      <c r="H22" s="15">
        <v>71391.37735000001</v>
      </c>
      <c r="I22" s="15">
        <v>89538.772550000038</v>
      </c>
      <c r="J22" s="15">
        <v>90222.68955000001</v>
      </c>
      <c r="K22" s="15">
        <v>99015.870200000005</v>
      </c>
      <c r="L22" s="15">
        <v>107231.13364999997</v>
      </c>
      <c r="M22" s="15">
        <v>93908.331149999984</v>
      </c>
      <c r="N22" s="15">
        <v>103603.58265</v>
      </c>
      <c r="O22" s="15">
        <v>91786.17445000002</v>
      </c>
      <c r="P22" s="15">
        <v>85111.884399999995</v>
      </c>
      <c r="Q22" s="15">
        <v>93589.367199999993</v>
      </c>
      <c r="R22" s="15">
        <v>105530.34835</v>
      </c>
      <c r="S22" s="15">
        <v>86823.246299999999</v>
      </c>
      <c r="T22" s="15">
        <v>98708.726149999988</v>
      </c>
      <c r="U22" s="15">
        <v>91786.17445000002</v>
      </c>
      <c r="V22" s="15">
        <v>439.95929999999998</v>
      </c>
      <c r="W22" s="15">
        <v>33736.0193</v>
      </c>
      <c r="X22" s="15">
        <v>8604.0239000000001</v>
      </c>
      <c r="Y22" s="15">
        <v>6873.7116999999998</v>
      </c>
      <c r="Z22" s="15">
        <v>576.79190000000006</v>
      </c>
      <c r="AA22" s="15">
        <v>1598.6179999999999</v>
      </c>
      <c r="AB22" s="15">
        <v>84.55</v>
      </c>
      <c r="AC22" s="15">
        <v>1485.7501999999999</v>
      </c>
      <c r="AD22" s="15">
        <v>126.88149999999999</v>
      </c>
      <c r="AE22" s="15">
        <v>1739.5818000000002</v>
      </c>
      <c r="AF22" s="15">
        <v>112.18495</v>
      </c>
      <c r="AG22" s="15">
        <v>0</v>
      </c>
      <c r="AH22" s="15">
        <v>3492.0520999999999</v>
      </c>
      <c r="AI22" s="15">
        <v>11015.7045</v>
      </c>
      <c r="AJ22" s="15">
        <v>15226.055249999992</v>
      </c>
      <c r="AK22" s="15">
        <v>43356.794399999999</v>
      </c>
      <c r="AL22" s="15">
        <v>5146.7569000000003</v>
      </c>
      <c r="AM22" s="15">
        <v>36608.333099999996</v>
      </c>
      <c r="AN22" s="15">
        <v>58757.935149999998</v>
      </c>
      <c r="AO22" s="15">
        <v>59135.075700000001</v>
      </c>
      <c r="AP22" s="15">
        <v>60921.53645</v>
      </c>
      <c r="AQ22" s="15">
        <v>72320.622349999991</v>
      </c>
      <c r="AR22" s="15">
        <v>76608.7739</v>
      </c>
      <c r="AS22" s="15">
        <v>66782.979700000011</v>
      </c>
      <c r="AT22" s="15">
        <v>75248.439799999993</v>
      </c>
      <c r="AU22" s="15">
        <v>76387.104049999994</v>
      </c>
      <c r="AV22" s="15">
        <v>80976.447799999994</v>
      </c>
      <c r="AW22" s="15">
        <v>75559.817050000012</v>
      </c>
      <c r="AX22" s="15">
        <v>71349.840949999998</v>
      </c>
      <c r="AY22" s="15">
        <v>85030.137849999999</v>
      </c>
      <c r="AZ22" s="15">
        <v>77743.688849800004</v>
      </c>
      <c r="BA22" s="15">
        <v>81399.43214959999</v>
      </c>
      <c r="BB22" s="15">
        <v>84952.501600000018</v>
      </c>
      <c r="BC22" s="15">
        <v>75559.817050000012</v>
      </c>
      <c r="BD22" s="15">
        <v>0</v>
      </c>
      <c r="BE22" s="15">
        <v>0</v>
      </c>
      <c r="BF22" s="15">
        <v>0</v>
      </c>
      <c r="BG22" s="15">
        <v>0</v>
      </c>
      <c r="BH22" s="15">
        <v>90.7</v>
      </c>
      <c r="BI22" s="15">
        <v>1614.2564</v>
      </c>
      <c r="BJ22" s="15">
        <v>32642.83065</v>
      </c>
      <c r="BK22" s="15">
        <v>8421.6361500000003</v>
      </c>
      <c r="BL22" s="15">
        <v>19713.155750000002</v>
      </c>
      <c r="BM22" s="15">
        <v>1059.6949999999999</v>
      </c>
      <c r="BN22" s="15">
        <v>0</v>
      </c>
      <c r="BO22" s="15">
        <v>0</v>
      </c>
      <c r="BP22" s="15">
        <v>3824.5349999999999</v>
      </c>
      <c r="BQ22" s="15">
        <v>3983.0319999999838</v>
      </c>
      <c r="BR22" s="16">
        <v>1.5264020548210164</v>
      </c>
      <c r="BS22" s="16">
        <v>1.2488359882153659</v>
      </c>
      <c r="BT22" s="16">
        <v>1.1718577946338058</v>
      </c>
      <c r="BU22" s="16">
        <v>1.2380807802879761</v>
      </c>
      <c r="BV22" s="16">
        <v>1.1777070034794019</v>
      </c>
      <c r="BW22" s="16">
        <v>1.4826512779872263</v>
      </c>
      <c r="BX22" s="16">
        <v>1.4250279997167461</v>
      </c>
      <c r="BY22" s="16">
        <v>1.2293741504918327</v>
      </c>
      <c r="BZ22" s="16">
        <v>1.2794285926926028</v>
      </c>
      <c r="CA22" s="16">
        <v>1.2147485003737182</v>
      </c>
      <c r="CB22" s="16">
        <v>1.1928812071164119</v>
      </c>
      <c r="CC22" s="16">
        <v>1.1006611251777476</v>
      </c>
      <c r="CD22" s="16">
        <v>1.3574137002153774</v>
      </c>
      <c r="CE22" s="16">
        <v>1.0666320882980098</v>
      </c>
      <c r="CF22" s="16">
        <f t="shared" si="0"/>
        <v>1.1619284222467201</v>
      </c>
      <c r="CG22" s="16">
        <f t="shared" si="0"/>
        <v>1.2147485003737182</v>
      </c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>
        <v>15052.792649999999</v>
      </c>
      <c r="DO22" s="35">
        <v>10844.378700200001</v>
      </c>
      <c r="DP22" s="35">
        <v>2000</v>
      </c>
      <c r="DQ22" s="35">
        <v>0</v>
      </c>
      <c r="DR22" s="35">
        <v>627.49400000000003</v>
      </c>
    </row>
    <row r="23" spans="1:122" ht="25.5">
      <c r="A23" s="14">
        <f t="shared" si="1"/>
        <v>19</v>
      </c>
      <c r="B23" s="14" t="s">
        <v>97</v>
      </c>
      <c r="C23" s="14" t="s">
        <v>17</v>
      </c>
      <c r="D23" s="17" t="s">
        <v>2</v>
      </c>
      <c r="E23" s="14" t="s">
        <v>217</v>
      </c>
      <c r="F23" s="15"/>
      <c r="G23" s="15"/>
      <c r="H23" s="15"/>
      <c r="I23" s="15"/>
      <c r="J23" s="15"/>
      <c r="K23" s="15"/>
      <c r="L23" s="15"/>
      <c r="M23" s="15"/>
      <c r="N23" s="15"/>
      <c r="O23" s="15">
        <v>0.05</v>
      </c>
      <c r="P23" s="15">
        <v>90</v>
      </c>
      <c r="Q23" s="15">
        <v>0</v>
      </c>
      <c r="R23" s="15">
        <v>30</v>
      </c>
      <c r="S23" s="15">
        <v>0</v>
      </c>
      <c r="T23" s="15">
        <v>72.84</v>
      </c>
      <c r="U23" s="15">
        <v>0.05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90</v>
      </c>
      <c r="AJ23" s="15">
        <v>0</v>
      </c>
      <c r="AK23" s="15">
        <v>0</v>
      </c>
      <c r="AL23" s="15">
        <v>0</v>
      </c>
      <c r="AM23" s="15">
        <v>90</v>
      </c>
      <c r="AN23" s="15"/>
      <c r="AO23" s="15"/>
      <c r="AP23" s="15"/>
      <c r="AQ23" s="15"/>
      <c r="AR23" s="15"/>
      <c r="AS23" s="15"/>
      <c r="AT23" s="15"/>
      <c r="AU23" s="15"/>
      <c r="AV23" s="15"/>
      <c r="AW23" s="15">
        <v>0</v>
      </c>
      <c r="AX23" s="15">
        <v>530</v>
      </c>
      <c r="AY23" s="15">
        <v>11.553000000000001</v>
      </c>
      <c r="AZ23" s="15">
        <v>1.4330000000000001</v>
      </c>
      <c r="BA23" s="15">
        <v>1.4950000000000001</v>
      </c>
      <c r="BB23" s="15">
        <v>11.772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530</v>
      </c>
      <c r="BQ23" s="15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0.16981132075471697</v>
      </c>
      <c r="CC23" s="16">
        <v>0</v>
      </c>
      <c r="CD23" s="16">
        <v>20.935101186322399</v>
      </c>
      <c r="CE23" s="16">
        <v>0</v>
      </c>
      <c r="CF23" s="16">
        <f t="shared" si="0"/>
        <v>6.1875637104994903</v>
      </c>
      <c r="CG23" s="16" t="e">
        <f t="shared" si="0"/>
        <v>#DIV/0!</v>
      </c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>
        <v>0</v>
      </c>
      <c r="DO23" s="35">
        <v>0</v>
      </c>
      <c r="DP23" s="35">
        <v>0</v>
      </c>
      <c r="DQ23" s="35">
        <v>0</v>
      </c>
      <c r="DR23" s="35">
        <v>0</v>
      </c>
    </row>
    <row r="24" spans="1:122" ht="25.5">
      <c r="A24" s="14">
        <f t="shared" si="1"/>
        <v>20</v>
      </c>
      <c r="B24" s="14" t="s">
        <v>98</v>
      </c>
      <c r="C24" s="14" t="s">
        <v>17</v>
      </c>
      <c r="D24" s="17" t="s">
        <v>18</v>
      </c>
      <c r="E24" s="14" t="s">
        <v>218</v>
      </c>
      <c r="F24" s="15">
        <v>24023.069230000001</v>
      </c>
      <c r="G24" s="15">
        <v>21021.553948890003</v>
      </c>
      <c r="H24" s="15">
        <v>20247.542915440001</v>
      </c>
      <c r="I24" s="15">
        <v>26217.657435980003</v>
      </c>
      <c r="J24" s="15">
        <v>22955.431885999998</v>
      </c>
      <c r="K24" s="15">
        <v>23462.624</v>
      </c>
      <c r="L24" s="15">
        <v>24203.320839109998</v>
      </c>
      <c r="M24" s="15">
        <v>23405.557149999997</v>
      </c>
      <c r="N24" s="15">
        <v>25597.826700000001</v>
      </c>
      <c r="O24" s="15">
        <v>28086.478311479998</v>
      </c>
      <c r="P24" s="15">
        <v>21926.485921980002</v>
      </c>
      <c r="Q24" s="15">
        <v>32568.330411659997</v>
      </c>
      <c r="R24" s="15">
        <v>28969.386420000006</v>
      </c>
      <c r="S24" s="15">
        <v>28024.771946000004</v>
      </c>
      <c r="T24" s="15">
        <v>19692.064875359996</v>
      </c>
      <c r="U24" s="15">
        <v>28086.478311479998</v>
      </c>
      <c r="V24" s="15">
        <v>172.494891</v>
      </c>
      <c r="W24" s="15">
        <v>2902.0470500000001</v>
      </c>
      <c r="X24" s="15">
        <v>81.05</v>
      </c>
      <c r="Y24" s="15">
        <v>1785.8706500000001</v>
      </c>
      <c r="Z24" s="15">
        <v>123.21899999999999</v>
      </c>
      <c r="AA24" s="15">
        <v>73.59</v>
      </c>
      <c r="AB24" s="15">
        <v>0</v>
      </c>
      <c r="AC24" s="15">
        <v>405.22120000000001</v>
      </c>
      <c r="AD24" s="15">
        <v>12.901999999999999</v>
      </c>
      <c r="AE24" s="15">
        <v>328.01099999999997</v>
      </c>
      <c r="AF24" s="15">
        <v>467.64359999999999</v>
      </c>
      <c r="AG24" s="15">
        <v>494.85500000000002</v>
      </c>
      <c r="AH24" s="15">
        <v>2533.95283475</v>
      </c>
      <c r="AI24" s="15">
        <v>5693.6768199999997</v>
      </c>
      <c r="AJ24" s="15">
        <v>6851.9518762300022</v>
      </c>
      <c r="AK24" s="15">
        <v>3278.8109410000002</v>
      </c>
      <c r="AL24" s="15">
        <v>1490.0000500000001</v>
      </c>
      <c r="AM24" s="15">
        <v>17157.674930980003</v>
      </c>
      <c r="AN24" s="15">
        <v>33131.383553259999</v>
      </c>
      <c r="AO24" s="15">
        <v>24635.66687999</v>
      </c>
      <c r="AP24" s="15">
        <v>28632.25506544</v>
      </c>
      <c r="AQ24" s="15">
        <v>38041.805946870001</v>
      </c>
      <c r="AR24" s="15">
        <v>30748.970914210004</v>
      </c>
      <c r="AS24" s="15">
        <v>29878.843409900001</v>
      </c>
      <c r="AT24" s="15">
        <v>33387.567639109999</v>
      </c>
      <c r="AU24" s="15">
        <v>32096.57645</v>
      </c>
      <c r="AV24" s="15">
        <v>42322.969950000006</v>
      </c>
      <c r="AW24" s="15">
        <v>46977.727011480005</v>
      </c>
      <c r="AX24" s="15">
        <v>27632.005745750001</v>
      </c>
      <c r="AY24" s="15">
        <v>44268.723261660001</v>
      </c>
      <c r="AZ24" s="15">
        <v>36647.172769999997</v>
      </c>
      <c r="BA24" s="15">
        <v>30617.576896000002</v>
      </c>
      <c r="BB24" s="15">
        <v>30884.015225359999</v>
      </c>
      <c r="BC24" s="15">
        <v>46977.727011480005</v>
      </c>
      <c r="BD24" s="15">
        <v>0</v>
      </c>
      <c r="BE24" s="15">
        <v>30.315999999999999</v>
      </c>
      <c r="BF24" s="15">
        <v>0</v>
      </c>
      <c r="BG24" s="15">
        <v>0</v>
      </c>
      <c r="BH24" s="15">
        <v>0</v>
      </c>
      <c r="BI24" s="15">
        <v>1341.1751999999999</v>
      </c>
      <c r="BJ24" s="15">
        <v>12899.5308</v>
      </c>
      <c r="BK24" s="15">
        <v>4815.2560000000003</v>
      </c>
      <c r="BL24" s="15">
        <v>4344.3676999999998</v>
      </c>
      <c r="BM24" s="15">
        <v>735.47415475000003</v>
      </c>
      <c r="BN24" s="15">
        <v>1287.4048909999999</v>
      </c>
      <c r="BO24" s="15">
        <v>4.3</v>
      </c>
      <c r="BP24" s="15">
        <v>2150.931</v>
      </c>
      <c r="BQ24" s="15">
        <v>23.250000000000487</v>
      </c>
      <c r="BR24" s="16">
        <v>0.72508499958602624</v>
      </c>
      <c r="BS24" s="16">
        <v>0.85329754015973025</v>
      </c>
      <c r="BT24" s="16">
        <v>0.70715851298347088</v>
      </c>
      <c r="BU24" s="16">
        <v>0.68918014756176782</v>
      </c>
      <c r="BV24" s="16">
        <v>0.74654309407771491</v>
      </c>
      <c r="BW24" s="16">
        <v>0.78525877585428683</v>
      </c>
      <c r="BX24" s="16">
        <v>0.72492015892641337</v>
      </c>
      <c r="BY24" s="16">
        <v>0.72922285610308435</v>
      </c>
      <c r="BZ24" s="16">
        <v>0.60482113448656971</v>
      </c>
      <c r="CA24" s="16">
        <v>0.59786797059415986</v>
      </c>
      <c r="CB24" s="16">
        <v>0.79351770999658433</v>
      </c>
      <c r="CC24" s="16">
        <v>0.73569617581148061</v>
      </c>
      <c r="CD24" s="16">
        <v>0.79049444282683767</v>
      </c>
      <c r="CE24" s="16">
        <v>0.91531645502819881</v>
      </c>
      <c r="CF24" s="16">
        <f t="shared" si="0"/>
        <v>0.63761349460772565</v>
      </c>
      <c r="CG24" s="16">
        <f t="shared" si="0"/>
        <v>0.59786797059415986</v>
      </c>
      <c r="CH24" s="30">
        <v>1000</v>
      </c>
      <c r="CI24" s="30">
        <v>1500</v>
      </c>
      <c r="CJ24" s="30">
        <v>5000</v>
      </c>
      <c r="CK24" s="30">
        <v>1500</v>
      </c>
      <c r="CL24" s="30">
        <v>4000</v>
      </c>
      <c r="CM24" s="30">
        <v>1000</v>
      </c>
      <c r="CN24" s="30">
        <v>1500</v>
      </c>
      <c r="CO24" s="30">
        <v>7000</v>
      </c>
      <c r="CP24" s="30">
        <v>13000</v>
      </c>
      <c r="CQ24" s="30">
        <v>2000</v>
      </c>
      <c r="CR24" s="30">
        <v>2000</v>
      </c>
      <c r="CS24" s="30">
        <v>11000</v>
      </c>
      <c r="CT24" s="30">
        <v>3000</v>
      </c>
      <c r="CU24" s="30"/>
      <c r="CV24" s="30">
        <v>9000</v>
      </c>
      <c r="CW24" s="30">
        <v>2000</v>
      </c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>
        <v>3385.3285500000002</v>
      </c>
      <c r="DO24" s="35">
        <v>1707.58407723</v>
      </c>
      <c r="DP24" s="35">
        <v>0</v>
      </c>
      <c r="DQ24" s="35">
        <v>0</v>
      </c>
      <c r="DR24" s="35">
        <v>922</v>
      </c>
    </row>
    <row r="25" spans="1:122" ht="25.5">
      <c r="A25" s="14">
        <f t="shared" si="1"/>
        <v>21</v>
      </c>
      <c r="B25" s="14" t="s">
        <v>99</v>
      </c>
      <c r="C25" s="14" t="s">
        <v>17</v>
      </c>
      <c r="D25" s="17" t="s">
        <v>19</v>
      </c>
      <c r="E25" s="14" t="s">
        <v>220</v>
      </c>
      <c r="F25" s="15">
        <v>20676.537835000003</v>
      </c>
      <c r="G25" s="15">
        <v>15406.611149999997</v>
      </c>
      <c r="H25" s="15">
        <v>16599.532200000001</v>
      </c>
      <c r="I25" s="15">
        <v>18162.807575000003</v>
      </c>
      <c r="J25" s="15">
        <v>18339.013599999998</v>
      </c>
      <c r="K25" s="15">
        <v>17922.92678681</v>
      </c>
      <c r="L25" s="15">
        <v>18511.579149999998</v>
      </c>
      <c r="M25" s="15">
        <v>19603.56794655</v>
      </c>
      <c r="N25" s="15">
        <v>17834.66145</v>
      </c>
      <c r="O25" s="15">
        <v>23250.071323</v>
      </c>
      <c r="P25" s="15">
        <v>19315.559904950002</v>
      </c>
      <c r="Q25" s="15">
        <v>21488.241399999999</v>
      </c>
      <c r="R25" s="15">
        <v>15374.151750000003</v>
      </c>
      <c r="S25" s="15">
        <v>17016.870649999997</v>
      </c>
      <c r="T25" s="15">
        <v>15544.060929999998</v>
      </c>
      <c r="U25" s="15">
        <v>23250.071323</v>
      </c>
      <c r="V25" s="15">
        <v>68.957999999999998</v>
      </c>
      <c r="W25" s="15">
        <v>2441.0816</v>
      </c>
      <c r="X25" s="15">
        <v>382.97199999999998</v>
      </c>
      <c r="Y25" s="15">
        <v>1462.5391999999999</v>
      </c>
      <c r="Z25" s="15">
        <v>3.2</v>
      </c>
      <c r="AA25" s="15">
        <v>733.29499999999996</v>
      </c>
      <c r="AB25" s="15">
        <v>0</v>
      </c>
      <c r="AC25" s="15">
        <v>1223.5</v>
      </c>
      <c r="AD25" s="15">
        <v>17.061999999999998</v>
      </c>
      <c r="AE25" s="15">
        <v>182.06</v>
      </c>
      <c r="AF25" s="15">
        <v>1422.0057999999999</v>
      </c>
      <c r="AG25" s="15">
        <v>662.94799999999998</v>
      </c>
      <c r="AH25" s="15">
        <v>2647.4308268200002</v>
      </c>
      <c r="AI25" s="15">
        <v>2545.47435</v>
      </c>
      <c r="AJ25" s="15">
        <v>5523.0331281300032</v>
      </c>
      <c r="AK25" s="15">
        <v>2896.2115999999996</v>
      </c>
      <c r="AL25" s="15">
        <v>1993.386</v>
      </c>
      <c r="AM25" s="15">
        <v>14425.962304950002</v>
      </c>
      <c r="AN25" s="15">
        <v>17013.56639738</v>
      </c>
      <c r="AO25" s="15">
        <v>18120.962800000001</v>
      </c>
      <c r="AP25" s="15">
        <v>17113.689350000001</v>
      </c>
      <c r="AQ25" s="15">
        <v>17259.022700000001</v>
      </c>
      <c r="AR25" s="15">
        <v>20074.529574999997</v>
      </c>
      <c r="AS25" s="15">
        <v>19366.692281810003</v>
      </c>
      <c r="AT25" s="15">
        <v>19798.534299999999</v>
      </c>
      <c r="AU25" s="15">
        <v>26276.108496549998</v>
      </c>
      <c r="AV25" s="15">
        <v>32512.91605</v>
      </c>
      <c r="AW25" s="15">
        <v>39545.874923000003</v>
      </c>
      <c r="AX25" s="15">
        <v>22061.593154949998</v>
      </c>
      <c r="AY25" s="15">
        <v>30576.018599999999</v>
      </c>
      <c r="AZ25" s="15">
        <v>20691.113249999999</v>
      </c>
      <c r="BA25" s="15">
        <v>22821.160499999998</v>
      </c>
      <c r="BB25" s="15">
        <v>23762.348179999997</v>
      </c>
      <c r="BC25" s="15">
        <v>39545.874923000003</v>
      </c>
      <c r="BD25" s="15">
        <v>0</v>
      </c>
      <c r="BE25" s="15">
        <v>783.29899999999998</v>
      </c>
      <c r="BF25" s="15">
        <v>0</v>
      </c>
      <c r="BG25" s="15">
        <v>0</v>
      </c>
      <c r="BH25" s="15">
        <v>0</v>
      </c>
      <c r="BI25" s="15">
        <v>1146.462</v>
      </c>
      <c r="BJ25" s="15">
        <v>9045.1549999999988</v>
      </c>
      <c r="BK25" s="15">
        <v>1400.77025</v>
      </c>
      <c r="BL25" s="15">
        <v>4751.9791500000001</v>
      </c>
      <c r="BM25" s="15">
        <v>202.74175495</v>
      </c>
      <c r="BN25" s="15">
        <v>810.67600000000004</v>
      </c>
      <c r="BO25" s="15">
        <v>0</v>
      </c>
      <c r="BP25" s="15">
        <v>3873.41</v>
      </c>
      <c r="BQ25" s="15">
        <v>47.100000000002638</v>
      </c>
      <c r="BR25" s="16">
        <v>1.2152970959800693</v>
      </c>
      <c r="BS25" s="16">
        <v>0.85020930289642205</v>
      </c>
      <c r="BT25" s="16">
        <v>0.96995638173133025</v>
      </c>
      <c r="BU25" s="16">
        <v>1.0523659358186024</v>
      </c>
      <c r="BV25" s="16">
        <v>0.9135463688692691</v>
      </c>
      <c r="BW25" s="16">
        <v>0.92545110574426548</v>
      </c>
      <c r="BX25" s="16">
        <v>0.93499745332158246</v>
      </c>
      <c r="BY25" s="16">
        <v>0.74606054961007295</v>
      </c>
      <c r="BZ25" s="16">
        <v>0.54854081444349556</v>
      </c>
      <c r="CA25" s="16">
        <v>0.58792658825403021</v>
      </c>
      <c r="CB25" s="16">
        <v>0.8755287874854194</v>
      </c>
      <c r="CC25" s="16">
        <v>0.70278088462439647</v>
      </c>
      <c r="CD25" s="16">
        <v>0.74303163702417041</v>
      </c>
      <c r="CE25" s="16">
        <v>0.74566193292405081</v>
      </c>
      <c r="CF25" s="16">
        <f t="shared" si="0"/>
        <v>0.65414666985996495</v>
      </c>
      <c r="CG25" s="16">
        <f t="shared" si="0"/>
        <v>0.58792658825403021</v>
      </c>
      <c r="CH25" s="30"/>
      <c r="CI25" s="30"/>
      <c r="CJ25" s="30"/>
      <c r="CK25" s="30"/>
      <c r="CL25" s="30">
        <v>600</v>
      </c>
      <c r="CM25" s="30">
        <v>500</v>
      </c>
      <c r="CN25" s="30">
        <v>0</v>
      </c>
      <c r="CO25" s="30">
        <v>6900</v>
      </c>
      <c r="CP25" s="30">
        <v>12100</v>
      </c>
      <c r="CQ25" s="30">
        <v>4500</v>
      </c>
      <c r="CR25" s="30">
        <v>500</v>
      </c>
      <c r="CS25" s="30">
        <v>5300</v>
      </c>
      <c r="CT25" s="30">
        <v>2000</v>
      </c>
      <c r="CU25" s="30">
        <v>2000</v>
      </c>
      <c r="CV25" s="30">
        <v>6500</v>
      </c>
      <c r="CW25" s="30">
        <v>4500</v>
      </c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>
        <v>2151.0038500000001</v>
      </c>
      <c r="DO25" s="35">
        <v>1000.351455</v>
      </c>
      <c r="DP25" s="35">
        <v>0</v>
      </c>
      <c r="DQ25" s="35">
        <v>0</v>
      </c>
      <c r="DR25" s="35">
        <v>101</v>
      </c>
    </row>
    <row r="26" spans="1:122" ht="25.5">
      <c r="A26" s="14">
        <f t="shared" si="1"/>
        <v>22</v>
      </c>
      <c r="B26" s="14" t="s">
        <v>100</v>
      </c>
      <c r="C26" s="14" t="s">
        <v>17</v>
      </c>
      <c r="D26" s="17" t="s">
        <v>20</v>
      </c>
      <c r="E26" s="14" t="s">
        <v>224</v>
      </c>
      <c r="F26" s="15">
        <v>9857.1227500000005</v>
      </c>
      <c r="G26" s="15">
        <v>9018.8840499999988</v>
      </c>
      <c r="H26" s="15">
        <v>8346.1924499999986</v>
      </c>
      <c r="I26" s="15">
        <v>11080.647186149999</v>
      </c>
      <c r="J26" s="15">
        <v>8165.1022999999996</v>
      </c>
      <c r="K26" s="15">
        <v>10689.228529190001</v>
      </c>
      <c r="L26" s="15">
        <v>7871.0343999999996</v>
      </c>
      <c r="M26" s="15">
        <v>12212.363830419999</v>
      </c>
      <c r="N26" s="15">
        <v>13855.852760470001</v>
      </c>
      <c r="O26" s="15">
        <v>10007.2947</v>
      </c>
      <c r="P26" s="15">
        <v>11095.922839690002</v>
      </c>
      <c r="Q26" s="15">
        <v>11139.416486</v>
      </c>
      <c r="R26" s="15">
        <v>10182.52161777</v>
      </c>
      <c r="S26" s="15">
        <v>9867.3048369699991</v>
      </c>
      <c r="T26" s="15">
        <v>10424.82655</v>
      </c>
      <c r="U26" s="15">
        <v>10007.2947</v>
      </c>
      <c r="V26" s="15">
        <v>0</v>
      </c>
      <c r="W26" s="15">
        <v>0</v>
      </c>
      <c r="X26" s="15">
        <v>947.34400000000005</v>
      </c>
      <c r="Y26" s="15">
        <v>829.65084999999999</v>
      </c>
      <c r="Z26" s="15">
        <v>0</v>
      </c>
      <c r="AA26" s="15">
        <v>0</v>
      </c>
      <c r="AB26" s="15">
        <v>0</v>
      </c>
      <c r="AC26" s="15">
        <v>0</v>
      </c>
      <c r="AD26" s="15">
        <v>55.423999999999999</v>
      </c>
      <c r="AE26" s="15">
        <v>48.56</v>
      </c>
      <c r="AF26" s="15">
        <v>847.98905000000002</v>
      </c>
      <c r="AG26" s="15">
        <v>21.324999999999999</v>
      </c>
      <c r="AH26" s="15">
        <v>1437.7043939800001</v>
      </c>
      <c r="AI26" s="15">
        <v>3681.8557999999998</v>
      </c>
      <c r="AJ26" s="15">
        <v>3226.0697457100014</v>
      </c>
      <c r="AK26" s="15">
        <v>947.34400000000005</v>
      </c>
      <c r="AL26" s="15">
        <v>290.05529999999999</v>
      </c>
      <c r="AM26" s="15">
        <v>9858.5235396900025</v>
      </c>
      <c r="AN26" s="15">
        <v>21336.068600000002</v>
      </c>
      <c r="AO26" s="15">
        <v>21783.016299999999</v>
      </c>
      <c r="AP26" s="15">
        <v>19865.0543</v>
      </c>
      <c r="AQ26" s="15">
        <v>27062.49393615</v>
      </c>
      <c r="AR26" s="15">
        <v>25964.981299999999</v>
      </c>
      <c r="AS26" s="15">
        <v>20816.15382919</v>
      </c>
      <c r="AT26" s="15">
        <v>24210.949899999996</v>
      </c>
      <c r="AU26" s="15">
        <v>32320.285369529996</v>
      </c>
      <c r="AV26" s="15">
        <v>34002.645070370003</v>
      </c>
      <c r="AW26" s="15">
        <v>29441.38704455</v>
      </c>
      <c r="AX26" s="15">
        <v>25863.958189690002</v>
      </c>
      <c r="AY26" s="15">
        <v>24718.234385999996</v>
      </c>
      <c r="AZ26" s="15">
        <v>22377.044567770001</v>
      </c>
      <c r="BA26" s="15">
        <v>18987.822943409999</v>
      </c>
      <c r="BB26" s="15">
        <v>24538.236150000001</v>
      </c>
      <c r="BC26" s="15">
        <v>29441.38704455</v>
      </c>
      <c r="BD26" s="15">
        <v>0</v>
      </c>
      <c r="BE26" s="15">
        <v>255.45</v>
      </c>
      <c r="BF26" s="15">
        <v>0</v>
      </c>
      <c r="BG26" s="15">
        <v>0</v>
      </c>
      <c r="BH26" s="15">
        <v>0</v>
      </c>
      <c r="BI26" s="15">
        <v>1085.4930000000002</v>
      </c>
      <c r="BJ26" s="15">
        <v>15359.5141</v>
      </c>
      <c r="BK26" s="15">
        <v>3717.1049509999998</v>
      </c>
      <c r="BL26" s="15">
        <v>3750.8049000000001</v>
      </c>
      <c r="BM26" s="15">
        <v>403.54123869</v>
      </c>
      <c r="BN26" s="15">
        <v>0</v>
      </c>
      <c r="BO26" s="15">
        <v>0</v>
      </c>
      <c r="BP26" s="15">
        <v>1292.05</v>
      </c>
      <c r="BQ26" s="15">
        <v>2.7853275241795927E-12</v>
      </c>
      <c r="BR26" s="16">
        <v>0.46199339413447515</v>
      </c>
      <c r="BS26" s="16">
        <v>0.41403283759191783</v>
      </c>
      <c r="BT26" s="16">
        <v>0.42014445689181923</v>
      </c>
      <c r="BU26" s="16">
        <v>0.40944663903826334</v>
      </c>
      <c r="BV26" s="16">
        <v>0.31446594186455279</v>
      </c>
      <c r="BW26" s="16">
        <v>0.51350641510924788</v>
      </c>
      <c r="BX26" s="16">
        <v>0.32510225466205278</v>
      </c>
      <c r="BY26" s="16">
        <v>0.37785445551582986</v>
      </c>
      <c r="BZ26" s="16">
        <v>0.40749337975897731</v>
      </c>
      <c r="CA26" s="16">
        <v>0.3399056805597237</v>
      </c>
      <c r="CB26" s="16">
        <v>0.42901101054644852</v>
      </c>
      <c r="CC26" s="16">
        <v>0.45065583212970839</v>
      </c>
      <c r="CD26" s="16">
        <v>0.45504318440854524</v>
      </c>
      <c r="CE26" s="16">
        <v>0.51966488556259638</v>
      </c>
      <c r="CF26" s="16">
        <f t="shared" si="0"/>
        <v>0.42484009389566491</v>
      </c>
      <c r="CG26" s="16">
        <f t="shared" si="0"/>
        <v>0.3399056805597237</v>
      </c>
      <c r="CH26" s="30"/>
      <c r="CI26" s="30"/>
      <c r="CJ26" s="30"/>
      <c r="CK26" s="30"/>
      <c r="CL26" s="30"/>
      <c r="CM26" s="30"/>
      <c r="CN26" s="30">
        <v>0</v>
      </c>
      <c r="CO26" s="30"/>
      <c r="CP26" s="30"/>
      <c r="CQ26" s="30">
        <v>3000</v>
      </c>
      <c r="CR26" s="30"/>
      <c r="CS26" s="30">
        <v>0</v>
      </c>
      <c r="CT26" s="30"/>
      <c r="CU26" s="30"/>
      <c r="CV26" s="30">
        <v>0</v>
      </c>
      <c r="CW26" s="30">
        <v>3000</v>
      </c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>
        <v>0</v>
      </c>
      <c r="DO26" s="35">
        <v>1913.96295644</v>
      </c>
      <c r="DP26" s="35">
        <v>2432.5648500000002</v>
      </c>
      <c r="DQ26" s="35">
        <v>0</v>
      </c>
      <c r="DR26" s="35">
        <v>2</v>
      </c>
    </row>
    <row r="27" spans="1:122" ht="25.5">
      <c r="A27" s="14">
        <f t="shared" si="1"/>
        <v>23</v>
      </c>
      <c r="B27" s="14" t="s">
        <v>101</v>
      </c>
      <c r="C27" s="14" t="s">
        <v>17</v>
      </c>
      <c r="D27" s="17" t="s">
        <v>21</v>
      </c>
      <c r="E27" s="14" t="s">
        <v>225</v>
      </c>
      <c r="F27" s="15">
        <v>18935.24489659</v>
      </c>
      <c r="G27" s="15">
        <v>19280.24330228</v>
      </c>
      <c r="H27" s="15">
        <v>16639.6414</v>
      </c>
      <c r="I27" s="15">
        <v>19609.065899999998</v>
      </c>
      <c r="J27" s="15">
        <v>15020.041799999995</v>
      </c>
      <c r="K27" s="15">
        <v>18910.248676530005</v>
      </c>
      <c r="L27" s="15">
        <v>18362.363031269997</v>
      </c>
      <c r="M27" s="15">
        <v>16040.271604629999</v>
      </c>
      <c r="N27" s="15">
        <v>21860.880265250002</v>
      </c>
      <c r="O27" s="15">
        <v>21444.228034099997</v>
      </c>
      <c r="P27" s="15">
        <v>30674.066842999997</v>
      </c>
      <c r="Q27" s="15">
        <v>32372.564967000006</v>
      </c>
      <c r="R27" s="15">
        <v>25339.373799239995</v>
      </c>
      <c r="S27" s="15">
        <v>27998.83255074</v>
      </c>
      <c r="T27" s="15">
        <v>25169.531010589999</v>
      </c>
      <c r="U27" s="15">
        <v>21444.228034099997</v>
      </c>
      <c r="V27" s="15">
        <v>29.056000000000001</v>
      </c>
      <c r="W27" s="15">
        <v>1467.6563245799998</v>
      </c>
      <c r="X27" s="15">
        <v>90.86</v>
      </c>
      <c r="Y27" s="15">
        <v>735.25694999999996</v>
      </c>
      <c r="Z27" s="15">
        <v>0</v>
      </c>
      <c r="AA27" s="15">
        <v>1228.6199999999999</v>
      </c>
      <c r="AB27" s="15">
        <v>30</v>
      </c>
      <c r="AC27" s="15">
        <v>723.05359999999996</v>
      </c>
      <c r="AD27" s="15">
        <v>141.29900000000001</v>
      </c>
      <c r="AE27" s="15">
        <v>390.28899999999999</v>
      </c>
      <c r="AF27" s="15">
        <v>1158.6119500000002</v>
      </c>
      <c r="AG27" s="15">
        <v>7618.1559999999999</v>
      </c>
      <c r="AH27" s="15">
        <v>2184.3397399999999</v>
      </c>
      <c r="AI27" s="15">
        <v>5478.6681211000005</v>
      </c>
      <c r="AJ27" s="15">
        <v>9398.2001573199996</v>
      </c>
      <c r="AK27" s="15">
        <v>1587.5723245799998</v>
      </c>
      <c r="AL27" s="15">
        <v>1514.3788999999999</v>
      </c>
      <c r="AM27" s="15">
        <v>27572.115618419997</v>
      </c>
      <c r="AN27" s="15">
        <v>19146.327896589999</v>
      </c>
      <c r="AO27" s="15">
        <v>24057.861662279996</v>
      </c>
      <c r="AP27" s="15">
        <v>24156.411990600001</v>
      </c>
      <c r="AQ27" s="15">
        <v>26261.3734</v>
      </c>
      <c r="AR27" s="15">
        <v>21750.335399999996</v>
      </c>
      <c r="AS27" s="15">
        <v>21637.844525929995</v>
      </c>
      <c r="AT27" s="15">
        <v>25441.222831270003</v>
      </c>
      <c r="AU27" s="15">
        <v>25718.993852150001</v>
      </c>
      <c r="AV27" s="15">
        <v>37432.406253369998</v>
      </c>
      <c r="AW27" s="15">
        <v>38272.351433459997</v>
      </c>
      <c r="AX27" s="15">
        <v>23448.921284579999</v>
      </c>
      <c r="AY27" s="15">
        <v>36656.188755610005</v>
      </c>
      <c r="AZ27" s="15">
        <v>28798.342961119997</v>
      </c>
      <c r="BA27" s="15">
        <v>34462.92152946</v>
      </c>
      <c r="BB27" s="15">
        <v>35634.987447719999</v>
      </c>
      <c r="BC27" s="15">
        <v>38272.351433459997</v>
      </c>
      <c r="BD27" s="15">
        <v>0</v>
      </c>
      <c r="BE27" s="15">
        <v>26.375</v>
      </c>
      <c r="BF27" s="15">
        <v>0</v>
      </c>
      <c r="BG27" s="15">
        <v>0</v>
      </c>
      <c r="BH27" s="15">
        <v>0</v>
      </c>
      <c r="BI27" s="15">
        <v>2108.5260000000003</v>
      </c>
      <c r="BJ27" s="15">
        <v>8498.8848415800003</v>
      </c>
      <c r="BK27" s="15">
        <v>3862.9103</v>
      </c>
      <c r="BL27" s="15">
        <v>4449.7937000000002</v>
      </c>
      <c r="BM27" s="15">
        <v>1.1132</v>
      </c>
      <c r="BN27" s="15">
        <v>237.311543</v>
      </c>
      <c r="BO27" s="15">
        <v>90</v>
      </c>
      <c r="BP27" s="15">
        <v>4079.855</v>
      </c>
      <c r="BQ27" s="15">
        <v>94.151699999999892</v>
      </c>
      <c r="BR27" s="16">
        <v>0.9889752749905848</v>
      </c>
      <c r="BS27" s="16">
        <v>0.80141134623403532</v>
      </c>
      <c r="BT27" s="16">
        <v>0.68882917738259286</v>
      </c>
      <c r="BU27" s="16">
        <v>0.7466885147750878</v>
      </c>
      <c r="BV27" s="16">
        <v>0.69056598547901005</v>
      </c>
      <c r="BW27" s="16">
        <v>0.87394327350252754</v>
      </c>
      <c r="BX27" s="16">
        <v>0.72175630680380176</v>
      </c>
      <c r="BY27" s="16">
        <v>0.62367414902932139</v>
      </c>
      <c r="BZ27" s="16">
        <v>0.58400948411596942</v>
      </c>
      <c r="CA27" s="16">
        <v>0.5603059971735147</v>
      </c>
      <c r="CB27" s="16">
        <v>1.3081227264458963</v>
      </c>
      <c r="CC27" s="16">
        <v>0.88314050276286793</v>
      </c>
      <c r="CD27" s="16">
        <v>0.87988999344337693</v>
      </c>
      <c r="CE27" s="16">
        <v>0.81243351718761592</v>
      </c>
      <c r="CF27" s="16">
        <f t="shared" si="0"/>
        <v>0.70631513614298747</v>
      </c>
      <c r="CG27" s="16">
        <f t="shared" si="0"/>
        <v>0.5603059971735147</v>
      </c>
      <c r="CH27" s="30"/>
      <c r="CI27" s="30"/>
      <c r="CJ27" s="30"/>
      <c r="CK27" s="30">
        <v>500</v>
      </c>
      <c r="CL27" s="30"/>
      <c r="CM27" s="30">
        <v>900</v>
      </c>
      <c r="CN27" s="30">
        <v>2000</v>
      </c>
      <c r="CO27" s="30">
        <v>5500</v>
      </c>
      <c r="CP27" s="30">
        <v>11700</v>
      </c>
      <c r="CQ27" s="30">
        <v>6000</v>
      </c>
      <c r="CR27" s="30">
        <v>1000</v>
      </c>
      <c r="CS27" s="30">
        <v>6000</v>
      </c>
      <c r="CT27" s="30"/>
      <c r="CU27" s="30">
        <v>2000</v>
      </c>
      <c r="CV27" s="30">
        <v>5000</v>
      </c>
      <c r="CW27" s="30">
        <v>6000</v>
      </c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>
        <v>1545.3193000000001</v>
      </c>
      <c r="DO27" s="35">
        <v>2303.1560729299999</v>
      </c>
      <c r="DP27" s="35">
        <v>0</v>
      </c>
      <c r="DQ27" s="35">
        <v>0</v>
      </c>
      <c r="DR27" s="35">
        <v>382</v>
      </c>
    </row>
    <row r="28" spans="1:122" ht="25.5">
      <c r="A28" s="14">
        <f t="shared" si="1"/>
        <v>24</v>
      </c>
      <c r="B28" s="14" t="s">
        <v>102</v>
      </c>
      <c r="C28" s="14" t="s">
        <v>17</v>
      </c>
      <c r="D28" s="17" t="s">
        <v>22</v>
      </c>
      <c r="E28" s="14" t="s">
        <v>226</v>
      </c>
      <c r="F28" s="15">
        <v>11063.028450000002</v>
      </c>
      <c r="G28" s="15">
        <v>10091.83830041</v>
      </c>
      <c r="H28" s="15">
        <v>12850.560422369999</v>
      </c>
      <c r="I28" s="15">
        <v>10631.79801</v>
      </c>
      <c r="J28" s="15">
        <v>9740.5514872300009</v>
      </c>
      <c r="K28" s="15">
        <v>8558.1401499999993</v>
      </c>
      <c r="L28" s="15">
        <v>11245.400549999998</v>
      </c>
      <c r="M28" s="15">
        <v>11541.056200540001</v>
      </c>
      <c r="N28" s="15">
        <v>14236.296778510001</v>
      </c>
      <c r="O28" s="15">
        <v>15191.473184589999</v>
      </c>
      <c r="P28" s="15">
        <v>16664.76150067</v>
      </c>
      <c r="Q28" s="15">
        <v>22059.075261780003</v>
      </c>
      <c r="R28" s="15">
        <v>18629.141341890001</v>
      </c>
      <c r="S28" s="15">
        <v>15800.14446</v>
      </c>
      <c r="T28" s="15">
        <v>16731.813688999999</v>
      </c>
      <c r="U28" s="15">
        <v>15191.473184589999</v>
      </c>
      <c r="V28" s="15">
        <v>0</v>
      </c>
      <c r="W28" s="15">
        <v>522.61839999999995</v>
      </c>
      <c r="X28" s="15">
        <v>155.922</v>
      </c>
      <c r="Y28" s="15">
        <v>1858.3768</v>
      </c>
      <c r="Z28" s="15">
        <v>0</v>
      </c>
      <c r="AA28" s="15">
        <v>0</v>
      </c>
      <c r="AB28" s="15">
        <v>24.975000000000001</v>
      </c>
      <c r="AC28" s="15">
        <v>4297.1059999999998</v>
      </c>
      <c r="AD28" s="15">
        <v>34.071899999999999</v>
      </c>
      <c r="AE28" s="15">
        <v>8.4272519999999993</v>
      </c>
      <c r="AF28" s="15">
        <v>467.89275000000004</v>
      </c>
      <c r="AG28" s="15">
        <v>10.5</v>
      </c>
      <c r="AH28" s="15">
        <v>733.30721869000001</v>
      </c>
      <c r="AI28" s="15">
        <v>3643.4488500000002</v>
      </c>
      <c r="AJ28" s="15">
        <v>4908.1153299799971</v>
      </c>
      <c r="AK28" s="15">
        <v>678.54039999999998</v>
      </c>
      <c r="AL28" s="15">
        <v>4746.7551020000001</v>
      </c>
      <c r="AM28" s="15">
        <v>11239.465998669999</v>
      </c>
      <c r="AN28" s="15">
        <v>25104.597000000002</v>
      </c>
      <c r="AO28" s="15">
        <v>25652.768550410001</v>
      </c>
      <c r="AP28" s="15">
        <v>29774.375272370005</v>
      </c>
      <c r="AQ28" s="15">
        <v>33053.001360000002</v>
      </c>
      <c r="AR28" s="15">
        <v>29983.794837230005</v>
      </c>
      <c r="AS28" s="15">
        <v>28327.509550000002</v>
      </c>
      <c r="AT28" s="15">
        <v>32731.544422769999</v>
      </c>
      <c r="AU28" s="15">
        <v>31346.676300540003</v>
      </c>
      <c r="AV28" s="15">
        <v>39392.425378510001</v>
      </c>
      <c r="AW28" s="15">
        <v>37920.471934590001</v>
      </c>
      <c r="AX28" s="15">
        <v>28196.47980067</v>
      </c>
      <c r="AY28" s="15">
        <v>31682.878311780001</v>
      </c>
      <c r="AZ28" s="15">
        <v>26653.735919120001</v>
      </c>
      <c r="BA28" s="15">
        <v>29561.12358277</v>
      </c>
      <c r="BB28" s="15">
        <v>31104.830189</v>
      </c>
      <c r="BC28" s="15">
        <v>37920.471934590001</v>
      </c>
      <c r="BD28" s="15">
        <v>0</v>
      </c>
      <c r="BE28" s="15">
        <v>392.43400000000003</v>
      </c>
      <c r="BF28" s="15">
        <v>0</v>
      </c>
      <c r="BG28" s="15">
        <v>0</v>
      </c>
      <c r="BH28" s="15">
        <v>0</v>
      </c>
      <c r="BI28" s="15">
        <v>900.35910000000001</v>
      </c>
      <c r="BJ28" s="15">
        <v>17287.740999999998</v>
      </c>
      <c r="BK28" s="15">
        <v>2960.2383399999999</v>
      </c>
      <c r="BL28" s="15">
        <v>3540.4558999999999</v>
      </c>
      <c r="BM28" s="15">
        <v>1714.6095606700001</v>
      </c>
      <c r="BN28" s="15">
        <v>219.42500000000001</v>
      </c>
      <c r="BO28" s="15">
        <v>0</v>
      </c>
      <c r="BP28" s="15">
        <v>1181.2168999999999</v>
      </c>
      <c r="BQ28" s="15">
        <v>2.5579538487363607E-12</v>
      </c>
      <c r="BR28" s="16">
        <v>0.4406773966536886</v>
      </c>
      <c r="BS28" s="16">
        <v>0.39340152625548497</v>
      </c>
      <c r="BT28" s="16">
        <v>0.43159798668538479</v>
      </c>
      <c r="BU28" s="16">
        <v>0.32165908003944121</v>
      </c>
      <c r="BV28" s="16">
        <v>0.32486053016662991</v>
      </c>
      <c r="BW28" s="16">
        <v>0.30211410342636347</v>
      </c>
      <c r="BX28" s="16">
        <v>0.34356461781183267</v>
      </c>
      <c r="BY28" s="16">
        <v>0.36817479754117299</v>
      </c>
      <c r="BZ28" s="16">
        <v>0.36139680767857513</v>
      </c>
      <c r="CA28" s="16">
        <v>0.40061403272602097</v>
      </c>
      <c r="CB28" s="16">
        <v>0.59102276661762632</v>
      </c>
      <c r="CC28" s="16">
        <v>0.69624593588702532</v>
      </c>
      <c r="CD28" s="16">
        <v>0.69893171442906155</v>
      </c>
      <c r="CE28" s="16">
        <v>0.53449066019971159</v>
      </c>
      <c r="CF28" s="16">
        <f t="shared" si="0"/>
        <v>0.53791689545751276</v>
      </c>
      <c r="CG28" s="16">
        <f t="shared" si="0"/>
        <v>0.40061403272602097</v>
      </c>
      <c r="CH28" s="30"/>
      <c r="CI28" s="30"/>
      <c r="CJ28" s="30"/>
      <c r="CK28" s="30"/>
      <c r="CL28" s="30"/>
      <c r="CM28" s="30"/>
      <c r="CN28" s="30">
        <v>0</v>
      </c>
      <c r="CO28" s="30"/>
      <c r="CP28" s="30"/>
      <c r="CQ28" s="30"/>
      <c r="CR28" s="30"/>
      <c r="CS28" s="30">
        <v>0</v>
      </c>
      <c r="CT28" s="30"/>
      <c r="CU28" s="30"/>
      <c r="CV28" s="30">
        <v>0</v>
      </c>
      <c r="CW28" s="30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>
        <v>0</v>
      </c>
      <c r="DO28" s="35">
        <v>1639.604</v>
      </c>
      <c r="DP28" s="35">
        <v>2372.0995499999999</v>
      </c>
      <c r="DQ28" s="35">
        <v>0</v>
      </c>
      <c r="DR28" s="35">
        <v>0</v>
      </c>
    </row>
    <row r="29" spans="1:122" ht="25.5">
      <c r="A29" s="14">
        <f t="shared" si="1"/>
        <v>25</v>
      </c>
      <c r="B29" s="14" t="s">
        <v>103</v>
      </c>
      <c r="C29" s="14" t="s">
        <v>17</v>
      </c>
      <c r="D29" s="17" t="s">
        <v>23</v>
      </c>
      <c r="E29" s="14" t="s">
        <v>229</v>
      </c>
      <c r="F29" s="15">
        <v>11311.18145</v>
      </c>
      <c r="G29" s="15">
        <v>10608.613893719999</v>
      </c>
      <c r="H29" s="15">
        <v>10144.358916159999</v>
      </c>
      <c r="I29" s="15">
        <v>11259.966374240001</v>
      </c>
      <c r="J29" s="15">
        <v>9060.8457987300008</v>
      </c>
      <c r="K29" s="15">
        <v>8238.0291099999995</v>
      </c>
      <c r="L29" s="15">
        <v>11541.472904209999</v>
      </c>
      <c r="M29" s="15">
        <v>8310.4678619099996</v>
      </c>
      <c r="N29" s="15">
        <v>10612.520699999999</v>
      </c>
      <c r="O29" s="15">
        <v>11398.336260530001</v>
      </c>
      <c r="P29" s="15">
        <v>11963.558299480001</v>
      </c>
      <c r="Q29" s="15">
        <v>12979.551878740001</v>
      </c>
      <c r="R29" s="15">
        <v>11443.543460000001</v>
      </c>
      <c r="S29" s="15">
        <v>12196.37300852</v>
      </c>
      <c r="T29" s="15">
        <v>13351.602035</v>
      </c>
      <c r="U29" s="15">
        <v>11398.336260530001</v>
      </c>
      <c r="V29" s="15">
        <v>52.89</v>
      </c>
      <c r="W29" s="15">
        <v>823.84050000000002</v>
      </c>
      <c r="X29" s="15">
        <v>75.772599999999997</v>
      </c>
      <c r="Y29" s="15">
        <v>1092.27205</v>
      </c>
      <c r="Z29" s="15">
        <v>0</v>
      </c>
      <c r="AA29" s="15">
        <v>6.51</v>
      </c>
      <c r="AB29" s="15">
        <v>0</v>
      </c>
      <c r="AC29" s="15">
        <v>0</v>
      </c>
      <c r="AD29" s="15">
        <v>19.279000000000003</v>
      </c>
      <c r="AE29" s="15">
        <v>11.351599999999999</v>
      </c>
      <c r="AF29" s="15">
        <v>512.00515000000007</v>
      </c>
      <c r="AG29" s="15">
        <v>285.470418</v>
      </c>
      <c r="AH29" s="15">
        <v>939.25482621000003</v>
      </c>
      <c r="AI29" s="15">
        <v>3721.2579500000002</v>
      </c>
      <c r="AJ29" s="15">
        <v>4423.6542052699979</v>
      </c>
      <c r="AK29" s="15">
        <v>952.50310000000002</v>
      </c>
      <c r="AL29" s="15">
        <v>176.09160000000003</v>
      </c>
      <c r="AM29" s="15">
        <v>10834.963599480001</v>
      </c>
      <c r="AN29" s="15">
        <v>12518.535883500001</v>
      </c>
      <c r="AO29" s="15">
        <v>17091.35181996</v>
      </c>
      <c r="AP29" s="15">
        <v>13432.97425922</v>
      </c>
      <c r="AQ29" s="15">
        <v>15592.647366810001</v>
      </c>
      <c r="AR29" s="15">
        <v>16241.077257640001</v>
      </c>
      <c r="AS29" s="15">
        <v>14527.517210000002</v>
      </c>
      <c r="AT29" s="15">
        <v>19570.016204209998</v>
      </c>
      <c r="AU29" s="15">
        <v>18940.297061910002</v>
      </c>
      <c r="AV29" s="15">
        <v>28782.752899999999</v>
      </c>
      <c r="AW29" s="15">
        <v>32295.020060530002</v>
      </c>
      <c r="AX29" s="15">
        <v>20769.109149480002</v>
      </c>
      <c r="AY29" s="15">
        <v>25395.397428739998</v>
      </c>
      <c r="AZ29" s="15">
        <v>16526.08916</v>
      </c>
      <c r="BA29" s="15">
        <v>17988.355208519999</v>
      </c>
      <c r="BB29" s="15">
        <v>19672.298285000004</v>
      </c>
      <c r="BC29" s="15">
        <v>32295.020060530002</v>
      </c>
      <c r="BD29" s="15">
        <v>0</v>
      </c>
      <c r="BE29" s="15">
        <v>614.62599999999998</v>
      </c>
      <c r="BF29" s="15">
        <v>0</v>
      </c>
      <c r="BG29" s="15">
        <v>1450</v>
      </c>
      <c r="BH29" s="15">
        <v>0</v>
      </c>
      <c r="BI29" s="15">
        <v>53.221997000000002</v>
      </c>
      <c r="BJ29" s="15">
        <v>8322.2464710000004</v>
      </c>
      <c r="BK29" s="15">
        <v>2564.4508999999998</v>
      </c>
      <c r="BL29" s="15">
        <v>2871.2503999999999</v>
      </c>
      <c r="BM29" s="15">
        <v>11.12538148</v>
      </c>
      <c r="BN29" s="15">
        <v>0</v>
      </c>
      <c r="BO29" s="15">
        <v>3700</v>
      </c>
      <c r="BP29" s="15">
        <v>1182.1880000000001</v>
      </c>
      <c r="BQ29" s="15">
        <v>2.5011104298755527E-12</v>
      </c>
      <c r="BR29" s="16">
        <v>0.90355466128500306</v>
      </c>
      <c r="BS29" s="16">
        <v>0.62070069152346474</v>
      </c>
      <c r="BT29" s="16">
        <v>0.75518338086572367</v>
      </c>
      <c r="BU29" s="16">
        <v>0.72213307396456594</v>
      </c>
      <c r="BV29" s="16">
        <v>0.55789684729611566</v>
      </c>
      <c r="BW29" s="16">
        <v>0.56706379974751364</v>
      </c>
      <c r="BX29" s="16">
        <v>0.58975285374199848</v>
      </c>
      <c r="BY29" s="16">
        <v>0.43877178033404851</v>
      </c>
      <c r="BZ29" s="16">
        <v>0.36871110754663078</v>
      </c>
      <c r="CA29" s="16">
        <v>0.35294408361308632</v>
      </c>
      <c r="CB29" s="16">
        <v>0.57602655045893159</v>
      </c>
      <c r="CC29" s="16">
        <v>0.51109859237922495</v>
      </c>
      <c r="CD29" s="16">
        <v>0.69245320833062729</v>
      </c>
      <c r="CE29" s="16">
        <v>0.67801490837490874</v>
      </c>
      <c r="CF29" s="16">
        <f t="shared" si="0"/>
        <v>0.67870067043363747</v>
      </c>
      <c r="CG29" s="16">
        <f t="shared" si="0"/>
        <v>0.35294408361308632</v>
      </c>
      <c r="CH29" s="30"/>
      <c r="CI29" s="30">
        <v>2500</v>
      </c>
      <c r="CJ29" s="30">
        <v>1000</v>
      </c>
      <c r="CK29" s="30">
        <v>4000</v>
      </c>
      <c r="CL29" s="30">
        <v>1800</v>
      </c>
      <c r="CM29" s="30">
        <v>3000</v>
      </c>
      <c r="CN29" s="30">
        <v>900</v>
      </c>
      <c r="CO29" s="30">
        <v>5000</v>
      </c>
      <c r="CP29" s="30">
        <v>8500</v>
      </c>
      <c r="CQ29" s="30">
        <v>14000</v>
      </c>
      <c r="CR29" s="30">
        <v>3800</v>
      </c>
      <c r="CS29" s="30">
        <v>2600</v>
      </c>
      <c r="CT29" s="30"/>
      <c r="CU29" s="30">
        <v>3200</v>
      </c>
      <c r="CV29" s="30">
        <v>5000</v>
      </c>
      <c r="CW29" s="30">
        <v>14000</v>
      </c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>
        <v>1405.289</v>
      </c>
      <c r="DO29" s="35">
        <v>2159.6829792199997</v>
      </c>
      <c r="DP29" s="35">
        <v>0</v>
      </c>
      <c r="DQ29" s="35">
        <v>0</v>
      </c>
      <c r="DR29" s="35">
        <v>28</v>
      </c>
    </row>
    <row r="30" spans="1:122" ht="25.5">
      <c r="A30" s="14">
        <f t="shared" si="1"/>
        <v>26</v>
      </c>
      <c r="B30" s="14" t="s">
        <v>104</v>
      </c>
      <c r="C30" s="14" t="s">
        <v>17</v>
      </c>
      <c r="D30" s="17" t="s">
        <v>24</v>
      </c>
      <c r="E30" s="14" t="s">
        <v>228</v>
      </c>
      <c r="F30" s="15"/>
      <c r="G30" s="15"/>
      <c r="H30" s="15"/>
      <c r="I30" s="15"/>
      <c r="J30" s="15"/>
      <c r="K30" s="15"/>
      <c r="L30" s="15"/>
      <c r="M30" s="15"/>
      <c r="N30" s="15"/>
      <c r="O30" s="15">
        <v>21</v>
      </c>
      <c r="P30" s="15">
        <v>0</v>
      </c>
      <c r="Q30" s="15">
        <v>0</v>
      </c>
      <c r="R30" s="15">
        <v>0</v>
      </c>
      <c r="S30" s="15">
        <v>0</v>
      </c>
      <c r="T30" s="15">
        <v>53.5</v>
      </c>
      <c r="U30" s="15">
        <v>21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/>
      <c r="AO30" s="15"/>
      <c r="AP30" s="15"/>
      <c r="AQ30" s="15"/>
      <c r="AR30" s="15"/>
      <c r="AS30" s="15"/>
      <c r="AT30" s="15"/>
      <c r="AU30" s="15"/>
      <c r="AV30" s="15"/>
      <c r="AW30" s="15">
        <v>0</v>
      </c>
      <c r="AX30" s="15">
        <v>0</v>
      </c>
      <c r="AY30" s="15">
        <v>20.873999999999999</v>
      </c>
      <c r="AZ30" s="15">
        <v>29.5</v>
      </c>
      <c r="BA30" s="15">
        <v>70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/>
      <c r="CG30" s="16"/>
      <c r="CH30" s="30"/>
      <c r="CI30" s="30"/>
      <c r="CJ30" s="30"/>
      <c r="CK30" s="30"/>
      <c r="CL30" s="30"/>
      <c r="CM30" s="30"/>
      <c r="CN30" s="30">
        <v>0</v>
      </c>
      <c r="CO30" s="30"/>
      <c r="CP30" s="30"/>
      <c r="CQ30" s="30"/>
      <c r="CR30" s="30"/>
      <c r="CS30" s="30"/>
      <c r="CT30" s="30"/>
      <c r="CU30" s="30"/>
      <c r="CV30" s="30">
        <v>0</v>
      </c>
      <c r="CW30" s="30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>
        <v>0</v>
      </c>
      <c r="DO30" s="35">
        <v>0</v>
      </c>
      <c r="DP30" s="35">
        <v>0</v>
      </c>
      <c r="DQ30" s="35">
        <v>0</v>
      </c>
      <c r="DR30" s="35">
        <v>0</v>
      </c>
    </row>
    <row r="31" spans="1:122" ht="25.5">
      <c r="A31" s="14">
        <f t="shared" si="1"/>
        <v>27</v>
      </c>
      <c r="B31" s="14" t="s">
        <v>105</v>
      </c>
      <c r="C31" s="14" t="s">
        <v>17</v>
      </c>
      <c r="D31" s="17" t="s">
        <v>25</v>
      </c>
      <c r="E31" s="14" t="s">
        <v>230</v>
      </c>
      <c r="F31" s="15">
        <v>19110.074000000001</v>
      </c>
      <c r="G31" s="15">
        <v>19360.655299999999</v>
      </c>
      <c r="H31" s="15">
        <v>16720.908499999998</v>
      </c>
      <c r="I31" s="15">
        <v>18327.429799999998</v>
      </c>
      <c r="J31" s="15">
        <v>20178.851774769999</v>
      </c>
      <c r="K31" s="15">
        <v>20036.33985</v>
      </c>
      <c r="L31" s="15">
        <v>23418.637650000001</v>
      </c>
      <c r="M31" s="15">
        <v>22155.688636569997</v>
      </c>
      <c r="N31" s="15">
        <v>29652.383250000003</v>
      </c>
      <c r="O31" s="15">
        <v>28833.879650000003</v>
      </c>
      <c r="P31" s="15">
        <v>24670.38825</v>
      </c>
      <c r="Q31" s="15">
        <v>26473.087450000003</v>
      </c>
      <c r="R31" s="15">
        <v>20906.198424999999</v>
      </c>
      <c r="S31" s="15">
        <v>20014.767650089998</v>
      </c>
      <c r="T31" s="15">
        <v>25868.381799030001</v>
      </c>
      <c r="U31" s="15">
        <v>28833.879650000003</v>
      </c>
      <c r="V31" s="15">
        <v>79.760000000000005</v>
      </c>
      <c r="W31" s="15">
        <v>1466.626</v>
      </c>
      <c r="X31" s="15">
        <v>109.014</v>
      </c>
      <c r="Y31" s="15">
        <v>2281.32645</v>
      </c>
      <c r="Z31" s="15">
        <v>28.015999999999998</v>
      </c>
      <c r="AA31" s="15">
        <v>491.92</v>
      </c>
      <c r="AB31" s="15">
        <v>0</v>
      </c>
      <c r="AC31" s="15">
        <v>204.53</v>
      </c>
      <c r="AD31" s="15">
        <v>16.559000000000001</v>
      </c>
      <c r="AE31" s="15">
        <v>925.49590000000001</v>
      </c>
      <c r="AF31" s="15">
        <v>874.13939999999991</v>
      </c>
      <c r="AG31" s="15">
        <v>2252.5140000000001</v>
      </c>
      <c r="AH31" s="15">
        <v>2804.4894034499998</v>
      </c>
      <c r="AI31" s="15">
        <v>2986.1260000000002</v>
      </c>
      <c r="AJ31" s="15">
        <v>10149.872096550002</v>
      </c>
      <c r="AK31" s="15">
        <v>1683.4159999999999</v>
      </c>
      <c r="AL31" s="15">
        <v>2347.931</v>
      </c>
      <c r="AM31" s="15">
        <v>20639.041249999998</v>
      </c>
      <c r="AN31" s="15">
        <v>18053.983679429999</v>
      </c>
      <c r="AO31" s="15">
        <v>25262.985696040003</v>
      </c>
      <c r="AP31" s="15">
        <v>19286.698926730001</v>
      </c>
      <c r="AQ31" s="15">
        <v>21422.962580199997</v>
      </c>
      <c r="AR31" s="15">
        <v>22233.940179720001</v>
      </c>
      <c r="AS31" s="15">
        <v>21182.216171780001</v>
      </c>
      <c r="AT31" s="15">
        <v>24039.680345050001</v>
      </c>
      <c r="AU31" s="15">
        <v>22251.947111819998</v>
      </c>
      <c r="AV31" s="15">
        <v>30760.94544802</v>
      </c>
      <c r="AW31" s="15">
        <v>31539.473250000003</v>
      </c>
      <c r="AX31" s="15">
        <v>22995.873701479999</v>
      </c>
      <c r="AY31" s="15">
        <v>25702.11873812</v>
      </c>
      <c r="AZ31" s="15">
        <v>18274.283662630001</v>
      </c>
      <c r="BA31" s="15">
        <v>22577.25242732</v>
      </c>
      <c r="BB31" s="15">
        <v>26997.136299029997</v>
      </c>
      <c r="BC31" s="15">
        <v>31539.473250000003</v>
      </c>
      <c r="BD31" s="15">
        <v>0</v>
      </c>
      <c r="BE31" s="15">
        <v>192.99700000000001</v>
      </c>
      <c r="BF31" s="15">
        <v>0</v>
      </c>
      <c r="BG31" s="15">
        <v>0</v>
      </c>
      <c r="BH31" s="15">
        <v>0</v>
      </c>
      <c r="BI31" s="15">
        <v>44.515000000000001</v>
      </c>
      <c r="BJ31" s="15">
        <v>9661.9202514799999</v>
      </c>
      <c r="BK31" s="15">
        <v>3015.3395500000001</v>
      </c>
      <c r="BL31" s="15">
        <v>7320.5119000000004</v>
      </c>
      <c r="BM31" s="15">
        <v>0</v>
      </c>
      <c r="BN31" s="15">
        <v>0</v>
      </c>
      <c r="BO31" s="15">
        <v>169</v>
      </c>
      <c r="BP31" s="15">
        <v>2591.59</v>
      </c>
      <c r="BQ31" s="15">
        <v>-3.0127011996228248E-12</v>
      </c>
      <c r="BR31" s="16">
        <v>1.0584962487682577</v>
      </c>
      <c r="BS31" s="16">
        <v>0.76636449598413059</v>
      </c>
      <c r="BT31" s="16">
        <v>0.8669658070322237</v>
      </c>
      <c r="BU31" s="16">
        <v>0.85550398229883384</v>
      </c>
      <c r="BV31" s="16">
        <v>0.90756976098980036</v>
      </c>
      <c r="BW31" s="16">
        <v>0.94590385101882801</v>
      </c>
      <c r="BX31" s="16">
        <v>0.97416593373389515</v>
      </c>
      <c r="BY31" s="16">
        <v>0.99567415495074274</v>
      </c>
      <c r="BZ31" s="16">
        <v>0.96396202451276236</v>
      </c>
      <c r="CA31" s="16">
        <v>0.91421563770092451</v>
      </c>
      <c r="CB31" s="16">
        <v>1.0728180442394859</v>
      </c>
      <c r="CC31" s="16">
        <v>1.0299963096325029</v>
      </c>
      <c r="CD31" s="16">
        <v>1.144022869019601</v>
      </c>
      <c r="CE31" s="16">
        <v>0.88650147818123248</v>
      </c>
      <c r="CF31" s="16">
        <f t="shared" si="0"/>
        <v>0.95818984326717083</v>
      </c>
      <c r="CG31" s="16">
        <f t="shared" si="0"/>
        <v>0.91421563770092451</v>
      </c>
      <c r="CH31" s="30"/>
      <c r="CI31" s="30"/>
      <c r="CJ31" s="30">
        <v>2000</v>
      </c>
      <c r="CK31" s="30"/>
      <c r="CL31" s="30"/>
      <c r="CM31" s="30"/>
      <c r="CN31" s="30">
        <v>0</v>
      </c>
      <c r="CO31" s="30"/>
      <c r="CP31" s="30">
        <v>2000</v>
      </c>
      <c r="CQ31" s="30">
        <v>3000</v>
      </c>
      <c r="CR31" s="30"/>
      <c r="CS31" s="30"/>
      <c r="CT31" s="30"/>
      <c r="CU31" s="30"/>
      <c r="CV31" s="30">
        <v>0</v>
      </c>
      <c r="CW31" s="30">
        <v>3000</v>
      </c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>
        <v>7509.0251500000004</v>
      </c>
      <c r="DO31" s="35">
        <v>2314.4865247500002</v>
      </c>
      <c r="DP31" s="35">
        <v>0</v>
      </c>
      <c r="DQ31" s="35">
        <v>0</v>
      </c>
      <c r="DR31" s="35">
        <v>0</v>
      </c>
    </row>
    <row r="32" spans="1:122" ht="25.5">
      <c r="A32" s="14">
        <f t="shared" si="1"/>
        <v>28</v>
      </c>
      <c r="B32" s="14" t="s">
        <v>106</v>
      </c>
      <c r="C32" s="14" t="s">
        <v>17</v>
      </c>
      <c r="D32" s="17" t="s">
        <v>26</v>
      </c>
      <c r="E32" s="14" t="s">
        <v>231</v>
      </c>
      <c r="F32" s="15">
        <v>13375.806363100002</v>
      </c>
      <c r="G32" s="15">
        <v>11146.472749999997</v>
      </c>
      <c r="H32" s="15">
        <v>11996.802973959999</v>
      </c>
      <c r="I32" s="15">
        <v>16774.820199999998</v>
      </c>
      <c r="J32" s="15">
        <v>18266.296084200003</v>
      </c>
      <c r="K32" s="15">
        <v>20785.817159960006</v>
      </c>
      <c r="L32" s="15">
        <v>22609.615073459998</v>
      </c>
      <c r="M32" s="15">
        <v>17608.4481615</v>
      </c>
      <c r="N32" s="15">
        <v>20353.132100000006</v>
      </c>
      <c r="O32" s="15">
        <v>17971.143935979999</v>
      </c>
      <c r="P32" s="15">
        <v>17649.780700000003</v>
      </c>
      <c r="Q32" s="15">
        <v>20830.911449609997</v>
      </c>
      <c r="R32" s="15">
        <v>25616.060690000002</v>
      </c>
      <c r="S32" s="15">
        <v>22322.406550000003</v>
      </c>
      <c r="T32" s="15">
        <v>21388.026599999997</v>
      </c>
      <c r="U32" s="15">
        <v>17971.143935979999</v>
      </c>
      <c r="V32" s="15">
        <v>288.00099999999998</v>
      </c>
      <c r="W32" s="15">
        <v>7713.5703000000003</v>
      </c>
      <c r="X32" s="15">
        <v>85.275000000000006</v>
      </c>
      <c r="Y32" s="15">
        <v>1329.9233999999999</v>
      </c>
      <c r="Z32" s="15">
        <v>0</v>
      </c>
      <c r="AA32" s="15">
        <v>6.5350000000000001</v>
      </c>
      <c r="AB32" s="15">
        <v>0</v>
      </c>
      <c r="AC32" s="15">
        <v>0</v>
      </c>
      <c r="AD32" s="15">
        <v>71.508749999999992</v>
      </c>
      <c r="AE32" s="15">
        <v>2.6429999999999998</v>
      </c>
      <c r="AF32" s="15">
        <v>726.06039999999996</v>
      </c>
      <c r="AG32" s="15">
        <v>120.937</v>
      </c>
      <c r="AH32" s="15">
        <v>1130.8353667000001</v>
      </c>
      <c r="AI32" s="15">
        <v>2058.75315</v>
      </c>
      <c r="AJ32" s="15">
        <v>4115.7383333000007</v>
      </c>
      <c r="AK32" s="15">
        <v>8086.8463000000002</v>
      </c>
      <c r="AL32" s="15">
        <v>683.35080000000005</v>
      </c>
      <c r="AM32" s="15">
        <v>8879.5836000000018</v>
      </c>
      <c r="AN32" s="15">
        <v>12693.2830631</v>
      </c>
      <c r="AO32" s="15">
        <v>11304.080549999999</v>
      </c>
      <c r="AP32" s="15">
        <v>13237.416873960001</v>
      </c>
      <c r="AQ32" s="15">
        <v>15670.117000000002</v>
      </c>
      <c r="AR32" s="15">
        <v>15562.2308842</v>
      </c>
      <c r="AS32" s="15">
        <v>15580.604009960001</v>
      </c>
      <c r="AT32" s="15">
        <v>14796.545473459999</v>
      </c>
      <c r="AU32" s="15">
        <v>17001.106911499999</v>
      </c>
      <c r="AV32" s="15">
        <v>19523.87055</v>
      </c>
      <c r="AW32" s="15">
        <v>22528.849585980002</v>
      </c>
      <c r="AX32" s="15">
        <v>14032.129499999999</v>
      </c>
      <c r="AY32" s="15">
        <v>20243.07984961</v>
      </c>
      <c r="AZ32" s="15">
        <v>21245.32864</v>
      </c>
      <c r="BA32" s="15">
        <v>16594.085749999998</v>
      </c>
      <c r="BB32" s="15">
        <v>23245.345399999998</v>
      </c>
      <c r="BC32" s="15">
        <v>22528.849585980002</v>
      </c>
      <c r="BD32" s="15">
        <v>0</v>
      </c>
      <c r="BE32" s="15">
        <v>403.84500000000003</v>
      </c>
      <c r="BF32" s="15">
        <v>0</v>
      </c>
      <c r="BG32" s="15">
        <v>0</v>
      </c>
      <c r="BH32" s="15">
        <v>433.76</v>
      </c>
      <c r="BI32" s="15">
        <v>590.09199999999998</v>
      </c>
      <c r="BJ32" s="15">
        <v>6343.9979999999996</v>
      </c>
      <c r="BK32" s="15">
        <v>2377.3620500000002</v>
      </c>
      <c r="BL32" s="15">
        <v>2311.5296499999999</v>
      </c>
      <c r="BM32" s="15">
        <v>10.667</v>
      </c>
      <c r="BN32" s="15">
        <v>604.36800000000005</v>
      </c>
      <c r="BO32" s="15">
        <v>0</v>
      </c>
      <c r="BP32" s="15">
        <v>883.80779999999993</v>
      </c>
      <c r="BQ32" s="15">
        <v>72.699999999999022</v>
      </c>
      <c r="BR32" s="16">
        <v>1.0537704309127189</v>
      </c>
      <c r="BS32" s="16">
        <v>0.98605744188544364</v>
      </c>
      <c r="BT32" s="16">
        <v>0.9062797589731818</v>
      </c>
      <c r="BU32" s="16">
        <v>1.0704974442756232</v>
      </c>
      <c r="BV32" s="16">
        <v>1.1737581983021073</v>
      </c>
      <c r="BW32" s="16">
        <v>1.3340828857900848</v>
      </c>
      <c r="BX32" s="16">
        <v>1.5280333584628929</v>
      </c>
      <c r="BY32" s="16">
        <v>1.0357236298296071</v>
      </c>
      <c r="BZ32" s="16">
        <v>1.0424742393100945</v>
      </c>
      <c r="CA32" s="16">
        <v>0.79769470107180607</v>
      </c>
      <c r="CB32" s="16">
        <v>1.2578119878383394</v>
      </c>
      <c r="CC32" s="16">
        <v>1.0290386445327055</v>
      </c>
      <c r="CD32" s="16">
        <v>1.205726732876748</v>
      </c>
      <c r="CE32" s="16">
        <v>1.3452025550729727</v>
      </c>
      <c r="CF32" s="16">
        <f t="shared" si="0"/>
        <v>0.92009932448669918</v>
      </c>
      <c r="CG32" s="16">
        <f t="shared" si="0"/>
        <v>0.79769470107180607</v>
      </c>
      <c r="CH32" s="30"/>
      <c r="CI32" s="30">
        <v>1500</v>
      </c>
      <c r="CJ32" s="30"/>
      <c r="CK32" s="30">
        <v>1100</v>
      </c>
      <c r="CL32" s="30"/>
      <c r="CM32" s="30"/>
      <c r="CN32" s="30">
        <v>0</v>
      </c>
      <c r="CO32" s="30"/>
      <c r="CP32" s="30"/>
      <c r="CQ32" s="30">
        <v>3000</v>
      </c>
      <c r="CR32" s="30"/>
      <c r="CS32" s="30"/>
      <c r="CT32" s="30"/>
      <c r="CU32" s="30"/>
      <c r="CV32" s="30"/>
      <c r="CW32" s="30">
        <v>3000</v>
      </c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>
        <v>5547.0121499999996</v>
      </c>
      <c r="DO32" s="35">
        <v>1485.5340000000001</v>
      </c>
      <c r="DP32" s="35">
        <v>0</v>
      </c>
      <c r="DQ32" s="35">
        <v>0</v>
      </c>
      <c r="DR32" s="35">
        <v>0</v>
      </c>
    </row>
    <row r="33" spans="1:122" ht="25.5">
      <c r="A33" s="14">
        <f t="shared" si="1"/>
        <v>29</v>
      </c>
      <c r="B33" s="14" t="s">
        <v>107</v>
      </c>
      <c r="C33" s="14" t="s">
        <v>17</v>
      </c>
      <c r="D33" s="17" t="s">
        <v>27</v>
      </c>
      <c r="E33" s="14" t="s">
        <v>234</v>
      </c>
      <c r="F33" s="15">
        <v>21288.426700000004</v>
      </c>
      <c r="G33" s="15">
        <v>12590.687600000001</v>
      </c>
      <c r="H33" s="15">
        <v>9139.7965000000004</v>
      </c>
      <c r="I33" s="15">
        <v>11631.25085</v>
      </c>
      <c r="J33" s="15">
        <v>20014.590550000001</v>
      </c>
      <c r="K33" s="15">
        <v>16678.750650000002</v>
      </c>
      <c r="L33" s="15">
        <v>11173.637899999998</v>
      </c>
      <c r="M33" s="15">
        <v>19952.391528980006</v>
      </c>
      <c r="N33" s="15">
        <v>11848.648000000001</v>
      </c>
      <c r="O33" s="15">
        <v>16041.955749999999</v>
      </c>
      <c r="P33" s="15">
        <v>14101.460938010003</v>
      </c>
      <c r="Q33" s="15">
        <v>11551.5389</v>
      </c>
      <c r="R33" s="15">
        <v>12126.092301820001</v>
      </c>
      <c r="S33" s="15">
        <v>10898.586449999999</v>
      </c>
      <c r="T33" s="15">
        <v>10722.033192700001</v>
      </c>
      <c r="U33" s="15">
        <v>16041.955749999999</v>
      </c>
      <c r="V33" s="15">
        <v>2988.5398</v>
      </c>
      <c r="W33" s="15">
        <v>0</v>
      </c>
      <c r="X33" s="15">
        <v>1169.413</v>
      </c>
      <c r="Y33" s="15">
        <v>1254.3592000000001</v>
      </c>
      <c r="Z33" s="15">
        <v>0</v>
      </c>
      <c r="AA33" s="15">
        <v>0</v>
      </c>
      <c r="AB33" s="15">
        <v>0</v>
      </c>
      <c r="AC33" s="15">
        <v>0</v>
      </c>
      <c r="AD33" s="15">
        <v>8.9879999999999995</v>
      </c>
      <c r="AE33" s="15">
        <v>0</v>
      </c>
      <c r="AF33" s="15">
        <v>661.42944999999997</v>
      </c>
      <c r="AG33" s="15">
        <v>0</v>
      </c>
      <c r="AH33" s="15">
        <v>2125.9356895800001</v>
      </c>
      <c r="AI33" s="15">
        <v>2965.4929000000002</v>
      </c>
      <c r="AJ33" s="15">
        <v>2927.302898430004</v>
      </c>
      <c r="AK33" s="15">
        <v>4157.9528</v>
      </c>
      <c r="AL33" s="15">
        <v>366.28879999999998</v>
      </c>
      <c r="AM33" s="15">
        <v>9577.2193380100016</v>
      </c>
      <c r="AN33" s="15">
        <v>18220.122950000001</v>
      </c>
      <c r="AO33" s="15">
        <v>12757.437599999999</v>
      </c>
      <c r="AP33" s="15">
        <v>13346.38055</v>
      </c>
      <c r="AQ33" s="15">
        <v>14858.975200000001</v>
      </c>
      <c r="AR33" s="15">
        <v>17767.798854950001</v>
      </c>
      <c r="AS33" s="15">
        <v>15592.196789600001</v>
      </c>
      <c r="AT33" s="15">
        <v>12145.92115</v>
      </c>
      <c r="AU33" s="15">
        <v>22102.612438119999</v>
      </c>
      <c r="AV33" s="15">
        <v>20978.495094550002</v>
      </c>
      <c r="AW33" s="15">
        <v>19894.455785640002</v>
      </c>
      <c r="AX33" s="15">
        <v>14506.806889989999</v>
      </c>
      <c r="AY33" s="15">
        <v>18125.295974749999</v>
      </c>
      <c r="AZ33" s="15">
        <v>15847.348720139998</v>
      </c>
      <c r="BA33" s="15">
        <v>15725.016299999999</v>
      </c>
      <c r="BB33" s="15">
        <v>19507.41600211</v>
      </c>
      <c r="BC33" s="15">
        <v>19894.455785640002</v>
      </c>
      <c r="BD33" s="15">
        <v>0</v>
      </c>
      <c r="BE33" s="15">
        <v>339.20600000000002</v>
      </c>
      <c r="BF33" s="15">
        <v>0</v>
      </c>
      <c r="BG33" s="15">
        <v>0</v>
      </c>
      <c r="BH33" s="15">
        <v>0</v>
      </c>
      <c r="BI33" s="15">
        <v>715.58799999999997</v>
      </c>
      <c r="BJ33" s="15">
        <v>7283.9774019799997</v>
      </c>
      <c r="BK33" s="15">
        <v>2278.2467999999999</v>
      </c>
      <c r="BL33" s="15">
        <v>2322.4922499999998</v>
      </c>
      <c r="BM33" s="15">
        <v>46.678438010000001</v>
      </c>
      <c r="BN33" s="15">
        <v>143.52799999999999</v>
      </c>
      <c r="BO33" s="15">
        <v>0</v>
      </c>
      <c r="BP33" s="15">
        <v>1377.09</v>
      </c>
      <c r="BQ33" s="15">
        <v>7.9580786405131221E-13</v>
      </c>
      <c r="BR33" s="16">
        <v>1.1684019234348801</v>
      </c>
      <c r="BS33" s="16">
        <v>0.98692919336716978</v>
      </c>
      <c r="BT33" s="16">
        <v>0.68481461814753963</v>
      </c>
      <c r="BU33" s="16">
        <v>0.78277611298523464</v>
      </c>
      <c r="BV33" s="16">
        <v>1.1264530127446855</v>
      </c>
      <c r="BW33" s="16">
        <v>1.0696857457009992</v>
      </c>
      <c r="BX33" s="16">
        <v>0.91994981376937379</v>
      </c>
      <c r="BY33" s="16">
        <v>0.90271643611541852</v>
      </c>
      <c r="BZ33" s="16">
        <v>0.56479971259130779</v>
      </c>
      <c r="CA33" s="16">
        <v>0.80635308263014804</v>
      </c>
      <c r="CB33" s="16">
        <v>0.97205822376668616</v>
      </c>
      <c r="CC33" s="16">
        <v>0.63731587699821435</v>
      </c>
      <c r="CD33" s="16">
        <v>0.76518113635054008</v>
      </c>
      <c r="CE33" s="16">
        <v>0.69307314167935075</v>
      </c>
      <c r="CF33" s="16">
        <f t="shared" si="0"/>
        <v>0.54963882410362619</v>
      </c>
      <c r="CG33" s="16">
        <f t="shared" si="0"/>
        <v>0.80635308263014804</v>
      </c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>
        <v>2000</v>
      </c>
      <c r="CW33" s="30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>
        <v>0</v>
      </c>
      <c r="DO33" s="35">
        <v>1563.98752476</v>
      </c>
      <c r="DP33" s="35">
        <v>2275.25875</v>
      </c>
      <c r="DQ33" s="35">
        <v>0</v>
      </c>
      <c r="DR33" s="35">
        <v>0</v>
      </c>
    </row>
    <row r="34" spans="1:122" ht="25.5">
      <c r="A34" s="14">
        <f t="shared" si="1"/>
        <v>30</v>
      </c>
      <c r="B34" s="14" t="s">
        <v>108</v>
      </c>
      <c r="C34" s="14" t="s">
        <v>17</v>
      </c>
      <c r="D34" s="17" t="s">
        <v>28</v>
      </c>
      <c r="E34" s="14" t="s">
        <v>235</v>
      </c>
      <c r="F34" s="15">
        <v>170522.37086450998</v>
      </c>
      <c r="G34" s="15">
        <v>78251.451050000018</v>
      </c>
      <c r="H34" s="15">
        <v>48812.687350000022</v>
      </c>
      <c r="I34" s="15">
        <v>47209.830921600005</v>
      </c>
      <c r="J34" s="15">
        <v>73265.484955669977</v>
      </c>
      <c r="K34" s="15">
        <v>27978.136569599999</v>
      </c>
      <c r="L34" s="15">
        <v>30064.703535539997</v>
      </c>
      <c r="M34" s="15">
        <v>47442.166140000001</v>
      </c>
      <c r="N34" s="15">
        <v>50892.913670430011</v>
      </c>
      <c r="O34" s="15">
        <v>58749.545978769995</v>
      </c>
      <c r="P34" s="15">
        <v>58614.76011403001</v>
      </c>
      <c r="Q34" s="15">
        <v>99014.77741499999</v>
      </c>
      <c r="R34" s="15">
        <v>104188.54379102001</v>
      </c>
      <c r="S34" s="15">
        <v>88926.200205999994</v>
      </c>
      <c r="T34" s="15">
        <v>55096.67345368</v>
      </c>
      <c r="U34" s="15">
        <v>58749.545978769995</v>
      </c>
      <c r="V34" s="15">
        <v>0</v>
      </c>
      <c r="W34" s="15">
        <v>17859.418099999999</v>
      </c>
      <c r="X34" s="15">
        <v>748.12310000000002</v>
      </c>
      <c r="Y34" s="15">
        <v>4054.2896000000001</v>
      </c>
      <c r="Z34" s="15">
        <v>0</v>
      </c>
      <c r="AA34" s="15">
        <v>11580.72</v>
      </c>
      <c r="AB34" s="15">
        <v>0</v>
      </c>
      <c r="AC34" s="15">
        <v>348.90800000000002</v>
      </c>
      <c r="AD34" s="15">
        <v>143.82000000000002</v>
      </c>
      <c r="AE34" s="15">
        <v>658.34649999999999</v>
      </c>
      <c r="AF34" s="15">
        <v>1273.3947999999998</v>
      </c>
      <c r="AG34" s="15">
        <v>7904</v>
      </c>
      <c r="AH34" s="15">
        <v>1766.6860361500001</v>
      </c>
      <c r="AI34" s="15">
        <v>4434.9840000000004</v>
      </c>
      <c r="AJ34" s="15">
        <v>7842.0699778800081</v>
      </c>
      <c r="AK34" s="15">
        <v>18607.5412</v>
      </c>
      <c r="AL34" s="15">
        <v>1869.3191499999998</v>
      </c>
      <c r="AM34" s="15">
        <v>38137.899764030008</v>
      </c>
      <c r="AN34" s="15">
        <v>76387.819264510006</v>
      </c>
      <c r="AO34" s="15">
        <v>55609.019950000002</v>
      </c>
      <c r="AP34" s="15">
        <v>36465.871150000006</v>
      </c>
      <c r="AQ34" s="15">
        <v>42509.280021600003</v>
      </c>
      <c r="AR34" s="15">
        <v>60994.912855670009</v>
      </c>
      <c r="AS34" s="15">
        <v>48870.616619600005</v>
      </c>
      <c r="AT34" s="15">
        <v>34161.695935540003</v>
      </c>
      <c r="AU34" s="15">
        <v>48044.93909</v>
      </c>
      <c r="AV34" s="15">
        <v>54928.29512042999</v>
      </c>
      <c r="AW34" s="15">
        <v>68483.709928770011</v>
      </c>
      <c r="AX34" s="15">
        <v>47148.444514029994</v>
      </c>
      <c r="AY34" s="15">
        <v>83097.621364999999</v>
      </c>
      <c r="AZ34" s="15">
        <v>69643.530541019994</v>
      </c>
      <c r="BA34" s="15">
        <v>78696.353055999993</v>
      </c>
      <c r="BB34" s="15">
        <v>81351.106303680004</v>
      </c>
      <c r="BC34" s="15">
        <v>68483.709928770011</v>
      </c>
      <c r="BD34" s="15">
        <v>0</v>
      </c>
      <c r="BE34" s="15">
        <v>34.938000000000002</v>
      </c>
      <c r="BF34" s="15">
        <v>0</v>
      </c>
      <c r="BG34" s="15">
        <v>0</v>
      </c>
      <c r="BH34" s="15">
        <v>0</v>
      </c>
      <c r="BI34" s="15">
        <v>883.01110000000006</v>
      </c>
      <c r="BJ34" s="15">
        <v>9316.2248</v>
      </c>
      <c r="BK34" s="15">
        <v>1888.4942599999999</v>
      </c>
      <c r="BL34" s="15">
        <v>14153.220649999999</v>
      </c>
      <c r="BM34" s="15">
        <v>605.27670403000002</v>
      </c>
      <c r="BN34" s="15">
        <v>50.624000000000002</v>
      </c>
      <c r="BO34" s="15">
        <v>16034</v>
      </c>
      <c r="BP34" s="15">
        <v>4071.8470000000002</v>
      </c>
      <c r="BQ34" s="15">
        <v>110.8079999999952</v>
      </c>
      <c r="BR34" s="16">
        <v>2.2323241127494153</v>
      </c>
      <c r="BS34" s="16">
        <v>1.4071719142031025</v>
      </c>
      <c r="BT34" s="16">
        <v>1.3385855269770517</v>
      </c>
      <c r="BU34" s="16">
        <v>1.1105770527661616</v>
      </c>
      <c r="BV34" s="16">
        <v>1.2011736967152551</v>
      </c>
      <c r="BW34" s="16">
        <v>0.57249403639362129</v>
      </c>
      <c r="BX34" s="16">
        <v>0.88007057940768929</v>
      </c>
      <c r="BY34" s="16">
        <v>0.98745397618527819</v>
      </c>
      <c r="BZ34" s="16">
        <v>0.92653364825628715</v>
      </c>
      <c r="CA34" s="16">
        <v>0.85786161467997968</v>
      </c>
      <c r="CB34" s="16">
        <v>1.2431960527687818</v>
      </c>
      <c r="CC34" s="16">
        <v>1.1915476735499455</v>
      </c>
      <c r="CD34" s="16">
        <v>1.4960261632579501</v>
      </c>
      <c r="CE34" s="16">
        <v>1.1299913751113788</v>
      </c>
      <c r="CF34" s="16">
        <f t="shared" si="0"/>
        <v>0.67727011908119117</v>
      </c>
      <c r="CG34" s="16">
        <f t="shared" si="0"/>
        <v>0.85786161467997968</v>
      </c>
      <c r="CH34" s="30"/>
      <c r="CI34" s="30"/>
      <c r="CJ34" s="30">
        <v>1000</v>
      </c>
      <c r="CK34" s="30"/>
      <c r="CL34" s="30"/>
      <c r="CM34" s="30">
        <v>7000</v>
      </c>
      <c r="CN34" s="30">
        <v>4000</v>
      </c>
      <c r="CO34" s="30">
        <v>2000</v>
      </c>
      <c r="CP34" s="30">
        <v>3500</v>
      </c>
      <c r="CQ34" s="30">
        <v>6500</v>
      </c>
      <c r="CR34" s="30"/>
      <c r="CS34" s="30">
        <v>6000</v>
      </c>
      <c r="CT34" s="30"/>
      <c r="CU34" s="30"/>
      <c r="CV34" s="30">
        <v>22000</v>
      </c>
      <c r="CW34" s="30">
        <v>6500</v>
      </c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>
        <v>7366.5466999999999</v>
      </c>
      <c r="DO34" s="35">
        <v>2174.3993</v>
      </c>
      <c r="DP34" s="35">
        <v>0</v>
      </c>
      <c r="DQ34" s="35">
        <v>0</v>
      </c>
      <c r="DR34" s="35">
        <v>90</v>
      </c>
    </row>
    <row r="35" spans="1:122" ht="25.5">
      <c r="A35" s="14">
        <f t="shared" si="1"/>
        <v>31</v>
      </c>
      <c r="B35" s="14" t="s">
        <v>109</v>
      </c>
      <c r="C35" s="14" t="s">
        <v>17</v>
      </c>
      <c r="D35" s="17" t="s">
        <v>29</v>
      </c>
      <c r="E35" s="14" t="s">
        <v>237</v>
      </c>
      <c r="F35" s="15">
        <v>16256.982499999998</v>
      </c>
      <c r="G35" s="15">
        <v>12680.90852193</v>
      </c>
      <c r="H35" s="15">
        <v>14978.45136546</v>
      </c>
      <c r="I35" s="15">
        <v>15266.574527250001</v>
      </c>
      <c r="J35" s="15">
        <v>14727.752399999999</v>
      </c>
      <c r="K35" s="15">
        <v>14332.319899999999</v>
      </c>
      <c r="L35" s="15">
        <v>18174.555509999998</v>
      </c>
      <c r="M35" s="15">
        <v>15569.432745980002</v>
      </c>
      <c r="N35" s="15">
        <v>17456.431219950002</v>
      </c>
      <c r="O35" s="15">
        <v>15802.1353</v>
      </c>
      <c r="P35" s="15">
        <v>14670.585274999999</v>
      </c>
      <c r="Q35" s="15">
        <v>19170.713656689997</v>
      </c>
      <c r="R35" s="15">
        <v>15560.393099999999</v>
      </c>
      <c r="S35" s="15">
        <v>17183.4558</v>
      </c>
      <c r="T35" s="15">
        <v>17896.737425630003</v>
      </c>
      <c r="U35" s="15">
        <v>15802.1353</v>
      </c>
      <c r="V35" s="15">
        <v>66.838999999999999</v>
      </c>
      <c r="W35" s="15">
        <v>332.375</v>
      </c>
      <c r="X35" s="15">
        <v>1055.7345</v>
      </c>
      <c r="Y35" s="15">
        <v>2264.4639999999999</v>
      </c>
      <c r="Z35" s="15">
        <v>1.734</v>
      </c>
      <c r="AA35" s="15">
        <v>5</v>
      </c>
      <c r="AB35" s="15">
        <v>0</v>
      </c>
      <c r="AC35" s="15">
        <v>0</v>
      </c>
      <c r="AD35" s="15">
        <v>41.687599999999996</v>
      </c>
      <c r="AE35" s="15">
        <v>0</v>
      </c>
      <c r="AF35" s="15">
        <v>1046.21145</v>
      </c>
      <c r="AG35" s="15">
        <v>267.91800000000001</v>
      </c>
      <c r="AH35" s="15">
        <v>2357.5897945000002</v>
      </c>
      <c r="AI35" s="15">
        <v>2934.9901500000001</v>
      </c>
      <c r="AJ35" s="15">
        <v>4296.0417804999997</v>
      </c>
      <c r="AK35" s="15">
        <v>1456.6824999999999</v>
      </c>
      <c r="AL35" s="15">
        <v>412.56359999999995</v>
      </c>
      <c r="AM35" s="15">
        <v>12801.339174999999</v>
      </c>
      <c r="AN35" s="15">
        <v>23953.34527487</v>
      </c>
      <c r="AO35" s="15">
        <v>19753.793675499997</v>
      </c>
      <c r="AP35" s="15">
        <v>26299.152631139998</v>
      </c>
      <c r="AQ35" s="15">
        <v>28736.322890980002</v>
      </c>
      <c r="AR35" s="15">
        <v>24246.681470650001</v>
      </c>
      <c r="AS35" s="15">
        <v>28255.010351999998</v>
      </c>
      <c r="AT35" s="15">
        <v>27893.392186110003</v>
      </c>
      <c r="AU35" s="15">
        <v>31010.309062799999</v>
      </c>
      <c r="AV35" s="15">
        <v>32237.079120940001</v>
      </c>
      <c r="AW35" s="15">
        <v>28644.597904949998</v>
      </c>
      <c r="AX35" s="15">
        <v>24797.64657302</v>
      </c>
      <c r="AY35" s="15">
        <v>31962.183263620002</v>
      </c>
      <c r="AZ35" s="15">
        <v>25023.468406929998</v>
      </c>
      <c r="BA35" s="15">
        <v>25405.726403940003</v>
      </c>
      <c r="BB35" s="15">
        <v>31057.944321700001</v>
      </c>
      <c r="BC35" s="15">
        <v>28644.597904949998</v>
      </c>
      <c r="BD35" s="15">
        <v>0</v>
      </c>
      <c r="BE35" s="15">
        <v>208.10400000000001</v>
      </c>
      <c r="BF35" s="15">
        <v>0</v>
      </c>
      <c r="BG35" s="15">
        <v>0</v>
      </c>
      <c r="BH35" s="15">
        <v>0</v>
      </c>
      <c r="BI35" s="15">
        <v>556.64199999999994</v>
      </c>
      <c r="BJ35" s="15">
        <v>12938.244223020001</v>
      </c>
      <c r="BK35" s="15">
        <v>2618.1202499999999</v>
      </c>
      <c r="BL35" s="15">
        <v>5648.5929999999998</v>
      </c>
      <c r="BM35" s="15">
        <v>12</v>
      </c>
      <c r="BN35" s="15">
        <v>174.1</v>
      </c>
      <c r="BO35" s="15">
        <v>1165.0999999999999</v>
      </c>
      <c r="BP35" s="15">
        <v>1164.4660000000001</v>
      </c>
      <c r="BQ35" s="15">
        <v>312.27710000000036</v>
      </c>
      <c r="BR35" s="16">
        <v>0.67869361516930038</v>
      </c>
      <c r="BS35" s="16">
        <v>0.64194800908838734</v>
      </c>
      <c r="BT35" s="16">
        <v>0.5695412158536427</v>
      </c>
      <c r="BU35" s="16">
        <v>0.53126402376422355</v>
      </c>
      <c r="BV35" s="16">
        <v>0.60741311827878686</v>
      </c>
      <c r="BW35" s="16">
        <v>0.50724879309716842</v>
      </c>
      <c r="BX35" s="16">
        <v>0.65157207802966088</v>
      </c>
      <c r="BY35" s="16">
        <v>0.50207280148191469</v>
      </c>
      <c r="BZ35" s="16">
        <v>0.54150164022183256</v>
      </c>
      <c r="CA35" s="16">
        <v>0.55166196964731262</v>
      </c>
      <c r="CB35" s="16">
        <v>0.59161199962264532</v>
      </c>
      <c r="CC35" s="16">
        <v>0.59979362168636607</v>
      </c>
      <c r="CD35" s="16">
        <v>0.62183198775477122</v>
      </c>
      <c r="CE35" s="16">
        <v>0.67636152286262252</v>
      </c>
      <c r="CF35" s="16">
        <f t="shared" si="0"/>
        <v>0.57623702458393744</v>
      </c>
      <c r="CG35" s="16">
        <f t="shared" si="0"/>
        <v>0.55166196964731262</v>
      </c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>
        <v>0</v>
      </c>
      <c r="DO35" s="35">
        <v>2743.6965594200001</v>
      </c>
      <c r="DP35" s="35">
        <v>2617.0369999999998</v>
      </c>
      <c r="DQ35" s="35">
        <v>0</v>
      </c>
      <c r="DR35" s="35">
        <v>0</v>
      </c>
    </row>
    <row r="36" spans="1:122" ht="25.5">
      <c r="A36" s="14">
        <f t="shared" si="1"/>
        <v>32</v>
      </c>
      <c r="B36" s="14" t="s">
        <v>128</v>
      </c>
      <c r="C36" s="14" t="s">
        <v>96</v>
      </c>
      <c r="D36" s="17" t="s">
        <v>30</v>
      </c>
      <c r="E36" s="14" t="s">
        <v>221</v>
      </c>
      <c r="F36" s="15">
        <v>9111.5779500000008</v>
      </c>
      <c r="G36" s="15">
        <v>7383.2664500000001</v>
      </c>
      <c r="H36" s="15">
        <v>8249.3359999999993</v>
      </c>
      <c r="I36" s="15">
        <v>11641.652000000004</v>
      </c>
      <c r="J36" s="15">
        <v>10788.507850000002</v>
      </c>
      <c r="K36" s="15">
        <v>9463.74035</v>
      </c>
      <c r="L36" s="15">
        <v>9641.1857500000024</v>
      </c>
      <c r="M36" s="15">
        <v>11415.68455</v>
      </c>
      <c r="N36" s="15">
        <v>11551.792650000001</v>
      </c>
      <c r="O36" s="15">
        <v>11219.930700000001</v>
      </c>
      <c r="P36" s="15">
        <v>9215.6327000000001</v>
      </c>
      <c r="Q36" s="15">
        <v>11796.169200000002</v>
      </c>
      <c r="R36" s="15">
        <v>12081.63075</v>
      </c>
      <c r="S36" s="15">
        <v>11130.28455</v>
      </c>
      <c r="T36" s="15">
        <v>13389.2657</v>
      </c>
      <c r="U36" s="15">
        <v>11219.930700000001</v>
      </c>
      <c r="V36" s="15">
        <v>114.88325</v>
      </c>
      <c r="W36" s="15">
        <v>2281.0344</v>
      </c>
      <c r="X36" s="15">
        <v>10.78</v>
      </c>
      <c r="Y36" s="15">
        <v>310.50810000000001</v>
      </c>
      <c r="Z36" s="15">
        <v>46.731000000000002</v>
      </c>
      <c r="AA36" s="15">
        <v>92.564999999999998</v>
      </c>
      <c r="AB36" s="15">
        <v>63.720999999999997</v>
      </c>
      <c r="AC36" s="15">
        <v>463.9375</v>
      </c>
      <c r="AD36" s="15">
        <v>377.31880000000001</v>
      </c>
      <c r="AE36" s="15">
        <v>509.2192</v>
      </c>
      <c r="AF36" s="15">
        <v>48.804699999999997</v>
      </c>
      <c r="AG36" s="15">
        <v>531.90700000000004</v>
      </c>
      <c r="AH36" s="15">
        <v>786.55340000000001</v>
      </c>
      <c r="AI36" s="15">
        <v>1346.3154999999999</v>
      </c>
      <c r="AJ36" s="15">
        <v>2231.3538500000027</v>
      </c>
      <c r="AK36" s="15">
        <v>2453.4286500000003</v>
      </c>
      <c r="AL36" s="15">
        <v>1507.2194999999999</v>
      </c>
      <c r="AM36" s="15">
        <v>5254.9845500000001</v>
      </c>
      <c r="AN36" s="15">
        <v>20703.186150000001</v>
      </c>
      <c r="AO36" s="15">
        <v>23742.517399999997</v>
      </c>
      <c r="AP36" s="15">
        <v>23123.976699999999</v>
      </c>
      <c r="AQ36" s="15">
        <v>27457.832600000002</v>
      </c>
      <c r="AR36" s="15">
        <v>27943.804949999998</v>
      </c>
      <c r="AS36" s="15">
        <v>25812.004550000001</v>
      </c>
      <c r="AT36" s="15">
        <v>23847.24295</v>
      </c>
      <c r="AU36" s="15">
        <v>27436.826900000004</v>
      </c>
      <c r="AV36" s="15">
        <v>31777.2343</v>
      </c>
      <c r="AW36" s="15">
        <v>25442.49005</v>
      </c>
      <c r="AX36" s="15">
        <v>22871.63005</v>
      </c>
      <c r="AY36" s="15">
        <v>27620.068400000004</v>
      </c>
      <c r="AZ36" s="15">
        <v>22486.127950000002</v>
      </c>
      <c r="BA36" s="15">
        <v>24282.616300000005</v>
      </c>
      <c r="BB36" s="15">
        <v>30217.927799999998</v>
      </c>
      <c r="BC36" s="15">
        <v>25442.49005</v>
      </c>
      <c r="BD36" s="15">
        <v>0</v>
      </c>
      <c r="BE36" s="15">
        <v>18.367999999999999</v>
      </c>
      <c r="BF36" s="15">
        <v>0</v>
      </c>
      <c r="BG36" s="15">
        <v>0</v>
      </c>
      <c r="BH36" s="15">
        <v>0</v>
      </c>
      <c r="BI36" s="15">
        <v>212.94710000000001</v>
      </c>
      <c r="BJ36" s="15">
        <v>17292.437999999998</v>
      </c>
      <c r="BK36" s="15">
        <v>953.58934999999997</v>
      </c>
      <c r="BL36" s="15">
        <v>2560.0819000000001</v>
      </c>
      <c r="BM36" s="15">
        <v>249.8777</v>
      </c>
      <c r="BN36" s="15">
        <v>0</v>
      </c>
      <c r="BO36" s="15">
        <v>0</v>
      </c>
      <c r="BP36" s="15">
        <v>1299.3240000000001</v>
      </c>
      <c r="BQ36" s="15">
        <v>285.00400000000064</v>
      </c>
      <c r="BR36" s="16">
        <v>0.44010510672049385</v>
      </c>
      <c r="BS36" s="16">
        <v>0.31097235080893321</v>
      </c>
      <c r="BT36" s="16">
        <v>0.35674382944694799</v>
      </c>
      <c r="BU36" s="16">
        <v>0.42398291844783126</v>
      </c>
      <c r="BV36" s="16">
        <v>0.38607869863477567</v>
      </c>
      <c r="BW36" s="16">
        <v>0.36664104609419029</v>
      </c>
      <c r="BX36" s="16">
        <v>0.40428932477496327</v>
      </c>
      <c r="BY36" s="16">
        <v>0.41607160301762147</v>
      </c>
      <c r="BZ36" s="16">
        <v>0.3635241676774873</v>
      </c>
      <c r="CA36" s="16">
        <v>0.44099184780854422</v>
      </c>
      <c r="CB36" s="16">
        <v>0.40292854859288879</v>
      </c>
      <c r="CC36" s="16">
        <v>0.42708689309400844</v>
      </c>
      <c r="CD36" s="16">
        <v>0.53729262667474942</v>
      </c>
      <c r="CE36" s="16">
        <v>0.45836430524992472</v>
      </c>
      <c r="CF36" s="16">
        <f t="shared" si="0"/>
        <v>0.44309013472459224</v>
      </c>
      <c r="CG36" s="16">
        <f t="shared" si="0"/>
        <v>0.44099184780854422</v>
      </c>
      <c r="CH36" s="30"/>
      <c r="CI36" s="30">
        <v>6500</v>
      </c>
      <c r="CJ36" s="30">
        <v>5000</v>
      </c>
      <c r="CK36" s="30">
        <v>4500</v>
      </c>
      <c r="CL36" s="30">
        <v>8500</v>
      </c>
      <c r="CM36" s="30">
        <v>9500</v>
      </c>
      <c r="CN36" s="30">
        <v>1500</v>
      </c>
      <c r="CO36" s="30">
        <v>1800</v>
      </c>
      <c r="CP36" s="30">
        <v>2700</v>
      </c>
      <c r="CQ36" s="30">
        <v>3300</v>
      </c>
      <c r="CR36" s="30">
        <v>1000</v>
      </c>
      <c r="CS36" s="30">
        <v>8600</v>
      </c>
      <c r="CT36" s="30"/>
      <c r="CU36" s="30"/>
      <c r="CV36" s="30">
        <v>6000</v>
      </c>
      <c r="CW36" s="30">
        <v>3300</v>
      </c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>
        <v>0</v>
      </c>
      <c r="DO36" s="35">
        <v>4354.8930499999997</v>
      </c>
      <c r="DP36" s="35">
        <v>4639.0039999999999</v>
      </c>
      <c r="DQ36" s="35">
        <v>0</v>
      </c>
      <c r="DR36" s="35">
        <v>0</v>
      </c>
    </row>
    <row r="37" spans="1:122" ht="25.5">
      <c r="A37" s="14">
        <f t="shared" si="1"/>
        <v>33</v>
      </c>
      <c r="B37" s="14" t="s">
        <v>129</v>
      </c>
      <c r="C37" s="14" t="s">
        <v>96</v>
      </c>
      <c r="D37" s="17" t="s">
        <v>31</v>
      </c>
      <c r="E37" s="14" t="s">
        <v>225</v>
      </c>
      <c r="F37" s="15">
        <v>20834.715700000001</v>
      </c>
      <c r="G37" s="15">
        <v>19570.795399999999</v>
      </c>
      <c r="H37" s="15">
        <v>9733.3968999999997</v>
      </c>
      <c r="I37" s="15">
        <v>17874.370349999997</v>
      </c>
      <c r="J37" s="15">
        <v>14791.825249999996</v>
      </c>
      <c r="K37" s="15">
        <v>10284.595600000001</v>
      </c>
      <c r="L37" s="15">
        <v>18043.889349999998</v>
      </c>
      <c r="M37" s="15">
        <v>16415.999449999999</v>
      </c>
      <c r="N37" s="15">
        <v>9308.0635999999995</v>
      </c>
      <c r="O37" s="15">
        <v>9379.8280500000001</v>
      </c>
      <c r="P37" s="15">
        <v>8610.8861500000003</v>
      </c>
      <c r="Q37" s="15">
        <v>9435.999749999999</v>
      </c>
      <c r="R37" s="15">
        <v>8052.7862999999998</v>
      </c>
      <c r="S37" s="15">
        <v>8987.7518500000006</v>
      </c>
      <c r="T37" s="15">
        <v>6144.3339500000002</v>
      </c>
      <c r="U37" s="15">
        <v>9379.8280500000001</v>
      </c>
      <c r="V37" s="15">
        <v>0</v>
      </c>
      <c r="W37" s="15">
        <v>55.697000000000003</v>
      </c>
      <c r="X37" s="15">
        <v>24.016999999999999</v>
      </c>
      <c r="Y37" s="15">
        <v>761.29134999999997</v>
      </c>
      <c r="Z37" s="15">
        <v>0</v>
      </c>
      <c r="AA37" s="15">
        <v>3354.9740000000002</v>
      </c>
      <c r="AB37" s="15">
        <v>0</v>
      </c>
      <c r="AC37" s="15">
        <v>0</v>
      </c>
      <c r="AD37" s="15">
        <v>19.352999999999998</v>
      </c>
      <c r="AE37" s="15">
        <v>1368.5696500000001</v>
      </c>
      <c r="AF37" s="15">
        <v>240.66295</v>
      </c>
      <c r="AG37" s="15">
        <v>0</v>
      </c>
      <c r="AH37" s="15">
        <v>1753.5047</v>
      </c>
      <c r="AI37" s="15">
        <v>215.65899999999999</v>
      </c>
      <c r="AJ37" s="15">
        <v>817.1575000000006</v>
      </c>
      <c r="AK37" s="15">
        <v>79.713999999999999</v>
      </c>
      <c r="AL37" s="15">
        <v>1432.6456500000002</v>
      </c>
      <c r="AM37" s="15">
        <v>7098.5264999999999</v>
      </c>
      <c r="AN37" s="15">
        <v>7002.0655000000006</v>
      </c>
      <c r="AO37" s="15">
        <v>14980.128200000001</v>
      </c>
      <c r="AP37" s="15">
        <v>10239.019050000001</v>
      </c>
      <c r="AQ37" s="15">
        <v>18353.590849999997</v>
      </c>
      <c r="AR37" s="15">
        <v>11509.2927</v>
      </c>
      <c r="AS37" s="15">
        <v>9832.2425500000008</v>
      </c>
      <c r="AT37" s="15">
        <v>27815.885399999996</v>
      </c>
      <c r="AU37" s="15">
        <v>26776.8367</v>
      </c>
      <c r="AV37" s="15">
        <v>12132.569899999999</v>
      </c>
      <c r="AW37" s="15">
        <v>12288.355250000001</v>
      </c>
      <c r="AX37" s="15">
        <v>7169.4868999999999</v>
      </c>
      <c r="AY37" s="15">
        <v>11251.6965</v>
      </c>
      <c r="AZ37" s="15">
        <v>7709.7315500000004</v>
      </c>
      <c r="BA37" s="15">
        <v>10421.658149999999</v>
      </c>
      <c r="BB37" s="15">
        <v>9629.8622999999989</v>
      </c>
      <c r="BC37" s="15">
        <v>12288.355250000001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482.97469999999998</v>
      </c>
      <c r="BJ37" s="15">
        <v>3045.72</v>
      </c>
      <c r="BK37" s="15">
        <v>114.8672</v>
      </c>
      <c r="BL37" s="15">
        <v>2790.3325500000001</v>
      </c>
      <c r="BM37" s="15">
        <v>38.592449999999999</v>
      </c>
      <c r="BN37" s="15">
        <v>0</v>
      </c>
      <c r="BO37" s="15">
        <v>195</v>
      </c>
      <c r="BP37" s="15">
        <v>312</v>
      </c>
      <c r="BQ37" s="15">
        <v>189.99999999999977</v>
      </c>
      <c r="BR37" s="16">
        <v>2.9755099691655267</v>
      </c>
      <c r="BS37" s="16">
        <v>1.3064504614853696</v>
      </c>
      <c r="BT37" s="16">
        <v>0.95061810633119181</v>
      </c>
      <c r="BU37" s="16">
        <v>0.97388955088317231</v>
      </c>
      <c r="BV37" s="16">
        <v>1.2852071483072105</v>
      </c>
      <c r="BW37" s="16">
        <v>1.046007108520731</v>
      </c>
      <c r="BX37" s="16">
        <v>0.64869009526477273</v>
      </c>
      <c r="BY37" s="16">
        <v>0.61306716823649299</v>
      </c>
      <c r="BZ37" s="16">
        <v>0.76719637114969352</v>
      </c>
      <c r="CA37" s="16">
        <v>0.76331029329576061</v>
      </c>
      <c r="CB37" s="16">
        <v>1.2010463607932669</v>
      </c>
      <c r="CC37" s="16">
        <v>0.83862906806986826</v>
      </c>
      <c r="CD37" s="16">
        <v>1.0444963287988931</v>
      </c>
      <c r="CE37" s="16">
        <v>0.86241092546295051</v>
      </c>
      <c r="CF37" s="16">
        <f t="shared" si="0"/>
        <v>0.63805003213805045</v>
      </c>
      <c r="CG37" s="16">
        <f t="shared" si="0"/>
        <v>0.76331029329576061</v>
      </c>
      <c r="CH37" s="30"/>
      <c r="CI37" s="30"/>
      <c r="CJ37" s="30">
        <v>6000</v>
      </c>
      <c r="CK37" s="30">
        <v>2000</v>
      </c>
      <c r="CL37" s="30">
        <v>1500</v>
      </c>
      <c r="CM37" s="30">
        <v>1500</v>
      </c>
      <c r="CN37" s="30">
        <v>1500</v>
      </c>
      <c r="CO37" s="30">
        <v>9700</v>
      </c>
      <c r="CP37" s="30"/>
      <c r="CQ37" s="30">
        <v>3000</v>
      </c>
      <c r="CR37" s="30"/>
      <c r="CS37" s="30">
        <v>3000</v>
      </c>
      <c r="CT37" s="30"/>
      <c r="CU37" s="30"/>
      <c r="CV37" s="30">
        <v>3000</v>
      </c>
      <c r="CW37" s="30">
        <v>3000</v>
      </c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>
        <v>2294.1680000000001</v>
      </c>
      <c r="DO37" s="35">
        <v>852.47</v>
      </c>
      <c r="DP37" s="35">
        <v>50</v>
      </c>
      <c r="DQ37" s="35">
        <v>0</v>
      </c>
      <c r="DR37" s="35">
        <v>217</v>
      </c>
    </row>
    <row r="38" spans="1:122" ht="25.5">
      <c r="A38" s="14">
        <f t="shared" si="1"/>
        <v>34</v>
      </c>
      <c r="B38" s="14" t="s">
        <v>130</v>
      </c>
      <c r="C38" s="14" t="s">
        <v>96</v>
      </c>
      <c r="D38" s="17" t="s">
        <v>32</v>
      </c>
      <c r="E38" s="14" t="s">
        <v>226</v>
      </c>
      <c r="F38" s="15">
        <v>13294.956100000003</v>
      </c>
      <c r="G38" s="15">
        <v>10302.805699999997</v>
      </c>
      <c r="H38" s="15">
        <v>9876.9281499999997</v>
      </c>
      <c r="I38" s="15">
        <v>10992.291799999997</v>
      </c>
      <c r="J38" s="15">
        <v>10517.790599999998</v>
      </c>
      <c r="K38" s="15">
        <v>11464.267349999998</v>
      </c>
      <c r="L38" s="15">
        <v>10085.449250000001</v>
      </c>
      <c r="M38" s="15">
        <v>9870.3524499999985</v>
      </c>
      <c r="N38" s="15">
        <v>11960.633499999998</v>
      </c>
      <c r="O38" s="15">
        <v>12542.187199999998</v>
      </c>
      <c r="P38" s="15">
        <v>11705.624449999999</v>
      </c>
      <c r="Q38" s="15">
        <v>12201.709299999999</v>
      </c>
      <c r="R38" s="15">
        <v>11133.526749999999</v>
      </c>
      <c r="S38" s="15">
        <v>12172.854399999998</v>
      </c>
      <c r="T38" s="15">
        <v>11822.058749999998</v>
      </c>
      <c r="U38" s="15">
        <v>12542.187199999998</v>
      </c>
      <c r="V38" s="15">
        <v>2451.1608000000001</v>
      </c>
      <c r="W38" s="15">
        <v>1962.5429999999999</v>
      </c>
      <c r="X38" s="15">
        <v>135.922</v>
      </c>
      <c r="Y38" s="15">
        <v>75.266300000000001</v>
      </c>
      <c r="Z38" s="15">
        <v>0</v>
      </c>
      <c r="AA38" s="15">
        <v>128.684</v>
      </c>
      <c r="AB38" s="15">
        <v>0</v>
      </c>
      <c r="AC38" s="15">
        <v>0</v>
      </c>
      <c r="AD38" s="15">
        <v>30.267600000000002</v>
      </c>
      <c r="AE38" s="15">
        <v>595.95799999999997</v>
      </c>
      <c r="AF38" s="15">
        <v>744.28904999999997</v>
      </c>
      <c r="AG38" s="15">
        <v>112.336</v>
      </c>
      <c r="AH38" s="15">
        <v>1392.9853000000001</v>
      </c>
      <c r="AI38" s="15">
        <v>174.828</v>
      </c>
      <c r="AJ38" s="15">
        <v>3901.3844000000022</v>
      </c>
      <c r="AK38" s="15">
        <v>4549.6257999999998</v>
      </c>
      <c r="AL38" s="15">
        <v>1021.6058499999999</v>
      </c>
      <c r="AM38" s="15">
        <v>6134.3927999999996</v>
      </c>
      <c r="AN38" s="15">
        <v>16489.38105</v>
      </c>
      <c r="AO38" s="15">
        <v>13944.822700000001</v>
      </c>
      <c r="AP38" s="15">
        <v>13203.038200000001</v>
      </c>
      <c r="AQ38" s="15">
        <v>16935.57645</v>
      </c>
      <c r="AR38" s="15">
        <v>17538.241399999999</v>
      </c>
      <c r="AS38" s="15">
        <v>16463.423800000004</v>
      </c>
      <c r="AT38" s="15">
        <v>15656.937449999999</v>
      </c>
      <c r="AU38" s="15">
        <v>16356.750749999999</v>
      </c>
      <c r="AV38" s="15">
        <v>17347.758600000005</v>
      </c>
      <c r="AW38" s="15">
        <v>18504.256000000001</v>
      </c>
      <c r="AX38" s="15">
        <v>15394.2199</v>
      </c>
      <c r="AY38" s="15">
        <v>16290.64515</v>
      </c>
      <c r="AZ38" s="15">
        <v>12626.486300000002</v>
      </c>
      <c r="BA38" s="15">
        <v>17212.4807</v>
      </c>
      <c r="BB38" s="15">
        <v>18013.347900000001</v>
      </c>
      <c r="BC38" s="15">
        <v>18504.256000000001</v>
      </c>
      <c r="BD38" s="15">
        <v>0</v>
      </c>
      <c r="BE38" s="15">
        <v>876.90499999999997</v>
      </c>
      <c r="BF38" s="15">
        <v>0</v>
      </c>
      <c r="BG38" s="15">
        <v>0</v>
      </c>
      <c r="BH38" s="15">
        <v>0</v>
      </c>
      <c r="BI38" s="15">
        <v>408.78160000000003</v>
      </c>
      <c r="BJ38" s="15">
        <v>8386.183500000001</v>
      </c>
      <c r="BK38" s="15">
        <v>131.43525</v>
      </c>
      <c r="BL38" s="15">
        <v>2123.9270000000001</v>
      </c>
      <c r="BM38" s="15">
        <v>1914.71255</v>
      </c>
      <c r="BN38" s="15">
        <v>6.476</v>
      </c>
      <c r="BO38" s="15">
        <v>0</v>
      </c>
      <c r="BP38" s="15">
        <v>1435.799</v>
      </c>
      <c r="BQ38" s="15">
        <v>109.99999999999909</v>
      </c>
      <c r="BR38" s="16">
        <v>0.80627381098698081</v>
      </c>
      <c r="BS38" s="16">
        <v>0.73882658257103528</v>
      </c>
      <c r="BT38" s="16">
        <v>0.74807994950737922</v>
      </c>
      <c r="BU38" s="16">
        <v>0.64906511050587812</v>
      </c>
      <c r="BV38" s="16">
        <v>0.59970611420595443</v>
      </c>
      <c r="BW38" s="16">
        <v>0.6963477032037525</v>
      </c>
      <c r="BX38" s="16">
        <v>0.64415210715426352</v>
      </c>
      <c r="BY38" s="16">
        <v>0.60344212618144832</v>
      </c>
      <c r="BZ38" s="16">
        <v>0.68946275860675132</v>
      </c>
      <c r="CA38" s="16">
        <v>0.67780013419615448</v>
      </c>
      <c r="CB38" s="16">
        <v>0.76039088216480522</v>
      </c>
      <c r="CC38" s="16">
        <v>0.74900098723223363</v>
      </c>
      <c r="CD38" s="16">
        <v>0.88175969826221545</v>
      </c>
      <c r="CE38" s="16">
        <v>0.70721092515153838</v>
      </c>
      <c r="CF38" s="16">
        <f t="shared" si="0"/>
        <v>0.65629436657912976</v>
      </c>
      <c r="CG38" s="16">
        <f t="shared" si="0"/>
        <v>0.67780013419615448</v>
      </c>
      <c r="CH38" s="30"/>
      <c r="CI38" s="30">
        <v>3000</v>
      </c>
      <c r="CJ38" s="30">
        <v>2000</v>
      </c>
      <c r="CK38" s="30">
        <v>3000</v>
      </c>
      <c r="CL38" s="30">
        <v>4500</v>
      </c>
      <c r="CM38" s="30">
        <v>4000</v>
      </c>
      <c r="CN38" s="30">
        <v>1500</v>
      </c>
      <c r="CO38" s="30">
        <v>2000</v>
      </c>
      <c r="CP38" s="30">
        <v>3000</v>
      </c>
      <c r="CQ38" s="30">
        <v>3400</v>
      </c>
      <c r="CR38" s="30">
        <v>2000</v>
      </c>
      <c r="CS38" s="30">
        <v>2000</v>
      </c>
      <c r="CT38" s="30">
        <v>2000</v>
      </c>
      <c r="CU38" s="30">
        <v>2000</v>
      </c>
      <c r="CV38" s="30">
        <v>5000</v>
      </c>
      <c r="CW38" s="30">
        <v>3400</v>
      </c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>
        <v>0</v>
      </c>
      <c r="DO38" s="35">
        <v>2517.10005</v>
      </c>
      <c r="DP38" s="35">
        <v>1874.3839499999999</v>
      </c>
      <c r="DQ38" s="35">
        <v>0</v>
      </c>
      <c r="DR38" s="35">
        <v>0</v>
      </c>
    </row>
    <row r="39" spans="1:122" ht="25.5">
      <c r="A39" s="14">
        <f t="shared" si="1"/>
        <v>35</v>
      </c>
      <c r="B39" s="14" t="s">
        <v>131</v>
      </c>
      <c r="C39" s="14" t="s">
        <v>96</v>
      </c>
      <c r="D39" s="17" t="s">
        <v>9</v>
      </c>
      <c r="E39" s="14" t="s">
        <v>227</v>
      </c>
      <c r="F39" s="15">
        <v>2343.4002500000001</v>
      </c>
      <c r="G39" s="15">
        <v>2277.8385000000003</v>
      </c>
      <c r="H39" s="15">
        <v>1770.17715</v>
      </c>
      <c r="I39" s="15">
        <v>2048.7102</v>
      </c>
      <c r="J39" s="15">
        <v>1901.8351000000005</v>
      </c>
      <c r="K39" s="15">
        <v>2239.5411000000004</v>
      </c>
      <c r="L39" s="15">
        <v>2489.4699000000005</v>
      </c>
      <c r="M39" s="15">
        <v>3044.9034000000001</v>
      </c>
      <c r="N39" s="15">
        <v>2596.4343000000003</v>
      </c>
      <c r="O39" s="15">
        <v>2640.3977500000005</v>
      </c>
      <c r="P39" s="15">
        <v>3169.0463</v>
      </c>
      <c r="Q39" s="15">
        <v>266.22244999999998</v>
      </c>
      <c r="R39" s="15">
        <v>0</v>
      </c>
      <c r="S39" s="15">
        <v>0</v>
      </c>
      <c r="T39" s="15"/>
      <c r="U39" s="15">
        <v>2640.3977500000005</v>
      </c>
      <c r="V39" s="15">
        <v>71.215000000000003</v>
      </c>
      <c r="W39" s="15">
        <v>8.1</v>
      </c>
      <c r="X39" s="15">
        <v>10</v>
      </c>
      <c r="Y39" s="15">
        <v>341.37990000000002</v>
      </c>
      <c r="Z39" s="15">
        <v>0</v>
      </c>
      <c r="AA39" s="15">
        <v>23.173999999999999</v>
      </c>
      <c r="AB39" s="15">
        <v>8</v>
      </c>
      <c r="AC39" s="15">
        <v>0</v>
      </c>
      <c r="AD39" s="15">
        <v>0.15</v>
      </c>
      <c r="AE39" s="15">
        <v>1707.0360000000001</v>
      </c>
      <c r="AF39" s="15">
        <v>3.1642999999999999</v>
      </c>
      <c r="AG39" s="15">
        <v>7.1</v>
      </c>
      <c r="AH39" s="15">
        <v>360.66464999999999</v>
      </c>
      <c r="AI39" s="15">
        <v>112.991</v>
      </c>
      <c r="AJ39" s="15">
        <v>516.07144999999991</v>
      </c>
      <c r="AK39" s="15">
        <v>89.314999999999998</v>
      </c>
      <c r="AL39" s="15">
        <v>1743.0640000000001</v>
      </c>
      <c r="AM39" s="15">
        <v>1336.6672999999998</v>
      </c>
      <c r="AN39" s="15">
        <v>3819.7595000000001</v>
      </c>
      <c r="AO39" s="15">
        <v>4191.7448999999997</v>
      </c>
      <c r="AP39" s="15">
        <v>4085.1954999999998</v>
      </c>
      <c r="AQ39" s="15">
        <v>4972.5796</v>
      </c>
      <c r="AR39" s="15">
        <v>5983.5636500000001</v>
      </c>
      <c r="AS39" s="15">
        <v>5117.3829500000002</v>
      </c>
      <c r="AT39" s="15">
        <v>6211.5628500000003</v>
      </c>
      <c r="AU39" s="15">
        <v>7746.0038000000004</v>
      </c>
      <c r="AV39" s="15">
        <v>6526.9690499999997</v>
      </c>
      <c r="AW39" s="15">
        <v>4723.8391000000001</v>
      </c>
      <c r="AX39" s="15">
        <v>3550.7788</v>
      </c>
      <c r="AY39" s="15">
        <v>955.65225000000009</v>
      </c>
      <c r="AZ39" s="15">
        <v>0</v>
      </c>
      <c r="BA39" s="15">
        <v>0</v>
      </c>
      <c r="BB39" s="15"/>
      <c r="BC39" s="15">
        <v>4723.8391000000001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2358.66</v>
      </c>
      <c r="BK39" s="15">
        <v>90.334599999999995</v>
      </c>
      <c r="BL39" s="15">
        <v>750.12860000000001</v>
      </c>
      <c r="BM39" s="15">
        <v>302.5686</v>
      </c>
      <c r="BN39" s="15">
        <v>0</v>
      </c>
      <c r="BO39" s="15">
        <v>0</v>
      </c>
      <c r="BP39" s="15">
        <v>45.036999999999999</v>
      </c>
      <c r="BQ39" s="15">
        <v>4.0500000000001819</v>
      </c>
      <c r="BR39" s="16">
        <v>0.61349418726493121</v>
      </c>
      <c r="BS39" s="16">
        <v>0.54341057348217936</v>
      </c>
      <c r="BT39" s="16">
        <v>0.43331516202835335</v>
      </c>
      <c r="BU39" s="16">
        <v>0.41200148912648876</v>
      </c>
      <c r="BV39" s="16">
        <v>0.31784321371763136</v>
      </c>
      <c r="BW39" s="16">
        <v>0.43763406449775277</v>
      </c>
      <c r="BX39" s="16">
        <v>0.40077995829986657</v>
      </c>
      <c r="BY39" s="16">
        <v>0.39309345549249536</v>
      </c>
      <c r="BZ39" s="16">
        <v>0.3978009210875606</v>
      </c>
      <c r="CA39" s="16">
        <v>0.5589516692048212</v>
      </c>
      <c r="CB39" s="16">
        <v>0.89249330315929565</v>
      </c>
      <c r="CC39" s="16">
        <v>0.27857669984034461</v>
      </c>
      <c r="CD39" s="16"/>
      <c r="CE39" s="16">
        <v>0</v>
      </c>
      <c r="CF39" s="16"/>
      <c r="CG39" s="16"/>
      <c r="CH39" s="30"/>
      <c r="CI39" s="30"/>
      <c r="CJ39" s="30"/>
      <c r="CK39" s="30"/>
      <c r="CL39" s="30">
        <v>2200</v>
      </c>
      <c r="CM39" s="30">
        <v>1500</v>
      </c>
      <c r="CN39" s="30">
        <v>500</v>
      </c>
      <c r="CO39" s="30">
        <v>3000</v>
      </c>
      <c r="CP39" s="30">
        <v>1500</v>
      </c>
      <c r="CQ39" s="30">
        <v>1500</v>
      </c>
      <c r="CR39" s="30">
        <v>1000</v>
      </c>
      <c r="CS39" s="30">
        <v>0</v>
      </c>
      <c r="CT39" s="30"/>
      <c r="CU39" s="30"/>
      <c r="CV39" s="30">
        <v>0</v>
      </c>
      <c r="CW39" s="30">
        <v>1500</v>
      </c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>
        <v>0</v>
      </c>
      <c r="DO39" s="35">
        <v>0</v>
      </c>
      <c r="DP39" s="35">
        <v>0</v>
      </c>
      <c r="DQ39" s="35">
        <v>0</v>
      </c>
      <c r="DR39" s="35">
        <v>0</v>
      </c>
    </row>
    <row r="40" spans="1:122" ht="25.5">
      <c r="A40" s="14">
        <f t="shared" si="1"/>
        <v>36</v>
      </c>
      <c r="B40" s="14" t="s">
        <v>132</v>
      </c>
      <c r="C40" s="14" t="s">
        <v>96</v>
      </c>
      <c r="D40" s="17" t="s">
        <v>33</v>
      </c>
      <c r="E40" s="14" t="s">
        <v>229</v>
      </c>
      <c r="F40" s="15">
        <v>1164.8746500000002</v>
      </c>
      <c r="G40" s="15">
        <v>1239.2225000000001</v>
      </c>
      <c r="H40" s="15">
        <v>1124.3968499999999</v>
      </c>
      <c r="I40" s="15">
        <v>1538.4053999999999</v>
      </c>
      <c r="J40" s="15">
        <v>938.33260000000007</v>
      </c>
      <c r="K40" s="15">
        <v>2514.6428500000002</v>
      </c>
      <c r="L40" s="15">
        <v>1954.0227999999997</v>
      </c>
      <c r="M40" s="15">
        <v>3186.9218500000002</v>
      </c>
      <c r="N40" s="15">
        <v>3265.8705</v>
      </c>
      <c r="O40" s="15">
        <v>3125.2554000000005</v>
      </c>
      <c r="P40" s="15">
        <v>3630.0280999999995</v>
      </c>
      <c r="Q40" s="15">
        <v>4709.2107999999998</v>
      </c>
      <c r="R40" s="15">
        <v>3641.9276499999996</v>
      </c>
      <c r="S40" s="15">
        <v>3258.7241999999997</v>
      </c>
      <c r="T40" s="15">
        <v>3025.1541000000002</v>
      </c>
      <c r="U40" s="15">
        <v>3125.2554000000005</v>
      </c>
      <c r="V40" s="15">
        <v>1.3975</v>
      </c>
      <c r="W40" s="15">
        <v>270.37</v>
      </c>
      <c r="X40" s="15">
        <v>3</v>
      </c>
      <c r="Y40" s="15">
        <v>106.0853</v>
      </c>
      <c r="Z40" s="15">
        <v>0</v>
      </c>
      <c r="AA40" s="15">
        <v>13.13</v>
      </c>
      <c r="AB40" s="15">
        <v>0</v>
      </c>
      <c r="AC40" s="15">
        <v>0</v>
      </c>
      <c r="AD40" s="15">
        <v>24.219000000000001</v>
      </c>
      <c r="AE40" s="15">
        <v>1049.2566999999999</v>
      </c>
      <c r="AF40" s="15">
        <v>124.62569999999999</v>
      </c>
      <c r="AG40" s="15">
        <v>2.6850000000000001</v>
      </c>
      <c r="AH40" s="15">
        <v>522.30325000000005</v>
      </c>
      <c r="AI40" s="15">
        <v>1106.0075999999999</v>
      </c>
      <c r="AJ40" s="15">
        <v>406.9480499999998</v>
      </c>
      <c r="AK40" s="15">
        <v>274.76749999999998</v>
      </c>
      <c r="AL40" s="15">
        <v>1114.8618999999999</v>
      </c>
      <c r="AM40" s="15">
        <v>2240.3986999999997</v>
      </c>
      <c r="AN40" s="15">
        <v>2193.0473500000003</v>
      </c>
      <c r="AO40" s="15">
        <v>2688.9709499999999</v>
      </c>
      <c r="AP40" s="15">
        <v>2536.4405499999993</v>
      </c>
      <c r="AQ40" s="15">
        <v>3150.3955499999997</v>
      </c>
      <c r="AR40" s="15">
        <v>2911.5148499999996</v>
      </c>
      <c r="AS40" s="15">
        <v>2942.6952999999999</v>
      </c>
      <c r="AT40" s="15">
        <v>2810.1565499999997</v>
      </c>
      <c r="AU40" s="15">
        <v>3477.3447500000002</v>
      </c>
      <c r="AV40" s="15">
        <v>3826.2441500000004</v>
      </c>
      <c r="AW40" s="15">
        <v>3401.0815000000002</v>
      </c>
      <c r="AX40" s="15">
        <v>3969.4103</v>
      </c>
      <c r="AY40" s="15">
        <v>4915.7934000000005</v>
      </c>
      <c r="AZ40" s="15">
        <v>4689.5862500000003</v>
      </c>
      <c r="BA40" s="15">
        <v>6466.0345500000003</v>
      </c>
      <c r="BB40" s="15">
        <v>6214.3411500000002</v>
      </c>
      <c r="BC40" s="15">
        <v>3401.0815000000002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55.7</v>
      </c>
      <c r="BJ40" s="15">
        <v>2223.7399999999998</v>
      </c>
      <c r="BK40" s="15">
        <v>3.3075999999999999</v>
      </c>
      <c r="BL40" s="15">
        <v>1162.0517</v>
      </c>
      <c r="BM40" s="15">
        <v>87.561000000000007</v>
      </c>
      <c r="BN40" s="15">
        <v>0</v>
      </c>
      <c r="BO40" s="15">
        <v>5.45</v>
      </c>
      <c r="BP40" s="15">
        <v>121.6</v>
      </c>
      <c r="BQ40" s="15">
        <v>310.00000000000028</v>
      </c>
      <c r="BR40" s="16">
        <v>0.53116712231498331</v>
      </c>
      <c r="BS40" s="16">
        <v>0.46085380729010855</v>
      </c>
      <c r="BT40" s="16">
        <v>0.44329714331368819</v>
      </c>
      <c r="BU40" s="16">
        <v>0.48832134745746453</v>
      </c>
      <c r="BV40" s="16">
        <v>0.32228329524062027</v>
      </c>
      <c r="BW40" s="16">
        <v>0.85453728423734532</v>
      </c>
      <c r="BX40" s="16">
        <v>0.69534304058611962</v>
      </c>
      <c r="BY40" s="16">
        <v>0.91648141876067934</v>
      </c>
      <c r="BZ40" s="16">
        <v>0.85354472217879762</v>
      </c>
      <c r="CA40" s="16">
        <v>0.91890047327592717</v>
      </c>
      <c r="CB40" s="16">
        <v>0.91450059974903564</v>
      </c>
      <c r="CC40" s="16">
        <v>0.95797573592087892</v>
      </c>
      <c r="CD40" s="16">
        <v>0.77659892703753974</v>
      </c>
      <c r="CE40" s="16">
        <v>0.50397568630374845</v>
      </c>
      <c r="CF40" s="16">
        <f t="shared" si="0"/>
        <v>0.48680206428641276</v>
      </c>
      <c r="CG40" s="16">
        <f t="shared" si="0"/>
        <v>0.91890047327592717</v>
      </c>
      <c r="CH40" s="30"/>
      <c r="CI40" s="30"/>
      <c r="CJ40" s="30"/>
      <c r="CK40" s="30"/>
      <c r="CL40" s="30">
        <v>1400</v>
      </c>
      <c r="CM40" s="30">
        <v>800</v>
      </c>
      <c r="CN40" s="30"/>
      <c r="CO40" s="30">
        <v>500</v>
      </c>
      <c r="CP40" s="30"/>
      <c r="CQ40" s="30">
        <v>600</v>
      </c>
      <c r="CR40" s="30">
        <v>800</v>
      </c>
      <c r="CS40" s="30">
        <v>0</v>
      </c>
      <c r="CT40" s="30"/>
      <c r="CU40" s="30">
        <v>2800</v>
      </c>
      <c r="CV40" s="30">
        <v>3300</v>
      </c>
      <c r="CW40" s="30">
        <v>600</v>
      </c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>
        <v>0</v>
      </c>
      <c r="DO40" s="35">
        <v>1494.6975</v>
      </c>
      <c r="DP40" s="35">
        <v>688.18685000000005</v>
      </c>
      <c r="DQ40" s="35">
        <v>0</v>
      </c>
      <c r="DR40" s="35">
        <v>0</v>
      </c>
    </row>
    <row r="41" spans="1:122" ht="25.5">
      <c r="A41" s="14">
        <f t="shared" si="1"/>
        <v>37</v>
      </c>
      <c r="B41" s="14" t="s">
        <v>133</v>
      </c>
      <c r="C41" s="14" t="s">
        <v>96</v>
      </c>
      <c r="D41" s="17" t="s">
        <v>34</v>
      </c>
      <c r="E41" s="14" t="s">
        <v>230</v>
      </c>
      <c r="F41" s="15"/>
      <c r="G41" s="15"/>
      <c r="H41" s="15"/>
      <c r="I41" s="15"/>
      <c r="J41" s="15"/>
      <c r="K41" s="15"/>
      <c r="L41" s="15"/>
      <c r="M41" s="15"/>
      <c r="N41" s="15"/>
      <c r="O41" s="15">
        <v>5826.4877499999993</v>
      </c>
      <c r="P41" s="15">
        <v>3980.0241000000005</v>
      </c>
      <c r="Q41" s="15">
        <v>4740.4087999999992</v>
      </c>
      <c r="R41" s="15">
        <v>4428.5830000000005</v>
      </c>
      <c r="S41" s="15">
        <v>4434.6974499999997</v>
      </c>
      <c r="T41" s="15">
        <v>4525.6910000000007</v>
      </c>
      <c r="U41" s="15">
        <v>5826.4877499999993</v>
      </c>
      <c r="V41" s="15">
        <v>56.235999999999997</v>
      </c>
      <c r="W41" s="15">
        <v>867.04759999999999</v>
      </c>
      <c r="X41" s="15">
        <v>16.614999999999998</v>
      </c>
      <c r="Y41" s="15">
        <v>350.03874999999999</v>
      </c>
      <c r="Z41" s="15">
        <v>5.2</v>
      </c>
      <c r="AA41" s="15">
        <v>0.6</v>
      </c>
      <c r="AB41" s="15">
        <v>36.46</v>
      </c>
      <c r="AC41" s="15">
        <v>1351.826</v>
      </c>
      <c r="AD41" s="15">
        <v>25.900000000000002</v>
      </c>
      <c r="AE41" s="15">
        <v>10.53</v>
      </c>
      <c r="AF41" s="15">
        <v>216.6087</v>
      </c>
      <c r="AG41" s="15">
        <v>12.05</v>
      </c>
      <c r="AH41" s="15">
        <v>442.70979999999997</v>
      </c>
      <c r="AI41" s="15">
        <v>10</v>
      </c>
      <c r="AJ41" s="15">
        <v>578.20224999999982</v>
      </c>
      <c r="AK41" s="15">
        <v>945.09860000000003</v>
      </c>
      <c r="AL41" s="15">
        <v>1523.4515000000001</v>
      </c>
      <c r="AM41" s="15">
        <v>1511.4740000000002</v>
      </c>
      <c r="AN41" s="15"/>
      <c r="AO41" s="15"/>
      <c r="AP41" s="15"/>
      <c r="AQ41" s="15"/>
      <c r="AR41" s="15"/>
      <c r="AS41" s="15"/>
      <c r="AT41" s="15"/>
      <c r="AU41" s="15"/>
      <c r="AV41" s="15"/>
      <c r="AW41" s="15">
        <v>7800.2558000000008</v>
      </c>
      <c r="AX41" s="15">
        <v>6209.0297</v>
      </c>
      <c r="AY41" s="15">
        <v>7215.0887000000002</v>
      </c>
      <c r="AZ41" s="15">
        <v>6007.62165</v>
      </c>
      <c r="BA41" s="15">
        <v>6593.61535</v>
      </c>
      <c r="BB41" s="15">
        <v>6946.4138499999999</v>
      </c>
      <c r="BC41" s="15">
        <v>7800.2558000000008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26.568000000000001</v>
      </c>
      <c r="BJ41" s="15">
        <v>5026.42</v>
      </c>
      <c r="BK41" s="15">
        <v>8.9160000000000004</v>
      </c>
      <c r="BL41" s="15">
        <v>940.31200000000001</v>
      </c>
      <c r="BM41" s="15">
        <v>21.613700000000001</v>
      </c>
      <c r="BN41" s="15">
        <v>0</v>
      </c>
      <c r="BO41" s="15">
        <v>0</v>
      </c>
      <c r="BP41" s="15">
        <v>185.2</v>
      </c>
      <c r="BQ41" s="15">
        <v>2.0961010704922955E-13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0.74696111248043928</v>
      </c>
      <c r="CB41" s="16">
        <v>0.64100580804115026</v>
      </c>
      <c r="CC41" s="16">
        <v>0.65701323949073542</v>
      </c>
      <c r="CD41" s="16">
        <v>0.73716076976984735</v>
      </c>
      <c r="CE41" s="16">
        <v>0.67257448525564956</v>
      </c>
      <c r="CF41" s="16">
        <f t="shared" si="0"/>
        <v>0.65151473806876636</v>
      </c>
      <c r="CG41" s="16">
        <f t="shared" si="0"/>
        <v>0.74696111248043928</v>
      </c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>
        <v>0</v>
      </c>
      <c r="CT41" s="30"/>
      <c r="CU41" s="30"/>
      <c r="CV41" s="30">
        <v>0</v>
      </c>
      <c r="CW41" s="30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>
        <v>0</v>
      </c>
      <c r="DO41" s="35">
        <v>768.93</v>
      </c>
      <c r="DP41" s="35">
        <v>529.42550000000006</v>
      </c>
      <c r="DQ41" s="35">
        <v>0</v>
      </c>
      <c r="DR41" s="35">
        <v>0</v>
      </c>
    </row>
    <row r="42" spans="1:122" ht="25.5">
      <c r="A42" s="14">
        <f t="shared" si="1"/>
        <v>38</v>
      </c>
      <c r="B42" s="14" t="s">
        <v>134</v>
      </c>
      <c r="C42" s="14" t="s">
        <v>96</v>
      </c>
      <c r="D42" s="17" t="s">
        <v>35</v>
      </c>
      <c r="E42" s="14" t="s">
        <v>230</v>
      </c>
      <c r="F42" s="15">
        <v>22860.501800000002</v>
      </c>
      <c r="G42" s="15">
        <v>18123.051350000002</v>
      </c>
      <c r="H42" s="15">
        <v>18545.143250000001</v>
      </c>
      <c r="I42" s="15">
        <v>19182.242299999998</v>
      </c>
      <c r="J42" s="15">
        <v>20482.5952</v>
      </c>
      <c r="K42" s="15">
        <v>24317.945749999995</v>
      </c>
      <c r="L42" s="15">
        <v>24763.707450000002</v>
      </c>
      <c r="M42" s="15">
        <v>22960.003049999999</v>
      </c>
      <c r="N42" s="15">
        <v>27170.321499999998</v>
      </c>
      <c r="O42" s="15">
        <v>24054.826900000007</v>
      </c>
      <c r="P42" s="15">
        <v>19774.435099999999</v>
      </c>
      <c r="Q42" s="15">
        <v>20358.245500000001</v>
      </c>
      <c r="R42" s="15">
        <v>19170.356099999997</v>
      </c>
      <c r="S42" s="15">
        <v>20283.468049999996</v>
      </c>
      <c r="T42" s="15">
        <v>23029.737600000008</v>
      </c>
      <c r="U42" s="15">
        <v>24054.826900000007</v>
      </c>
      <c r="V42" s="15">
        <v>123.1523</v>
      </c>
      <c r="W42" s="15">
        <v>4129.4092000000001</v>
      </c>
      <c r="X42" s="15">
        <v>5.7</v>
      </c>
      <c r="Y42" s="15">
        <v>1026.6397999999999</v>
      </c>
      <c r="Z42" s="15">
        <v>0</v>
      </c>
      <c r="AA42" s="15">
        <v>862.86500000000001</v>
      </c>
      <c r="AB42" s="15">
        <v>0</v>
      </c>
      <c r="AC42" s="15">
        <v>4467.2075999999997</v>
      </c>
      <c r="AD42" s="15">
        <v>21.53</v>
      </c>
      <c r="AE42" s="15">
        <v>1125.749</v>
      </c>
      <c r="AF42" s="15">
        <v>665.81370000000004</v>
      </c>
      <c r="AG42" s="15">
        <v>836.90105000000005</v>
      </c>
      <c r="AH42" s="15">
        <v>1979.1465000000001</v>
      </c>
      <c r="AI42" s="15">
        <v>611.24315000000001</v>
      </c>
      <c r="AJ42" s="15">
        <v>3919.0778000000005</v>
      </c>
      <c r="AK42" s="15">
        <v>4258.2614999999996</v>
      </c>
      <c r="AL42" s="15">
        <v>6468.3188500000006</v>
      </c>
      <c r="AM42" s="15">
        <v>9047.8547499999986</v>
      </c>
      <c r="AN42" s="15">
        <v>24916.970799999996</v>
      </c>
      <c r="AO42" s="15">
        <v>18997.88235</v>
      </c>
      <c r="AP42" s="15">
        <v>21906.60425</v>
      </c>
      <c r="AQ42" s="15">
        <v>23940.113300000001</v>
      </c>
      <c r="AR42" s="15">
        <v>22036.308199999999</v>
      </c>
      <c r="AS42" s="15">
        <v>22991.70175</v>
      </c>
      <c r="AT42" s="15">
        <v>21477.160449999999</v>
      </c>
      <c r="AU42" s="15">
        <v>23563.223050000001</v>
      </c>
      <c r="AV42" s="15">
        <v>25010.197499999998</v>
      </c>
      <c r="AW42" s="15">
        <v>21334.972849999998</v>
      </c>
      <c r="AX42" s="15">
        <v>15803.3295</v>
      </c>
      <c r="AY42" s="15">
        <v>16577.372599999999</v>
      </c>
      <c r="AZ42" s="15">
        <v>11545.63745</v>
      </c>
      <c r="BA42" s="15">
        <v>12330.313149999998</v>
      </c>
      <c r="BB42" s="15">
        <v>18931.46675</v>
      </c>
      <c r="BC42" s="15">
        <v>21334.972849999998</v>
      </c>
      <c r="BD42" s="15">
        <v>0</v>
      </c>
      <c r="BE42" s="15">
        <v>240.423</v>
      </c>
      <c r="BF42" s="15">
        <v>0</v>
      </c>
      <c r="BG42" s="15">
        <v>0</v>
      </c>
      <c r="BH42" s="15">
        <v>0</v>
      </c>
      <c r="BI42" s="15">
        <v>918.47799999999995</v>
      </c>
      <c r="BJ42" s="15">
        <v>6672.009</v>
      </c>
      <c r="BK42" s="15">
        <v>565.7953</v>
      </c>
      <c r="BL42" s="15">
        <v>3995.2678500000002</v>
      </c>
      <c r="BM42" s="15">
        <v>269.57634999999999</v>
      </c>
      <c r="BN42" s="15">
        <v>0</v>
      </c>
      <c r="BO42" s="15">
        <v>525.63</v>
      </c>
      <c r="BP42" s="15">
        <v>1719.65</v>
      </c>
      <c r="BQ42" s="15">
        <v>896.50000000000159</v>
      </c>
      <c r="BR42" s="16">
        <v>0.9174671344881139</v>
      </c>
      <c r="BS42" s="16">
        <v>0.95395113076905658</v>
      </c>
      <c r="BT42" s="16">
        <v>0.84655490364281361</v>
      </c>
      <c r="BU42" s="16">
        <v>0.80125946187564612</v>
      </c>
      <c r="BV42" s="16">
        <v>0.92949304457449911</v>
      </c>
      <c r="BW42" s="16">
        <v>1.057683594473384</v>
      </c>
      <c r="BX42" s="16">
        <v>1.1530252105557093</v>
      </c>
      <c r="BY42" s="16">
        <v>0.97439993676926129</v>
      </c>
      <c r="BZ42" s="16">
        <v>1.0863697297872197</v>
      </c>
      <c r="CA42" s="16">
        <v>1.1274833611986532</v>
      </c>
      <c r="CB42" s="16">
        <v>1.2512828451751259</v>
      </c>
      <c r="CC42" s="16">
        <v>1.2280743149852349</v>
      </c>
      <c r="CD42" s="16">
        <v>1.6603982398563881</v>
      </c>
      <c r="CE42" s="16">
        <v>1.645008346766927</v>
      </c>
      <c r="CF42" s="16">
        <f t="shared" si="0"/>
        <v>1.2164793095072788</v>
      </c>
      <c r="CG42" s="16">
        <f t="shared" si="0"/>
        <v>1.1274833611986532</v>
      </c>
      <c r="CH42" s="30"/>
      <c r="CI42" s="30"/>
      <c r="CJ42" s="30">
        <v>3000</v>
      </c>
      <c r="CK42" s="30">
        <v>5000</v>
      </c>
      <c r="CL42" s="30">
        <v>3000</v>
      </c>
      <c r="CM42" s="30">
        <v>2000</v>
      </c>
      <c r="CN42" s="30"/>
      <c r="CO42" s="30"/>
      <c r="CP42" s="30"/>
      <c r="CQ42" s="30"/>
      <c r="CR42" s="30"/>
      <c r="CS42" s="30">
        <v>1000</v>
      </c>
      <c r="CT42" s="30"/>
      <c r="CU42" s="30"/>
      <c r="CV42" s="30"/>
      <c r="CW42" s="30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>
        <v>0</v>
      </c>
      <c r="DO42" s="35">
        <v>2118.8000000000002</v>
      </c>
      <c r="DP42" s="35">
        <v>3166.357</v>
      </c>
      <c r="DQ42" s="35">
        <v>0</v>
      </c>
      <c r="DR42" s="35">
        <v>0</v>
      </c>
    </row>
    <row r="43" spans="1:122" ht="25.5">
      <c r="A43" s="14">
        <f t="shared" si="1"/>
        <v>39</v>
      </c>
      <c r="B43" s="14" t="s">
        <v>135</v>
      </c>
      <c r="C43" s="14" t="s">
        <v>96</v>
      </c>
      <c r="D43" s="17" t="s">
        <v>36</v>
      </c>
      <c r="E43" s="14" t="s">
        <v>231</v>
      </c>
      <c r="F43" s="15">
        <v>15601.227849999997</v>
      </c>
      <c r="G43" s="15">
        <v>10724.023749999998</v>
      </c>
      <c r="H43" s="15">
        <v>12970.522999999997</v>
      </c>
      <c r="I43" s="15">
        <v>12728.982549999999</v>
      </c>
      <c r="J43" s="15">
        <v>11602.9292</v>
      </c>
      <c r="K43" s="15">
        <v>12415.747149999999</v>
      </c>
      <c r="L43" s="15">
        <v>14318.636649999999</v>
      </c>
      <c r="M43" s="15">
        <v>13290.045549999997</v>
      </c>
      <c r="N43" s="15">
        <v>13916.500899999997</v>
      </c>
      <c r="O43" s="15">
        <v>15474.092550000001</v>
      </c>
      <c r="P43" s="15">
        <v>11770.563699999997</v>
      </c>
      <c r="Q43" s="15">
        <v>10840.420599999998</v>
      </c>
      <c r="R43" s="15">
        <v>13847.734399999999</v>
      </c>
      <c r="S43" s="15">
        <v>12279.687599999999</v>
      </c>
      <c r="T43" s="15">
        <v>13134.1147</v>
      </c>
      <c r="U43" s="15">
        <v>15474.092550000001</v>
      </c>
      <c r="V43" s="15">
        <v>37.131999999999998</v>
      </c>
      <c r="W43" s="15">
        <v>2696.5144</v>
      </c>
      <c r="X43" s="15">
        <v>153.41999999999999</v>
      </c>
      <c r="Y43" s="15">
        <v>462.15654999999998</v>
      </c>
      <c r="Z43" s="15">
        <v>22.63</v>
      </c>
      <c r="AA43" s="15">
        <v>387.73759999999999</v>
      </c>
      <c r="AB43" s="15">
        <v>19.27</v>
      </c>
      <c r="AC43" s="15">
        <v>832.34799999999996</v>
      </c>
      <c r="AD43" s="15">
        <v>647.70100000000002</v>
      </c>
      <c r="AE43" s="15">
        <v>324.40800000000002</v>
      </c>
      <c r="AF43" s="15">
        <v>483.79360000000003</v>
      </c>
      <c r="AG43" s="15">
        <v>72.41</v>
      </c>
      <c r="AH43" s="15">
        <v>1371.3408999999999</v>
      </c>
      <c r="AI43" s="15">
        <v>1821.0119999999999</v>
      </c>
      <c r="AJ43" s="15">
        <v>2438.6896499999962</v>
      </c>
      <c r="AK43" s="15">
        <v>2909.6964000000003</v>
      </c>
      <c r="AL43" s="15">
        <v>2162.2125499999997</v>
      </c>
      <c r="AM43" s="15">
        <v>6698.6547499999961</v>
      </c>
      <c r="AN43" s="15">
        <v>14603.0016</v>
      </c>
      <c r="AO43" s="15">
        <v>10939.91005</v>
      </c>
      <c r="AP43" s="15">
        <v>12033.342550000001</v>
      </c>
      <c r="AQ43" s="15">
        <v>12817.849900000001</v>
      </c>
      <c r="AR43" s="15">
        <v>13584.954399999997</v>
      </c>
      <c r="AS43" s="15">
        <v>13156.0208</v>
      </c>
      <c r="AT43" s="15">
        <v>12493.719300000001</v>
      </c>
      <c r="AU43" s="15">
        <v>13869.812850000002</v>
      </c>
      <c r="AV43" s="15">
        <v>15391.319600000001</v>
      </c>
      <c r="AW43" s="15">
        <v>16750.6067</v>
      </c>
      <c r="AX43" s="15">
        <v>12294.0257</v>
      </c>
      <c r="AY43" s="15">
        <v>14757.74065</v>
      </c>
      <c r="AZ43" s="15">
        <v>14453.647050000003</v>
      </c>
      <c r="BA43" s="15">
        <v>14913.9614</v>
      </c>
      <c r="BB43" s="15">
        <v>17366.4316</v>
      </c>
      <c r="BC43" s="15">
        <v>16750.6067</v>
      </c>
      <c r="BD43" s="15">
        <v>0</v>
      </c>
      <c r="BE43" s="15">
        <v>327.04200000000003</v>
      </c>
      <c r="BF43" s="15">
        <v>0</v>
      </c>
      <c r="BG43" s="15">
        <v>0</v>
      </c>
      <c r="BH43" s="15">
        <v>0</v>
      </c>
      <c r="BI43" s="15">
        <v>14.8</v>
      </c>
      <c r="BJ43" s="15">
        <v>7751.0520000000006</v>
      </c>
      <c r="BK43" s="15">
        <v>1026.6602</v>
      </c>
      <c r="BL43" s="15">
        <v>1619.634</v>
      </c>
      <c r="BM43" s="15">
        <v>84.464600000000004</v>
      </c>
      <c r="BN43" s="15">
        <v>89.706000000000003</v>
      </c>
      <c r="BO43" s="15">
        <v>0</v>
      </c>
      <c r="BP43" s="15">
        <v>1333</v>
      </c>
      <c r="BQ43" s="15">
        <v>47.666899999999771</v>
      </c>
      <c r="BR43" s="16">
        <v>1.0683576073839502</v>
      </c>
      <c r="BS43" s="16">
        <v>0.9802661722981898</v>
      </c>
      <c r="BT43" s="16">
        <v>1.0778819722039739</v>
      </c>
      <c r="BU43" s="16">
        <v>0.99306690664243136</v>
      </c>
      <c r="BV43" s="16">
        <v>0.85410144622936701</v>
      </c>
      <c r="BW43" s="16">
        <v>0.94373118884092966</v>
      </c>
      <c r="BX43" s="16">
        <v>1.1460667801300768</v>
      </c>
      <c r="BY43" s="16">
        <v>0.95819934224995651</v>
      </c>
      <c r="BZ43" s="16">
        <v>0.90417854100047379</v>
      </c>
      <c r="CA43" s="16">
        <v>0.92379296028722357</v>
      </c>
      <c r="CB43" s="16">
        <v>0.95742143275330849</v>
      </c>
      <c r="CC43" s="16">
        <v>0.73455828077585827</v>
      </c>
      <c r="CD43" s="16">
        <v>0.95807890922588956</v>
      </c>
      <c r="CE43" s="16">
        <v>0.82336860547325808</v>
      </c>
      <c r="CF43" s="16">
        <f t="shared" si="0"/>
        <v>0.75629323297481565</v>
      </c>
      <c r="CG43" s="16">
        <f t="shared" si="0"/>
        <v>0.92379296028722357</v>
      </c>
      <c r="CH43" s="30"/>
      <c r="CI43" s="30"/>
      <c r="CJ43" s="30"/>
      <c r="CK43" s="30"/>
      <c r="CL43" s="30">
        <v>2000</v>
      </c>
      <c r="CM43" s="30"/>
      <c r="CN43" s="30"/>
      <c r="CO43" s="30"/>
      <c r="CP43" s="30">
        <v>1000</v>
      </c>
      <c r="CQ43" s="30"/>
      <c r="CR43" s="30">
        <v>1500</v>
      </c>
      <c r="CS43" s="30">
        <v>1500</v>
      </c>
      <c r="CT43" s="30">
        <v>1500</v>
      </c>
      <c r="CU43" s="30"/>
      <c r="CV43" s="30">
        <v>2500</v>
      </c>
      <c r="CW43" s="30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>
        <v>0</v>
      </c>
      <c r="DO43" s="35">
        <v>1737.42</v>
      </c>
      <c r="DP43" s="35">
        <v>1223.9765</v>
      </c>
      <c r="DQ43" s="35">
        <v>0</v>
      </c>
      <c r="DR43" s="35">
        <v>0</v>
      </c>
    </row>
    <row r="44" spans="1:122" ht="25.5">
      <c r="A44" s="14">
        <f t="shared" si="1"/>
        <v>40</v>
      </c>
      <c r="B44" s="14" t="s">
        <v>136</v>
      </c>
      <c r="C44" s="14" t="s">
        <v>96</v>
      </c>
      <c r="D44" s="17" t="s">
        <v>37</v>
      </c>
      <c r="E44" s="14" t="s">
        <v>232</v>
      </c>
      <c r="F44" s="15">
        <v>11350.603149999999</v>
      </c>
      <c r="G44" s="15">
        <v>10630.130950000002</v>
      </c>
      <c r="H44" s="15">
        <v>10831.316999999999</v>
      </c>
      <c r="I44" s="15">
        <v>13788.071749999999</v>
      </c>
      <c r="J44" s="15">
        <v>11349.8262</v>
      </c>
      <c r="K44" s="15">
        <v>12066.535250000003</v>
      </c>
      <c r="L44" s="15">
        <v>14182.164850000001</v>
      </c>
      <c r="M44" s="15">
        <v>13163.1315</v>
      </c>
      <c r="N44" s="15">
        <v>14765.308699999998</v>
      </c>
      <c r="O44" s="15">
        <v>16196.0946</v>
      </c>
      <c r="P44" s="15">
        <v>13489.488750000002</v>
      </c>
      <c r="Q44" s="15">
        <v>16006.033599999999</v>
      </c>
      <c r="R44" s="15">
        <v>13155.0244</v>
      </c>
      <c r="S44" s="15">
        <v>13231.85975</v>
      </c>
      <c r="T44" s="15">
        <v>14166.9292</v>
      </c>
      <c r="U44" s="15">
        <v>16196.0946</v>
      </c>
      <c r="V44" s="15">
        <v>200.7286</v>
      </c>
      <c r="W44" s="15">
        <v>2272.29</v>
      </c>
      <c r="X44" s="15">
        <v>53.18</v>
      </c>
      <c r="Y44" s="15">
        <v>569.11519999999996</v>
      </c>
      <c r="Z44" s="15">
        <v>0</v>
      </c>
      <c r="AA44" s="15">
        <v>441.75599999999997</v>
      </c>
      <c r="AB44" s="15">
        <v>0</v>
      </c>
      <c r="AC44" s="15">
        <v>357.64800000000002</v>
      </c>
      <c r="AD44" s="15">
        <v>31.69</v>
      </c>
      <c r="AE44" s="15">
        <v>178.01900000000001</v>
      </c>
      <c r="AF44" s="15">
        <v>658.82635000000005</v>
      </c>
      <c r="AG44" s="15">
        <v>693.87400000000002</v>
      </c>
      <c r="AH44" s="15">
        <v>1086.48495</v>
      </c>
      <c r="AI44" s="15">
        <v>1145.0640000000001</v>
      </c>
      <c r="AJ44" s="15">
        <v>5800.8126500000026</v>
      </c>
      <c r="AK44" s="15">
        <v>2526.1985999999997</v>
      </c>
      <c r="AL44" s="15">
        <v>768.87659999999994</v>
      </c>
      <c r="AM44" s="15">
        <v>10194.413550000003</v>
      </c>
      <c r="AN44" s="15">
        <v>12170.7183</v>
      </c>
      <c r="AO44" s="15">
        <v>11542.132750000002</v>
      </c>
      <c r="AP44" s="15">
        <v>11585.023249999998</v>
      </c>
      <c r="AQ44" s="15">
        <v>17261.240300000001</v>
      </c>
      <c r="AR44" s="15">
        <v>14439.571049999999</v>
      </c>
      <c r="AS44" s="15">
        <v>16499.9578</v>
      </c>
      <c r="AT44" s="15">
        <v>16597.704550000002</v>
      </c>
      <c r="AU44" s="15">
        <v>17921.273799999999</v>
      </c>
      <c r="AV44" s="15">
        <v>17694.686900000001</v>
      </c>
      <c r="AW44" s="15">
        <v>17639.424500000001</v>
      </c>
      <c r="AX44" s="15">
        <v>14643.616599999999</v>
      </c>
      <c r="AY44" s="15">
        <v>17722.249449999999</v>
      </c>
      <c r="AZ44" s="15">
        <v>11151.005850000001</v>
      </c>
      <c r="BA44" s="15">
        <v>13114.6507</v>
      </c>
      <c r="BB44" s="15">
        <v>17082.104350000001</v>
      </c>
      <c r="BC44" s="15">
        <v>17639.424500000001</v>
      </c>
      <c r="BD44" s="15">
        <v>0</v>
      </c>
      <c r="BE44" s="15">
        <v>93.543700000000001</v>
      </c>
      <c r="BF44" s="15">
        <v>0</v>
      </c>
      <c r="BG44" s="15">
        <v>0</v>
      </c>
      <c r="BH44" s="15">
        <v>0</v>
      </c>
      <c r="BI44" s="15">
        <v>335.089</v>
      </c>
      <c r="BJ44" s="15">
        <v>5424.8810000000003</v>
      </c>
      <c r="BK44" s="15">
        <v>944.03715</v>
      </c>
      <c r="BL44" s="15">
        <v>3241.3632499999999</v>
      </c>
      <c r="BM44" s="15">
        <v>0.1305</v>
      </c>
      <c r="BN44" s="15">
        <v>0</v>
      </c>
      <c r="BO44" s="15">
        <v>30</v>
      </c>
      <c r="BP44" s="15">
        <v>4139.3499999999995</v>
      </c>
      <c r="BQ44" s="15">
        <v>435.22199999999901</v>
      </c>
      <c r="BR44" s="16">
        <v>0.9326157150478126</v>
      </c>
      <c r="BS44" s="16">
        <v>0.92098498433922449</v>
      </c>
      <c r="BT44" s="16">
        <v>0.93494132607804659</v>
      </c>
      <c r="BU44" s="16">
        <v>0.79878800771923664</v>
      </c>
      <c r="BV44" s="16">
        <v>0.78602239364998316</v>
      </c>
      <c r="BW44" s="16">
        <v>0.73130703703981614</v>
      </c>
      <c r="BX44" s="16">
        <v>0.85446543570387867</v>
      </c>
      <c r="BY44" s="16">
        <v>0.73449753889703984</v>
      </c>
      <c r="BZ44" s="16">
        <v>0.83444871239852214</v>
      </c>
      <c r="CA44" s="16">
        <v>0.91817590760968415</v>
      </c>
      <c r="CB44" s="16">
        <v>0.92118560042059572</v>
      </c>
      <c r="CC44" s="16">
        <v>0.90316038295014511</v>
      </c>
      <c r="CD44" s="16">
        <v>1.1797163930283472</v>
      </c>
      <c r="CE44" s="16">
        <v>1.0089372605249791</v>
      </c>
      <c r="CF44" s="16">
        <f t="shared" si="0"/>
        <v>0.82934332385108045</v>
      </c>
      <c r="CG44" s="16">
        <f t="shared" si="0"/>
        <v>0.91817590760968415</v>
      </c>
      <c r="CH44" s="30"/>
      <c r="CI44" s="30"/>
      <c r="CJ44" s="30"/>
      <c r="CK44" s="30">
        <v>2500</v>
      </c>
      <c r="CL44" s="30">
        <v>1500</v>
      </c>
      <c r="CM44" s="30">
        <v>1500</v>
      </c>
      <c r="CN44" s="30">
        <v>1200</v>
      </c>
      <c r="CO44" s="30">
        <v>2000</v>
      </c>
      <c r="CP44" s="30">
        <v>1000</v>
      </c>
      <c r="CQ44" s="30">
        <v>2200</v>
      </c>
      <c r="CR44" s="30"/>
      <c r="CS44" s="30">
        <v>0</v>
      </c>
      <c r="CT44" s="30"/>
      <c r="CU44" s="30"/>
      <c r="CV44" s="30">
        <v>1000</v>
      </c>
      <c r="CW44" s="30">
        <v>2200</v>
      </c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>
        <v>0</v>
      </c>
      <c r="DO44" s="35">
        <v>2314.6550000000002</v>
      </c>
      <c r="DP44" s="35">
        <v>2554.1250500000001</v>
      </c>
      <c r="DQ44" s="35">
        <v>0</v>
      </c>
      <c r="DR44" s="35">
        <v>0</v>
      </c>
    </row>
    <row r="45" spans="1:122" ht="25.5">
      <c r="A45" s="14">
        <f t="shared" si="1"/>
        <v>41</v>
      </c>
      <c r="B45" s="14" t="s">
        <v>137</v>
      </c>
      <c r="C45" s="14" t="s">
        <v>96</v>
      </c>
      <c r="D45" s="17" t="s">
        <v>10</v>
      </c>
      <c r="E45" s="14" t="s">
        <v>236</v>
      </c>
      <c r="F45" s="15">
        <v>4971.3552</v>
      </c>
      <c r="G45" s="15">
        <v>4525.7215499999993</v>
      </c>
      <c r="H45" s="15">
        <v>4063.4635000000003</v>
      </c>
      <c r="I45" s="15">
        <v>5103.5657500000007</v>
      </c>
      <c r="J45" s="15">
        <v>4894.7929999999997</v>
      </c>
      <c r="K45" s="15">
        <v>4543.9206999999997</v>
      </c>
      <c r="L45" s="15">
        <v>3583.6797000000001</v>
      </c>
      <c r="M45" s="15">
        <v>3677.2802500000003</v>
      </c>
      <c r="N45" s="15">
        <v>4699.2908500000003</v>
      </c>
      <c r="O45" s="15">
        <v>5102.5219999999999</v>
      </c>
      <c r="P45" s="15">
        <v>4189.4709499999999</v>
      </c>
      <c r="Q45" s="15">
        <v>197.53755000000001</v>
      </c>
      <c r="R45" s="15">
        <v>0</v>
      </c>
      <c r="S45" s="15">
        <v>0</v>
      </c>
      <c r="T45" s="15"/>
      <c r="U45" s="15">
        <v>5102.5219999999999</v>
      </c>
      <c r="V45" s="15">
        <v>62.570900000000002</v>
      </c>
      <c r="W45" s="15">
        <v>0</v>
      </c>
      <c r="X45" s="15">
        <v>396.89</v>
      </c>
      <c r="Y45" s="15">
        <v>177.23609999999999</v>
      </c>
      <c r="Z45" s="15">
        <v>0</v>
      </c>
      <c r="AA45" s="15">
        <v>0</v>
      </c>
      <c r="AB45" s="15">
        <v>0</v>
      </c>
      <c r="AC45" s="15">
        <v>0</v>
      </c>
      <c r="AD45" s="15">
        <v>11.09545</v>
      </c>
      <c r="AE45" s="15">
        <v>0</v>
      </c>
      <c r="AF45" s="15">
        <v>242.81084999999999</v>
      </c>
      <c r="AG45" s="15">
        <v>0</v>
      </c>
      <c r="AH45" s="15">
        <v>517.54219999999998</v>
      </c>
      <c r="AI45" s="15">
        <v>81.843950000000007</v>
      </c>
      <c r="AJ45" s="15">
        <v>2699.4814999999999</v>
      </c>
      <c r="AK45" s="15">
        <v>459.46089999999998</v>
      </c>
      <c r="AL45" s="15">
        <v>273.14684999999997</v>
      </c>
      <c r="AM45" s="15">
        <v>3456.8631999999998</v>
      </c>
      <c r="AN45" s="15">
        <v>4745.2807000000003</v>
      </c>
      <c r="AO45" s="15">
        <v>5552.3773000000001</v>
      </c>
      <c r="AP45" s="15">
        <v>5108.9901499999996</v>
      </c>
      <c r="AQ45" s="15">
        <v>6151.9241500000007</v>
      </c>
      <c r="AR45" s="15">
        <v>7143.9476999999997</v>
      </c>
      <c r="AS45" s="15">
        <v>6019.0234</v>
      </c>
      <c r="AT45" s="15">
        <v>6134.4545500000004</v>
      </c>
      <c r="AU45" s="15">
        <v>8452.7933499999999</v>
      </c>
      <c r="AV45" s="15">
        <v>7338.8007999999991</v>
      </c>
      <c r="AW45" s="15">
        <v>6063.6007</v>
      </c>
      <c r="AX45" s="15">
        <v>4532.9029499999997</v>
      </c>
      <c r="AY45" s="15">
        <v>687.00585000000001</v>
      </c>
      <c r="AZ45" s="15">
        <v>0</v>
      </c>
      <c r="BA45" s="15">
        <v>0</v>
      </c>
      <c r="BB45" s="15"/>
      <c r="BC45" s="15">
        <v>6063.6007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76</v>
      </c>
      <c r="BJ45" s="15">
        <v>1057.7855</v>
      </c>
      <c r="BK45" s="15">
        <v>176.90905000000001</v>
      </c>
      <c r="BL45" s="15">
        <v>2061.7556500000001</v>
      </c>
      <c r="BM45" s="15">
        <v>986.75274999999999</v>
      </c>
      <c r="BN45" s="15">
        <v>0</v>
      </c>
      <c r="BO45" s="15">
        <v>0</v>
      </c>
      <c r="BP45" s="15">
        <v>173.7</v>
      </c>
      <c r="BQ45" s="15">
        <v>-2.2737367544323206E-13</v>
      </c>
      <c r="BR45" s="16">
        <v>1.0476419656270282</v>
      </c>
      <c r="BS45" s="16">
        <v>0.81509618411558582</v>
      </c>
      <c r="BT45" s="16">
        <v>0.79535551658873338</v>
      </c>
      <c r="BU45" s="16">
        <v>0.82958853613304062</v>
      </c>
      <c r="BV45" s="16">
        <v>0.68516641016282909</v>
      </c>
      <c r="BW45" s="16">
        <v>0.75492657164283494</v>
      </c>
      <c r="BX45" s="16">
        <v>0.5841888094190868</v>
      </c>
      <c r="BY45" s="16">
        <v>0.43503728267531827</v>
      </c>
      <c r="BZ45" s="16">
        <v>0.64033497816155482</v>
      </c>
      <c r="CA45" s="16">
        <v>0.84150033164288007</v>
      </c>
      <c r="CB45" s="16">
        <v>0.92423574830782562</v>
      </c>
      <c r="CC45" s="16">
        <v>0.28753401444834858</v>
      </c>
      <c r="CD45" s="16"/>
      <c r="CE45" s="16">
        <v>0</v>
      </c>
      <c r="CF45" s="16" t="e">
        <f t="shared" si="0"/>
        <v>#DIV/0!</v>
      </c>
      <c r="CG45" s="16">
        <f t="shared" si="0"/>
        <v>0.84150033164288007</v>
      </c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>
        <v>0</v>
      </c>
      <c r="CT45" s="30"/>
      <c r="CU45" s="30"/>
      <c r="CV45" s="30">
        <v>0</v>
      </c>
      <c r="CW45" s="30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>
        <v>0</v>
      </c>
      <c r="DO45" s="35">
        <v>0</v>
      </c>
      <c r="DP45" s="35">
        <v>0</v>
      </c>
      <c r="DQ45" s="35">
        <v>0</v>
      </c>
      <c r="DR45" s="35">
        <v>0</v>
      </c>
    </row>
    <row r="46" spans="1:122" ht="25.5">
      <c r="A46" s="14">
        <f t="shared" si="1"/>
        <v>42</v>
      </c>
      <c r="B46" s="14" t="s">
        <v>138</v>
      </c>
      <c r="C46" s="14" t="s">
        <v>96</v>
      </c>
      <c r="D46" s="17" t="s">
        <v>38</v>
      </c>
      <c r="E46" s="14" t="s">
        <v>235</v>
      </c>
      <c r="F46" s="15">
        <v>4196.6088999999993</v>
      </c>
      <c r="G46" s="15">
        <v>5005.5772500000003</v>
      </c>
      <c r="H46" s="15">
        <v>3388.7145</v>
      </c>
      <c r="I46" s="15">
        <v>4563.2074000000002</v>
      </c>
      <c r="J46" s="15">
        <v>4558.3926499999998</v>
      </c>
      <c r="K46" s="15">
        <v>5406.7919500000007</v>
      </c>
      <c r="L46" s="15">
        <v>5783.4642000000003</v>
      </c>
      <c r="M46" s="15">
        <v>5809.3222999999998</v>
      </c>
      <c r="N46" s="15">
        <v>5899.2567999999992</v>
      </c>
      <c r="O46" s="15">
        <v>6093.5722499999993</v>
      </c>
      <c r="P46" s="15">
        <v>5034.5146499999992</v>
      </c>
      <c r="Q46" s="15">
        <v>5058.6791500000008</v>
      </c>
      <c r="R46" s="15">
        <v>3968.7202000000002</v>
      </c>
      <c r="S46" s="15">
        <v>6642.5354499999994</v>
      </c>
      <c r="T46" s="15">
        <v>6433.41435</v>
      </c>
      <c r="U46" s="15">
        <v>6093.5722499999993</v>
      </c>
      <c r="V46" s="15">
        <v>10.353999999999999</v>
      </c>
      <c r="W46" s="15">
        <v>120.502</v>
      </c>
      <c r="X46" s="15">
        <v>80.375</v>
      </c>
      <c r="Y46" s="15">
        <v>360.15955000000002</v>
      </c>
      <c r="Z46" s="15">
        <v>0</v>
      </c>
      <c r="AA46" s="15">
        <v>0</v>
      </c>
      <c r="AB46" s="15">
        <v>0</v>
      </c>
      <c r="AC46" s="15">
        <v>0</v>
      </c>
      <c r="AD46" s="15">
        <v>15.63</v>
      </c>
      <c r="AE46" s="15">
        <v>213.41200000000001</v>
      </c>
      <c r="AF46" s="15">
        <v>124.47320000000001</v>
      </c>
      <c r="AG46" s="15">
        <v>0</v>
      </c>
      <c r="AH46" s="15">
        <v>1087.1394499999999</v>
      </c>
      <c r="AI46" s="15">
        <v>0</v>
      </c>
      <c r="AJ46" s="15">
        <v>3022.4694500000001</v>
      </c>
      <c r="AK46" s="15">
        <v>211.23099999999999</v>
      </c>
      <c r="AL46" s="15">
        <v>302.15674999999999</v>
      </c>
      <c r="AM46" s="15">
        <v>4521.1268999999993</v>
      </c>
      <c r="AN46" s="15">
        <v>7852.7649000000001</v>
      </c>
      <c r="AO46" s="15">
        <v>7313.7222500000007</v>
      </c>
      <c r="AP46" s="15">
        <v>4668.4334999999992</v>
      </c>
      <c r="AQ46" s="15">
        <v>8419.0813999999991</v>
      </c>
      <c r="AR46" s="15">
        <v>7458.3816499999994</v>
      </c>
      <c r="AS46" s="15">
        <v>8611.1759500000007</v>
      </c>
      <c r="AT46" s="15">
        <v>8459.7982000000011</v>
      </c>
      <c r="AU46" s="15">
        <v>8718.8623000000007</v>
      </c>
      <c r="AV46" s="15">
        <v>9200.6087499999994</v>
      </c>
      <c r="AW46" s="15">
        <v>8596.0682500000003</v>
      </c>
      <c r="AX46" s="15">
        <v>8047.1415500000003</v>
      </c>
      <c r="AY46" s="15">
        <v>8699.5520500000002</v>
      </c>
      <c r="AZ46" s="15">
        <v>7320.5931499999997</v>
      </c>
      <c r="BA46" s="15">
        <v>9227.2034500000009</v>
      </c>
      <c r="BB46" s="15">
        <v>10348.20125</v>
      </c>
      <c r="BC46" s="15">
        <v>8596.0682500000003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55.863999999999997</v>
      </c>
      <c r="BJ46" s="15">
        <v>4461.4549999999999</v>
      </c>
      <c r="BK46" s="15">
        <v>0</v>
      </c>
      <c r="BL46" s="15">
        <v>2964.7125500000002</v>
      </c>
      <c r="BM46" s="15">
        <v>156.45699999999999</v>
      </c>
      <c r="BN46" s="15">
        <v>0</v>
      </c>
      <c r="BO46" s="15">
        <v>0</v>
      </c>
      <c r="BP46" s="15">
        <v>287.02999999999997</v>
      </c>
      <c r="BQ46" s="15">
        <v>121.62300000000008</v>
      </c>
      <c r="BR46" s="16">
        <v>0.53441163124595759</v>
      </c>
      <c r="BS46" s="16">
        <v>0.68440898887020218</v>
      </c>
      <c r="BT46" s="16">
        <v>0.72587828443952362</v>
      </c>
      <c r="BU46" s="16">
        <v>0.5420077539575755</v>
      </c>
      <c r="BV46" s="16">
        <v>0.61117717809466077</v>
      </c>
      <c r="BW46" s="16">
        <v>0.62788078903439437</v>
      </c>
      <c r="BX46" s="16">
        <v>0.68364091710840091</v>
      </c>
      <c r="BY46" s="16">
        <v>0.66629361723031222</v>
      </c>
      <c r="BZ46" s="16">
        <v>0.64118113923711839</v>
      </c>
      <c r="CA46" s="16">
        <v>0.70887899825597578</v>
      </c>
      <c r="CB46" s="16">
        <v>0.62562769881934022</v>
      </c>
      <c r="CC46" s="16">
        <v>0.58148731347610028</v>
      </c>
      <c r="CD46" s="16">
        <v>0.54213096106836645</v>
      </c>
      <c r="CE46" s="16">
        <v>0.71988609398224535</v>
      </c>
      <c r="CF46" s="16">
        <f t="shared" si="0"/>
        <v>0.62169397314340014</v>
      </c>
      <c r="CG46" s="16">
        <f t="shared" si="0"/>
        <v>0.70887899825597578</v>
      </c>
      <c r="CH46" s="30"/>
      <c r="CI46" s="30"/>
      <c r="CJ46" s="30"/>
      <c r="CK46" s="30"/>
      <c r="CL46" s="30"/>
      <c r="CM46" s="30"/>
      <c r="CN46" s="30"/>
      <c r="CO46" s="30">
        <v>2500</v>
      </c>
      <c r="CP46" s="30">
        <v>1500</v>
      </c>
      <c r="CQ46" s="30">
        <v>2000</v>
      </c>
      <c r="CR46" s="30"/>
      <c r="CS46" s="30">
        <v>3000</v>
      </c>
      <c r="CT46" s="30"/>
      <c r="CU46" s="30"/>
      <c r="CV46" s="30">
        <v>1500</v>
      </c>
      <c r="CW46" s="30">
        <v>2000</v>
      </c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>
        <v>0</v>
      </c>
      <c r="DO46" s="35">
        <v>990.01530000000002</v>
      </c>
      <c r="DP46" s="35">
        <v>1698.7660000000001</v>
      </c>
      <c r="DQ46" s="35">
        <v>0</v>
      </c>
      <c r="DR46" s="35">
        <v>0</v>
      </c>
    </row>
    <row r="47" spans="1:122" ht="25.5">
      <c r="A47" s="14">
        <f t="shared" si="1"/>
        <v>43</v>
      </c>
      <c r="B47" s="14" t="s">
        <v>139</v>
      </c>
      <c r="C47" s="14" t="s">
        <v>39</v>
      </c>
      <c r="D47" s="17" t="s">
        <v>40</v>
      </c>
      <c r="E47" s="14" t="s">
        <v>217</v>
      </c>
      <c r="F47" s="15">
        <v>9467.9005780499992</v>
      </c>
      <c r="G47" s="15">
        <v>8369.5133346900002</v>
      </c>
      <c r="H47" s="15">
        <v>8557.8392804700015</v>
      </c>
      <c r="I47" s="15">
        <v>11223.55750214</v>
      </c>
      <c r="J47" s="15">
        <v>10926.052180520002</v>
      </c>
      <c r="K47" s="15">
        <v>9130.9149659299983</v>
      </c>
      <c r="L47" s="15">
        <v>8825.150205689999</v>
      </c>
      <c r="M47" s="15">
        <v>8360.6080935199989</v>
      </c>
      <c r="N47" s="15">
        <v>11318.394816709999</v>
      </c>
      <c r="O47" s="15">
        <v>11808.164790770003</v>
      </c>
      <c r="P47" s="15">
        <v>10678.91492453</v>
      </c>
      <c r="Q47" s="15">
        <v>14216.862884179998</v>
      </c>
      <c r="R47" s="15">
        <v>12668.348576120001</v>
      </c>
      <c r="S47" s="15">
        <v>13254.825394480002</v>
      </c>
      <c r="T47" s="15">
        <v>14333.915590599998</v>
      </c>
      <c r="U47" s="15">
        <v>11808.164790770003</v>
      </c>
      <c r="V47" s="15">
        <v>617.95600000000002</v>
      </c>
      <c r="W47" s="15">
        <v>30.641999999999999</v>
      </c>
      <c r="X47" s="15">
        <v>0</v>
      </c>
      <c r="Y47" s="15">
        <v>454.8383</v>
      </c>
      <c r="Z47" s="15">
        <v>0</v>
      </c>
      <c r="AA47" s="15">
        <v>754.71688959000005</v>
      </c>
      <c r="AB47" s="15">
        <v>0</v>
      </c>
      <c r="AC47" s="15">
        <v>2425.3051533400003</v>
      </c>
      <c r="AD47" s="15">
        <v>5.5250000000000004</v>
      </c>
      <c r="AE47" s="15">
        <v>143.38544099999999</v>
      </c>
      <c r="AF47" s="15">
        <v>745.12525195000001</v>
      </c>
      <c r="AG47" s="15">
        <v>0</v>
      </c>
      <c r="AH47" s="15">
        <v>914.61083270000006</v>
      </c>
      <c r="AI47" s="15">
        <v>228.99037203999998</v>
      </c>
      <c r="AJ47" s="15">
        <v>4357.8196839099992</v>
      </c>
      <c r="AK47" s="15">
        <v>648.59800000000007</v>
      </c>
      <c r="AL47" s="15">
        <v>5635.0198223400002</v>
      </c>
      <c r="AM47" s="15">
        <v>4395.2971021899994</v>
      </c>
      <c r="AN47" s="15">
        <v>4193.5285780499999</v>
      </c>
      <c r="AO47" s="15">
        <v>3410.2173346899999</v>
      </c>
      <c r="AP47" s="15">
        <v>3986.6832804699998</v>
      </c>
      <c r="AQ47" s="15">
        <v>5180.8375021400007</v>
      </c>
      <c r="AR47" s="15">
        <v>2452.0591805199992</v>
      </c>
      <c r="AS47" s="15">
        <v>2982.4839659300001</v>
      </c>
      <c r="AT47" s="15">
        <v>5186.4942056899999</v>
      </c>
      <c r="AU47" s="15">
        <v>2574.97309352</v>
      </c>
      <c r="AV47" s="15">
        <v>3321.6148167100005</v>
      </c>
      <c r="AW47" s="15">
        <v>3078.97779077</v>
      </c>
      <c r="AX47" s="15">
        <v>2472.0849245300001</v>
      </c>
      <c r="AY47" s="15">
        <v>4290.196884179999</v>
      </c>
      <c r="AZ47" s="15">
        <v>4026.10757612</v>
      </c>
      <c r="BA47" s="15">
        <v>4559.5563944799997</v>
      </c>
      <c r="BB47" s="15">
        <v>7481.2185906000004</v>
      </c>
      <c r="BC47" s="15">
        <v>3078.97779077</v>
      </c>
      <c r="BD47" s="15">
        <v>157.07156499999999</v>
      </c>
      <c r="BE47" s="15">
        <v>0</v>
      </c>
      <c r="BF47" s="15">
        <v>31.020609489999998</v>
      </c>
      <c r="BG47" s="15">
        <v>0</v>
      </c>
      <c r="BH47" s="15">
        <v>0</v>
      </c>
      <c r="BI47" s="15">
        <v>289.5</v>
      </c>
      <c r="BJ47" s="15">
        <v>53.920999999999999</v>
      </c>
      <c r="BK47" s="15">
        <v>202.79472003999999</v>
      </c>
      <c r="BL47" s="15">
        <v>971.20748000000003</v>
      </c>
      <c r="BM47" s="15">
        <v>20.847750000000001</v>
      </c>
      <c r="BN47" s="15">
        <v>0</v>
      </c>
      <c r="BO47" s="15">
        <v>145.01</v>
      </c>
      <c r="BP47" s="15">
        <v>287.8922</v>
      </c>
      <c r="BQ47" s="15">
        <v>312.81960000000038</v>
      </c>
      <c r="BR47" s="16">
        <v>2.2577408027233701</v>
      </c>
      <c r="BS47" s="16">
        <v>2.4542463172514535</v>
      </c>
      <c r="BT47" s="16">
        <v>2.1466062584889105</v>
      </c>
      <c r="BU47" s="16">
        <v>2.166359685572842</v>
      </c>
      <c r="BV47" s="16">
        <v>4.4558680586995267</v>
      </c>
      <c r="BW47" s="16">
        <v>3.0615135136469345</v>
      </c>
      <c r="BX47" s="16">
        <v>1.7015636874727638</v>
      </c>
      <c r="BY47" s="16">
        <v>3.2468720215212072</v>
      </c>
      <c r="BZ47" s="16">
        <v>3.40749769051207</v>
      </c>
      <c r="CA47" s="16">
        <v>3.8350925512252498</v>
      </c>
      <c r="CB47" s="16">
        <v>4.3198009981636476</v>
      </c>
      <c r="CC47" s="16">
        <v>3.3138019694630678</v>
      </c>
      <c r="CD47" s="16">
        <v>3.1465499459725352</v>
      </c>
      <c r="CE47" s="16">
        <v>2.9070427576083673</v>
      </c>
      <c r="CF47" s="16">
        <f t="shared" si="0"/>
        <v>1.9159867362531382</v>
      </c>
      <c r="CG47" s="16">
        <f t="shared" si="0"/>
        <v>3.8350925512252498</v>
      </c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>
        <v>0</v>
      </c>
      <c r="DO47" s="35">
        <v>0</v>
      </c>
      <c r="DP47" s="35">
        <v>0</v>
      </c>
      <c r="DQ47" s="35">
        <v>0</v>
      </c>
      <c r="DR47" s="35">
        <v>0</v>
      </c>
    </row>
    <row r="48" spans="1:122" ht="25.5">
      <c r="A48" s="14">
        <f t="shared" si="1"/>
        <v>44</v>
      </c>
      <c r="B48" s="14" t="s">
        <v>140</v>
      </c>
      <c r="C48" s="14" t="s">
        <v>39</v>
      </c>
      <c r="D48" s="17" t="s">
        <v>41</v>
      </c>
      <c r="E48" s="14" t="s">
        <v>218</v>
      </c>
      <c r="F48" s="15">
        <v>11401.163587660003</v>
      </c>
      <c r="G48" s="15">
        <v>12047.653596430002</v>
      </c>
      <c r="H48" s="15">
        <v>11698.644469569997</v>
      </c>
      <c r="I48" s="15">
        <v>12373.606488029998</v>
      </c>
      <c r="J48" s="15">
        <v>12549.050340140004</v>
      </c>
      <c r="K48" s="15">
        <v>11985.442495349997</v>
      </c>
      <c r="L48" s="15">
        <v>11820.03829214</v>
      </c>
      <c r="M48" s="15">
        <v>11725.525924529999</v>
      </c>
      <c r="N48" s="15">
        <v>13232.920725340002</v>
      </c>
      <c r="O48" s="15">
        <v>16047.72253596</v>
      </c>
      <c r="P48" s="15">
        <v>13555.36978735</v>
      </c>
      <c r="Q48" s="15">
        <v>14536.308476439999</v>
      </c>
      <c r="R48" s="15">
        <v>13750.951438890002</v>
      </c>
      <c r="S48" s="15">
        <v>15262.107885520001</v>
      </c>
      <c r="T48" s="15">
        <v>15052.750046759998</v>
      </c>
      <c r="U48" s="15">
        <v>16047.72253596</v>
      </c>
      <c r="V48" s="15">
        <v>0</v>
      </c>
      <c r="W48" s="15">
        <v>1569.0066079999999</v>
      </c>
      <c r="X48" s="15">
        <v>0</v>
      </c>
      <c r="Y48" s="15">
        <v>694.78665000000001</v>
      </c>
      <c r="Z48" s="15">
        <v>30.95</v>
      </c>
      <c r="AA48" s="15">
        <v>20.707000000000001</v>
      </c>
      <c r="AB48" s="15">
        <v>0</v>
      </c>
      <c r="AC48" s="15">
        <v>3968.4979383300001</v>
      </c>
      <c r="AD48" s="15">
        <v>20.825663740000003</v>
      </c>
      <c r="AE48" s="15">
        <v>34.54</v>
      </c>
      <c r="AF48" s="15">
        <v>1170.38005813</v>
      </c>
      <c r="AG48" s="15">
        <v>128.43</v>
      </c>
      <c r="AH48" s="15">
        <v>973.44224999999994</v>
      </c>
      <c r="AI48" s="15">
        <v>544.79999999999995</v>
      </c>
      <c r="AJ48" s="15">
        <v>4399.0036191499994</v>
      </c>
      <c r="AK48" s="15">
        <v>1599.956608</v>
      </c>
      <c r="AL48" s="15">
        <v>4441.8960770700005</v>
      </c>
      <c r="AM48" s="15">
        <v>7513.5171022799996</v>
      </c>
      <c r="AN48" s="15">
        <v>4066.8238876600003</v>
      </c>
      <c r="AO48" s="15">
        <v>5315.4034964300008</v>
      </c>
      <c r="AP48" s="15">
        <v>3793.2888695700003</v>
      </c>
      <c r="AQ48" s="15">
        <v>8236.4514880300012</v>
      </c>
      <c r="AR48" s="15">
        <v>4913.4205637699997</v>
      </c>
      <c r="AS48" s="15">
        <v>4840.9223391899995</v>
      </c>
      <c r="AT48" s="15">
        <v>4749.588848299999</v>
      </c>
      <c r="AU48" s="15">
        <v>6763.0399245300014</v>
      </c>
      <c r="AV48" s="15">
        <v>6448.4667253399994</v>
      </c>
      <c r="AW48" s="15">
        <v>6257.9974821099995</v>
      </c>
      <c r="AX48" s="15">
        <v>5366.2854464199991</v>
      </c>
      <c r="AY48" s="15">
        <v>6789.4000970800007</v>
      </c>
      <c r="AZ48" s="15">
        <v>6015.1481896000005</v>
      </c>
      <c r="BA48" s="15">
        <v>6118.0807140599991</v>
      </c>
      <c r="BB48" s="15">
        <v>7628.0637459</v>
      </c>
      <c r="BC48" s="15">
        <v>6257.9974821099995</v>
      </c>
      <c r="BD48" s="15">
        <v>113.04</v>
      </c>
      <c r="BE48" s="15">
        <v>0</v>
      </c>
      <c r="BF48" s="15">
        <v>80.435376330000011</v>
      </c>
      <c r="BG48" s="15">
        <v>0</v>
      </c>
      <c r="BH48" s="15">
        <v>0</v>
      </c>
      <c r="BI48" s="15">
        <v>185.60492000000002</v>
      </c>
      <c r="BJ48" s="15">
        <v>270.35500000000002</v>
      </c>
      <c r="BK48" s="15">
        <v>501.21771508999996</v>
      </c>
      <c r="BL48" s="15">
        <v>1917.5783349999999</v>
      </c>
      <c r="BM48" s="15">
        <v>35.079500000000003</v>
      </c>
      <c r="BN48" s="15">
        <v>17.675999999999998</v>
      </c>
      <c r="BO48" s="15">
        <v>108.11</v>
      </c>
      <c r="BP48" s="15">
        <v>1649.4886000000001</v>
      </c>
      <c r="BQ48" s="15">
        <v>487.69999999999908</v>
      </c>
      <c r="BR48" s="16">
        <v>2.8034564324889146</v>
      </c>
      <c r="BS48" s="16">
        <v>2.2665548541181493</v>
      </c>
      <c r="BT48" s="16">
        <v>3.0840373279813336</v>
      </c>
      <c r="BU48" s="16">
        <v>1.5022982295242686</v>
      </c>
      <c r="BV48" s="16">
        <v>2.5540354580417377</v>
      </c>
      <c r="BW48" s="16">
        <v>2.4758592796089856</v>
      </c>
      <c r="BX48" s="16">
        <v>2.4886445268564032</v>
      </c>
      <c r="BY48" s="16">
        <v>1.7337655928956928</v>
      </c>
      <c r="BZ48" s="16">
        <v>2.0521034362075099</v>
      </c>
      <c r="CA48" s="16">
        <v>2.5643542653758331</v>
      </c>
      <c r="CB48" s="16">
        <v>2.5260247377248954</v>
      </c>
      <c r="CC48" s="16">
        <v>2.141029880193952</v>
      </c>
      <c r="CD48" s="16">
        <v>2.2860536441421275</v>
      </c>
      <c r="CE48" s="16">
        <v>2.4945908036888196</v>
      </c>
      <c r="CF48" s="16">
        <f t="shared" si="0"/>
        <v>1.9733382609513044</v>
      </c>
      <c r="CG48" s="16">
        <f t="shared" si="0"/>
        <v>2.5643542653758331</v>
      </c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>
        <v>0</v>
      </c>
      <c r="DO48" s="35">
        <v>0</v>
      </c>
      <c r="DP48" s="35">
        <v>0</v>
      </c>
      <c r="DQ48" s="35">
        <v>0</v>
      </c>
      <c r="DR48" s="35">
        <v>0</v>
      </c>
    </row>
    <row r="49" spans="1:122" ht="25.5">
      <c r="A49" s="14">
        <f t="shared" si="1"/>
        <v>45</v>
      </c>
      <c r="B49" s="14" t="s">
        <v>141</v>
      </c>
      <c r="C49" s="14" t="s">
        <v>39</v>
      </c>
      <c r="D49" s="17" t="s">
        <v>42</v>
      </c>
      <c r="E49" s="14" t="s">
        <v>219</v>
      </c>
      <c r="F49" s="15">
        <v>11735.150935660004</v>
      </c>
      <c r="G49" s="15">
        <v>11290.021244030002</v>
      </c>
      <c r="H49" s="15">
        <v>9869.700767100001</v>
      </c>
      <c r="I49" s="15">
        <v>14072.304531720003</v>
      </c>
      <c r="J49" s="15">
        <v>12101.833627259999</v>
      </c>
      <c r="K49" s="15">
        <v>12096.589356799997</v>
      </c>
      <c r="L49" s="15">
        <v>12820.169562710002</v>
      </c>
      <c r="M49" s="15">
        <v>11689.178016509999</v>
      </c>
      <c r="N49" s="15">
        <v>12582.137209120003</v>
      </c>
      <c r="O49" s="15">
        <v>12428.890514769997</v>
      </c>
      <c r="P49" s="15">
        <v>9755.4417020199999</v>
      </c>
      <c r="Q49" s="15">
        <v>13356.443103759999</v>
      </c>
      <c r="R49" s="15">
        <v>12840.891806979998</v>
      </c>
      <c r="S49" s="15">
        <v>10757.100229089998</v>
      </c>
      <c r="T49" s="15">
        <v>14661.989071250002</v>
      </c>
      <c r="U49" s="15">
        <v>12428.890514769997</v>
      </c>
      <c r="V49" s="15">
        <v>1.1499999999999999</v>
      </c>
      <c r="W49" s="15">
        <v>1810.79395</v>
      </c>
      <c r="X49" s="15">
        <v>41</v>
      </c>
      <c r="Y49" s="15">
        <v>459.66630500000002</v>
      </c>
      <c r="Z49" s="15">
        <v>16.007999999999999</v>
      </c>
      <c r="AA49" s="15">
        <v>178.33340000000001</v>
      </c>
      <c r="AB49" s="15">
        <v>0</v>
      </c>
      <c r="AC49" s="15">
        <v>278.73599999999999</v>
      </c>
      <c r="AD49" s="15">
        <v>10.646764000000001</v>
      </c>
      <c r="AE49" s="15">
        <v>78.965999999999994</v>
      </c>
      <c r="AF49" s="15">
        <v>452.92263565000002</v>
      </c>
      <c r="AG49" s="15">
        <v>0</v>
      </c>
      <c r="AH49" s="15">
        <v>749.09324722000008</v>
      </c>
      <c r="AI49" s="15">
        <v>1623.8247732</v>
      </c>
      <c r="AJ49" s="15">
        <v>4054.3006269499988</v>
      </c>
      <c r="AK49" s="15">
        <v>1868.9519500000001</v>
      </c>
      <c r="AL49" s="15">
        <v>943.73261400000001</v>
      </c>
      <c r="AM49" s="15">
        <v>6942.7571380199988</v>
      </c>
      <c r="AN49" s="15">
        <v>48521.236221129991</v>
      </c>
      <c r="AO49" s="15">
        <v>51181.189812730001</v>
      </c>
      <c r="AP49" s="15">
        <v>49629.304839670003</v>
      </c>
      <c r="AQ49" s="15">
        <v>57729.703260490001</v>
      </c>
      <c r="AR49" s="15">
        <v>59059.298289660001</v>
      </c>
      <c r="AS49" s="15">
        <v>63055.626588339997</v>
      </c>
      <c r="AT49" s="15">
        <v>61187.563222489996</v>
      </c>
      <c r="AU49" s="15">
        <v>55405.725348889995</v>
      </c>
      <c r="AV49" s="15">
        <v>63676.198301709992</v>
      </c>
      <c r="AW49" s="15">
        <v>63937.106006790003</v>
      </c>
      <c r="AX49" s="15">
        <v>60389.945043660009</v>
      </c>
      <c r="AY49" s="15">
        <v>60864.973403759992</v>
      </c>
      <c r="AZ49" s="15">
        <v>55132.753906980004</v>
      </c>
      <c r="BA49" s="15">
        <v>60625.025229089995</v>
      </c>
      <c r="BB49" s="15">
        <v>70947.387721250008</v>
      </c>
      <c r="BC49" s="15">
        <v>63937.106006790003</v>
      </c>
      <c r="BD49" s="15">
        <v>7247.9987369200007</v>
      </c>
      <c r="BE49" s="15">
        <v>38.575828000000001</v>
      </c>
      <c r="BF49" s="15">
        <v>2548.9640152300003</v>
      </c>
      <c r="BG49" s="15">
        <v>0</v>
      </c>
      <c r="BH49" s="15">
        <v>0</v>
      </c>
      <c r="BI49" s="15">
        <v>17.879000000000001</v>
      </c>
      <c r="BJ49" s="15">
        <v>47022.964</v>
      </c>
      <c r="BK49" s="15">
        <v>1575.6728621099999</v>
      </c>
      <c r="BL49" s="15">
        <v>1611.5736014000001</v>
      </c>
      <c r="BM49" s="15">
        <v>1.1919999999999999</v>
      </c>
      <c r="BN49" s="15">
        <v>0</v>
      </c>
      <c r="BO49" s="15">
        <v>0</v>
      </c>
      <c r="BP49" s="15">
        <v>270.60000000000002</v>
      </c>
      <c r="BQ49" s="15">
        <v>54.525000000009641</v>
      </c>
      <c r="BR49" s="16">
        <v>0.24185597584897453</v>
      </c>
      <c r="BS49" s="16">
        <v>0.22058926893532085</v>
      </c>
      <c r="BT49" s="16">
        <v>0.19886840645833287</v>
      </c>
      <c r="BU49" s="16">
        <v>0.24376194120074471</v>
      </c>
      <c r="BV49" s="16">
        <v>0.20490987833796812</v>
      </c>
      <c r="BW49" s="16">
        <v>0.19183996752221397</v>
      </c>
      <c r="BX49" s="16">
        <v>0.20952247299166576</v>
      </c>
      <c r="BY49" s="16">
        <v>0.21097418981347532</v>
      </c>
      <c r="BZ49" s="16">
        <v>0.19759560942227475</v>
      </c>
      <c r="CA49" s="16">
        <v>0.19439244737555172</v>
      </c>
      <c r="CB49" s="16">
        <v>0.16154082761570865</v>
      </c>
      <c r="CC49" s="16">
        <v>0.21944383373270138</v>
      </c>
      <c r="CD49" s="16">
        <v>0.23290858694715585</v>
      </c>
      <c r="CE49" s="16">
        <v>0.17743663096948895</v>
      </c>
      <c r="CF49" s="16">
        <f t="shared" si="0"/>
        <v>0.20666002712963136</v>
      </c>
      <c r="CG49" s="16">
        <f t="shared" si="0"/>
        <v>0.19439244737555172</v>
      </c>
      <c r="CH49" s="30">
        <v>1000</v>
      </c>
      <c r="CI49" s="30">
        <v>11000</v>
      </c>
      <c r="CJ49" s="30">
        <v>15000</v>
      </c>
      <c r="CK49" s="30">
        <v>31400</v>
      </c>
      <c r="CL49" s="30">
        <v>34000</v>
      </c>
      <c r="CM49" s="30">
        <v>26500</v>
      </c>
      <c r="CN49" s="30">
        <v>2000</v>
      </c>
      <c r="CO49" s="30">
        <v>18000</v>
      </c>
      <c r="CP49" s="30">
        <v>17000</v>
      </c>
      <c r="CQ49" s="30">
        <v>35000</v>
      </c>
      <c r="CR49" s="30">
        <v>15900</v>
      </c>
      <c r="CS49" s="30">
        <v>16000</v>
      </c>
      <c r="CT49" s="30">
        <v>17000</v>
      </c>
      <c r="CU49" s="30">
        <v>13400</v>
      </c>
      <c r="CV49" s="30">
        <v>26000</v>
      </c>
      <c r="CW49" s="30">
        <v>35000</v>
      </c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>
        <v>3461.6713</v>
      </c>
      <c r="DO49" s="35">
        <v>11015.11</v>
      </c>
      <c r="DP49" s="35">
        <v>1488.19625</v>
      </c>
      <c r="DQ49" s="35">
        <v>0</v>
      </c>
      <c r="DR49" s="35">
        <v>0</v>
      </c>
    </row>
    <row r="50" spans="1:122" ht="25.5">
      <c r="A50" s="14">
        <f t="shared" si="1"/>
        <v>46</v>
      </c>
      <c r="B50" s="14" t="s">
        <v>142</v>
      </c>
      <c r="C50" s="14" t="s">
        <v>39</v>
      </c>
      <c r="D50" s="17" t="s">
        <v>43</v>
      </c>
      <c r="E50" s="14" t="s">
        <v>220</v>
      </c>
      <c r="F50" s="15">
        <v>14531.173577240002</v>
      </c>
      <c r="G50" s="15">
        <v>13553.650013930001</v>
      </c>
      <c r="H50" s="15">
        <v>13521.38232635</v>
      </c>
      <c r="I50" s="15">
        <v>15066.707392299999</v>
      </c>
      <c r="J50" s="15">
        <v>14119.256438440001</v>
      </c>
      <c r="K50" s="15">
        <v>11923.581142290001</v>
      </c>
      <c r="L50" s="15">
        <v>13862.562404510003</v>
      </c>
      <c r="M50" s="15">
        <v>14481.666846329997</v>
      </c>
      <c r="N50" s="15">
        <v>14659.352096389997</v>
      </c>
      <c r="O50" s="15">
        <v>18259.536408920001</v>
      </c>
      <c r="P50" s="15">
        <v>15390.988223009999</v>
      </c>
      <c r="Q50" s="15">
        <v>18602.566576290003</v>
      </c>
      <c r="R50" s="15">
        <v>13525.106525379999</v>
      </c>
      <c r="S50" s="15">
        <v>15016.415199609999</v>
      </c>
      <c r="T50" s="15">
        <v>16652.980368639997</v>
      </c>
      <c r="U50" s="15">
        <v>18259.536408920001</v>
      </c>
      <c r="V50" s="15">
        <v>51.434399999999997</v>
      </c>
      <c r="W50" s="15">
        <v>1075.4181753900002</v>
      </c>
      <c r="X50" s="15">
        <v>0</v>
      </c>
      <c r="Y50" s="15">
        <v>144.20320000000001</v>
      </c>
      <c r="Z50" s="15">
        <v>0</v>
      </c>
      <c r="AA50" s="15">
        <v>13.2178</v>
      </c>
      <c r="AB50" s="15">
        <v>0</v>
      </c>
      <c r="AC50" s="15">
        <v>3986.7930000000001</v>
      </c>
      <c r="AD50" s="15">
        <v>32.975999999999999</v>
      </c>
      <c r="AE50" s="15">
        <v>273.33519243000001</v>
      </c>
      <c r="AF50" s="15">
        <v>1327.8281179400001</v>
      </c>
      <c r="AG50" s="15">
        <v>614.91499999999996</v>
      </c>
      <c r="AH50" s="15">
        <v>2096.9524510000001</v>
      </c>
      <c r="AI50" s="15">
        <v>278.24299999999999</v>
      </c>
      <c r="AJ50" s="15">
        <v>5495.6718862499956</v>
      </c>
      <c r="AK50" s="15">
        <v>1126.8525753900003</v>
      </c>
      <c r="AL50" s="15">
        <v>4781.0366524300007</v>
      </c>
      <c r="AM50" s="15">
        <v>9483.0989951899974</v>
      </c>
      <c r="AN50" s="15">
        <v>1913.20957724</v>
      </c>
      <c r="AO50" s="15">
        <v>2469.8850139299998</v>
      </c>
      <c r="AP50" s="15">
        <v>2287.9933263499997</v>
      </c>
      <c r="AQ50" s="15">
        <v>3369.0553923000002</v>
      </c>
      <c r="AR50" s="15">
        <v>3069.9569384400002</v>
      </c>
      <c r="AS50" s="15">
        <v>2899.4906422899999</v>
      </c>
      <c r="AT50" s="15">
        <v>2971.5314045099999</v>
      </c>
      <c r="AU50" s="15">
        <v>3339.0478463300001</v>
      </c>
      <c r="AV50" s="15">
        <v>4530.7035963899998</v>
      </c>
      <c r="AW50" s="15">
        <v>5977.4079089199995</v>
      </c>
      <c r="AX50" s="15">
        <v>5254.3507230099995</v>
      </c>
      <c r="AY50" s="15">
        <v>5717.4305762900012</v>
      </c>
      <c r="AZ50" s="15">
        <v>2179.7385253800003</v>
      </c>
      <c r="BA50" s="15">
        <v>2896.9321996099998</v>
      </c>
      <c r="BB50" s="15">
        <v>3722.5393686399998</v>
      </c>
      <c r="BC50" s="15">
        <v>5977.4079089199995</v>
      </c>
      <c r="BD50" s="15">
        <v>116.634799</v>
      </c>
      <c r="BE50" s="15">
        <v>0</v>
      </c>
      <c r="BF50" s="15">
        <v>59.44609578</v>
      </c>
      <c r="BG50" s="15">
        <v>0</v>
      </c>
      <c r="BH50" s="15">
        <v>0</v>
      </c>
      <c r="BI50" s="15">
        <v>50.4</v>
      </c>
      <c r="BJ50" s="15">
        <v>287.00799999999998</v>
      </c>
      <c r="BK50" s="15">
        <v>19.766292839999998</v>
      </c>
      <c r="BL50" s="15">
        <v>468.17720500000001</v>
      </c>
      <c r="BM50" s="15">
        <v>135.94171499999999</v>
      </c>
      <c r="BN50" s="15">
        <v>21.646000000000001</v>
      </c>
      <c r="BO50" s="15">
        <v>0</v>
      </c>
      <c r="BP50" s="15">
        <v>3779.3306153899998</v>
      </c>
      <c r="BQ50" s="15">
        <v>315.99999999999977</v>
      </c>
      <c r="BR50" s="16">
        <v>7.5951812859951824</v>
      </c>
      <c r="BS50" s="16">
        <v>5.487563160830665</v>
      </c>
      <c r="BT50" s="16">
        <v>5.9097123101842488</v>
      </c>
      <c r="BU50" s="16">
        <v>4.472086575582896</v>
      </c>
      <c r="BV50" s="16">
        <v>4.5991708423163447</v>
      </c>
      <c r="BW50" s="16">
        <v>4.1123019913845384</v>
      </c>
      <c r="BX50" s="16">
        <v>4.66512397731025</v>
      </c>
      <c r="BY50" s="16">
        <v>4.3370647899661048</v>
      </c>
      <c r="BZ50" s="16">
        <v>3.2355575209268514</v>
      </c>
      <c r="CA50" s="16">
        <v>3.0547582977684287</v>
      </c>
      <c r="CB50" s="16">
        <v>2.929189358374833</v>
      </c>
      <c r="CC50" s="16">
        <v>3.2536584971288049</v>
      </c>
      <c r="CD50" s="16">
        <v>6.2049215389364774</v>
      </c>
      <c r="CE50" s="16">
        <v>5.1835576965286201</v>
      </c>
      <c r="CF50" s="16">
        <f t="shared" si="0"/>
        <v>4.4735538618961685</v>
      </c>
      <c r="CG50" s="16">
        <f t="shared" si="0"/>
        <v>3.0547582977684287</v>
      </c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>
        <v>0</v>
      </c>
      <c r="DO50" s="35">
        <v>0</v>
      </c>
      <c r="DP50" s="35">
        <v>0</v>
      </c>
      <c r="DQ50" s="35">
        <v>0</v>
      </c>
      <c r="DR50" s="35">
        <v>0</v>
      </c>
    </row>
    <row r="51" spans="1:122" ht="25.5">
      <c r="A51" s="14">
        <f t="shared" si="1"/>
        <v>47</v>
      </c>
      <c r="B51" s="14" t="s">
        <v>143</v>
      </c>
      <c r="C51" s="14" t="s">
        <v>39</v>
      </c>
      <c r="D51" s="17" t="s">
        <v>44</v>
      </c>
      <c r="E51" s="14" t="s">
        <v>221</v>
      </c>
      <c r="F51" s="15">
        <v>11628.89532625</v>
      </c>
      <c r="G51" s="15">
        <v>9430.5744157499994</v>
      </c>
      <c r="H51" s="15">
        <v>10550.801834989999</v>
      </c>
      <c r="I51" s="15">
        <v>10424.753840090001</v>
      </c>
      <c r="J51" s="15">
        <v>9912.9676755599994</v>
      </c>
      <c r="K51" s="15">
        <v>9410.3879663100015</v>
      </c>
      <c r="L51" s="15">
        <v>9871.4466700199991</v>
      </c>
      <c r="M51" s="15">
        <v>9355.6104713500008</v>
      </c>
      <c r="N51" s="15">
        <v>11319.01141816</v>
      </c>
      <c r="O51" s="15">
        <v>10828.893189569999</v>
      </c>
      <c r="P51" s="15">
        <v>10380.44800712</v>
      </c>
      <c r="Q51" s="15">
        <v>11140.839906739999</v>
      </c>
      <c r="R51" s="15">
        <v>12484.226658499998</v>
      </c>
      <c r="S51" s="15">
        <v>11012.99317526</v>
      </c>
      <c r="T51" s="15">
        <v>9073.0884143400017</v>
      </c>
      <c r="U51" s="15">
        <v>10828.893189569999</v>
      </c>
      <c r="V51" s="15">
        <v>88.486999999999995</v>
      </c>
      <c r="W51" s="15">
        <v>224.48366822</v>
      </c>
      <c r="X51" s="15">
        <v>162.03049999999999</v>
      </c>
      <c r="Y51" s="15">
        <v>436.50445000000002</v>
      </c>
      <c r="Z51" s="15">
        <v>1.1000000000000001</v>
      </c>
      <c r="AA51" s="15">
        <v>57.561</v>
      </c>
      <c r="AB51" s="15">
        <v>0</v>
      </c>
      <c r="AC51" s="15">
        <v>3094.7137077800003</v>
      </c>
      <c r="AD51" s="15">
        <v>27.318000000000001</v>
      </c>
      <c r="AE51" s="15">
        <v>56.9861</v>
      </c>
      <c r="AF51" s="15">
        <v>716.73470698000006</v>
      </c>
      <c r="AG51" s="15">
        <v>44.03</v>
      </c>
      <c r="AH51" s="15">
        <v>1505.72421538</v>
      </c>
      <c r="AI51" s="15">
        <v>187.75118678999999</v>
      </c>
      <c r="AJ51" s="15">
        <v>3777.0234719699988</v>
      </c>
      <c r="AK51" s="15">
        <v>476.10116821999998</v>
      </c>
      <c r="AL51" s="15">
        <v>3931.2079077799999</v>
      </c>
      <c r="AM51" s="15">
        <v>5973.1389311199991</v>
      </c>
      <c r="AN51" s="15">
        <v>4413.4023262500004</v>
      </c>
      <c r="AO51" s="15">
        <v>4288.0764157499998</v>
      </c>
      <c r="AP51" s="15">
        <v>5427.143834989999</v>
      </c>
      <c r="AQ51" s="15">
        <v>5366.3028400899993</v>
      </c>
      <c r="AR51" s="15">
        <v>4664.9036755600009</v>
      </c>
      <c r="AS51" s="15">
        <v>4075.3889663099994</v>
      </c>
      <c r="AT51" s="15">
        <v>3770.03567002</v>
      </c>
      <c r="AU51" s="15">
        <v>4338.6594713499999</v>
      </c>
      <c r="AV51" s="15">
        <v>5998.7304181599993</v>
      </c>
      <c r="AW51" s="15">
        <v>6947.6631895700002</v>
      </c>
      <c r="AX51" s="15">
        <v>5894.5280071200004</v>
      </c>
      <c r="AY51" s="15">
        <v>6073.1369067400001</v>
      </c>
      <c r="AZ51" s="15">
        <v>6667.9336585000001</v>
      </c>
      <c r="BA51" s="15">
        <v>8254.7211752599997</v>
      </c>
      <c r="BB51" s="15">
        <v>8982.5124143400008</v>
      </c>
      <c r="BC51" s="15">
        <v>6947.6631895700002</v>
      </c>
      <c r="BD51" s="15">
        <v>133.76400000000001</v>
      </c>
      <c r="BE51" s="15">
        <v>0</v>
      </c>
      <c r="BF51" s="15">
        <v>176.98949849000002</v>
      </c>
      <c r="BG51" s="15">
        <v>0</v>
      </c>
      <c r="BH51" s="15">
        <v>0</v>
      </c>
      <c r="BI51" s="15">
        <v>0</v>
      </c>
      <c r="BJ51" s="15">
        <v>84.625</v>
      </c>
      <c r="BK51" s="15">
        <v>531.77285862999997</v>
      </c>
      <c r="BL51" s="15">
        <v>1479.42065</v>
      </c>
      <c r="BM51" s="15">
        <v>0</v>
      </c>
      <c r="BN51" s="15">
        <v>0</v>
      </c>
      <c r="BO51" s="15">
        <v>0</v>
      </c>
      <c r="BP51" s="15">
        <v>3059.9560000000001</v>
      </c>
      <c r="BQ51" s="15">
        <v>428.00000000000034</v>
      </c>
      <c r="BR51" s="16">
        <v>2.6349048798664345</v>
      </c>
      <c r="BS51" s="16">
        <v>2.1992552140889399</v>
      </c>
      <c r="BT51" s="16">
        <v>1.9440800088928254</v>
      </c>
      <c r="BU51" s="16">
        <v>1.9426324139237667</v>
      </c>
      <c r="BV51" s="16">
        <v>2.1250101534776045</v>
      </c>
      <c r="BW51" s="16">
        <v>2.3090772547363736</v>
      </c>
      <c r="BX51" s="16">
        <v>2.6183960933100749</v>
      </c>
      <c r="BY51" s="16">
        <v>2.1563366595440474</v>
      </c>
      <c r="BZ51" s="16">
        <v>1.8869011656022876</v>
      </c>
      <c r="CA51" s="16">
        <v>1.5586381915903169</v>
      </c>
      <c r="CB51" s="16">
        <v>1.7610312470449638</v>
      </c>
      <c r="CC51" s="16">
        <v>1.8344457037311039</v>
      </c>
      <c r="CD51" s="16">
        <v>1.8722781746014574</v>
      </c>
      <c r="CE51" s="16">
        <v>1.3341447810819755</v>
      </c>
      <c r="CF51" s="16">
        <f t="shared" si="0"/>
        <v>1.0100835930775227</v>
      </c>
      <c r="CG51" s="16">
        <f t="shared" si="0"/>
        <v>1.5586381915903169</v>
      </c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>
        <v>0</v>
      </c>
      <c r="DO51" s="35">
        <v>0</v>
      </c>
      <c r="DP51" s="35">
        <v>0</v>
      </c>
      <c r="DQ51" s="35">
        <v>0</v>
      </c>
      <c r="DR51" s="35">
        <v>0</v>
      </c>
    </row>
    <row r="52" spans="1:122" ht="25.5">
      <c r="A52" s="14">
        <f t="shared" si="1"/>
        <v>48</v>
      </c>
      <c r="B52" s="14" t="s">
        <v>144</v>
      </c>
      <c r="C52" s="14" t="s">
        <v>39</v>
      </c>
      <c r="D52" s="17" t="s">
        <v>5</v>
      </c>
      <c r="E52" s="14" t="s">
        <v>222</v>
      </c>
      <c r="F52" s="15">
        <v>17391.827649539999</v>
      </c>
      <c r="G52" s="15">
        <v>17071.595726520001</v>
      </c>
      <c r="H52" s="15">
        <v>16952.872684859998</v>
      </c>
      <c r="I52" s="15">
        <v>16483.575494000001</v>
      </c>
      <c r="J52" s="15">
        <v>23932.294443260005</v>
      </c>
      <c r="K52" s="15">
        <v>18482.383099219998</v>
      </c>
      <c r="L52" s="15">
        <v>21302.466304369998</v>
      </c>
      <c r="M52" s="15">
        <v>10685.117107579999</v>
      </c>
      <c r="N52" s="15">
        <v>12683.699685149999</v>
      </c>
      <c r="O52" s="15">
        <v>14528.157956809999</v>
      </c>
      <c r="P52" s="15">
        <v>12733.564066750001</v>
      </c>
      <c r="Q52" s="15">
        <v>15464.43578772</v>
      </c>
      <c r="R52" s="15">
        <v>8127.7917093499982</v>
      </c>
      <c r="S52" s="15">
        <v>13561.42224322</v>
      </c>
      <c r="T52" s="15">
        <v>13295.529997539998</v>
      </c>
      <c r="U52" s="15">
        <v>14528.157956809999</v>
      </c>
      <c r="V52" s="15">
        <v>293.55033612</v>
      </c>
      <c r="W52" s="15">
        <v>906.07299999999998</v>
      </c>
      <c r="X52" s="15">
        <v>490.88900000000001</v>
      </c>
      <c r="Y52" s="15">
        <v>1097.9920199999999</v>
      </c>
      <c r="Z52" s="15">
        <v>0</v>
      </c>
      <c r="AA52" s="15">
        <v>1989.00800056</v>
      </c>
      <c r="AB52" s="15">
        <v>43</v>
      </c>
      <c r="AC52" s="15">
        <v>2627.3335000000002</v>
      </c>
      <c r="AD52" s="15">
        <v>109.20381451</v>
      </c>
      <c r="AE52" s="15">
        <v>145.95323316</v>
      </c>
      <c r="AF52" s="15">
        <v>441.17501289999996</v>
      </c>
      <c r="AG52" s="15">
        <v>223.9965</v>
      </c>
      <c r="AH52" s="15">
        <v>2409.6950471499999</v>
      </c>
      <c r="AI52" s="15">
        <v>159.83404328</v>
      </c>
      <c r="AJ52" s="15">
        <v>1795.8605590700022</v>
      </c>
      <c r="AK52" s="15">
        <v>1690.5123361199999</v>
      </c>
      <c r="AL52" s="15">
        <v>3178.3557586699999</v>
      </c>
      <c r="AM52" s="15">
        <v>7864.6959719600009</v>
      </c>
      <c r="AN52" s="15">
        <v>7106.7970784199997</v>
      </c>
      <c r="AO52" s="15">
        <v>5970.5022892799998</v>
      </c>
      <c r="AP52" s="15">
        <v>7084.8810831600003</v>
      </c>
      <c r="AQ52" s="15">
        <v>9750.7827967899993</v>
      </c>
      <c r="AR52" s="15">
        <v>6889.0387876599989</v>
      </c>
      <c r="AS52" s="15">
        <v>13193.383099219998</v>
      </c>
      <c r="AT52" s="15">
        <v>9978.1091543700022</v>
      </c>
      <c r="AU52" s="15">
        <v>11764.96580758</v>
      </c>
      <c r="AV52" s="15">
        <v>7194.8066851500007</v>
      </c>
      <c r="AW52" s="15">
        <v>10331.891156810001</v>
      </c>
      <c r="AX52" s="15">
        <v>7405.2440667500005</v>
      </c>
      <c r="AY52" s="15">
        <v>16762.416187720002</v>
      </c>
      <c r="AZ52" s="15">
        <v>5943.6198093500007</v>
      </c>
      <c r="BA52" s="15">
        <v>17914.832443220002</v>
      </c>
      <c r="BB52" s="15">
        <v>16664.741197539995</v>
      </c>
      <c r="BC52" s="15">
        <v>10331.891156810001</v>
      </c>
      <c r="BD52" s="15">
        <v>137.76212100000001</v>
      </c>
      <c r="BE52" s="15">
        <v>0</v>
      </c>
      <c r="BF52" s="15">
        <v>116.05725525</v>
      </c>
      <c r="BG52" s="15">
        <v>0</v>
      </c>
      <c r="BH52" s="15">
        <v>0</v>
      </c>
      <c r="BI52" s="15">
        <v>392.92</v>
      </c>
      <c r="BJ52" s="15">
        <v>298.99299999999999</v>
      </c>
      <c r="BK52" s="15">
        <v>96.236795499999999</v>
      </c>
      <c r="BL52" s="15">
        <v>910.23716999999999</v>
      </c>
      <c r="BM52" s="15">
        <v>12.121725</v>
      </c>
      <c r="BN52" s="15">
        <v>0</v>
      </c>
      <c r="BO52" s="15">
        <v>1900</v>
      </c>
      <c r="BP52" s="15">
        <v>3330.9160000000002</v>
      </c>
      <c r="BQ52" s="15">
        <v>210.00000000000054</v>
      </c>
      <c r="BR52" s="16">
        <v>2.4472103899449724</v>
      </c>
      <c r="BS52" s="16">
        <v>2.8593232025338886</v>
      </c>
      <c r="BT52" s="16">
        <v>2.3928238859442752</v>
      </c>
      <c r="BU52" s="16">
        <v>1.690487403680704</v>
      </c>
      <c r="BV52" s="16">
        <v>3.4739671499787117</v>
      </c>
      <c r="BW52" s="16">
        <v>1.4008827728433573</v>
      </c>
      <c r="BX52" s="16">
        <v>2.1349201511831923</v>
      </c>
      <c r="BY52" s="16">
        <v>0.90821488836760844</v>
      </c>
      <c r="BZ52" s="16">
        <v>1.7628965224776658</v>
      </c>
      <c r="CA52" s="16">
        <v>1.4061470195835479</v>
      </c>
      <c r="CB52" s="16">
        <v>1.7195333404235094</v>
      </c>
      <c r="CC52" s="16">
        <v>0.92256603192140696</v>
      </c>
      <c r="CD52" s="16">
        <v>1.3674817653316322</v>
      </c>
      <c r="CE52" s="16">
        <v>0.75699408778743105</v>
      </c>
      <c r="CF52" s="16">
        <f t="shared" si="0"/>
        <v>0.79782397097787805</v>
      </c>
      <c r="CG52" s="16">
        <f t="shared" si="0"/>
        <v>1.4061470195835479</v>
      </c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>
        <v>0</v>
      </c>
      <c r="DO52" s="35">
        <v>0</v>
      </c>
      <c r="DP52" s="35">
        <v>0</v>
      </c>
      <c r="DQ52" s="35">
        <v>0</v>
      </c>
      <c r="DR52" s="35">
        <v>0</v>
      </c>
    </row>
    <row r="53" spans="1:122" ht="25.5">
      <c r="A53" s="14">
        <f t="shared" si="1"/>
        <v>49</v>
      </c>
      <c r="B53" s="14" t="s">
        <v>145</v>
      </c>
      <c r="C53" s="14" t="s">
        <v>39</v>
      </c>
      <c r="D53" s="17" t="s">
        <v>45</v>
      </c>
      <c r="E53" s="14" t="s">
        <v>223</v>
      </c>
      <c r="F53" s="15">
        <v>9869.605752720001</v>
      </c>
      <c r="G53" s="15">
        <v>8028.891538840001</v>
      </c>
      <c r="H53" s="15">
        <v>9668.9945855299993</v>
      </c>
      <c r="I53" s="15">
        <v>10289.798683649999</v>
      </c>
      <c r="J53" s="15">
        <v>11139.575813339998</v>
      </c>
      <c r="K53" s="15">
        <v>10797.898686060002</v>
      </c>
      <c r="L53" s="15">
        <v>15490.903748340001</v>
      </c>
      <c r="M53" s="15">
        <v>14604.003086889999</v>
      </c>
      <c r="N53" s="15">
        <v>18923.822548170003</v>
      </c>
      <c r="O53" s="15">
        <v>39543.541844160005</v>
      </c>
      <c r="P53" s="15">
        <v>38113.602016550016</v>
      </c>
      <c r="Q53" s="15">
        <v>44203.720438699987</v>
      </c>
      <c r="R53" s="15">
        <v>35474.998221280002</v>
      </c>
      <c r="S53" s="15">
        <v>32404.846450820001</v>
      </c>
      <c r="T53" s="15">
        <v>44032.561358539984</v>
      </c>
      <c r="U53" s="15">
        <v>39543.541844160005</v>
      </c>
      <c r="V53" s="15">
        <v>52.941549999999999</v>
      </c>
      <c r="W53" s="15">
        <v>7958.0531499999997</v>
      </c>
      <c r="X53" s="15">
        <v>1203.7190800000001</v>
      </c>
      <c r="Y53" s="15">
        <v>2151.6180199999999</v>
      </c>
      <c r="Z53" s="15">
        <v>0</v>
      </c>
      <c r="AA53" s="15">
        <v>138.946</v>
      </c>
      <c r="AB53" s="15">
        <v>0</v>
      </c>
      <c r="AC53" s="15">
        <v>15753.002780999999</v>
      </c>
      <c r="AD53" s="15">
        <v>84.675186999999994</v>
      </c>
      <c r="AE53" s="15">
        <v>790.94737000000009</v>
      </c>
      <c r="AF53" s="15">
        <v>3619.6999967399997</v>
      </c>
      <c r="AG53" s="15">
        <v>1096.9469999999999</v>
      </c>
      <c r="AH53" s="15">
        <v>837.22629569000003</v>
      </c>
      <c r="AI53" s="15">
        <v>1086.58237199</v>
      </c>
      <c r="AJ53" s="15">
        <v>3339.2432141300119</v>
      </c>
      <c r="AK53" s="15">
        <v>9214.71378</v>
      </c>
      <c r="AL53" s="15">
        <v>17155.797988000002</v>
      </c>
      <c r="AM53" s="15">
        <v>11743.090248550016</v>
      </c>
      <c r="AN53" s="15">
        <v>5870.8585527199994</v>
      </c>
      <c r="AO53" s="15">
        <v>5167.3407388400001</v>
      </c>
      <c r="AP53" s="15">
        <v>5988.5725855300007</v>
      </c>
      <c r="AQ53" s="15">
        <v>7179.5181836500005</v>
      </c>
      <c r="AR53" s="15">
        <v>5193.7543133399995</v>
      </c>
      <c r="AS53" s="15">
        <v>5496.6549360600002</v>
      </c>
      <c r="AT53" s="15">
        <v>8261.5674983400004</v>
      </c>
      <c r="AU53" s="15">
        <v>11046.93788689</v>
      </c>
      <c r="AV53" s="15">
        <v>8669.1159981700002</v>
      </c>
      <c r="AW53" s="15">
        <v>9359.1832591600014</v>
      </c>
      <c r="AX53" s="15">
        <v>9556.2543765499977</v>
      </c>
      <c r="AY53" s="15">
        <v>8644.2796696999994</v>
      </c>
      <c r="AZ53" s="15">
        <v>6892.1669065400001</v>
      </c>
      <c r="BA53" s="15">
        <v>8452.7036798199988</v>
      </c>
      <c r="BB53" s="15">
        <v>10384.695043330003</v>
      </c>
      <c r="BC53" s="15">
        <v>9359.1832591600014</v>
      </c>
      <c r="BD53" s="15">
        <v>146.56410399999999</v>
      </c>
      <c r="BE53" s="15">
        <v>6</v>
      </c>
      <c r="BF53" s="15">
        <v>272.54662686000006</v>
      </c>
      <c r="BG53" s="15">
        <v>0</v>
      </c>
      <c r="BH53" s="15">
        <v>0</v>
      </c>
      <c r="BI53" s="15">
        <v>194.91200000000001</v>
      </c>
      <c r="BJ53" s="15">
        <v>282.36198544999996</v>
      </c>
      <c r="BK53" s="15">
        <v>95.448110239999991</v>
      </c>
      <c r="BL53" s="15">
        <v>4796.42155</v>
      </c>
      <c r="BM53" s="15">
        <v>0</v>
      </c>
      <c r="BN53" s="15">
        <v>0</v>
      </c>
      <c r="BO53" s="15">
        <v>0</v>
      </c>
      <c r="BP53" s="15">
        <v>3586</v>
      </c>
      <c r="BQ53" s="15">
        <v>175.99999999999756</v>
      </c>
      <c r="BR53" s="16">
        <v>1.6811179598505845</v>
      </c>
      <c r="BS53" s="16">
        <v>1.553776293189131</v>
      </c>
      <c r="BT53" s="16">
        <v>1.6145741656188466</v>
      </c>
      <c r="BU53" s="16">
        <v>1.4332157702564325</v>
      </c>
      <c r="BV53" s="16">
        <v>2.1448022261523492</v>
      </c>
      <c r="BW53" s="16">
        <v>1.9644490716020697</v>
      </c>
      <c r="BX53" s="16">
        <v>1.87505624706844</v>
      </c>
      <c r="BY53" s="16">
        <v>1.321995582524399</v>
      </c>
      <c r="BZ53" s="16">
        <v>2.1829010653640708</v>
      </c>
      <c r="CA53" s="16">
        <v>4.2251060535071829</v>
      </c>
      <c r="CB53" s="16">
        <v>3.9883410920994971</v>
      </c>
      <c r="CC53" s="16">
        <v>5.1136383976149258</v>
      </c>
      <c r="CD53" s="16">
        <v>5.147147290878527</v>
      </c>
      <c r="CE53" s="16">
        <v>3.8336664431030978</v>
      </c>
      <c r="CF53" s="16">
        <f t="shared" si="0"/>
        <v>4.2401400498343671</v>
      </c>
      <c r="CG53" s="16">
        <f t="shared" si="0"/>
        <v>4.2251060535071829</v>
      </c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>
        <v>0</v>
      </c>
      <c r="DO53" s="35">
        <v>0</v>
      </c>
      <c r="DP53" s="35">
        <v>0</v>
      </c>
      <c r="DQ53" s="35">
        <v>0</v>
      </c>
      <c r="DR53" s="35">
        <v>0</v>
      </c>
    </row>
    <row r="54" spans="1:122" ht="25.5">
      <c r="A54" s="14">
        <f t="shared" si="1"/>
        <v>50</v>
      </c>
      <c r="B54" s="14" t="s">
        <v>146</v>
      </c>
      <c r="C54" s="14" t="s">
        <v>39</v>
      </c>
      <c r="D54" s="17" t="s">
        <v>46</v>
      </c>
      <c r="E54" s="14" t="s">
        <v>224</v>
      </c>
      <c r="F54" s="15">
        <v>14027.290286850004</v>
      </c>
      <c r="G54" s="15">
        <v>13839.744778329999</v>
      </c>
      <c r="H54" s="15">
        <v>13267.24905742</v>
      </c>
      <c r="I54" s="15">
        <v>14355.66794162</v>
      </c>
      <c r="J54" s="15">
        <v>12367.349716260003</v>
      </c>
      <c r="K54" s="15">
        <v>11733.94621905</v>
      </c>
      <c r="L54" s="15">
        <v>12057.121597089999</v>
      </c>
      <c r="M54" s="15">
        <v>12396.430328769999</v>
      </c>
      <c r="N54" s="15">
        <v>16232.188799520001</v>
      </c>
      <c r="O54" s="15">
        <v>17265.464750740004</v>
      </c>
      <c r="P54" s="15">
        <v>14656.562142530001</v>
      </c>
      <c r="Q54" s="15">
        <v>14700.61144701</v>
      </c>
      <c r="R54" s="15">
        <v>12171.101927240001</v>
      </c>
      <c r="S54" s="15">
        <v>11394.413401320002</v>
      </c>
      <c r="T54" s="15">
        <v>12569.781718</v>
      </c>
      <c r="U54" s="15">
        <v>17265.464750740004</v>
      </c>
      <c r="V54" s="15">
        <v>46.049500000000002</v>
      </c>
      <c r="W54" s="15">
        <v>2244.0419000000002</v>
      </c>
      <c r="X54" s="15">
        <v>184.6105</v>
      </c>
      <c r="Y54" s="15">
        <v>1046.7287100000001</v>
      </c>
      <c r="Z54" s="15">
        <v>0</v>
      </c>
      <c r="AA54" s="15">
        <v>45.37</v>
      </c>
      <c r="AB54" s="15">
        <v>0</v>
      </c>
      <c r="AC54" s="15">
        <v>3358.2715963999999</v>
      </c>
      <c r="AD54" s="15">
        <v>119.87500000000001</v>
      </c>
      <c r="AE54" s="15">
        <v>162.93919847000001</v>
      </c>
      <c r="AF54" s="15">
        <v>1297.5306074699999</v>
      </c>
      <c r="AG54" s="15">
        <v>74.346999999999994</v>
      </c>
      <c r="AH54" s="15">
        <v>1513.6981699999999</v>
      </c>
      <c r="AI54" s="15">
        <v>72.468999999999994</v>
      </c>
      <c r="AJ54" s="15">
        <v>4490.630960190003</v>
      </c>
      <c r="AK54" s="15">
        <v>2474.7019</v>
      </c>
      <c r="AL54" s="15">
        <v>3958.0907508699993</v>
      </c>
      <c r="AM54" s="15">
        <v>8223.7694916600012</v>
      </c>
      <c r="AN54" s="15">
        <v>5516.8930868499992</v>
      </c>
      <c r="AO54" s="15">
        <v>6283.2247783299999</v>
      </c>
      <c r="AP54" s="15">
        <v>6872.8878574200007</v>
      </c>
      <c r="AQ54" s="15">
        <v>7941.1085416199994</v>
      </c>
      <c r="AR54" s="15">
        <v>5148.9707162599998</v>
      </c>
      <c r="AS54" s="15">
        <v>5041.2551190499998</v>
      </c>
      <c r="AT54" s="15">
        <v>5985.2788970899992</v>
      </c>
      <c r="AU54" s="15">
        <v>6037.2387287699994</v>
      </c>
      <c r="AV54" s="15">
        <v>7753.8887495200006</v>
      </c>
      <c r="AW54" s="15">
        <v>6987.836850740001</v>
      </c>
      <c r="AX54" s="15">
        <v>7735.0531425299987</v>
      </c>
      <c r="AY54" s="15">
        <v>7380.2882470099994</v>
      </c>
      <c r="AZ54" s="15">
        <v>6592.4326272400003</v>
      </c>
      <c r="BA54" s="15">
        <v>6230.9388013200005</v>
      </c>
      <c r="BB54" s="15">
        <v>7995.2004179999994</v>
      </c>
      <c r="BC54" s="15">
        <v>6987.836850740001</v>
      </c>
      <c r="BD54" s="15">
        <v>154.31479899999999</v>
      </c>
      <c r="BE54" s="15">
        <v>205.548</v>
      </c>
      <c r="BF54" s="15">
        <v>21.046024510000002</v>
      </c>
      <c r="BG54" s="15">
        <v>6</v>
      </c>
      <c r="BH54" s="15">
        <v>22</v>
      </c>
      <c r="BI54" s="15">
        <v>185.10500000000002</v>
      </c>
      <c r="BJ54" s="15">
        <v>1775.6949069000002</v>
      </c>
      <c r="BK54" s="15">
        <v>40.14320712</v>
      </c>
      <c r="BL54" s="15">
        <v>2535.7220649999999</v>
      </c>
      <c r="BM54" s="15">
        <v>30.741140000000001</v>
      </c>
      <c r="BN54" s="15">
        <v>0</v>
      </c>
      <c r="BO54" s="15">
        <v>1030.29</v>
      </c>
      <c r="BP54" s="15">
        <v>1469.4279999999999</v>
      </c>
      <c r="BQ54" s="15">
        <v>259.01999999999839</v>
      </c>
      <c r="BR54" s="16">
        <v>2.5426068741997714</v>
      </c>
      <c r="BS54" s="16">
        <v>2.2026499554912351</v>
      </c>
      <c r="BT54" s="16">
        <v>1.93037473223088</v>
      </c>
      <c r="BU54" s="16">
        <v>1.8077662414990012</v>
      </c>
      <c r="BV54" s="16">
        <v>2.4019071767499072</v>
      </c>
      <c r="BW54" s="16">
        <v>2.3275842904100448</v>
      </c>
      <c r="BX54" s="16">
        <v>2.0144627851764914</v>
      </c>
      <c r="BY54" s="16">
        <v>2.053327835073965</v>
      </c>
      <c r="BZ54" s="16">
        <v>2.0934255473454972</v>
      </c>
      <c r="CA54" s="16">
        <v>2.4707881880372775</v>
      </c>
      <c r="CB54" s="16">
        <v>1.8948237164581523</v>
      </c>
      <c r="CC54" s="16">
        <v>1.9918749722228948</v>
      </c>
      <c r="CD54" s="16">
        <v>1.8462231797332112</v>
      </c>
      <c r="CE54" s="16">
        <v>1.828683247363325</v>
      </c>
      <c r="CF54" s="16">
        <f t="shared" si="0"/>
        <v>1.5721659321636283</v>
      </c>
      <c r="CG54" s="16">
        <f t="shared" si="0"/>
        <v>2.4707881880372775</v>
      </c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>
        <v>0</v>
      </c>
      <c r="DO54" s="35">
        <v>6.5659999999999998</v>
      </c>
      <c r="DP54" s="35">
        <v>0</v>
      </c>
      <c r="DQ54" s="35">
        <v>0</v>
      </c>
      <c r="DR54" s="35">
        <v>0</v>
      </c>
    </row>
    <row r="55" spans="1:122" ht="25.5">
      <c r="A55" s="14">
        <f t="shared" si="1"/>
        <v>51</v>
      </c>
      <c r="B55" s="14" t="s">
        <v>148</v>
      </c>
      <c r="C55" s="14" t="s">
        <v>39</v>
      </c>
      <c r="D55" s="17" t="s">
        <v>47</v>
      </c>
      <c r="E55" s="14" t="s">
        <v>225</v>
      </c>
      <c r="F55" s="15">
        <v>10237.182227089999</v>
      </c>
      <c r="G55" s="15">
        <v>11990.543268090001</v>
      </c>
      <c r="H55" s="15">
        <v>15312.323271959998</v>
      </c>
      <c r="I55" s="15">
        <v>13349.516458590002</v>
      </c>
      <c r="J55" s="15">
        <v>15380.082143099997</v>
      </c>
      <c r="K55" s="15">
        <v>13287.3401302</v>
      </c>
      <c r="L55" s="15">
        <v>16771.293926859998</v>
      </c>
      <c r="M55" s="15">
        <v>16782.092875480001</v>
      </c>
      <c r="N55" s="15">
        <v>16457.063793000001</v>
      </c>
      <c r="O55" s="15">
        <v>18560.10786027</v>
      </c>
      <c r="P55" s="15">
        <v>17903.062831060004</v>
      </c>
      <c r="Q55" s="15">
        <v>20804.810372730004</v>
      </c>
      <c r="R55" s="15">
        <v>21581.625855379993</v>
      </c>
      <c r="S55" s="15">
        <v>19269.179195729997</v>
      </c>
      <c r="T55" s="15">
        <v>22389.59212121</v>
      </c>
      <c r="U55" s="15">
        <v>18560.10786027</v>
      </c>
      <c r="V55" s="15">
        <v>102.0364</v>
      </c>
      <c r="W55" s="15">
        <v>2170.6246126000001</v>
      </c>
      <c r="X55" s="15">
        <v>99.088999999999999</v>
      </c>
      <c r="Y55" s="15">
        <v>3251.4997100000001</v>
      </c>
      <c r="Z55" s="15">
        <v>0</v>
      </c>
      <c r="AA55" s="15">
        <v>107.76</v>
      </c>
      <c r="AB55" s="15">
        <v>0</v>
      </c>
      <c r="AC55" s="15">
        <v>4896.8537445800002</v>
      </c>
      <c r="AD55" s="15">
        <v>215.697092</v>
      </c>
      <c r="AE55" s="15">
        <v>78.125600000000006</v>
      </c>
      <c r="AF55" s="15">
        <v>874.49588963999997</v>
      </c>
      <c r="AG55" s="15">
        <v>0</v>
      </c>
      <c r="AH55" s="15">
        <v>1383.1049837400001</v>
      </c>
      <c r="AI55" s="15">
        <v>105.714</v>
      </c>
      <c r="AJ55" s="15">
        <v>4618.0617985000054</v>
      </c>
      <c r="AK55" s="15">
        <v>2371.7500126</v>
      </c>
      <c r="AL55" s="15">
        <v>5566.0258665800011</v>
      </c>
      <c r="AM55" s="15">
        <v>9965.2869518800035</v>
      </c>
      <c r="AN55" s="15">
        <v>73002.243927089992</v>
      </c>
      <c r="AO55" s="15">
        <v>73014.664035280002</v>
      </c>
      <c r="AP55" s="15">
        <v>81300.822728520012</v>
      </c>
      <c r="AQ55" s="15">
        <v>93766.611108590005</v>
      </c>
      <c r="AR55" s="15">
        <v>90983.412393100007</v>
      </c>
      <c r="AS55" s="15">
        <v>88836.750632919997</v>
      </c>
      <c r="AT55" s="15">
        <v>96777.138426859994</v>
      </c>
      <c r="AU55" s="15">
        <v>96123.252875480001</v>
      </c>
      <c r="AV55" s="15">
        <v>100574.62069299999</v>
      </c>
      <c r="AW55" s="15">
        <v>98315.778423639989</v>
      </c>
      <c r="AX55" s="15">
        <v>95071.875831059981</v>
      </c>
      <c r="AY55" s="15">
        <v>107674.83237273002</v>
      </c>
      <c r="AZ55" s="15">
        <v>86257.19285538001</v>
      </c>
      <c r="BA55" s="15">
        <v>89514.34369573</v>
      </c>
      <c r="BB55" s="15">
        <v>104717.00761509003</v>
      </c>
      <c r="BC55" s="15">
        <v>98315.778423639989</v>
      </c>
      <c r="BD55" s="15">
        <v>12189.066295040002</v>
      </c>
      <c r="BE55" s="15">
        <v>0.62865000000000004</v>
      </c>
      <c r="BF55" s="15">
        <v>2797.5304255599999</v>
      </c>
      <c r="BG55" s="15">
        <v>0</v>
      </c>
      <c r="BH55" s="15">
        <v>0</v>
      </c>
      <c r="BI55" s="15">
        <v>79.352800000000002</v>
      </c>
      <c r="BJ55" s="15">
        <v>75761.992199999993</v>
      </c>
      <c r="BK55" s="15">
        <v>69.315178079999995</v>
      </c>
      <c r="BL55" s="15">
        <v>1734.80674</v>
      </c>
      <c r="BM55" s="15">
        <v>0.83320000000000005</v>
      </c>
      <c r="BN55" s="15">
        <v>0</v>
      </c>
      <c r="BO55" s="15">
        <v>0</v>
      </c>
      <c r="BP55" s="15">
        <v>2057.3133023800001</v>
      </c>
      <c r="BQ55" s="15">
        <v>381.03703999999016</v>
      </c>
      <c r="BR55" s="16">
        <v>0.14023106244945358</v>
      </c>
      <c r="BS55" s="16">
        <v>0.16422102911130679</v>
      </c>
      <c r="BT55" s="16">
        <v>0.18834155372684186</v>
      </c>
      <c r="BU55" s="16">
        <v>0.14236961644193458</v>
      </c>
      <c r="BV55" s="16">
        <v>0.16904270502242</v>
      </c>
      <c r="BW55" s="16">
        <v>0.14957030773338692</v>
      </c>
      <c r="BX55" s="16">
        <v>0.17329809704525437</v>
      </c>
      <c r="BY55" s="16">
        <v>0.17458931500393418</v>
      </c>
      <c r="BZ55" s="16">
        <v>0.16363038388416626</v>
      </c>
      <c r="CA55" s="16">
        <v>0.18878056155233808</v>
      </c>
      <c r="CB55" s="16">
        <v>0.1883108193097319</v>
      </c>
      <c r="CC55" s="16">
        <v>0.19321887867641649</v>
      </c>
      <c r="CD55" s="16">
        <v>0.25020088343895031</v>
      </c>
      <c r="CE55" s="16">
        <v>0.21526359240512616</v>
      </c>
      <c r="CF55" s="16">
        <f t="shared" si="0"/>
        <v>0.21381046528284861</v>
      </c>
      <c r="CG55" s="16">
        <f t="shared" si="0"/>
        <v>0.18878056155233808</v>
      </c>
      <c r="CH55" s="30">
        <v>3000</v>
      </c>
      <c r="CI55" s="30">
        <v>16000</v>
      </c>
      <c r="CJ55" s="30">
        <v>27400</v>
      </c>
      <c r="CK55" s="30">
        <v>30500</v>
      </c>
      <c r="CL55" s="30">
        <v>38000</v>
      </c>
      <c r="CM55" s="30">
        <v>37000</v>
      </c>
      <c r="CN55" s="30">
        <v>17500</v>
      </c>
      <c r="CO55" s="30">
        <v>25000</v>
      </c>
      <c r="CP55" s="30">
        <v>20500</v>
      </c>
      <c r="CQ55" s="30">
        <v>43500</v>
      </c>
      <c r="CR55" s="30">
        <v>33000</v>
      </c>
      <c r="CS55" s="30">
        <v>17000</v>
      </c>
      <c r="CT55" s="30">
        <v>8000</v>
      </c>
      <c r="CU55" s="30">
        <v>12400</v>
      </c>
      <c r="CV55" s="30">
        <v>22500</v>
      </c>
      <c r="CW55" s="30">
        <v>43500</v>
      </c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>
        <v>8620.7672000000002</v>
      </c>
      <c r="DO55" s="35">
        <v>13379.08628</v>
      </c>
      <c r="DP55" s="35">
        <v>1534.2149999999999</v>
      </c>
      <c r="DQ55" s="35">
        <v>0</v>
      </c>
      <c r="DR55" s="35">
        <v>201</v>
      </c>
    </row>
    <row r="56" spans="1:122" ht="25.5">
      <c r="A56" s="14">
        <f t="shared" si="1"/>
        <v>52</v>
      </c>
      <c r="B56" s="14" t="s">
        <v>147</v>
      </c>
      <c r="C56" s="14" t="s">
        <v>39</v>
      </c>
      <c r="D56" s="17" t="s">
        <v>32</v>
      </c>
      <c r="E56" s="14" t="s">
        <v>226</v>
      </c>
      <c r="F56" s="15">
        <v>24233.181082669995</v>
      </c>
      <c r="G56" s="15">
        <v>20845.438903329996</v>
      </c>
      <c r="H56" s="15">
        <v>22864.778591420007</v>
      </c>
      <c r="I56" s="15">
        <v>24386.973803740002</v>
      </c>
      <c r="J56" s="15">
        <v>22345.707502249999</v>
      </c>
      <c r="K56" s="15">
        <v>22999.544245450001</v>
      </c>
      <c r="L56" s="15">
        <v>24745.663121880003</v>
      </c>
      <c r="M56" s="15">
        <v>20969.746073990002</v>
      </c>
      <c r="N56" s="15">
        <v>21099.278654590002</v>
      </c>
      <c r="O56" s="15">
        <v>26389.893570180004</v>
      </c>
      <c r="P56" s="15">
        <v>19580.133139600002</v>
      </c>
      <c r="Q56" s="15">
        <v>17072.359942139999</v>
      </c>
      <c r="R56" s="15">
        <v>17745.763940050001</v>
      </c>
      <c r="S56" s="15">
        <v>17862.82510555</v>
      </c>
      <c r="T56" s="15">
        <v>21596.173311070001</v>
      </c>
      <c r="U56" s="15">
        <v>26389.893570180004</v>
      </c>
      <c r="V56" s="15">
        <v>94.444599999999994</v>
      </c>
      <c r="W56" s="15">
        <v>5205.8546999999999</v>
      </c>
      <c r="X56" s="15">
        <v>71.5214</v>
      </c>
      <c r="Y56" s="15">
        <v>554.81533999999999</v>
      </c>
      <c r="Z56" s="15">
        <v>0</v>
      </c>
      <c r="AA56" s="15">
        <v>391.20919400000002</v>
      </c>
      <c r="AB56" s="15">
        <v>0</v>
      </c>
      <c r="AC56" s="15">
        <v>5624.2830000000004</v>
      </c>
      <c r="AD56" s="15">
        <v>180.06475900000001</v>
      </c>
      <c r="AE56" s="15">
        <v>27.05</v>
      </c>
      <c r="AF56" s="15">
        <v>1487.0701739600001</v>
      </c>
      <c r="AG56" s="15">
        <v>37.329000000000001</v>
      </c>
      <c r="AH56" s="15">
        <v>1211.34048198</v>
      </c>
      <c r="AI56" s="15">
        <v>1.99969861</v>
      </c>
      <c r="AJ56" s="15">
        <v>4693.1507920499998</v>
      </c>
      <c r="AK56" s="15">
        <v>5371.8206999999993</v>
      </c>
      <c r="AL56" s="15">
        <v>6385.9636660000006</v>
      </c>
      <c r="AM56" s="15">
        <v>7822.3487736000016</v>
      </c>
      <c r="AN56" s="15">
        <v>4436.6967826700002</v>
      </c>
      <c r="AO56" s="15">
        <v>5568.75055333</v>
      </c>
      <c r="AP56" s="15">
        <v>5605.713291420001</v>
      </c>
      <c r="AQ56" s="15">
        <v>6200.8383537400005</v>
      </c>
      <c r="AR56" s="15">
        <v>5117.8561522499995</v>
      </c>
      <c r="AS56" s="15">
        <v>5774.6986454500011</v>
      </c>
      <c r="AT56" s="15">
        <v>5038.0536718799995</v>
      </c>
      <c r="AU56" s="15">
        <v>5860.30507399</v>
      </c>
      <c r="AV56" s="15">
        <v>6253.4284545899991</v>
      </c>
      <c r="AW56" s="15">
        <v>5735.5015701800003</v>
      </c>
      <c r="AX56" s="15">
        <v>5017.3790396000004</v>
      </c>
      <c r="AY56" s="15">
        <v>7500.8251921399997</v>
      </c>
      <c r="AZ56" s="15">
        <v>5947.4569400499995</v>
      </c>
      <c r="BA56" s="15">
        <v>5694.0374055499997</v>
      </c>
      <c r="BB56" s="15">
        <v>7535.9722110700004</v>
      </c>
      <c r="BC56" s="15">
        <v>5735.5015701800003</v>
      </c>
      <c r="BD56" s="15">
        <v>0</v>
      </c>
      <c r="BE56" s="15">
        <v>22.960999999999999</v>
      </c>
      <c r="BF56" s="15">
        <v>51.446111549999998</v>
      </c>
      <c r="BG56" s="15">
        <v>0</v>
      </c>
      <c r="BH56" s="15">
        <v>0</v>
      </c>
      <c r="BI56" s="15">
        <v>239.5</v>
      </c>
      <c r="BJ56" s="15">
        <v>1388.644</v>
      </c>
      <c r="BK56" s="15">
        <v>97.914258050000001</v>
      </c>
      <c r="BL56" s="15">
        <v>1924.4446700000001</v>
      </c>
      <c r="BM56" s="15">
        <v>56.484999999999999</v>
      </c>
      <c r="BN56" s="15">
        <v>0.72199999999999998</v>
      </c>
      <c r="BO56" s="15">
        <v>6</v>
      </c>
      <c r="BP56" s="15">
        <v>984.26199999999994</v>
      </c>
      <c r="BQ56" s="15">
        <v>245.00000000000028</v>
      </c>
      <c r="BR56" s="16">
        <v>5.4619872102430422</v>
      </c>
      <c r="BS56" s="16">
        <v>3.7432883200101044</v>
      </c>
      <c r="BT56" s="16">
        <v>4.0788348248948809</v>
      </c>
      <c r="BU56" s="16">
        <v>3.9328510779564407</v>
      </c>
      <c r="BV56" s="16">
        <v>4.3662242230911463</v>
      </c>
      <c r="BW56" s="16">
        <v>3.9828128977036394</v>
      </c>
      <c r="BX56" s="16">
        <v>4.9117505952742091</v>
      </c>
      <c r="BY56" s="16">
        <v>3.5782686753051083</v>
      </c>
      <c r="BZ56" s="16">
        <v>3.374033749295267</v>
      </c>
      <c r="CA56" s="16">
        <v>4.6011483472319572</v>
      </c>
      <c r="CB56" s="16">
        <v>3.9024624181395282</v>
      </c>
      <c r="CC56" s="16">
        <v>2.2760642335765757</v>
      </c>
      <c r="CD56" s="16">
        <v>2.9837566070551182</v>
      </c>
      <c r="CE56" s="16">
        <v>3.1371106006678211</v>
      </c>
      <c r="CF56" s="16">
        <f t="shared" si="0"/>
        <v>2.8657448178147744</v>
      </c>
      <c r="CG56" s="16">
        <f t="shared" si="0"/>
        <v>4.6011483472319572</v>
      </c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>
        <v>0</v>
      </c>
      <c r="DO56" s="35">
        <v>4.3890000000000002</v>
      </c>
      <c r="DP56" s="35">
        <v>0</v>
      </c>
      <c r="DQ56" s="35">
        <v>0</v>
      </c>
      <c r="DR56" s="35">
        <v>0</v>
      </c>
    </row>
    <row r="57" spans="1:122" ht="25.5">
      <c r="A57" s="14">
        <f t="shared" si="1"/>
        <v>53</v>
      </c>
      <c r="B57" s="14" t="s">
        <v>149</v>
      </c>
      <c r="C57" s="14" t="s">
        <v>39</v>
      </c>
      <c r="D57" s="17" t="s">
        <v>48</v>
      </c>
      <c r="E57" s="14" t="s">
        <v>227</v>
      </c>
      <c r="F57" s="15">
        <v>12151.687539549997</v>
      </c>
      <c r="G57" s="15">
        <v>6467.51924478</v>
      </c>
      <c r="H57" s="15">
        <v>11219.42839492</v>
      </c>
      <c r="I57" s="15">
        <v>15120.026385900002</v>
      </c>
      <c r="J57" s="15">
        <v>11843.14921249</v>
      </c>
      <c r="K57" s="15">
        <v>13902.059675889999</v>
      </c>
      <c r="L57" s="15">
        <v>15061.50195007</v>
      </c>
      <c r="M57" s="15">
        <v>13688.229064789999</v>
      </c>
      <c r="N57" s="15">
        <v>15466.646915859999</v>
      </c>
      <c r="O57" s="15">
        <v>17031.098662380002</v>
      </c>
      <c r="P57" s="15">
        <v>16492.380060879997</v>
      </c>
      <c r="Q57" s="15">
        <v>17577.814345569997</v>
      </c>
      <c r="R57" s="15">
        <v>13431.975538829998</v>
      </c>
      <c r="S57" s="15">
        <v>16081.27410054</v>
      </c>
      <c r="T57" s="15">
        <v>16054.627769760002</v>
      </c>
      <c r="U57" s="15">
        <v>17031.098662380002</v>
      </c>
      <c r="V57" s="15">
        <v>183.7175</v>
      </c>
      <c r="W57" s="15">
        <v>122.4776</v>
      </c>
      <c r="X57" s="15">
        <v>423.46300000000002</v>
      </c>
      <c r="Y57" s="15">
        <v>698.37133066999991</v>
      </c>
      <c r="Z57" s="15">
        <v>3.2</v>
      </c>
      <c r="AA57" s="15">
        <v>10.5</v>
      </c>
      <c r="AB57" s="15">
        <v>0</v>
      </c>
      <c r="AC57" s="15">
        <v>8201.7340000000004</v>
      </c>
      <c r="AD57" s="15">
        <v>2.2079999999999997</v>
      </c>
      <c r="AE57" s="15">
        <v>760.04369999999994</v>
      </c>
      <c r="AF57" s="15">
        <v>744.44747475999998</v>
      </c>
      <c r="AG57" s="15">
        <v>7.97</v>
      </c>
      <c r="AH57" s="15">
        <v>1328.9225973499999</v>
      </c>
      <c r="AI57" s="15">
        <v>504.68328551999997</v>
      </c>
      <c r="AJ57" s="15">
        <v>3500.641572579998</v>
      </c>
      <c r="AK57" s="15">
        <v>732.85810000000015</v>
      </c>
      <c r="AL57" s="15">
        <v>9169.8352000000032</v>
      </c>
      <c r="AM57" s="15">
        <v>6589.6867608799948</v>
      </c>
      <c r="AN57" s="15">
        <v>2841.7105395500007</v>
      </c>
      <c r="AO57" s="15">
        <v>2504.7662447799999</v>
      </c>
      <c r="AP57" s="15">
        <v>2511.6093949199999</v>
      </c>
      <c r="AQ57" s="15">
        <v>5405.5663858999997</v>
      </c>
      <c r="AR57" s="15">
        <v>3282.76021249</v>
      </c>
      <c r="AS57" s="15">
        <v>4171.3016758900003</v>
      </c>
      <c r="AT57" s="15">
        <v>3686.3109500700002</v>
      </c>
      <c r="AU57" s="15">
        <v>4884.4640647899996</v>
      </c>
      <c r="AV57" s="15">
        <v>4215.2849158600002</v>
      </c>
      <c r="AW57" s="15">
        <v>4841.5626623799999</v>
      </c>
      <c r="AX57" s="15">
        <v>4162.2310608799999</v>
      </c>
      <c r="AY57" s="15">
        <v>3537.6133455700001</v>
      </c>
      <c r="AZ57" s="15">
        <v>2549.23633883</v>
      </c>
      <c r="BA57" s="15">
        <v>4838.9891005400004</v>
      </c>
      <c r="BB57" s="15">
        <v>3692.9437697599997</v>
      </c>
      <c r="BC57" s="15">
        <v>4841.5626623799999</v>
      </c>
      <c r="BD57" s="15">
        <v>115.720539</v>
      </c>
      <c r="BE57" s="15">
        <v>0</v>
      </c>
      <c r="BF57" s="15">
        <v>86.020235579999991</v>
      </c>
      <c r="BG57" s="15">
        <v>0</v>
      </c>
      <c r="BH57" s="15">
        <v>0</v>
      </c>
      <c r="BI57" s="15">
        <v>0</v>
      </c>
      <c r="BJ57" s="15">
        <v>432.23399999999998</v>
      </c>
      <c r="BK57" s="15">
        <v>490.37843630000003</v>
      </c>
      <c r="BL57" s="15">
        <v>2707.77288</v>
      </c>
      <c r="BM57" s="15">
        <v>26.200970000000002</v>
      </c>
      <c r="BN57" s="15">
        <v>0</v>
      </c>
      <c r="BO57" s="15">
        <v>0</v>
      </c>
      <c r="BP57" s="15">
        <v>257.904</v>
      </c>
      <c r="BQ57" s="15">
        <v>46.000000000000057</v>
      </c>
      <c r="BR57" s="16">
        <v>4.276187658956383</v>
      </c>
      <c r="BS57" s="16">
        <v>2.5820849583303369</v>
      </c>
      <c r="BT57" s="16">
        <v>4.4670275631284468</v>
      </c>
      <c r="BU57" s="16">
        <v>2.7971215792186768</v>
      </c>
      <c r="BV57" s="16">
        <v>3.6076802586524819</v>
      </c>
      <c r="BW57" s="16">
        <v>3.3327869226633715</v>
      </c>
      <c r="BX57" s="16">
        <v>4.0857925861582549</v>
      </c>
      <c r="BY57" s="16">
        <v>2.8024014268960546</v>
      </c>
      <c r="BZ57" s="16">
        <v>3.6691818523741477</v>
      </c>
      <c r="CA57" s="16">
        <v>3.5176863029606866</v>
      </c>
      <c r="CB57" s="16">
        <v>3.9623893579308151</v>
      </c>
      <c r="CC57" s="16">
        <v>4.9688342474120111</v>
      </c>
      <c r="CD57" s="16">
        <v>5.2690193271741723</v>
      </c>
      <c r="CE57" s="16">
        <v>3.3232714036792173</v>
      </c>
      <c r="CF57" s="16">
        <f t="shared" si="0"/>
        <v>4.3473794270101696</v>
      </c>
      <c r="CG57" s="16">
        <f t="shared" si="0"/>
        <v>3.5176863029606866</v>
      </c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>
        <v>0</v>
      </c>
      <c r="DO57" s="35">
        <v>0</v>
      </c>
      <c r="DP57" s="35">
        <v>0</v>
      </c>
      <c r="DQ57" s="35">
        <v>0</v>
      </c>
      <c r="DR57" s="35">
        <v>0</v>
      </c>
    </row>
    <row r="58" spans="1:122" ht="25.5">
      <c r="A58" s="14">
        <f t="shared" si="1"/>
        <v>54</v>
      </c>
      <c r="B58" s="14" t="s">
        <v>150</v>
      </c>
      <c r="C58" s="14" t="s">
        <v>39</v>
      </c>
      <c r="D58" s="17" t="s">
        <v>33</v>
      </c>
      <c r="E58" s="14" t="s">
        <v>228</v>
      </c>
      <c r="F58" s="15">
        <v>6429.633796789999</v>
      </c>
      <c r="G58" s="15">
        <v>6509.9396589299995</v>
      </c>
      <c r="H58" s="15">
        <v>7403.9210319899994</v>
      </c>
      <c r="I58" s="15">
        <v>6047.9894007900002</v>
      </c>
      <c r="J58" s="15">
        <v>6483.8049599400001</v>
      </c>
      <c r="K58" s="15">
        <v>7326.5136557800006</v>
      </c>
      <c r="L58" s="15">
        <v>6913.2485926099989</v>
      </c>
      <c r="M58" s="15">
        <v>8431.0444741400006</v>
      </c>
      <c r="N58" s="15">
        <v>8737.8909119899999</v>
      </c>
      <c r="O58" s="15">
        <v>8965.4451846200009</v>
      </c>
      <c r="P58" s="15">
        <v>8360.6489250799987</v>
      </c>
      <c r="Q58" s="15">
        <v>8805.3226334899991</v>
      </c>
      <c r="R58" s="15">
        <v>7163.8837080600006</v>
      </c>
      <c r="S58" s="15">
        <v>10495.84414166</v>
      </c>
      <c r="T58" s="15">
        <v>10679.968749080001</v>
      </c>
      <c r="U58" s="15">
        <v>8965.4451846200009</v>
      </c>
      <c r="V58" s="15">
        <v>14.303000000000001</v>
      </c>
      <c r="W58" s="15">
        <v>95.725999999999999</v>
      </c>
      <c r="X58" s="15">
        <v>0</v>
      </c>
      <c r="Y58" s="15">
        <v>1346.6058250000001</v>
      </c>
      <c r="Z58" s="15">
        <v>0</v>
      </c>
      <c r="AA58" s="15">
        <v>17.940000000000001</v>
      </c>
      <c r="AB58" s="15">
        <v>0</v>
      </c>
      <c r="AC58" s="15">
        <v>198.27938599999999</v>
      </c>
      <c r="AD58" s="15">
        <v>60.329690999999997</v>
      </c>
      <c r="AE58" s="15">
        <v>590.60501799999997</v>
      </c>
      <c r="AF58" s="15">
        <v>588.86346894000008</v>
      </c>
      <c r="AG58" s="15">
        <v>577.54999999999995</v>
      </c>
      <c r="AH58" s="15">
        <v>842.51703379999992</v>
      </c>
      <c r="AI58" s="15">
        <v>664.35334560000001</v>
      </c>
      <c r="AJ58" s="15">
        <v>3363.5761567399977</v>
      </c>
      <c r="AK58" s="15">
        <v>110.029</v>
      </c>
      <c r="AL58" s="15">
        <v>1273.6951749999998</v>
      </c>
      <c r="AM58" s="15">
        <v>6976.9247500799984</v>
      </c>
      <c r="AN58" s="15">
        <v>88361.037196789985</v>
      </c>
      <c r="AO58" s="15">
        <v>92927.637658930005</v>
      </c>
      <c r="AP58" s="15">
        <v>91114.249031989995</v>
      </c>
      <c r="AQ58" s="15">
        <v>100083.38690079001</v>
      </c>
      <c r="AR58" s="15">
        <v>97987.800959939996</v>
      </c>
      <c r="AS58" s="15">
        <v>87824.332655780003</v>
      </c>
      <c r="AT58" s="15">
        <v>98768.308592610032</v>
      </c>
      <c r="AU58" s="15">
        <v>101635.44147414</v>
      </c>
      <c r="AV58" s="15">
        <v>104243.38791199001</v>
      </c>
      <c r="AW58" s="15">
        <v>102510.23718462003</v>
      </c>
      <c r="AX58" s="15">
        <v>100110.30822507999</v>
      </c>
      <c r="AY58" s="15">
        <v>110728.53543348999</v>
      </c>
      <c r="AZ58" s="15">
        <v>87476.874708060015</v>
      </c>
      <c r="BA58" s="15">
        <v>97651.761141659983</v>
      </c>
      <c r="BB58" s="15">
        <v>109086.67074908</v>
      </c>
      <c r="BC58" s="15">
        <v>102510.23718462003</v>
      </c>
      <c r="BD58" s="15">
        <v>18825.104176330002</v>
      </c>
      <c r="BE58" s="15">
        <v>0</v>
      </c>
      <c r="BF58" s="15">
        <v>2416.7642683599997</v>
      </c>
      <c r="BG58" s="15">
        <v>0</v>
      </c>
      <c r="BH58" s="15">
        <v>0</v>
      </c>
      <c r="BI58" s="15">
        <v>75.5</v>
      </c>
      <c r="BJ58" s="15">
        <v>75642.485763010001</v>
      </c>
      <c r="BK58" s="15">
        <v>158.75207237999999</v>
      </c>
      <c r="BL58" s="15">
        <v>1556.991945</v>
      </c>
      <c r="BM58" s="15">
        <v>0</v>
      </c>
      <c r="BN58" s="15">
        <v>0</v>
      </c>
      <c r="BO58" s="15">
        <v>0</v>
      </c>
      <c r="BP58" s="15">
        <v>1392.11</v>
      </c>
      <c r="BQ58" s="15">
        <v>42.599999999991269</v>
      </c>
      <c r="BR58" s="16">
        <v>7.2765485792912102E-2</v>
      </c>
      <c r="BS58" s="16">
        <v>7.0053859356925319E-2</v>
      </c>
      <c r="BT58" s="16">
        <v>8.1259749277969695E-2</v>
      </c>
      <c r="BU58" s="16">
        <v>6.0429503717587124E-2</v>
      </c>
      <c r="BV58" s="16">
        <v>6.6169511882308199E-2</v>
      </c>
      <c r="BW58" s="16">
        <v>8.3422366378753457E-2</v>
      </c>
      <c r="BX58" s="16">
        <v>6.999460344233592E-2</v>
      </c>
      <c r="BY58" s="16">
        <v>8.295378415102557E-2</v>
      </c>
      <c r="BZ58" s="16">
        <v>8.3822015832478267E-2</v>
      </c>
      <c r="CA58" s="16">
        <v>8.7459022931273819E-2</v>
      </c>
      <c r="CB58" s="16">
        <v>8.3514366035938939E-2</v>
      </c>
      <c r="CC58" s="16">
        <v>7.9521711354874638E-2</v>
      </c>
      <c r="CD58" s="16">
        <v>8.1894600509772542E-2</v>
      </c>
      <c r="CE58" s="16">
        <v>0.10748238453614828</v>
      </c>
      <c r="CF58" s="16">
        <f t="shared" si="0"/>
        <v>9.7903517228479273E-2</v>
      </c>
      <c r="CG58" s="16">
        <f t="shared" si="0"/>
        <v>8.7459022931273819E-2</v>
      </c>
      <c r="CH58" s="30">
        <v>2000</v>
      </c>
      <c r="CI58" s="30">
        <v>17800</v>
      </c>
      <c r="CJ58" s="30">
        <v>26100</v>
      </c>
      <c r="CK58" s="30">
        <v>39000</v>
      </c>
      <c r="CL58" s="30">
        <v>35000</v>
      </c>
      <c r="CM58" s="30">
        <v>37600</v>
      </c>
      <c r="CN58" s="30">
        <v>15000</v>
      </c>
      <c r="CO58" s="30">
        <v>19100</v>
      </c>
      <c r="CP58" s="30">
        <v>34000</v>
      </c>
      <c r="CQ58" s="30">
        <v>28000</v>
      </c>
      <c r="CR58" s="30">
        <v>21500</v>
      </c>
      <c r="CS58" s="30">
        <v>27000</v>
      </c>
      <c r="CT58" s="30">
        <v>12000</v>
      </c>
      <c r="CU58" s="30">
        <v>17000</v>
      </c>
      <c r="CV58" s="30">
        <v>41000</v>
      </c>
      <c r="CW58" s="30">
        <v>28000</v>
      </c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>
        <v>7075.4920000000002</v>
      </c>
      <c r="DO58" s="35">
        <v>17821.615399999999</v>
      </c>
      <c r="DP58" s="35">
        <v>2195.2600000000002</v>
      </c>
      <c r="DQ58" s="35">
        <v>0</v>
      </c>
      <c r="DR58" s="35">
        <v>0</v>
      </c>
    </row>
    <row r="59" spans="1:122" ht="25.5">
      <c r="A59" s="14">
        <f t="shared" si="1"/>
        <v>55</v>
      </c>
      <c r="B59" s="14" t="s">
        <v>151</v>
      </c>
      <c r="C59" s="14" t="s">
        <v>39</v>
      </c>
      <c r="D59" s="17" t="s">
        <v>35</v>
      </c>
      <c r="E59" s="14" t="s">
        <v>230</v>
      </c>
      <c r="F59" s="15">
        <v>16118.037473150001</v>
      </c>
      <c r="G59" s="15">
        <v>17595.196944250001</v>
      </c>
      <c r="H59" s="15">
        <v>15340.301225979996</v>
      </c>
      <c r="I59" s="15">
        <v>19140.064480110002</v>
      </c>
      <c r="J59" s="15">
        <v>16288.33938453</v>
      </c>
      <c r="K59" s="15">
        <v>19071.18753033</v>
      </c>
      <c r="L59" s="15">
        <v>18911.799694369998</v>
      </c>
      <c r="M59" s="15">
        <v>17992.569916900004</v>
      </c>
      <c r="N59" s="15">
        <v>17472.357137959996</v>
      </c>
      <c r="O59" s="15">
        <v>20660.315648029999</v>
      </c>
      <c r="P59" s="15">
        <v>16939.594008750002</v>
      </c>
      <c r="Q59" s="15">
        <v>18696.778906119998</v>
      </c>
      <c r="R59" s="15">
        <v>15662.028470040006</v>
      </c>
      <c r="S59" s="15">
        <v>15090.000811289998</v>
      </c>
      <c r="T59" s="15">
        <v>15723.66187364</v>
      </c>
      <c r="U59" s="15">
        <v>20660.315648029999</v>
      </c>
      <c r="V59" s="15">
        <v>122.33799999999999</v>
      </c>
      <c r="W59" s="15">
        <v>7253.7150780000002</v>
      </c>
      <c r="X59" s="15">
        <v>109.035</v>
      </c>
      <c r="Y59" s="15">
        <v>385.62450000000001</v>
      </c>
      <c r="Z59" s="15">
        <v>271.01770299999998</v>
      </c>
      <c r="AA59" s="15">
        <v>413.05849999999998</v>
      </c>
      <c r="AB59" s="15">
        <v>707.45100000000002</v>
      </c>
      <c r="AC59" s="15">
        <v>242.995</v>
      </c>
      <c r="AD59" s="15">
        <v>115.74392661</v>
      </c>
      <c r="AE59" s="15">
        <v>249.10508099999998</v>
      </c>
      <c r="AF59" s="15">
        <v>738.89360277999992</v>
      </c>
      <c r="AG59" s="15">
        <v>779.62850000000003</v>
      </c>
      <c r="AH59" s="15">
        <v>1107.1134380899998</v>
      </c>
      <c r="AI59" s="15">
        <v>155.17289227000001</v>
      </c>
      <c r="AJ59" s="15">
        <v>4288.7017870000063</v>
      </c>
      <c r="AK59" s="15">
        <v>7756.1057810000002</v>
      </c>
      <c r="AL59" s="15">
        <v>1805.3101676099998</v>
      </c>
      <c r="AM59" s="15">
        <v>7378.1780601400023</v>
      </c>
      <c r="AN59" s="15">
        <v>6080.7184731499992</v>
      </c>
      <c r="AO59" s="15">
        <v>4595.6099442499999</v>
      </c>
      <c r="AP59" s="15">
        <v>5679.4082259800007</v>
      </c>
      <c r="AQ59" s="15">
        <v>9835.2454801100012</v>
      </c>
      <c r="AR59" s="15">
        <v>5507.2163845300001</v>
      </c>
      <c r="AS59" s="15">
        <v>5648.4895303300009</v>
      </c>
      <c r="AT59" s="15">
        <v>6186.5086943700007</v>
      </c>
      <c r="AU59" s="15">
        <v>7305.7239168999995</v>
      </c>
      <c r="AV59" s="15">
        <v>6045.4931379599993</v>
      </c>
      <c r="AW59" s="15">
        <v>8154.4776480300006</v>
      </c>
      <c r="AX59" s="15">
        <v>5332.0794487500007</v>
      </c>
      <c r="AY59" s="15">
        <v>7368.7199061199999</v>
      </c>
      <c r="AZ59" s="15">
        <v>4641.8454700400007</v>
      </c>
      <c r="BA59" s="15">
        <v>5044.7171712899999</v>
      </c>
      <c r="BB59" s="15">
        <v>7211.0408736400004</v>
      </c>
      <c r="BC59" s="15">
        <v>8154.4776480300006</v>
      </c>
      <c r="BD59" s="15">
        <v>137.96138999999999</v>
      </c>
      <c r="BE59" s="15">
        <v>0</v>
      </c>
      <c r="BF59" s="15">
        <v>167.46767184000001</v>
      </c>
      <c r="BG59" s="15">
        <v>0</v>
      </c>
      <c r="BH59" s="15">
        <v>0</v>
      </c>
      <c r="BI59" s="15">
        <v>198.2833</v>
      </c>
      <c r="BJ59" s="15">
        <v>152.69844000000001</v>
      </c>
      <c r="BK59" s="15">
        <v>163.87452690999999</v>
      </c>
      <c r="BL59" s="15">
        <v>3052.84962</v>
      </c>
      <c r="BM59" s="15">
        <v>3.5745</v>
      </c>
      <c r="BN59" s="15">
        <v>0</v>
      </c>
      <c r="BO59" s="15">
        <v>0</v>
      </c>
      <c r="BP59" s="15">
        <v>1153.25</v>
      </c>
      <c r="BQ59" s="15">
        <v>302.12000000000108</v>
      </c>
      <c r="BR59" s="16">
        <v>2.6506797748194981</v>
      </c>
      <c r="BS59" s="16">
        <v>3.8286967688075895</v>
      </c>
      <c r="BT59" s="16">
        <v>2.7010386673398488</v>
      </c>
      <c r="BU59" s="16">
        <v>1.9460688112785094</v>
      </c>
      <c r="BV59" s="16">
        <v>2.9576356270083419</v>
      </c>
      <c r="BW59" s="16">
        <v>3.3763340496473941</v>
      </c>
      <c r="BX59" s="16">
        <v>3.0569422316630024</v>
      </c>
      <c r="BY59" s="16">
        <v>2.4628045244467298</v>
      </c>
      <c r="BZ59" s="16">
        <v>2.8901458887199887</v>
      </c>
      <c r="CA59" s="16">
        <v>2.5336160744791814</v>
      </c>
      <c r="CB59" s="16">
        <v>3.1769207813887976</v>
      </c>
      <c r="CC59" s="16">
        <v>2.5373170841507515</v>
      </c>
      <c r="CD59" s="16">
        <v>3.3740951893224143</v>
      </c>
      <c r="CE59" s="16">
        <v>2.9912481312468282</v>
      </c>
      <c r="CF59" s="16">
        <f t="shared" si="0"/>
        <v>2.1804982316932819</v>
      </c>
      <c r="CG59" s="16">
        <f t="shared" si="0"/>
        <v>2.5336160744791814</v>
      </c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>
        <v>0</v>
      </c>
      <c r="DO59" s="35">
        <v>4.1803600000000003</v>
      </c>
      <c r="DP59" s="35">
        <v>0</v>
      </c>
      <c r="DQ59" s="35">
        <v>0</v>
      </c>
      <c r="DR59" s="35">
        <v>0</v>
      </c>
    </row>
    <row r="60" spans="1:122" ht="25.5">
      <c r="A60" s="14">
        <f t="shared" si="1"/>
        <v>56</v>
      </c>
      <c r="B60" s="14" t="s">
        <v>152</v>
      </c>
      <c r="C60" s="14" t="s">
        <v>39</v>
      </c>
      <c r="D60" s="17" t="s">
        <v>36</v>
      </c>
      <c r="E60" s="14" t="s">
        <v>231</v>
      </c>
      <c r="F60" s="15">
        <v>4775.1868715700002</v>
      </c>
      <c r="G60" s="15">
        <v>4459.5351089899996</v>
      </c>
      <c r="H60" s="15">
        <v>4607.1482898499999</v>
      </c>
      <c r="I60" s="15">
        <v>5186.9646309500004</v>
      </c>
      <c r="J60" s="15">
        <v>4528.4050137499999</v>
      </c>
      <c r="K60" s="15">
        <v>4691.1968415800002</v>
      </c>
      <c r="L60" s="15">
        <v>4465.9182329999994</v>
      </c>
      <c r="M60" s="15">
        <v>4696.3317397399996</v>
      </c>
      <c r="N60" s="15">
        <v>4868.293529810001</v>
      </c>
      <c r="O60" s="15">
        <v>6104.5333618100003</v>
      </c>
      <c r="P60" s="15">
        <v>4772.6359072900004</v>
      </c>
      <c r="Q60" s="15">
        <v>5695.007083030001</v>
      </c>
      <c r="R60" s="15">
        <v>4213.06343285</v>
      </c>
      <c r="S60" s="15">
        <v>5476.1597991999988</v>
      </c>
      <c r="T60" s="15">
        <v>6595.1623383000006</v>
      </c>
      <c r="U60" s="15">
        <v>6104.5333618100003</v>
      </c>
      <c r="V60" s="15">
        <v>66.619399999999999</v>
      </c>
      <c r="W60" s="15">
        <v>552.42196534000004</v>
      </c>
      <c r="X60" s="15">
        <v>0</v>
      </c>
      <c r="Y60" s="15">
        <v>579.86085000000003</v>
      </c>
      <c r="Z60" s="15">
        <v>0</v>
      </c>
      <c r="AA60" s="15">
        <v>0</v>
      </c>
      <c r="AB60" s="15">
        <v>0</v>
      </c>
      <c r="AC60" s="15">
        <v>719.63</v>
      </c>
      <c r="AD60" s="15">
        <v>292.30519199999998</v>
      </c>
      <c r="AE60" s="15">
        <v>147.29</v>
      </c>
      <c r="AF60" s="15">
        <v>488.78977577999996</v>
      </c>
      <c r="AG60" s="15">
        <v>0</v>
      </c>
      <c r="AH60" s="15">
        <v>752.91490571999998</v>
      </c>
      <c r="AI60" s="15">
        <v>3.6</v>
      </c>
      <c r="AJ60" s="15">
        <v>1169.2038184499997</v>
      </c>
      <c r="AK60" s="15">
        <v>619.04136534000008</v>
      </c>
      <c r="AL60" s="15">
        <v>1416.4491919999998</v>
      </c>
      <c r="AM60" s="15">
        <v>2737.1453499500003</v>
      </c>
      <c r="AN60" s="15">
        <v>1907.0988715700003</v>
      </c>
      <c r="AO60" s="15">
        <v>2398.4201089899998</v>
      </c>
      <c r="AP60" s="15">
        <v>2242.4052898500004</v>
      </c>
      <c r="AQ60" s="15">
        <v>2933.2626309499997</v>
      </c>
      <c r="AR60" s="15">
        <v>1820.1670137499998</v>
      </c>
      <c r="AS60" s="15">
        <v>3532.9098415799995</v>
      </c>
      <c r="AT60" s="15">
        <v>1848.4102330000001</v>
      </c>
      <c r="AU60" s="15">
        <v>2768.6037397400005</v>
      </c>
      <c r="AV60" s="15">
        <v>3117.1784298099997</v>
      </c>
      <c r="AW60" s="15">
        <v>3245.2403618099997</v>
      </c>
      <c r="AX60" s="15">
        <v>3747.3499072899999</v>
      </c>
      <c r="AY60" s="15">
        <v>4105.6630830300001</v>
      </c>
      <c r="AZ60" s="15">
        <v>1867.4994328500002</v>
      </c>
      <c r="BA60" s="15">
        <v>3424.3917991999997</v>
      </c>
      <c r="BB60" s="15">
        <v>4989.2573382999999</v>
      </c>
      <c r="BC60" s="15">
        <v>3245.2403618099997</v>
      </c>
      <c r="BD60" s="15">
        <v>78.449181999999993</v>
      </c>
      <c r="BE60" s="15">
        <v>0</v>
      </c>
      <c r="BF60" s="15">
        <v>86.284611590000011</v>
      </c>
      <c r="BG60" s="15">
        <v>0</v>
      </c>
      <c r="BH60" s="15">
        <v>0</v>
      </c>
      <c r="BI60" s="15">
        <v>0</v>
      </c>
      <c r="BJ60" s="15">
        <v>121.27500000000001</v>
      </c>
      <c r="BK60" s="15">
        <v>42.635013700000002</v>
      </c>
      <c r="BL60" s="15">
        <v>677.25609999999995</v>
      </c>
      <c r="BM60" s="15">
        <v>0</v>
      </c>
      <c r="BN60" s="15">
        <v>0</v>
      </c>
      <c r="BO60" s="15">
        <v>75.2</v>
      </c>
      <c r="BP60" s="15">
        <v>2414.25</v>
      </c>
      <c r="BQ60" s="15">
        <v>251.99999999999989</v>
      </c>
      <c r="BR60" s="16">
        <v>2.503901052407878</v>
      </c>
      <c r="BS60" s="16">
        <v>1.8593636253608452</v>
      </c>
      <c r="BT60" s="16">
        <v>2.0545564669793399</v>
      </c>
      <c r="BU60" s="16">
        <v>1.7683260190275192</v>
      </c>
      <c r="BV60" s="16">
        <v>2.4879063182341445</v>
      </c>
      <c r="BW60" s="16">
        <v>1.3278563710762536</v>
      </c>
      <c r="BX60" s="16">
        <v>2.4160860794152503</v>
      </c>
      <c r="BY60" s="16">
        <v>1.6962816571868937</v>
      </c>
      <c r="BZ60" s="16">
        <v>1.5617628696688808</v>
      </c>
      <c r="CA60" s="16">
        <v>1.8810727962243323</v>
      </c>
      <c r="CB60" s="16">
        <v>1.2736029528508761</v>
      </c>
      <c r="CC60" s="16">
        <v>1.3871101860669621</v>
      </c>
      <c r="CD60" s="16">
        <v>2.2559918138344082</v>
      </c>
      <c r="CE60" s="16">
        <v>1.5991627478138832</v>
      </c>
      <c r="CF60" s="16">
        <f t="shared" si="0"/>
        <v>1.3218725535907483</v>
      </c>
      <c r="CG60" s="16">
        <f t="shared" si="0"/>
        <v>1.8810727962243323</v>
      </c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>
        <v>0</v>
      </c>
      <c r="DO60" s="35">
        <v>2.1153499999999998</v>
      </c>
      <c r="DP60" s="35">
        <v>0</v>
      </c>
      <c r="DQ60" s="35">
        <v>0</v>
      </c>
      <c r="DR60" s="35">
        <v>0</v>
      </c>
    </row>
    <row r="61" spans="1:122" ht="25.5">
      <c r="A61" s="14">
        <f t="shared" si="1"/>
        <v>57</v>
      </c>
      <c r="B61" s="14" t="s">
        <v>153</v>
      </c>
      <c r="C61" s="14" t="s">
        <v>39</v>
      </c>
      <c r="D61" s="17" t="s">
        <v>49</v>
      </c>
      <c r="E61" s="14" t="s">
        <v>232</v>
      </c>
      <c r="F61" s="15">
        <v>10806.506823060003</v>
      </c>
      <c r="G61" s="15">
        <v>10973.591966040001</v>
      </c>
      <c r="H61" s="15">
        <v>9494.8055379300004</v>
      </c>
      <c r="I61" s="15">
        <v>13836.436356909999</v>
      </c>
      <c r="J61" s="15">
        <v>12823.119087790003</v>
      </c>
      <c r="K61" s="15">
        <v>15443.003267550001</v>
      </c>
      <c r="L61" s="15">
        <v>17806.903393530003</v>
      </c>
      <c r="M61" s="15">
        <v>17422.660000150001</v>
      </c>
      <c r="N61" s="15">
        <v>21808.177232820002</v>
      </c>
      <c r="O61" s="15">
        <v>20336.129146460004</v>
      </c>
      <c r="P61" s="15">
        <v>17249.8060358</v>
      </c>
      <c r="Q61" s="15">
        <v>21605.087061949998</v>
      </c>
      <c r="R61" s="15">
        <v>16359.87485298</v>
      </c>
      <c r="S61" s="15">
        <v>16115.554587780005</v>
      </c>
      <c r="T61" s="15">
        <v>24690.314916749998</v>
      </c>
      <c r="U61" s="15">
        <v>20336.129146460004</v>
      </c>
      <c r="V61" s="15">
        <v>222.49700000000001</v>
      </c>
      <c r="W61" s="15">
        <v>2080.0554000000002</v>
      </c>
      <c r="X61" s="15">
        <v>38.581000000000003</v>
      </c>
      <c r="Y61" s="15">
        <v>441.38324999999998</v>
      </c>
      <c r="Z61" s="15">
        <v>7</v>
      </c>
      <c r="AA61" s="15">
        <v>162.35069116999998</v>
      </c>
      <c r="AB61" s="15">
        <v>0</v>
      </c>
      <c r="AC61" s="15">
        <v>1807.21040905</v>
      </c>
      <c r="AD61" s="15">
        <v>93.860510000000005</v>
      </c>
      <c r="AE61" s="15">
        <v>601.547415</v>
      </c>
      <c r="AF61" s="15">
        <v>6073.3667348500003</v>
      </c>
      <c r="AG61" s="15">
        <v>350.75</v>
      </c>
      <c r="AH61" s="15">
        <v>785.43183099999999</v>
      </c>
      <c r="AI61" s="15">
        <v>325.92345532999997</v>
      </c>
      <c r="AJ61" s="15">
        <v>4259.8483393999977</v>
      </c>
      <c r="AK61" s="15">
        <v>2348.1334000000002</v>
      </c>
      <c r="AL61" s="15">
        <v>2792.6325340500002</v>
      </c>
      <c r="AM61" s="15">
        <v>12109.040101749999</v>
      </c>
      <c r="AN61" s="15">
        <v>3019.6236230600002</v>
      </c>
      <c r="AO61" s="15">
        <v>3678.71586604</v>
      </c>
      <c r="AP61" s="15">
        <v>3171.9426379300003</v>
      </c>
      <c r="AQ61" s="15">
        <v>7905.7615569100008</v>
      </c>
      <c r="AR61" s="15">
        <v>4727.5093273400007</v>
      </c>
      <c r="AS61" s="15">
        <v>4656.1665450800001</v>
      </c>
      <c r="AT61" s="15">
        <v>6357.1538744300005</v>
      </c>
      <c r="AU61" s="15">
        <v>13042.171184590001</v>
      </c>
      <c r="AV61" s="15">
        <v>13386.799836380002</v>
      </c>
      <c r="AW61" s="15">
        <v>7310.7508626600011</v>
      </c>
      <c r="AX61" s="15">
        <v>5909.4342798500011</v>
      </c>
      <c r="AY61" s="15">
        <v>9030.2735821999995</v>
      </c>
      <c r="AZ61" s="15">
        <v>4480.6481341600002</v>
      </c>
      <c r="BA61" s="15">
        <v>5173.3956225300008</v>
      </c>
      <c r="BB61" s="15">
        <v>8430.6906913499988</v>
      </c>
      <c r="BC61" s="15">
        <v>7310.7508626600011</v>
      </c>
      <c r="BD61" s="15">
        <v>100.066695</v>
      </c>
      <c r="BE61" s="15">
        <v>55.51</v>
      </c>
      <c r="BF61" s="15">
        <v>94.89223272000001</v>
      </c>
      <c r="BG61" s="15">
        <v>0</v>
      </c>
      <c r="BH61" s="15">
        <v>0</v>
      </c>
      <c r="BI61" s="15">
        <v>563.87796000000003</v>
      </c>
      <c r="BJ61" s="15">
        <v>0</v>
      </c>
      <c r="BK61" s="15">
        <v>56.006607130000006</v>
      </c>
      <c r="BL61" s="15">
        <v>2707.6396</v>
      </c>
      <c r="BM61" s="15">
        <v>6.9961849999999997</v>
      </c>
      <c r="BN61" s="15">
        <v>0</v>
      </c>
      <c r="BO61" s="15">
        <v>243</v>
      </c>
      <c r="BP61" s="15">
        <v>2006.145</v>
      </c>
      <c r="BQ61" s="15">
        <v>75.300000000001106</v>
      </c>
      <c r="BR61" s="16">
        <v>3.5787595316627567</v>
      </c>
      <c r="BS61" s="16">
        <v>2.9829952531377919</v>
      </c>
      <c r="BT61" s="16">
        <v>2.9933723972153166</v>
      </c>
      <c r="BU61" s="16">
        <v>1.750171220989623</v>
      </c>
      <c r="BV61" s="16">
        <v>2.7124471259383238</v>
      </c>
      <c r="BW61" s="16">
        <v>3.3166775969102855</v>
      </c>
      <c r="BX61" s="16">
        <v>2.8010810726406428</v>
      </c>
      <c r="BY61" s="16">
        <v>1.3358711332309281</v>
      </c>
      <c r="BZ61" s="16">
        <v>1.6290806988503739</v>
      </c>
      <c r="CA61" s="16">
        <v>2.7816744857669442</v>
      </c>
      <c r="CB61" s="16">
        <v>2.9190283230018172</v>
      </c>
      <c r="CC61" s="16">
        <v>2.3925174431632734</v>
      </c>
      <c r="CD61" s="16">
        <v>3.651229546068123</v>
      </c>
      <c r="CE61" s="16">
        <v>3.1150825808869502</v>
      </c>
      <c r="CF61" s="16">
        <f t="shared" si="0"/>
        <v>2.9286230299117237</v>
      </c>
      <c r="CG61" s="16">
        <f t="shared" si="0"/>
        <v>2.7816744857669442</v>
      </c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>
        <v>0</v>
      </c>
      <c r="DO61" s="35">
        <v>0</v>
      </c>
      <c r="DP61" s="35">
        <v>0</v>
      </c>
      <c r="DQ61" s="35">
        <v>0</v>
      </c>
      <c r="DR61" s="35">
        <v>0</v>
      </c>
    </row>
    <row r="62" spans="1:122" ht="25.5">
      <c r="A62" s="14">
        <f t="shared" si="1"/>
        <v>58</v>
      </c>
      <c r="B62" s="14" t="s">
        <v>154</v>
      </c>
      <c r="C62" s="14" t="s">
        <v>39</v>
      </c>
      <c r="D62" s="17" t="s">
        <v>50</v>
      </c>
      <c r="E62" s="14" t="s">
        <v>234</v>
      </c>
      <c r="F62" s="15"/>
      <c r="G62" s="15"/>
      <c r="H62" s="15"/>
      <c r="I62" s="15"/>
      <c r="J62" s="15"/>
      <c r="K62" s="15"/>
      <c r="L62" s="15"/>
      <c r="M62" s="15"/>
      <c r="N62" s="15"/>
      <c r="O62" s="15">
        <v>3163.2859380000004</v>
      </c>
      <c r="P62" s="15">
        <v>3090.1865500000004</v>
      </c>
      <c r="Q62" s="15">
        <v>3799.7240249999995</v>
      </c>
      <c r="R62" s="15">
        <v>3371.2425779999999</v>
      </c>
      <c r="S62" s="15">
        <v>3210.4910630000004</v>
      </c>
      <c r="T62" s="15">
        <v>3574.9788979999998</v>
      </c>
      <c r="U62" s="15">
        <v>3163.2859380000004</v>
      </c>
      <c r="V62" s="15">
        <v>13.520849</v>
      </c>
      <c r="W62" s="15">
        <v>618.50976000000003</v>
      </c>
      <c r="X62" s="15">
        <v>3.08</v>
      </c>
      <c r="Y62" s="15">
        <v>197.60677999999999</v>
      </c>
      <c r="Z62" s="15">
        <v>0</v>
      </c>
      <c r="AA62" s="15">
        <v>0</v>
      </c>
      <c r="AB62" s="15">
        <v>0</v>
      </c>
      <c r="AC62" s="15">
        <v>705.4085</v>
      </c>
      <c r="AD62" s="15">
        <v>0</v>
      </c>
      <c r="AE62" s="15">
        <v>3.5000000000000003E-2</v>
      </c>
      <c r="AF62" s="15">
        <v>257.1777538</v>
      </c>
      <c r="AG62" s="15">
        <v>0</v>
      </c>
      <c r="AH62" s="15">
        <v>319.28366</v>
      </c>
      <c r="AI62" s="15">
        <v>0</v>
      </c>
      <c r="AJ62" s="15">
        <v>975.5642472000003</v>
      </c>
      <c r="AK62" s="15">
        <v>635.11060900000007</v>
      </c>
      <c r="AL62" s="15">
        <v>738.75350000000003</v>
      </c>
      <c r="AM62" s="15">
        <v>1716.322441</v>
      </c>
      <c r="AN62" s="15"/>
      <c r="AO62" s="15"/>
      <c r="AP62" s="15"/>
      <c r="AQ62" s="15"/>
      <c r="AR62" s="15"/>
      <c r="AS62" s="15"/>
      <c r="AT62" s="15"/>
      <c r="AU62" s="15"/>
      <c r="AV62" s="15"/>
      <c r="AW62" s="15">
        <v>459.89793799999995</v>
      </c>
      <c r="AX62" s="15">
        <v>312.84424999999999</v>
      </c>
      <c r="AY62" s="15">
        <v>615.36102500000004</v>
      </c>
      <c r="AZ62" s="15">
        <v>658.42257800000004</v>
      </c>
      <c r="BA62" s="15">
        <v>727.09506299999998</v>
      </c>
      <c r="BB62" s="15">
        <v>453.22589800000003</v>
      </c>
      <c r="BC62" s="15">
        <v>459.89793799999995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4.4000000000000004</v>
      </c>
      <c r="BJ62" s="15">
        <v>83.89</v>
      </c>
      <c r="BK62" s="15">
        <v>0</v>
      </c>
      <c r="BL62" s="15">
        <v>220.79425000000001</v>
      </c>
      <c r="BM62" s="15">
        <v>0</v>
      </c>
      <c r="BN62" s="15">
        <v>0</v>
      </c>
      <c r="BO62" s="15">
        <v>0</v>
      </c>
      <c r="BP62" s="15">
        <v>3.76</v>
      </c>
      <c r="BQ62" s="15">
        <v>-8.8817841970012523E-15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6.8782346617087917</v>
      </c>
      <c r="CB62" s="16">
        <v>9.8777156684196701</v>
      </c>
      <c r="CC62" s="16">
        <v>6.1747882472732156</v>
      </c>
      <c r="CD62" s="16">
        <v>5.1201807025517887</v>
      </c>
      <c r="CE62" s="16">
        <v>4.4155038678896936</v>
      </c>
      <c r="CF62" s="16">
        <f t="shared" si="0"/>
        <v>7.8878522030089275</v>
      </c>
      <c r="CG62" s="16">
        <f t="shared" si="0"/>
        <v>6.8782346617087917</v>
      </c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>
        <v>0</v>
      </c>
      <c r="DO62" s="35">
        <v>0</v>
      </c>
      <c r="DP62" s="35">
        <v>0</v>
      </c>
      <c r="DQ62" s="35">
        <v>0</v>
      </c>
      <c r="DR62" s="35">
        <v>0</v>
      </c>
    </row>
    <row r="63" spans="1:122" ht="25.5">
      <c r="A63" s="14">
        <f t="shared" si="1"/>
        <v>59</v>
      </c>
      <c r="B63" s="14" t="s">
        <v>155</v>
      </c>
      <c r="C63" s="14" t="s">
        <v>39</v>
      </c>
      <c r="D63" s="17" t="s">
        <v>51</v>
      </c>
      <c r="E63" s="14" t="s">
        <v>234</v>
      </c>
      <c r="F63" s="15">
        <v>11604.336005299998</v>
      </c>
      <c r="G63" s="15">
        <v>9812.823238429999</v>
      </c>
      <c r="H63" s="15">
        <v>9022.1199164400005</v>
      </c>
      <c r="I63" s="15">
        <v>10045.964437310002</v>
      </c>
      <c r="J63" s="15">
        <v>9798.2011992399985</v>
      </c>
      <c r="K63" s="15">
        <v>9414.9944918199999</v>
      </c>
      <c r="L63" s="15">
        <v>10751.133184459999</v>
      </c>
      <c r="M63" s="15">
        <v>10844.991186749998</v>
      </c>
      <c r="N63" s="15">
        <v>10618.862594909999</v>
      </c>
      <c r="O63" s="15">
        <v>8522.6661444500005</v>
      </c>
      <c r="P63" s="15">
        <v>7403.3229654200004</v>
      </c>
      <c r="Q63" s="15">
        <v>10821.108460949999</v>
      </c>
      <c r="R63" s="15">
        <v>11595.162430010001</v>
      </c>
      <c r="S63" s="15">
        <v>14707.737807630001</v>
      </c>
      <c r="T63" s="15">
        <v>16589.379805879998</v>
      </c>
      <c r="U63" s="15">
        <v>8522.6661444500005</v>
      </c>
      <c r="V63" s="15">
        <v>285.93099999999998</v>
      </c>
      <c r="W63" s="15">
        <v>203.196</v>
      </c>
      <c r="X63" s="15">
        <v>154.405</v>
      </c>
      <c r="Y63" s="15">
        <v>214.86792</v>
      </c>
      <c r="Z63" s="15">
        <v>0</v>
      </c>
      <c r="AA63" s="15">
        <v>311.27</v>
      </c>
      <c r="AB63" s="15">
        <v>0</v>
      </c>
      <c r="AC63" s="15">
        <v>749.29391171000009</v>
      </c>
      <c r="AD63" s="15">
        <v>17.716000000000001</v>
      </c>
      <c r="AE63" s="15">
        <v>112.42400000000001</v>
      </c>
      <c r="AF63" s="15">
        <v>765.20336412000006</v>
      </c>
      <c r="AG63" s="15">
        <v>0</v>
      </c>
      <c r="AH63" s="15">
        <v>1566.42326</v>
      </c>
      <c r="AI63" s="15">
        <v>415.32299999999998</v>
      </c>
      <c r="AJ63" s="15">
        <v>2607.2695095900003</v>
      </c>
      <c r="AK63" s="15">
        <v>643.53199999999993</v>
      </c>
      <c r="AL63" s="15">
        <v>1106.28291171</v>
      </c>
      <c r="AM63" s="15">
        <v>5653.5080537100002</v>
      </c>
      <c r="AN63" s="15">
        <v>1951.3980053</v>
      </c>
      <c r="AO63" s="15">
        <v>3451.5282384299999</v>
      </c>
      <c r="AP63" s="15">
        <v>3471.0094164400002</v>
      </c>
      <c r="AQ63" s="15">
        <v>5991.9014373099999</v>
      </c>
      <c r="AR63" s="15">
        <v>2939.7336992399996</v>
      </c>
      <c r="AS63" s="15">
        <v>3038.8824918200003</v>
      </c>
      <c r="AT63" s="15">
        <v>5274.5201844599997</v>
      </c>
      <c r="AU63" s="15">
        <v>5275.609186749999</v>
      </c>
      <c r="AV63" s="15">
        <v>4268.4875949100006</v>
      </c>
      <c r="AW63" s="15">
        <v>4166.4031444499988</v>
      </c>
      <c r="AX63" s="15">
        <v>2989.9229654200003</v>
      </c>
      <c r="AY63" s="15">
        <v>7758.7014609500002</v>
      </c>
      <c r="AZ63" s="15">
        <v>1954.30643001</v>
      </c>
      <c r="BA63" s="15">
        <v>4524.2088076299997</v>
      </c>
      <c r="BB63" s="15">
        <v>5244.7178058799991</v>
      </c>
      <c r="BC63" s="15">
        <v>4166.4031444499988</v>
      </c>
      <c r="BD63" s="15">
        <v>99.561077999999995</v>
      </c>
      <c r="BE63" s="15">
        <v>77.739999999999995</v>
      </c>
      <c r="BF63" s="15">
        <v>76.152093170000001</v>
      </c>
      <c r="BG63" s="15">
        <v>0</v>
      </c>
      <c r="BH63" s="15">
        <v>0</v>
      </c>
      <c r="BI63" s="15">
        <v>1379.14</v>
      </c>
      <c r="BJ63" s="15">
        <v>0</v>
      </c>
      <c r="BK63" s="15">
        <v>180.32209424999999</v>
      </c>
      <c r="BL63" s="15">
        <v>420.66498999999999</v>
      </c>
      <c r="BM63" s="15">
        <v>21.732710000000001</v>
      </c>
      <c r="BN63" s="15">
        <v>0</v>
      </c>
      <c r="BO63" s="15">
        <v>2.4</v>
      </c>
      <c r="BP63" s="15">
        <v>717.75</v>
      </c>
      <c r="BQ63" s="15">
        <v>14.459999999999951</v>
      </c>
      <c r="BR63" s="16">
        <v>5.9466782141739429</v>
      </c>
      <c r="BS63" s="16">
        <v>2.8430372173033613</v>
      </c>
      <c r="BT63" s="16">
        <v>2.599278432869661</v>
      </c>
      <c r="BU63" s="16">
        <v>1.6765904016305098</v>
      </c>
      <c r="BV63" s="16">
        <v>3.3330233965658516</v>
      </c>
      <c r="BW63" s="16">
        <v>3.0981765557447791</v>
      </c>
      <c r="BX63" s="16">
        <v>2.0383149193618433</v>
      </c>
      <c r="BY63" s="16">
        <v>2.0556850977490577</v>
      </c>
      <c r="BZ63" s="16">
        <v>2.4877342053359985</v>
      </c>
      <c r="CA63" s="16">
        <v>2.0455692473741798</v>
      </c>
      <c r="CB63" s="16">
        <v>2.4760915418367779</v>
      </c>
      <c r="CC63" s="16">
        <v>1.394706126458567</v>
      </c>
      <c r="CD63" s="16">
        <v>5.9331342577380095</v>
      </c>
      <c r="CE63" s="16">
        <v>3.2508972138566321</v>
      </c>
      <c r="CF63" s="16">
        <f t="shared" si="0"/>
        <v>3.1630643287006182</v>
      </c>
      <c r="CG63" s="16">
        <f t="shared" si="0"/>
        <v>2.0455692473741798</v>
      </c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>
        <v>0</v>
      </c>
      <c r="DO63" s="35">
        <v>28.563700000000001</v>
      </c>
      <c r="DP63" s="35">
        <v>0</v>
      </c>
      <c r="DQ63" s="35">
        <v>0</v>
      </c>
      <c r="DR63" s="35">
        <v>0</v>
      </c>
    </row>
    <row r="64" spans="1:122" ht="25.5">
      <c r="A64" s="14">
        <f t="shared" si="1"/>
        <v>60</v>
      </c>
      <c r="B64" s="14" t="s">
        <v>156</v>
      </c>
      <c r="C64" s="14" t="s">
        <v>39</v>
      </c>
      <c r="D64" s="17" t="s">
        <v>52</v>
      </c>
      <c r="E64" s="14" t="s">
        <v>236</v>
      </c>
      <c r="F64" s="15">
        <v>20087.389579409999</v>
      </c>
      <c r="G64" s="15">
        <v>28489.62436672</v>
      </c>
      <c r="H64" s="15">
        <v>31748.19137588</v>
      </c>
      <c r="I64" s="15">
        <v>36652.524519289997</v>
      </c>
      <c r="J64" s="15">
        <v>38464.472398140002</v>
      </c>
      <c r="K64" s="15">
        <v>34631.693194309999</v>
      </c>
      <c r="L64" s="15">
        <v>36763.76648464</v>
      </c>
      <c r="M64" s="15">
        <v>34079.282118599993</v>
      </c>
      <c r="N64" s="15">
        <v>37809.983673840012</v>
      </c>
      <c r="O64" s="15">
        <v>25238.590437339997</v>
      </c>
      <c r="P64" s="15">
        <v>12927.203105169998</v>
      </c>
      <c r="Q64" s="15">
        <v>21883.119313630003</v>
      </c>
      <c r="R64" s="15">
        <v>14963.61070212</v>
      </c>
      <c r="S64" s="15">
        <v>13680.314543609999</v>
      </c>
      <c r="T64" s="15">
        <v>14641.551074620003</v>
      </c>
      <c r="U64" s="15">
        <v>25238.590437339997</v>
      </c>
      <c r="V64" s="15">
        <v>288.46708932000001</v>
      </c>
      <c r="W64" s="15">
        <v>1816.13343777</v>
      </c>
      <c r="X64" s="15">
        <v>10.08</v>
      </c>
      <c r="Y64" s="15">
        <v>690.36622999999997</v>
      </c>
      <c r="Z64" s="15">
        <v>0</v>
      </c>
      <c r="AA64" s="15">
        <v>122.14181216</v>
      </c>
      <c r="AB64" s="15">
        <v>6.1239999999999997</v>
      </c>
      <c r="AC64" s="15">
        <v>1061.3409999999999</v>
      </c>
      <c r="AD64" s="15">
        <v>1078.8051679999999</v>
      </c>
      <c r="AE64" s="15">
        <v>12</v>
      </c>
      <c r="AF64" s="15">
        <v>1016.84363331</v>
      </c>
      <c r="AG64" s="15">
        <v>0</v>
      </c>
      <c r="AH64" s="15">
        <v>1592.5847627400001</v>
      </c>
      <c r="AI64" s="15">
        <v>452.48456689</v>
      </c>
      <c r="AJ64" s="15">
        <v>4779.8314049799992</v>
      </c>
      <c r="AK64" s="15">
        <v>2114.6805270899999</v>
      </c>
      <c r="AL64" s="15">
        <v>4571.2023680000002</v>
      </c>
      <c r="AM64" s="15">
        <v>6241.3202100799972</v>
      </c>
      <c r="AN64" s="15">
        <v>4008.9865959500003</v>
      </c>
      <c r="AO64" s="15">
        <v>4000.3734867199996</v>
      </c>
      <c r="AP64" s="15">
        <v>3819.4367341100005</v>
      </c>
      <c r="AQ64" s="15">
        <v>7784.4410652900006</v>
      </c>
      <c r="AR64" s="15">
        <v>5787.8611861399995</v>
      </c>
      <c r="AS64" s="15">
        <v>5877.5010693100003</v>
      </c>
      <c r="AT64" s="15">
        <v>9531.50980996</v>
      </c>
      <c r="AU64" s="15">
        <v>6958.2404178100005</v>
      </c>
      <c r="AV64" s="15">
        <v>8603.0639183300009</v>
      </c>
      <c r="AW64" s="15">
        <v>12937.560513339999</v>
      </c>
      <c r="AX64" s="15">
        <v>9137.102105169999</v>
      </c>
      <c r="AY64" s="15">
        <v>17052.058313630001</v>
      </c>
      <c r="AZ64" s="15">
        <v>7355.11270212</v>
      </c>
      <c r="BA64" s="15">
        <v>9090.4095436099997</v>
      </c>
      <c r="BB64" s="15">
        <v>7263.8234746200005</v>
      </c>
      <c r="BC64" s="15">
        <v>12937.560513339999</v>
      </c>
      <c r="BD64" s="15">
        <v>128.52064300000001</v>
      </c>
      <c r="BE64" s="15">
        <v>0</v>
      </c>
      <c r="BF64" s="15">
        <v>227.51857122999999</v>
      </c>
      <c r="BG64" s="15">
        <v>0</v>
      </c>
      <c r="BH64" s="15">
        <v>0</v>
      </c>
      <c r="BI64" s="15">
        <v>83.919385000000005</v>
      </c>
      <c r="BJ64" s="15">
        <v>0</v>
      </c>
      <c r="BK64" s="15">
        <v>329.49612094000003</v>
      </c>
      <c r="BL64" s="15">
        <v>2822.6623850000001</v>
      </c>
      <c r="BM64" s="15">
        <v>0</v>
      </c>
      <c r="BN64" s="15">
        <v>0</v>
      </c>
      <c r="BO64" s="15">
        <v>0</v>
      </c>
      <c r="BP64" s="15">
        <v>4905.2849999999999</v>
      </c>
      <c r="BQ64" s="15">
        <v>639.69999999999891</v>
      </c>
      <c r="BR64" s="16">
        <v>5.0105903570999439</v>
      </c>
      <c r="BS64" s="16">
        <v>7.1217411227468448</v>
      </c>
      <c r="BT64" s="16">
        <v>8.312270522076842</v>
      </c>
      <c r="BU64" s="16">
        <v>4.7084336835331344</v>
      </c>
      <c r="BV64" s="16">
        <v>6.6457143945071815</v>
      </c>
      <c r="BW64" s="16">
        <v>5.8922478764220196</v>
      </c>
      <c r="BX64" s="16">
        <v>3.8570769183097848</v>
      </c>
      <c r="BY64" s="16">
        <v>4.8976867817576677</v>
      </c>
      <c r="BZ64" s="16">
        <v>4.3949439447126144</v>
      </c>
      <c r="CA64" s="16">
        <v>1.9507997981007572</v>
      </c>
      <c r="CB64" s="16">
        <v>1.4148033978798886</v>
      </c>
      <c r="CC64" s="16">
        <v>1.2833124841086458</v>
      </c>
      <c r="CD64" s="16">
        <v>2.0344502264128415</v>
      </c>
      <c r="CE64" s="16">
        <v>1.5049172953078247</v>
      </c>
      <c r="CF64" s="16">
        <f t="shared" si="0"/>
        <v>2.015681015071193</v>
      </c>
      <c r="CG64" s="16">
        <f t="shared" si="0"/>
        <v>1.9507997981007572</v>
      </c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>
        <v>0</v>
      </c>
      <c r="DO64" s="35">
        <v>0</v>
      </c>
      <c r="DP64" s="35">
        <v>0</v>
      </c>
      <c r="DQ64" s="35">
        <v>0</v>
      </c>
      <c r="DR64" s="35">
        <v>0</v>
      </c>
    </row>
    <row r="65" spans="1:122" ht="25.5">
      <c r="A65" s="14">
        <f t="shared" si="1"/>
        <v>61</v>
      </c>
      <c r="B65" s="14" t="s">
        <v>157</v>
      </c>
      <c r="C65" s="14" t="s">
        <v>39</v>
      </c>
      <c r="D65" s="17" t="s">
        <v>53</v>
      </c>
      <c r="E65" s="14" t="s">
        <v>235</v>
      </c>
      <c r="F65" s="15">
        <v>23268.65225848</v>
      </c>
      <c r="G65" s="15">
        <v>22638.236330750002</v>
      </c>
      <c r="H65" s="15">
        <v>21648.354701709999</v>
      </c>
      <c r="I65" s="15">
        <v>25584.728357929998</v>
      </c>
      <c r="J65" s="15">
        <v>25373.698965900006</v>
      </c>
      <c r="K65" s="15">
        <v>26703.444833240002</v>
      </c>
      <c r="L65" s="15">
        <v>27927.928871529995</v>
      </c>
      <c r="M65" s="15">
        <v>31675.55451799</v>
      </c>
      <c r="N65" s="15">
        <v>40505.434103780004</v>
      </c>
      <c r="O65" s="15">
        <v>37753.365825699999</v>
      </c>
      <c r="P65" s="15">
        <v>39486.430118610006</v>
      </c>
      <c r="Q65" s="15">
        <v>38143.965287090003</v>
      </c>
      <c r="R65" s="15">
        <v>38281.358737490009</v>
      </c>
      <c r="S65" s="15">
        <v>39441.450799319995</v>
      </c>
      <c r="T65" s="15">
        <v>50084.565346950003</v>
      </c>
      <c r="U65" s="15">
        <v>37753.365825699999</v>
      </c>
      <c r="V65" s="15">
        <v>302.23200000000003</v>
      </c>
      <c r="W65" s="15">
        <v>15255.421</v>
      </c>
      <c r="X65" s="15">
        <v>183.119</v>
      </c>
      <c r="Y65" s="15">
        <v>1878.19174</v>
      </c>
      <c r="Z65" s="15">
        <v>204.99639999999999</v>
      </c>
      <c r="AA65" s="15">
        <v>227.08705504</v>
      </c>
      <c r="AB65" s="15">
        <v>34.127000000000002</v>
      </c>
      <c r="AC65" s="15">
        <v>11272.1289</v>
      </c>
      <c r="AD65" s="15">
        <v>83.424105999999995</v>
      </c>
      <c r="AE65" s="15">
        <v>404.48802000000001</v>
      </c>
      <c r="AF65" s="15">
        <v>1147.9596916199998</v>
      </c>
      <c r="AG65" s="15">
        <v>418.81</v>
      </c>
      <c r="AH65" s="15">
        <v>1060.5122333500001</v>
      </c>
      <c r="AI65" s="15">
        <v>329.77086076999996</v>
      </c>
      <c r="AJ65" s="15">
        <v>6684.1621118300191</v>
      </c>
      <c r="AK65" s="15">
        <v>15945.768400000001</v>
      </c>
      <c r="AL65" s="15">
        <v>12423.144855999999</v>
      </c>
      <c r="AM65" s="15">
        <v>11117.516862610006</v>
      </c>
      <c r="AN65" s="15">
        <v>123376.66674193999</v>
      </c>
      <c r="AO65" s="15">
        <v>120466.91011075</v>
      </c>
      <c r="AP65" s="15">
        <v>124206.34314348001</v>
      </c>
      <c r="AQ65" s="15">
        <v>141555.73141193</v>
      </c>
      <c r="AR65" s="15">
        <v>142121.20887789998</v>
      </c>
      <c r="AS65" s="15">
        <v>148618.81880824</v>
      </c>
      <c r="AT65" s="15">
        <v>154059.76329621</v>
      </c>
      <c r="AU65" s="15">
        <v>147388.74931877997</v>
      </c>
      <c r="AV65" s="15">
        <v>149490.10740929001</v>
      </c>
      <c r="AW65" s="15">
        <v>147248.19183470003</v>
      </c>
      <c r="AX65" s="15">
        <v>135262.04355861002</v>
      </c>
      <c r="AY65" s="15">
        <v>152124.86125609002</v>
      </c>
      <c r="AZ65" s="15">
        <v>122114.95905222998</v>
      </c>
      <c r="BA65" s="15">
        <v>126908.70527032</v>
      </c>
      <c r="BB65" s="15">
        <v>141642.05656226</v>
      </c>
      <c r="BC65" s="15">
        <v>147248.19183470003</v>
      </c>
      <c r="BD65" s="15">
        <v>26205.403612830003</v>
      </c>
      <c r="BE65" s="15">
        <v>22.25225</v>
      </c>
      <c r="BF65" s="15">
        <v>4136.4792670400002</v>
      </c>
      <c r="BG65" s="15">
        <v>0</v>
      </c>
      <c r="BH65" s="15">
        <v>0</v>
      </c>
      <c r="BI65" s="15">
        <v>302.22000000000003</v>
      </c>
      <c r="BJ65" s="15">
        <v>98285.709000000003</v>
      </c>
      <c r="BK65" s="15">
        <v>460.07174373999999</v>
      </c>
      <c r="BL65" s="15">
        <v>3764.5707600000001</v>
      </c>
      <c r="BM65" s="15">
        <v>0.17872499999999999</v>
      </c>
      <c r="BN65" s="15">
        <v>0</v>
      </c>
      <c r="BO65" s="15">
        <v>0</v>
      </c>
      <c r="BP65" s="15">
        <v>1881.3582000000001</v>
      </c>
      <c r="BQ65" s="15">
        <v>203.80000000001746</v>
      </c>
      <c r="BR65" s="16">
        <v>0.18859848359454975</v>
      </c>
      <c r="BS65" s="16">
        <v>0.18792078513458821</v>
      </c>
      <c r="BT65" s="16">
        <v>0.1742934712819165</v>
      </c>
      <c r="BU65" s="16">
        <v>0.1807396147279825</v>
      </c>
      <c r="BV65" s="16">
        <v>0.17853562579600074</v>
      </c>
      <c r="BW65" s="16">
        <v>0.17967741264109321</v>
      </c>
      <c r="BX65" s="16">
        <v>0.18127983760323643</v>
      </c>
      <c r="BY65" s="16">
        <v>0.21491161750399607</v>
      </c>
      <c r="BZ65" s="16">
        <v>0.2709572881159279</v>
      </c>
      <c r="CA65" s="16">
        <v>0.25639272954931569</v>
      </c>
      <c r="CB65" s="16">
        <v>0.29192542918738507</v>
      </c>
      <c r="CC65" s="16">
        <v>0.25074116730254692</v>
      </c>
      <c r="CD65" s="16">
        <v>0.3134862348937662</v>
      </c>
      <c r="CE65" s="16">
        <v>0.31078601515402998</v>
      </c>
      <c r="CF65" s="16">
        <f t="shared" si="0"/>
        <v>0.35359953507124414</v>
      </c>
      <c r="CG65" s="16">
        <f t="shared" si="0"/>
        <v>0.25639272954931569</v>
      </c>
      <c r="CH65" s="30">
        <v>7000</v>
      </c>
      <c r="CI65" s="30">
        <v>13000</v>
      </c>
      <c r="CJ65" s="30">
        <v>36500</v>
      </c>
      <c r="CK65" s="30">
        <v>43700</v>
      </c>
      <c r="CL65" s="30">
        <v>29100</v>
      </c>
      <c r="CM65" s="30">
        <v>32700</v>
      </c>
      <c r="CN65" s="30">
        <v>12000</v>
      </c>
      <c r="CO65" s="30">
        <v>25000</v>
      </c>
      <c r="CP65" s="30">
        <v>35000</v>
      </c>
      <c r="CQ65" s="30">
        <v>30000</v>
      </c>
      <c r="CR65" s="30">
        <v>22300</v>
      </c>
      <c r="CS65" s="30">
        <v>25200</v>
      </c>
      <c r="CT65" s="30">
        <v>30500</v>
      </c>
      <c r="CU65" s="30">
        <v>19000</v>
      </c>
      <c r="CV65" s="30">
        <v>34500</v>
      </c>
      <c r="CW65" s="30">
        <v>30000</v>
      </c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>
        <v>20396.633399999999</v>
      </c>
      <c r="DO65" s="35">
        <v>32480.720600000001</v>
      </c>
      <c r="DP65" s="35">
        <v>4758.4579999999996</v>
      </c>
      <c r="DQ65" s="35">
        <v>0</v>
      </c>
      <c r="DR65" s="35">
        <v>133</v>
      </c>
    </row>
    <row r="66" spans="1:122" ht="25.5">
      <c r="A66" s="14">
        <f t="shared" si="1"/>
        <v>62</v>
      </c>
      <c r="B66" s="14" t="s">
        <v>158</v>
      </c>
      <c r="C66" s="14" t="s">
        <v>39</v>
      </c>
      <c r="D66" s="17" t="s">
        <v>54</v>
      </c>
      <c r="E66" s="14" t="s">
        <v>237</v>
      </c>
      <c r="F66" s="15">
        <v>29948.27111093</v>
      </c>
      <c r="G66" s="15">
        <v>25071.88721615</v>
      </c>
      <c r="H66" s="15">
        <v>25019.958874370001</v>
      </c>
      <c r="I66" s="15">
        <v>29888.037997979995</v>
      </c>
      <c r="J66" s="15">
        <v>25486.828221860003</v>
      </c>
      <c r="K66" s="15">
        <v>31023.761134830002</v>
      </c>
      <c r="L66" s="15">
        <v>33282.476223950005</v>
      </c>
      <c r="M66" s="15">
        <v>27325.355063670006</v>
      </c>
      <c r="N66" s="15">
        <v>35959.878312480003</v>
      </c>
      <c r="O66" s="15">
        <v>33741.556156370003</v>
      </c>
      <c r="P66" s="15">
        <v>29244.963817389998</v>
      </c>
      <c r="Q66" s="15">
        <v>32312.214356809996</v>
      </c>
      <c r="R66" s="15">
        <v>25088.611331939996</v>
      </c>
      <c r="S66" s="15">
        <v>20157.009416250003</v>
      </c>
      <c r="T66" s="15">
        <v>27171.065431530002</v>
      </c>
      <c r="U66" s="15">
        <v>33741.556156370003</v>
      </c>
      <c r="V66" s="15">
        <v>258.46386507</v>
      </c>
      <c r="W66" s="15">
        <v>3252.4188638400001</v>
      </c>
      <c r="X66" s="15">
        <v>97.372500000000002</v>
      </c>
      <c r="Y66" s="15">
        <v>2112.9861900000001</v>
      </c>
      <c r="Z66" s="15">
        <v>6.95</v>
      </c>
      <c r="AA66" s="15">
        <v>450.51299999999998</v>
      </c>
      <c r="AB66" s="15">
        <v>19.3</v>
      </c>
      <c r="AC66" s="15">
        <v>5538.64349339</v>
      </c>
      <c r="AD66" s="15">
        <v>45.739319999999999</v>
      </c>
      <c r="AE66" s="15">
        <v>628.49693100000002</v>
      </c>
      <c r="AF66" s="15">
        <v>9737.9851484400006</v>
      </c>
      <c r="AG66" s="15">
        <v>0</v>
      </c>
      <c r="AH66" s="15">
        <v>1242.44389783</v>
      </c>
      <c r="AI66" s="15">
        <v>970.10158310999998</v>
      </c>
      <c r="AJ66" s="15">
        <v>4883.5490247099979</v>
      </c>
      <c r="AK66" s="15">
        <v>3615.2052289099997</v>
      </c>
      <c r="AL66" s="15">
        <v>6449.3696543900005</v>
      </c>
      <c r="AM66" s="15">
        <v>19180.388934089999</v>
      </c>
      <c r="AN66" s="15">
        <v>128780.16941093002</v>
      </c>
      <c r="AO66" s="15">
        <v>129873.84676615</v>
      </c>
      <c r="AP66" s="15">
        <v>139093.87077437001</v>
      </c>
      <c r="AQ66" s="15">
        <v>154510.51454797998</v>
      </c>
      <c r="AR66" s="15">
        <v>153537.16345371003</v>
      </c>
      <c r="AS66" s="15">
        <v>167057.05235614002</v>
      </c>
      <c r="AT66" s="15">
        <v>161693.89438601999</v>
      </c>
      <c r="AU66" s="15">
        <v>153834.65374167002</v>
      </c>
      <c r="AV66" s="15">
        <v>160470.46388448001</v>
      </c>
      <c r="AW66" s="15">
        <v>160321.51645637001</v>
      </c>
      <c r="AX66" s="15">
        <v>149397.42567739001</v>
      </c>
      <c r="AY66" s="15">
        <v>162007.44980681004</v>
      </c>
      <c r="AZ66" s="15">
        <v>131830.26543193997</v>
      </c>
      <c r="BA66" s="15">
        <v>138637.83461625001</v>
      </c>
      <c r="BB66" s="15">
        <v>152593.89028152998</v>
      </c>
      <c r="BC66" s="15">
        <v>160321.51645637001</v>
      </c>
      <c r="BD66" s="15">
        <v>23342.755908489999</v>
      </c>
      <c r="BE66" s="15">
        <v>156.878231</v>
      </c>
      <c r="BF66" s="15">
        <v>7005.3244889899997</v>
      </c>
      <c r="BG66" s="15">
        <v>0</v>
      </c>
      <c r="BH66" s="15">
        <v>0</v>
      </c>
      <c r="BI66" s="15">
        <v>343.77670799999999</v>
      </c>
      <c r="BJ66" s="15">
        <v>110855.394</v>
      </c>
      <c r="BK66" s="15">
        <v>385.78953091000005</v>
      </c>
      <c r="BL66" s="15">
        <v>2375.35241</v>
      </c>
      <c r="BM66" s="15">
        <v>60.218400000000003</v>
      </c>
      <c r="BN66" s="15">
        <v>0</v>
      </c>
      <c r="BO66" s="15">
        <v>0</v>
      </c>
      <c r="BP66" s="15">
        <v>4100.9359999999997</v>
      </c>
      <c r="BQ66" s="15">
        <v>771.00000000002547</v>
      </c>
      <c r="BR66" s="16">
        <v>0.23255343775303489</v>
      </c>
      <c r="BS66" s="16">
        <v>0.19304800651122836</v>
      </c>
      <c r="BT66" s="16">
        <v>0.17987822709280932</v>
      </c>
      <c r="BU66" s="16">
        <v>0.19343691971654714</v>
      </c>
      <c r="BV66" s="16">
        <v>0.16599777961603437</v>
      </c>
      <c r="BW66" s="16">
        <v>0.18570758131594528</v>
      </c>
      <c r="BX66" s="16">
        <v>0.205836320229217</v>
      </c>
      <c r="BY66" s="16">
        <v>0.17762808573389885</v>
      </c>
      <c r="BZ66" s="16">
        <v>0.22409032442485438</v>
      </c>
      <c r="CA66" s="16">
        <v>0.21046180763611008</v>
      </c>
      <c r="CB66" s="16">
        <v>0.19575279617295285</v>
      </c>
      <c r="CC66" s="16">
        <v>0.19944894136252087</v>
      </c>
      <c r="CD66" s="16">
        <v>0.19030995082758514</v>
      </c>
      <c r="CE66" s="16">
        <v>0.14539327934574767</v>
      </c>
      <c r="CF66" s="16">
        <f t="shared" si="0"/>
        <v>0.17806129315793973</v>
      </c>
      <c r="CG66" s="16">
        <f t="shared" si="0"/>
        <v>0.21046180763611008</v>
      </c>
      <c r="CH66" s="30"/>
      <c r="CI66" s="30">
        <v>28500</v>
      </c>
      <c r="CJ66" s="30">
        <v>37500</v>
      </c>
      <c r="CK66" s="30">
        <v>52500</v>
      </c>
      <c r="CL66" s="30">
        <v>49000</v>
      </c>
      <c r="CM66" s="30">
        <v>36000</v>
      </c>
      <c r="CN66" s="30">
        <v>36000</v>
      </c>
      <c r="CO66" s="30">
        <v>41000</v>
      </c>
      <c r="CP66" s="30">
        <v>50300</v>
      </c>
      <c r="CQ66" s="30">
        <v>51000</v>
      </c>
      <c r="CR66" s="30">
        <v>51500</v>
      </c>
      <c r="CS66" s="30">
        <v>31500</v>
      </c>
      <c r="CT66" s="30">
        <v>43000</v>
      </c>
      <c r="CU66" s="30">
        <v>29500</v>
      </c>
      <c r="CV66" s="30">
        <v>51700</v>
      </c>
      <c r="CW66" s="30">
        <v>51000</v>
      </c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>
        <v>11390.7714</v>
      </c>
      <c r="DO66" s="35">
        <v>30243.575120000001</v>
      </c>
      <c r="DP66" s="35">
        <v>5817.8535920000004</v>
      </c>
      <c r="DQ66" s="35">
        <v>0</v>
      </c>
      <c r="DR66" s="35">
        <v>304</v>
      </c>
    </row>
    <row r="67" spans="1:122" ht="25.5">
      <c r="A67" s="14">
        <f t="shared" si="1"/>
        <v>63</v>
      </c>
      <c r="B67" s="14" t="s">
        <v>159</v>
      </c>
      <c r="C67" s="14" t="s">
        <v>55</v>
      </c>
      <c r="D67" s="17" t="s">
        <v>56</v>
      </c>
      <c r="E67" s="14" t="s">
        <v>221</v>
      </c>
      <c r="F67" s="15">
        <v>64655.567849999992</v>
      </c>
      <c r="G67" s="15">
        <v>44866.221800000007</v>
      </c>
      <c r="H67" s="15">
        <v>32080.896210959996</v>
      </c>
      <c r="I67" s="15">
        <v>47241.951350000003</v>
      </c>
      <c r="J67" s="15">
        <v>55189.062050000008</v>
      </c>
      <c r="K67" s="15">
        <v>53972.598299999998</v>
      </c>
      <c r="L67" s="15">
        <v>63317.666249999995</v>
      </c>
      <c r="M67" s="15">
        <v>60386.992199999993</v>
      </c>
      <c r="N67" s="15">
        <v>57455.843949999995</v>
      </c>
      <c r="O67" s="15">
        <v>60538.690750000002</v>
      </c>
      <c r="P67" s="15">
        <v>47553.990249999995</v>
      </c>
      <c r="Q67" s="15">
        <v>61101.360049999996</v>
      </c>
      <c r="R67" s="15">
        <v>71215.43680000001</v>
      </c>
      <c r="S67" s="15">
        <v>52362.553050000002</v>
      </c>
      <c r="T67" s="15">
        <v>51509.392849999989</v>
      </c>
      <c r="U67" s="15">
        <v>60538.690750000002</v>
      </c>
      <c r="V67" s="15">
        <v>317.54610000000002</v>
      </c>
      <c r="W67" s="15">
        <v>5754.4762000000001</v>
      </c>
      <c r="X67" s="15">
        <v>1069.3135500000001</v>
      </c>
      <c r="Y67" s="15">
        <v>3758.1084999999998</v>
      </c>
      <c r="Z67" s="15">
        <v>166.477</v>
      </c>
      <c r="AA67" s="15">
        <v>2474.3611500000002</v>
      </c>
      <c r="AB67" s="15">
        <v>0</v>
      </c>
      <c r="AC67" s="15">
        <v>6687.2869499999997</v>
      </c>
      <c r="AD67" s="15">
        <v>359.55550000000005</v>
      </c>
      <c r="AE67" s="15">
        <v>10513.605949999999</v>
      </c>
      <c r="AF67" s="15">
        <v>2819.2685999999999</v>
      </c>
      <c r="AG67" s="15">
        <v>265.24799999999999</v>
      </c>
      <c r="AH67" s="15">
        <v>1850.4039</v>
      </c>
      <c r="AI67" s="15">
        <v>283.76209999999998</v>
      </c>
      <c r="AJ67" s="15">
        <v>11234.576750000004</v>
      </c>
      <c r="AK67" s="15">
        <v>7307.8128500000003</v>
      </c>
      <c r="AL67" s="15">
        <v>18715.282949999997</v>
      </c>
      <c r="AM67" s="15">
        <v>21530.894449999996</v>
      </c>
      <c r="AN67" s="15">
        <v>55333.947149999993</v>
      </c>
      <c r="AO67" s="15">
        <v>56549.063600000001</v>
      </c>
      <c r="AP67" s="15">
        <v>51811.470860960006</v>
      </c>
      <c r="AQ67" s="15">
        <v>70639.587599999999</v>
      </c>
      <c r="AR67" s="15">
        <v>74540.747499999998</v>
      </c>
      <c r="AS67" s="15">
        <v>79206.953750000001</v>
      </c>
      <c r="AT67" s="15">
        <v>86969.416550000009</v>
      </c>
      <c r="AU67" s="15">
        <v>82895.577500000014</v>
      </c>
      <c r="AV67" s="15">
        <v>89563.305400000012</v>
      </c>
      <c r="AW67" s="15">
        <v>83692.257849999995</v>
      </c>
      <c r="AX67" s="15">
        <v>66138.849849999999</v>
      </c>
      <c r="AY67" s="15">
        <v>87206.469799999992</v>
      </c>
      <c r="AZ67" s="15">
        <v>66628.728599999988</v>
      </c>
      <c r="BA67" s="15">
        <v>71617.990000000005</v>
      </c>
      <c r="BB67" s="15">
        <v>80076.354600000006</v>
      </c>
      <c r="BC67" s="15">
        <v>83692.257849999995</v>
      </c>
      <c r="BD67" s="15">
        <v>0</v>
      </c>
      <c r="BE67" s="15">
        <v>79</v>
      </c>
      <c r="BF67" s="15">
        <v>0</v>
      </c>
      <c r="BG67" s="15">
        <v>0</v>
      </c>
      <c r="BH67" s="15">
        <v>0</v>
      </c>
      <c r="BI67" s="15">
        <v>647.13734999999997</v>
      </c>
      <c r="BJ67" s="15">
        <v>42441.350849999995</v>
      </c>
      <c r="BK67" s="15">
        <v>133.51034999999999</v>
      </c>
      <c r="BL67" s="15">
        <v>14272.42085</v>
      </c>
      <c r="BM67" s="15">
        <v>1543.65345</v>
      </c>
      <c r="BN67" s="15">
        <v>0</v>
      </c>
      <c r="BO67" s="15">
        <v>279.95999999999998</v>
      </c>
      <c r="BP67" s="15">
        <v>83.704999999999998</v>
      </c>
      <c r="BQ67" s="15">
        <v>6658.1119999999983</v>
      </c>
      <c r="BR67" s="16">
        <v>1.1684611559470144</v>
      </c>
      <c r="BS67" s="16">
        <v>0.79340344373094107</v>
      </c>
      <c r="BT67" s="16">
        <v>0.61918520508810693</v>
      </c>
      <c r="BU67" s="16">
        <v>0.66877445006488123</v>
      </c>
      <c r="BV67" s="16">
        <v>0.74038782680573478</v>
      </c>
      <c r="BW67" s="16">
        <v>0.68141237283727751</v>
      </c>
      <c r="BX67" s="16">
        <v>0.72804519981570448</v>
      </c>
      <c r="BY67" s="16">
        <v>0.72847061352579379</v>
      </c>
      <c r="BZ67" s="16">
        <v>0.64151098146049423</v>
      </c>
      <c r="CA67" s="16">
        <v>0.72334875776087104</v>
      </c>
      <c r="CB67" s="16">
        <v>0.71900237693655622</v>
      </c>
      <c r="CC67" s="16">
        <v>0.7006516854785011</v>
      </c>
      <c r="CD67" s="16">
        <v>1.0688397977325359</v>
      </c>
      <c r="CE67" s="16">
        <v>0.7311368700797104</v>
      </c>
      <c r="CF67" s="16">
        <f t="shared" si="0"/>
        <v>0.64325346860882182</v>
      </c>
      <c r="CG67" s="16">
        <f t="shared" si="0"/>
        <v>0.72334875776087104</v>
      </c>
      <c r="CH67" s="30"/>
      <c r="CI67" s="30">
        <v>3000</v>
      </c>
      <c r="CJ67" s="30">
        <v>17000</v>
      </c>
      <c r="CK67" s="30">
        <v>10000</v>
      </c>
      <c r="CL67" s="30">
        <v>6000</v>
      </c>
      <c r="CM67" s="30">
        <v>9500</v>
      </c>
      <c r="CN67" s="30">
        <v>4000</v>
      </c>
      <c r="CO67" s="30">
        <v>6000</v>
      </c>
      <c r="CP67" s="30">
        <v>10000</v>
      </c>
      <c r="CQ67" s="30">
        <v>22000</v>
      </c>
      <c r="CR67" s="30">
        <v>7000</v>
      </c>
      <c r="CS67" s="30">
        <v>10500</v>
      </c>
      <c r="CT67" s="30"/>
      <c r="CU67" s="30">
        <v>9000</v>
      </c>
      <c r="CV67" s="30">
        <v>24000</v>
      </c>
      <c r="CW67" s="30">
        <v>22000</v>
      </c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>
        <v>4876.4291000000003</v>
      </c>
      <c r="DO67" s="35">
        <v>5869.5010000000002</v>
      </c>
      <c r="DP67" s="35">
        <v>583.50490000000002</v>
      </c>
      <c r="DQ67" s="35">
        <v>0</v>
      </c>
      <c r="DR67" s="35">
        <v>254</v>
      </c>
    </row>
    <row r="68" spans="1:122" ht="25.5">
      <c r="A68" s="14">
        <f t="shared" si="1"/>
        <v>64</v>
      </c>
      <c r="B68" s="14" t="s">
        <v>160</v>
      </c>
      <c r="C68" s="14" t="s">
        <v>55</v>
      </c>
      <c r="D68" s="17" t="s">
        <v>57</v>
      </c>
      <c r="E68" s="14" t="s">
        <v>222</v>
      </c>
      <c r="F68" s="15">
        <v>16062.153250000001</v>
      </c>
      <c r="G68" s="15">
        <v>18246.967000000001</v>
      </c>
      <c r="H68" s="15">
        <v>14994.237650000003</v>
      </c>
      <c r="I68" s="15">
        <v>17309.107300000003</v>
      </c>
      <c r="J68" s="15">
        <v>15708.850849999997</v>
      </c>
      <c r="K68" s="15">
        <v>16280.72595</v>
      </c>
      <c r="L68" s="15">
        <v>20140.197800000002</v>
      </c>
      <c r="M68" s="15">
        <v>21339.191100000004</v>
      </c>
      <c r="N68" s="15">
        <v>23037.882450000001</v>
      </c>
      <c r="O68" s="15">
        <v>26298.181450000004</v>
      </c>
      <c r="P68" s="15">
        <v>32829.168099999995</v>
      </c>
      <c r="Q68" s="15">
        <v>31281.42325</v>
      </c>
      <c r="R68" s="15">
        <v>21820.9872</v>
      </c>
      <c r="S68" s="15">
        <v>19517.684099999999</v>
      </c>
      <c r="T68" s="15">
        <v>24896.917600000001</v>
      </c>
      <c r="U68" s="15">
        <v>26298.181450000004</v>
      </c>
      <c r="V68" s="15">
        <v>1378.6406999999999</v>
      </c>
      <c r="W68" s="15">
        <v>5572.9436500000002</v>
      </c>
      <c r="X68" s="15">
        <v>51.767000000000003</v>
      </c>
      <c r="Y68" s="15">
        <v>13343.258250000001</v>
      </c>
      <c r="Z68" s="15">
        <v>0</v>
      </c>
      <c r="AA68" s="15">
        <v>2319.1569</v>
      </c>
      <c r="AB68" s="15">
        <v>0</v>
      </c>
      <c r="AC68" s="15">
        <v>0.41</v>
      </c>
      <c r="AD68" s="15">
        <v>181.65879999999999</v>
      </c>
      <c r="AE68" s="15">
        <v>0</v>
      </c>
      <c r="AF68" s="15">
        <v>309.54349999999999</v>
      </c>
      <c r="AG68" s="15">
        <v>3505.1332000000002</v>
      </c>
      <c r="AH68" s="15">
        <v>1946.8968</v>
      </c>
      <c r="AI68" s="15">
        <v>0</v>
      </c>
      <c r="AJ68" s="15">
        <v>4219.7592999999933</v>
      </c>
      <c r="AK68" s="15">
        <v>7003.3513499999999</v>
      </c>
      <c r="AL68" s="15">
        <v>323.27184999999997</v>
      </c>
      <c r="AM68" s="15">
        <v>25502.544899999994</v>
      </c>
      <c r="AN68" s="15">
        <v>18541.953750000001</v>
      </c>
      <c r="AO68" s="15">
        <v>19199.431649999999</v>
      </c>
      <c r="AP68" s="15">
        <v>19109.032449999995</v>
      </c>
      <c r="AQ68" s="15">
        <v>21863.992150000002</v>
      </c>
      <c r="AR68" s="15">
        <v>19955.858950000002</v>
      </c>
      <c r="AS68" s="15">
        <v>29631.988949999999</v>
      </c>
      <c r="AT68" s="15">
        <v>21462.8017</v>
      </c>
      <c r="AU68" s="15">
        <v>30517.047500000004</v>
      </c>
      <c r="AV68" s="15">
        <v>24869.718250000002</v>
      </c>
      <c r="AW68" s="15">
        <v>24522.16575</v>
      </c>
      <c r="AX68" s="15">
        <v>21122.431350000003</v>
      </c>
      <c r="AY68" s="15">
        <v>28491.166249999998</v>
      </c>
      <c r="AZ68" s="15">
        <v>19409.537700000001</v>
      </c>
      <c r="BA68" s="15">
        <v>15032.144249999999</v>
      </c>
      <c r="BB68" s="15">
        <v>21391.367599999998</v>
      </c>
      <c r="BC68" s="15">
        <v>24522.16575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567.82190000000003</v>
      </c>
      <c r="BJ68" s="15">
        <v>10531.228700000001</v>
      </c>
      <c r="BK68" s="15">
        <v>494.82729999999998</v>
      </c>
      <c r="BL68" s="15">
        <v>2993.9031</v>
      </c>
      <c r="BM68" s="15">
        <v>13.1294</v>
      </c>
      <c r="BN68" s="15">
        <v>0</v>
      </c>
      <c r="BO68" s="15">
        <v>0</v>
      </c>
      <c r="BP68" s="15">
        <v>2271.50695</v>
      </c>
      <c r="BQ68" s="15">
        <v>4250.0140000000001</v>
      </c>
      <c r="BR68" s="16">
        <v>0.86626002127742341</v>
      </c>
      <c r="BS68" s="16">
        <v>0.95039099764184953</v>
      </c>
      <c r="BT68" s="16">
        <v>0.7846675486701582</v>
      </c>
      <c r="BU68" s="16">
        <v>0.79167185851738431</v>
      </c>
      <c r="BV68" s="16">
        <v>0.78717988984382936</v>
      </c>
      <c r="BW68" s="16">
        <v>0.54943075125573038</v>
      </c>
      <c r="BX68" s="16">
        <v>0.93837692215178048</v>
      </c>
      <c r="BY68" s="16">
        <v>0.69925477227113797</v>
      </c>
      <c r="BZ68" s="16">
        <v>0.9263427200265929</v>
      </c>
      <c r="CA68" s="16">
        <v>1.0724249121430069</v>
      </c>
      <c r="CB68" s="16">
        <v>1.5542324439842476</v>
      </c>
      <c r="CC68" s="16">
        <v>1.0979341096646054</v>
      </c>
      <c r="CD68" s="16">
        <v>1.1242404397916184</v>
      </c>
      <c r="CE68" s="16">
        <v>1.2983965411321807</v>
      </c>
      <c r="CF68" s="16">
        <f t="shared" ref="CF68:CG131" si="2">+T68/BB68</f>
        <v>1.1638768528291761</v>
      </c>
      <c r="CG68" s="16">
        <f t="shared" si="2"/>
        <v>1.0724249121430069</v>
      </c>
      <c r="CH68" s="30"/>
      <c r="CI68" s="30"/>
      <c r="CJ68" s="30">
        <v>3000</v>
      </c>
      <c r="CK68" s="30">
        <v>2000</v>
      </c>
      <c r="CL68" s="30">
        <v>2000</v>
      </c>
      <c r="CM68" s="30">
        <v>8500</v>
      </c>
      <c r="CN68" s="30"/>
      <c r="CO68" s="30">
        <v>6500</v>
      </c>
      <c r="CP68" s="30">
        <v>0</v>
      </c>
      <c r="CQ68" s="30">
        <v>0</v>
      </c>
      <c r="CR68" s="30"/>
      <c r="CS68" s="30">
        <v>2500</v>
      </c>
      <c r="CT68" s="30"/>
      <c r="CU68" s="30"/>
      <c r="CV68" s="30">
        <v>0</v>
      </c>
      <c r="CW68" s="30">
        <v>0</v>
      </c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>
        <v>2891.9007499999998</v>
      </c>
      <c r="DO68" s="35">
        <v>1317.07</v>
      </c>
      <c r="DP68" s="35">
        <v>0</v>
      </c>
      <c r="DQ68" s="35">
        <v>0</v>
      </c>
      <c r="DR68" s="35">
        <v>143</v>
      </c>
    </row>
    <row r="69" spans="1:122" ht="25.5">
      <c r="A69" s="14">
        <f t="shared" si="1"/>
        <v>65</v>
      </c>
      <c r="B69" s="14" t="s">
        <v>161</v>
      </c>
      <c r="C69" s="14" t="s">
        <v>55</v>
      </c>
      <c r="D69" s="17" t="s">
        <v>58</v>
      </c>
      <c r="E69" s="14" t="s">
        <v>223</v>
      </c>
      <c r="F69" s="15">
        <v>27005.80645</v>
      </c>
      <c r="G69" s="15">
        <v>13695.186150000001</v>
      </c>
      <c r="H69" s="15">
        <v>11252.56955</v>
      </c>
      <c r="I69" s="15">
        <v>47810.028950000007</v>
      </c>
      <c r="J69" s="15">
        <v>39624.602449999991</v>
      </c>
      <c r="K69" s="15">
        <v>35272.073400000001</v>
      </c>
      <c r="L69" s="15">
        <v>44571.23545</v>
      </c>
      <c r="M69" s="15">
        <v>25302.272600000004</v>
      </c>
      <c r="N69" s="15">
        <v>16814.446650000002</v>
      </c>
      <c r="O69" s="15">
        <v>25357.83265</v>
      </c>
      <c r="P69" s="15">
        <v>25055.652300000005</v>
      </c>
      <c r="Q69" s="15">
        <v>27381.916850000001</v>
      </c>
      <c r="R69" s="15">
        <v>27486.365550000006</v>
      </c>
      <c r="S69" s="15">
        <v>28260.285800000009</v>
      </c>
      <c r="T69" s="15">
        <v>32571.365799999996</v>
      </c>
      <c r="U69" s="15">
        <v>25357.83265</v>
      </c>
      <c r="V69" s="15">
        <v>248.32239999999999</v>
      </c>
      <c r="W69" s="15">
        <v>1411.5418999999999</v>
      </c>
      <c r="X69" s="15">
        <v>121.849</v>
      </c>
      <c r="Y69" s="15">
        <v>2314.9261000000001</v>
      </c>
      <c r="Z69" s="15">
        <v>27.5</v>
      </c>
      <c r="AA69" s="15">
        <v>63.95</v>
      </c>
      <c r="AB69" s="15">
        <v>10.205</v>
      </c>
      <c r="AC69" s="15">
        <v>13092.114</v>
      </c>
      <c r="AD69" s="15">
        <v>634.40859999999998</v>
      </c>
      <c r="AE69" s="15">
        <v>396.52199999999999</v>
      </c>
      <c r="AF69" s="15">
        <v>419.79325</v>
      </c>
      <c r="AG69" s="15">
        <v>950.70420000000001</v>
      </c>
      <c r="AH69" s="15">
        <v>924.10104999999999</v>
      </c>
      <c r="AI69" s="15">
        <v>26.15</v>
      </c>
      <c r="AJ69" s="15">
        <v>4413.5648000000028</v>
      </c>
      <c r="AK69" s="15">
        <v>1809.2132999999999</v>
      </c>
      <c r="AL69" s="15">
        <v>14340.526949999999</v>
      </c>
      <c r="AM69" s="15">
        <v>8905.9120500000063</v>
      </c>
      <c r="AN69" s="15">
        <v>24211.916500000003</v>
      </c>
      <c r="AO69" s="15">
        <v>23834.248149999999</v>
      </c>
      <c r="AP69" s="15">
        <v>21047.838299999999</v>
      </c>
      <c r="AQ69" s="15">
        <v>31558.168600000001</v>
      </c>
      <c r="AR69" s="15">
        <v>30241.7379</v>
      </c>
      <c r="AS69" s="15">
        <v>33080.100150000006</v>
      </c>
      <c r="AT69" s="15">
        <v>41377.232349999998</v>
      </c>
      <c r="AU69" s="15">
        <v>32487.677449999999</v>
      </c>
      <c r="AV69" s="15">
        <v>37114.700500000006</v>
      </c>
      <c r="AW69" s="15">
        <v>33537.656199999998</v>
      </c>
      <c r="AX69" s="15">
        <v>28415.082350000004</v>
      </c>
      <c r="AY69" s="15">
        <v>33489.075149999997</v>
      </c>
      <c r="AZ69" s="15">
        <v>27994.626049999999</v>
      </c>
      <c r="BA69" s="15">
        <v>31723.153150000002</v>
      </c>
      <c r="BB69" s="15">
        <v>37161.189450000005</v>
      </c>
      <c r="BC69" s="15">
        <v>33537.656199999998</v>
      </c>
      <c r="BD69" s="15">
        <v>0</v>
      </c>
      <c r="BE69" s="15">
        <v>16.009</v>
      </c>
      <c r="BF69" s="15">
        <v>0</v>
      </c>
      <c r="BG69" s="15">
        <v>0</v>
      </c>
      <c r="BH69" s="15">
        <v>0</v>
      </c>
      <c r="BI69" s="15">
        <v>265.69319999999999</v>
      </c>
      <c r="BJ69" s="15">
        <v>18229.462000000003</v>
      </c>
      <c r="BK69" s="15">
        <v>81.672200000000004</v>
      </c>
      <c r="BL69" s="15">
        <v>5048.9718499999999</v>
      </c>
      <c r="BM69" s="15">
        <v>240.72210000000001</v>
      </c>
      <c r="BN69" s="15">
        <v>40.752000000000002</v>
      </c>
      <c r="BO69" s="15">
        <v>0</v>
      </c>
      <c r="BP69" s="15">
        <v>550.54999999999995</v>
      </c>
      <c r="BQ69" s="15">
        <v>3941.2500000000032</v>
      </c>
      <c r="BR69" s="16">
        <v>1.1153931763311673</v>
      </c>
      <c r="BS69" s="16">
        <v>0.57460113966296866</v>
      </c>
      <c r="BT69" s="16">
        <v>0.53461877602889041</v>
      </c>
      <c r="BU69" s="16">
        <v>1.5149810990616233</v>
      </c>
      <c r="BV69" s="16">
        <v>1.3102620815320269</v>
      </c>
      <c r="BW69" s="16">
        <v>1.0662625941294195</v>
      </c>
      <c r="BX69" s="16">
        <v>1.0771922847082354</v>
      </c>
      <c r="BY69" s="16">
        <v>0.77882676097549119</v>
      </c>
      <c r="BZ69" s="16">
        <v>0.45304007370341032</v>
      </c>
      <c r="CA69" s="16">
        <v>0.75610032194199672</v>
      </c>
      <c r="CB69" s="16">
        <v>0.88177299616377858</v>
      </c>
      <c r="CC69" s="16">
        <v>0.81763729596456192</v>
      </c>
      <c r="CD69" s="16">
        <v>0.98184435473107545</v>
      </c>
      <c r="CE69" s="16">
        <v>0.89084101023545348</v>
      </c>
      <c r="CF69" s="16">
        <f t="shared" si="2"/>
        <v>0.87648878526411089</v>
      </c>
      <c r="CG69" s="16">
        <f t="shared" si="2"/>
        <v>0.75610032194199672</v>
      </c>
      <c r="CH69" s="30"/>
      <c r="CI69" s="30">
        <v>3000</v>
      </c>
      <c r="CJ69" s="30">
        <v>6000</v>
      </c>
      <c r="CK69" s="30"/>
      <c r="CL69" s="30"/>
      <c r="CM69" s="30">
        <v>2000</v>
      </c>
      <c r="CN69" s="30"/>
      <c r="CO69" s="30"/>
      <c r="CP69" s="30">
        <v>6200</v>
      </c>
      <c r="CQ69" s="30">
        <v>7000</v>
      </c>
      <c r="CR69" s="30"/>
      <c r="CS69" s="30">
        <v>5000</v>
      </c>
      <c r="CT69" s="30">
        <v>2000</v>
      </c>
      <c r="CU69" s="30"/>
      <c r="CV69" s="30">
        <v>5000</v>
      </c>
      <c r="CW69" s="30">
        <v>7000</v>
      </c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>
        <v>0</v>
      </c>
      <c r="DO69" s="35">
        <v>6929.41</v>
      </c>
      <c r="DP69" s="35">
        <v>3842.0956500000002</v>
      </c>
      <c r="DQ69" s="35">
        <v>0</v>
      </c>
      <c r="DR69" s="35">
        <v>0</v>
      </c>
    </row>
    <row r="70" spans="1:122" ht="25.5">
      <c r="A70" s="14">
        <f t="shared" si="1"/>
        <v>66</v>
      </c>
      <c r="B70" s="14" t="s">
        <v>162</v>
      </c>
      <c r="C70" s="14" t="s">
        <v>59</v>
      </c>
      <c r="D70" s="17" t="s">
        <v>41</v>
      </c>
      <c r="E70" s="14" t="s">
        <v>218</v>
      </c>
      <c r="F70" s="15"/>
      <c r="G70" s="15"/>
      <c r="H70" s="15"/>
      <c r="I70" s="15"/>
      <c r="J70" s="15"/>
      <c r="K70" s="15"/>
      <c r="L70" s="15">
        <v>2510.319400001038</v>
      </c>
      <c r="M70" s="15">
        <v>4533.3999999999996</v>
      </c>
      <c r="N70" s="15">
        <v>2804.93165</v>
      </c>
      <c r="O70" s="15">
        <v>7030.8461500000012</v>
      </c>
      <c r="P70" s="15">
        <v>7933.3916000000008</v>
      </c>
      <c r="Q70" s="15">
        <v>7062.5203999999985</v>
      </c>
      <c r="R70" s="15">
        <v>7974.4601499999981</v>
      </c>
      <c r="S70" s="15">
        <v>5373.4260000000004</v>
      </c>
      <c r="T70" s="15">
        <v>6384.3976000000011</v>
      </c>
      <c r="U70" s="15">
        <v>7030.8461500000012</v>
      </c>
      <c r="V70" s="15">
        <v>13.56</v>
      </c>
      <c r="W70" s="15">
        <v>42.743000000000002</v>
      </c>
      <c r="X70" s="15">
        <v>4221.7511999999997</v>
      </c>
      <c r="Y70" s="15">
        <v>526.26229999999998</v>
      </c>
      <c r="Z70" s="15">
        <v>0</v>
      </c>
      <c r="AA70" s="15">
        <v>328.78699999999998</v>
      </c>
      <c r="AB70" s="15">
        <v>0</v>
      </c>
      <c r="AC70" s="15">
        <v>0</v>
      </c>
      <c r="AD70" s="15">
        <v>8.6999999999999993</v>
      </c>
      <c r="AE70" s="15">
        <v>112.64529999999999</v>
      </c>
      <c r="AF70" s="15">
        <v>384.72795000000002</v>
      </c>
      <c r="AG70" s="15">
        <v>0</v>
      </c>
      <c r="AH70" s="15">
        <v>692.86609999999996</v>
      </c>
      <c r="AI70" s="15">
        <v>74.652000000000001</v>
      </c>
      <c r="AJ70" s="15">
        <v>1526.6967500000001</v>
      </c>
      <c r="AK70" s="15">
        <v>4278.0541999999996</v>
      </c>
      <c r="AL70" s="15">
        <v>875.48899999999992</v>
      </c>
      <c r="AM70" s="15">
        <v>2779.8484000000012</v>
      </c>
      <c r="AN70" s="15"/>
      <c r="AO70" s="15"/>
      <c r="AP70" s="15"/>
      <c r="AQ70" s="15"/>
      <c r="AR70" s="15"/>
      <c r="AS70" s="15"/>
      <c r="AT70" s="15">
        <v>1344.2824500012212</v>
      </c>
      <c r="AU70" s="15">
        <v>5620.9663</v>
      </c>
      <c r="AV70" s="15">
        <v>5230.8480999999992</v>
      </c>
      <c r="AW70" s="15">
        <v>6985.9526499999993</v>
      </c>
      <c r="AX70" s="15">
        <v>8578.09555</v>
      </c>
      <c r="AY70" s="15">
        <v>8480.1259500000015</v>
      </c>
      <c r="AZ70" s="15">
        <v>9144.90625</v>
      </c>
      <c r="BA70" s="15">
        <v>10145.347749999999</v>
      </c>
      <c r="BB70" s="15">
        <v>12544.38725</v>
      </c>
      <c r="BC70" s="15">
        <v>6985.9526499999993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130.96639999999999</v>
      </c>
      <c r="BJ70" s="15">
        <v>4066.2079999999996</v>
      </c>
      <c r="BK70" s="15">
        <v>5.76</v>
      </c>
      <c r="BL70" s="15">
        <v>3415.8814499999999</v>
      </c>
      <c r="BM70" s="15">
        <v>599.40970000000004</v>
      </c>
      <c r="BN70" s="15">
        <v>0</v>
      </c>
      <c r="BO70" s="15">
        <v>0</v>
      </c>
      <c r="BP70" s="15">
        <v>359.67</v>
      </c>
      <c r="BQ70" s="15">
        <v>0.2000000000000739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1.8674047258437076</v>
      </c>
      <c r="BY70" s="16">
        <v>0.80651613228849983</v>
      </c>
      <c r="BZ70" s="16">
        <v>0.53622884786121017</v>
      </c>
      <c r="CA70" s="16">
        <v>1.0064262531181059</v>
      </c>
      <c r="CB70" s="16">
        <v>0.92484299734805364</v>
      </c>
      <c r="CC70" s="16">
        <v>0.8328320170763498</v>
      </c>
      <c r="CD70" s="16">
        <v>0.8720111428151599</v>
      </c>
      <c r="CE70" s="16">
        <v>0.52964433870687189</v>
      </c>
      <c r="CF70" s="16">
        <f t="shared" si="2"/>
        <v>0.50894455606032107</v>
      </c>
      <c r="CG70" s="16">
        <f t="shared" si="2"/>
        <v>1.0064262531181059</v>
      </c>
      <c r="CH70" s="30"/>
      <c r="CI70" s="30"/>
      <c r="CJ70" s="30"/>
      <c r="CK70" s="30"/>
      <c r="CL70" s="30"/>
      <c r="CM70" s="30"/>
      <c r="CN70" s="30"/>
      <c r="CO70" s="30"/>
      <c r="CP70" s="30"/>
      <c r="CQ70" s="30">
        <v>300</v>
      </c>
      <c r="CR70" s="30"/>
      <c r="CS70" s="30"/>
      <c r="CT70" s="30"/>
      <c r="CU70" s="30">
        <v>1000</v>
      </c>
      <c r="CV70" s="30">
        <v>3000</v>
      </c>
      <c r="CW70" s="30">
        <v>300</v>
      </c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>
        <v>0</v>
      </c>
      <c r="DO70" s="35">
        <v>543.11</v>
      </c>
      <c r="DP70" s="35">
        <v>302.3082</v>
      </c>
      <c r="DQ70" s="35">
        <v>0</v>
      </c>
      <c r="DR70" s="35">
        <v>0</v>
      </c>
    </row>
    <row r="71" spans="1:122" ht="25.5">
      <c r="A71" s="14">
        <f t="shared" ref="A71:A133" si="3">+A70+1</f>
        <v>67</v>
      </c>
      <c r="B71" s="14" t="s">
        <v>163</v>
      </c>
      <c r="C71" s="14" t="s">
        <v>59</v>
      </c>
      <c r="D71" s="17" t="s">
        <v>30</v>
      </c>
      <c r="E71" s="14" t="s">
        <v>221</v>
      </c>
      <c r="F71" s="15">
        <v>11010.580750000001</v>
      </c>
      <c r="G71" s="15">
        <v>11962.892049999999</v>
      </c>
      <c r="H71" s="15">
        <v>10756.609399999999</v>
      </c>
      <c r="I71" s="15">
        <v>10746.503699999997</v>
      </c>
      <c r="J71" s="15">
        <v>12307.590700000001</v>
      </c>
      <c r="K71" s="15">
        <v>15776.06</v>
      </c>
      <c r="L71" s="15">
        <v>16494.578500000003</v>
      </c>
      <c r="M71" s="15">
        <v>13740.081700000001</v>
      </c>
      <c r="N71" s="15">
        <v>12596.1944</v>
      </c>
      <c r="O71" s="15">
        <v>13324.566249999998</v>
      </c>
      <c r="P71" s="15">
        <v>9747.0112999999983</v>
      </c>
      <c r="Q71" s="15">
        <v>11413.76225</v>
      </c>
      <c r="R71" s="15">
        <v>13256.3596</v>
      </c>
      <c r="S71" s="15">
        <v>14724.130150000003</v>
      </c>
      <c r="T71" s="15">
        <v>12853.56775</v>
      </c>
      <c r="U71" s="15">
        <v>13324.566249999998</v>
      </c>
      <c r="V71" s="15">
        <v>350.10399999999998</v>
      </c>
      <c r="W71" s="15">
        <v>874.81949999999995</v>
      </c>
      <c r="X71" s="15">
        <v>158.63075000000001</v>
      </c>
      <c r="Y71" s="15">
        <v>1025.5505000000001</v>
      </c>
      <c r="Z71" s="15">
        <v>2</v>
      </c>
      <c r="AA71" s="15">
        <v>376.45870000000002</v>
      </c>
      <c r="AB71" s="15">
        <v>0</v>
      </c>
      <c r="AC71" s="15">
        <v>0</v>
      </c>
      <c r="AD71" s="15">
        <v>24.714499999999997</v>
      </c>
      <c r="AE71" s="15">
        <v>390.42115000000001</v>
      </c>
      <c r="AF71" s="15">
        <v>264.32835</v>
      </c>
      <c r="AG71" s="15">
        <v>49.51</v>
      </c>
      <c r="AH71" s="15">
        <v>1772.3313499999999</v>
      </c>
      <c r="AI71" s="15">
        <v>3426.8584999999998</v>
      </c>
      <c r="AJ71" s="15">
        <v>1031.2839999999971</v>
      </c>
      <c r="AK71" s="15">
        <v>1385.5542499999999</v>
      </c>
      <c r="AL71" s="15">
        <v>546.23759999999993</v>
      </c>
      <c r="AM71" s="15">
        <v>7815.2194499999987</v>
      </c>
      <c r="AN71" s="15">
        <v>11158.572100000001</v>
      </c>
      <c r="AO71" s="15">
        <v>13805.412</v>
      </c>
      <c r="AP71" s="15">
        <v>14046.454299999998</v>
      </c>
      <c r="AQ71" s="15">
        <v>13488.182850000001</v>
      </c>
      <c r="AR71" s="15">
        <v>14302.807699999999</v>
      </c>
      <c r="AS71" s="15">
        <v>15232.19125</v>
      </c>
      <c r="AT71" s="15">
        <v>15594.77225</v>
      </c>
      <c r="AU71" s="15">
        <v>13462.161950000002</v>
      </c>
      <c r="AV71" s="15">
        <v>15263.726500000001</v>
      </c>
      <c r="AW71" s="15">
        <v>15400.551649999999</v>
      </c>
      <c r="AX71" s="15">
        <v>10839.862300000001</v>
      </c>
      <c r="AY71" s="15">
        <v>13361.123300000001</v>
      </c>
      <c r="AZ71" s="15">
        <v>12344.708000000001</v>
      </c>
      <c r="BA71" s="15">
        <v>16615.5566</v>
      </c>
      <c r="BB71" s="15">
        <v>19715.425350000001</v>
      </c>
      <c r="BC71" s="15">
        <v>15400.551649999999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207.154</v>
      </c>
      <c r="BJ71" s="15">
        <v>2681.6674499999999</v>
      </c>
      <c r="BK71" s="15">
        <v>2664.8638500000002</v>
      </c>
      <c r="BL71" s="15">
        <v>3934.4908999999998</v>
      </c>
      <c r="BM71" s="15">
        <v>280.58609999999999</v>
      </c>
      <c r="BN71" s="15">
        <v>0</v>
      </c>
      <c r="BO71" s="15">
        <v>29.7</v>
      </c>
      <c r="BP71" s="15">
        <v>981.4</v>
      </c>
      <c r="BQ71" s="15">
        <v>60</v>
      </c>
      <c r="BR71" s="16">
        <v>0.98673742942432574</v>
      </c>
      <c r="BS71" s="16">
        <v>0.86653640253546926</v>
      </c>
      <c r="BT71" s="16">
        <v>0.76578823169630794</v>
      </c>
      <c r="BU71" s="16">
        <v>0.79673472842933746</v>
      </c>
      <c r="BV71" s="16">
        <v>0.86050172512631917</v>
      </c>
      <c r="BW71" s="16">
        <v>1.0357052206786073</v>
      </c>
      <c r="BX71" s="16">
        <v>1.057699223533066</v>
      </c>
      <c r="BY71" s="16">
        <v>1.0206445109657887</v>
      </c>
      <c r="BZ71" s="16">
        <v>0.82523716603543695</v>
      </c>
      <c r="CA71" s="16">
        <v>0.86520058195447813</v>
      </c>
      <c r="CB71" s="16">
        <v>0.89918220640127478</v>
      </c>
      <c r="CC71" s="16">
        <v>0.85425169678660173</v>
      </c>
      <c r="CD71" s="16">
        <v>1.0738495880177967</v>
      </c>
      <c r="CE71" s="16">
        <v>0.88616532713685936</v>
      </c>
      <c r="CF71" s="16">
        <f t="shared" si="2"/>
        <v>0.65195487907644856</v>
      </c>
      <c r="CG71" s="16">
        <f t="shared" si="2"/>
        <v>0.86520058195447813</v>
      </c>
      <c r="CH71" s="30"/>
      <c r="CI71" s="30"/>
      <c r="CJ71" s="30"/>
      <c r="CK71" s="30">
        <v>1000</v>
      </c>
      <c r="CL71" s="30">
        <v>1000</v>
      </c>
      <c r="CM71" s="30">
        <v>1000</v>
      </c>
      <c r="CN71" s="30"/>
      <c r="CO71" s="30"/>
      <c r="CP71" s="30"/>
      <c r="CQ71" s="30">
        <v>2000</v>
      </c>
      <c r="CR71" s="30">
        <v>800</v>
      </c>
      <c r="CS71" s="30">
        <v>1000</v>
      </c>
      <c r="CT71" s="30"/>
      <c r="CU71" s="30">
        <v>0</v>
      </c>
      <c r="CV71" s="30">
        <v>2500</v>
      </c>
      <c r="CW71" s="30">
        <v>2000</v>
      </c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>
        <v>0</v>
      </c>
      <c r="DO71" s="35">
        <v>2732.97</v>
      </c>
      <c r="DP71" s="35">
        <v>1624.6958999999999</v>
      </c>
      <c r="DQ71" s="35">
        <v>0</v>
      </c>
      <c r="DR71" s="35">
        <v>0</v>
      </c>
    </row>
    <row r="72" spans="1:122" ht="25.5">
      <c r="A72" s="14">
        <f t="shared" si="3"/>
        <v>68</v>
      </c>
      <c r="B72" s="14" t="s">
        <v>164</v>
      </c>
      <c r="C72" s="14" t="s">
        <v>59</v>
      </c>
      <c r="D72" s="17" t="s">
        <v>31</v>
      </c>
      <c r="E72" s="14" t="s">
        <v>225</v>
      </c>
      <c r="F72" s="15">
        <v>15173.406899999998</v>
      </c>
      <c r="G72" s="15">
        <v>15421.538349999999</v>
      </c>
      <c r="H72" s="15">
        <v>15308.778450000002</v>
      </c>
      <c r="I72" s="15">
        <v>16499.843449999997</v>
      </c>
      <c r="J72" s="15">
        <v>17907.606</v>
      </c>
      <c r="K72" s="15">
        <v>16128.340399999999</v>
      </c>
      <c r="L72" s="15">
        <v>13741.15005</v>
      </c>
      <c r="M72" s="15">
        <v>14821.440999999999</v>
      </c>
      <c r="N72" s="15">
        <v>17725.62055</v>
      </c>
      <c r="O72" s="15">
        <v>18720.154099999996</v>
      </c>
      <c r="P72" s="15">
        <v>16307.833550000003</v>
      </c>
      <c r="Q72" s="15">
        <v>17484.232950000001</v>
      </c>
      <c r="R72" s="15">
        <v>14601.170650000002</v>
      </c>
      <c r="S72" s="15">
        <v>17370.963649999998</v>
      </c>
      <c r="T72" s="15">
        <v>19091.863099999999</v>
      </c>
      <c r="U72" s="15">
        <v>18720.154099999996</v>
      </c>
      <c r="V72" s="15">
        <v>21.14</v>
      </c>
      <c r="W72" s="15">
        <v>1056.9739999999999</v>
      </c>
      <c r="X72" s="15">
        <v>257.96615000000003</v>
      </c>
      <c r="Y72" s="15">
        <v>1911.4131500000001</v>
      </c>
      <c r="Z72" s="15">
        <v>0</v>
      </c>
      <c r="AA72" s="15">
        <v>960.36180000000002</v>
      </c>
      <c r="AB72" s="15">
        <v>0</v>
      </c>
      <c r="AC72" s="15">
        <v>0.27</v>
      </c>
      <c r="AD72" s="15">
        <v>115.26065</v>
      </c>
      <c r="AE72" s="15">
        <v>132.3203</v>
      </c>
      <c r="AF72" s="15">
        <v>711.04264999999998</v>
      </c>
      <c r="AG72" s="15">
        <v>0</v>
      </c>
      <c r="AH72" s="15">
        <v>4354.9787500000002</v>
      </c>
      <c r="AI72" s="15">
        <v>3007.3438000000001</v>
      </c>
      <c r="AJ72" s="15">
        <v>3778.7623000000017</v>
      </c>
      <c r="AK72" s="15">
        <v>1336.08015</v>
      </c>
      <c r="AL72" s="15">
        <v>1226.8292999999999</v>
      </c>
      <c r="AM72" s="15">
        <v>13744.924100000004</v>
      </c>
      <c r="AN72" s="15">
        <v>20200.1417</v>
      </c>
      <c r="AO72" s="15">
        <v>18512.855449999999</v>
      </c>
      <c r="AP72" s="15">
        <v>23408.317999999996</v>
      </c>
      <c r="AQ72" s="15">
        <v>23732.7248</v>
      </c>
      <c r="AR72" s="15">
        <v>24974.354500000001</v>
      </c>
      <c r="AS72" s="15">
        <v>18391.542600000001</v>
      </c>
      <c r="AT72" s="15">
        <v>18236.336600000002</v>
      </c>
      <c r="AU72" s="15">
        <v>17596.876850000001</v>
      </c>
      <c r="AV72" s="15">
        <v>22683.714500000002</v>
      </c>
      <c r="AW72" s="15">
        <v>23137.842000000001</v>
      </c>
      <c r="AX72" s="15">
        <v>18537.703450000001</v>
      </c>
      <c r="AY72" s="15">
        <v>21847.145150000004</v>
      </c>
      <c r="AZ72" s="15">
        <v>17602.356699999997</v>
      </c>
      <c r="BA72" s="15">
        <v>21790.852849999999</v>
      </c>
      <c r="BB72" s="15">
        <v>28950.29535</v>
      </c>
      <c r="BC72" s="15">
        <v>23137.842000000001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1765.6032</v>
      </c>
      <c r="BJ72" s="15">
        <v>6101.0770499999999</v>
      </c>
      <c r="BK72" s="15">
        <v>454.89555000000001</v>
      </c>
      <c r="BL72" s="15">
        <v>6824.9454500000002</v>
      </c>
      <c r="BM72" s="15">
        <v>898.32619999999997</v>
      </c>
      <c r="BN72" s="15">
        <v>0</v>
      </c>
      <c r="BO72" s="15">
        <v>49.1</v>
      </c>
      <c r="BP72" s="15">
        <v>2443.7559999999999</v>
      </c>
      <c r="BQ72" s="15">
        <v>2.2737367544323206E-12</v>
      </c>
      <c r="BR72" s="16">
        <v>0.75115348819558025</v>
      </c>
      <c r="BS72" s="16">
        <v>0.83301781249526252</v>
      </c>
      <c r="BT72" s="16">
        <v>0.65398882781753065</v>
      </c>
      <c r="BU72" s="16">
        <v>0.69523594905545771</v>
      </c>
      <c r="BV72" s="16">
        <v>0.71703979376123606</v>
      </c>
      <c r="BW72" s="16">
        <v>0.87694331850118967</v>
      </c>
      <c r="BX72" s="16">
        <v>0.75350386162536609</v>
      </c>
      <c r="BY72" s="16">
        <v>0.84227679299807101</v>
      </c>
      <c r="BZ72" s="16">
        <v>0.78142495357186748</v>
      </c>
      <c r="CA72" s="16">
        <v>0.80907087618629236</v>
      </c>
      <c r="CB72" s="16">
        <v>0.87971164249042955</v>
      </c>
      <c r="CC72" s="16">
        <v>0.80029829206311642</v>
      </c>
      <c r="CD72" s="16">
        <v>0.82950089575221508</v>
      </c>
      <c r="CE72" s="16">
        <v>0.79716768175964248</v>
      </c>
      <c r="CF72" s="16">
        <f t="shared" si="2"/>
        <v>0.65947040847719707</v>
      </c>
      <c r="CG72" s="16">
        <f t="shared" si="2"/>
        <v>0.80907087618629236</v>
      </c>
      <c r="CH72" s="30"/>
      <c r="CI72" s="30">
        <v>2000</v>
      </c>
      <c r="CJ72" s="30">
        <v>6000</v>
      </c>
      <c r="CK72" s="30">
        <v>3000</v>
      </c>
      <c r="CL72" s="30">
        <v>2000</v>
      </c>
      <c r="CM72" s="30">
        <v>1000</v>
      </c>
      <c r="CN72" s="30">
        <v>1000</v>
      </c>
      <c r="CO72" s="30">
        <v>2500</v>
      </c>
      <c r="CP72" s="30">
        <v>1000</v>
      </c>
      <c r="CQ72" s="30">
        <v>3000</v>
      </c>
      <c r="CR72" s="30">
        <v>1000</v>
      </c>
      <c r="CS72" s="30">
        <v>3000</v>
      </c>
      <c r="CT72" s="30"/>
      <c r="CU72" s="30">
        <v>1000</v>
      </c>
      <c r="CV72" s="30">
        <v>5500</v>
      </c>
      <c r="CW72" s="30">
        <v>3000</v>
      </c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>
        <v>0</v>
      </c>
      <c r="DO72" s="35">
        <v>1630.654</v>
      </c>
      <c r="DP72" s="35">
        <v>2223.2642000000001</v>
      </c>
      <c r="DQ72" s="35">
        <v>0</v>
      </c>
      <c r="DR72" s="35">
        <v>0</v>
      </c>
    </row>
    <row r="73" spans="1:122" ht="25.5">
      <c r="A73" s="14">
        <f t="shared" si="3"/>
        <v>69</v>
      </c>
      <c r="B73" s="14" t="s">
        <v>165</v>
      </c>
      <c r="C73" s="14" t="s">
        <v>59</v>
      </c>
      <c r="D73" s="17" t="s">
        <v>33</v>
      </c>
      <c r="E73" s="14" t="s">
        <v>228</v>
      </c>
      <c r="F73" s="15">
        <v>27018.111700000009</v>
      </c>
      <c r="G73" s="15">
        <v>25010.856149999996</v>
      </c>
      <c r="H73" s="15">
        <v>34622.723800000007</v>
      </c>
      <c r="I73" s="15">
        <v>33423.106899999992</v>
      </c>
      <c r="J73" s="15">
        <v>35186.506200000003</v>
      </c>
      <c r="K73" s="15">
        <v>36608.265100000004</v>
      </c>
      <c r="L73" s="15">
        <v>44749.910799999998</v>
      </c>
      <c r="M73" s="15">
        <v>38472.296549999992</v>
      </c>
      <c r="N73" s="15">
        <v>41227.661250000005</v>
      </c>
      <c r="O73" s="15">
        <v>36589.80285</v>
      </c>
      <c r="P73" s="15">
        <v>31699.329400000006</v>
      </c>
      <c r="Q73" s="15">
        <v>40210.458149999999</v>
      </c>
      <c r="R73" s="15">
        <v>38883.696100000001</v>
      </c>
      <c r="S73" s="15">
        <v>38330.379199999996</v>
      </c>
      <c r="T73" s="15">
        <v>42928.085449999999</v>
      </c>
      <c r="U73" s="15">
        <v>36589.80285</v>
      </c>
      <c r="V73" s="15">
        <v>231.21100000000001</v>
      </c>
      <c r="W73" s="15">
        <v>11865.577499999999</v>
      </c>
      <c r="X73" s="15">
        <v>523.88430000000005</v>
      </c>
      <c r="Y73" s="15">
        <v>2679.21675</v>
      </c>
      <c r="Z73" s="15">
        <v>920.24400000000003</v>
      </c>
      <c r="AA73" s="15">
        <v>628.68100000000004</v>
      </c>
      <c r="AB73" s="15">
        <v>76.2</v>
      </c>
      <c r="AC73" s="15">
        <v>613.75099999999998</v>
      </c>
      <c r="AD73" s="15">
        <v>75.019350000000003</v>
      </c>
      <c r="AE73" s="15">
        <v>760.6335499999999</v>
      </c>
      <c r="AF73" s="15">
        <v>665.32839999999999</v>
      </c>
      <c r="AG73" s="15">
        <v>53.7</v>
      </c>
      <c r="AH73" s="15">
        <v>2082.7543999999998</v>
      </c>
      <c r="AI73" s="15">
        <v>6059.2386500000002</v>
      </c>
      <c r="AJ73" s="15">
        <v>4463.8895000000075</v>
      </c>
      <c r="AK73" s="15">
        <v>13540.916799999999</v>
      </c>
      <c r="AL73" s="15">
        <v>2503.8987000000002</v>
      </c>
      <c r="AM73" s="15">
        <v>15654.513900000007</v>
      </c>
      <c r="AN73" s="15">
        <v>33349.303250000004</v>
      </c>
      <c r="AO73" s="15">
        <v>33467.13005</v>
      </c>
      <c r="AP73" s="15">
        <v>42793.380150000005</v>
      </c>
      <c r="AQ73" s="15">
        <v>40710.064249999996</v>
      </c>
      <c r="AR73" s="15">
        <v>40575.5602</v>
      </c>
      <c r="AS73" s="15">
        <v>42915.743349999997</v>
      </c>
      <c r="AT73" s="15">
        <v>42629.33885</v>
      </c>
      <c r="AU73" s="15">
        <v>44161.8508</v>
      </c>
      <c r="AV73" s="15">
        <v>42705.349549999999</v>
      </c>
      <c r="AW73" s="15">
        <v>39989.21155</v>
      </c>
      <c r="AX73" s="15">
        <v>36982.13005</v>
      </c>
      <c r="AY73" s="15">
        <v>46535.774850000002</v>
      </c>
      <c r="AZ73" s="15">
        <v>37904.6181</v>
      </c>
      <c r="BA73" s="15">
        <v>44802.821099999994</v>
      </c>
      <c r="BB73" s="15">
        <v>51313.386100000003</v>
      </c>
      <c r="BC73" s="15">
        <v>39989.21155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782.2654</v>
      </c>
      <c r="BJ73" s="15">
        <v>23016.115000000002</v>
      </c>
      <c r="BK73" s="15">
        <v>3749.6097</v>
      </c>
      <c r="BL73" s="15">
        <v>5277.74305</v>
      </c>
      <c r="BM73" s="15">
        <v>545.38289999999995</v>
      </c>
      <c r="BN73" s="15">
        <v>0</v>
      </c>
      <c r="BO73" s="15">
        <v>0</v>
      </c>
      <c r="BP73" s="15">
        <v>2616.0140000000001</v>
      </c>
      <c r="BQ73" s="15">
        <v>994.99999999999659</v>
      </c>
      <c r="BR73" s="16">
        <v>0.81015520766539573</v>
      </c>
      <c r="BS73" s="16">
        <v>0.74732599158140234</v>
      </c>
      <c r="BT73" s="16">
        <v>0.8090672828049551</v>
      </c>
      <c r="BU73" s="16">
        <v>0.82100354091187644</v>
      </c>
      <c r="BV73" s="16">
        <v>0.86718472959000581</v>
      </c>
      <c r="BW73" s="16">
        <v>0.8530264709955212</v>
      </c>
      <c r="BX73" s="16">
        <v>1.0497444250182171</v>
      </c>
      <c r="BY73" s="16">
        <v>0.8711658558929779</v>
      </c>
      <c r="BZ73" s="16">
        <v>0.96539805163589876</v>
      </c>
      <c r="CA73" s="16">
        <v>0.91499185484691059</v>
      </c>
      <c r="CB73" s="16">
        <v>0.85715261281982336</v>
      </c>
      <c r="CC73" s="16">
        <v>0.86407625702185975</v>
      </c>
      <c r="CD73" s="16">
        <v>1.0258300452313487</v>
      </c>
      <c r="CE73" s="16">
        <v>0.85553494755266657</v>
      </c>
      <c r="CF73" s="16">
        <f t="shared" si="2"/>
        <v>0.8365864877118292</v>
      </c>
      <c r="CG73" s="16">
        <f t="shared" si="2"/>
        <v>0.91499185484691059</v>
      </c>
      <c r="CH73" s="30"/>
      <c r="CI73" s="30">
        <v>4700</v>
      </c>
      <c r="CJ73" s="30">
        <v>6500</v>
      </c>
      <c r="CK73" s="30">
        <v>6000</v>
      </c>
      <c r="CL73" s="30">
        <v>6000</v>
      </c>
      <c r="CM73" s="30">
        <v>2000</v>
      </c>
      <c r="CN73" s="30">
        <v>1000</v>
      </c>
      <c r="CO73" s="30">
        <v>1000</v>
      </c>
      <c r="CP73" s="30">
        <v>500</v>
      </c>
      <c r="CQ73" s="30">
        <v>3500</v>
      </c>
      <c r="CR73" s="30">
        <v>3000</v>
      </c>
      <c r="CS73" s="30">
        <v>6000</v>
      </c>
      <c r="CT73" s="30"/>
      <c r="CU73" s="30">
        <v>1000</v>
      </c>
      <c r="CV73" s="30">
        <v>7900</v>
      </c>
      <c r="CW73" s="30">
        <v>3500</v>
      </c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>
        <v>0</v>
      </c>
      <c r="DO73" s="35">
        <v>3941.076</v>
      </c>
      <c r="DP73" s="35">
        <v>5984.8547500000004</v>
      </c>
      <c r="DQ73" s="35">
        <v>0</v>
      </c>
      <c r="DR73" s="35">
        <v>0</v>
      </c>
    </row>
    <row r="74" spans="1:122" ht="25.5">
      <c r="A74" s="14">
        <f t="shared" si="3"/>
        <v>70</v>
      </c>
      <c r="B74" s="14" t="s">
        <v>323</v>
      </c>
      <c r="C74" s="14" t="s">
        <v>59</v>
      </c>
      <c r="D74" s="17" t="s">
        <v>321</v>
      </c>
      <c r="E74" s="14" t="s">
        <v>237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1977.9477999999999</v>
      </c>
      <c r="R74" s="15">
        <v>3286.9576000000002</v>
      </c>
      <c r="S74" s="15">
        <v>3403.7092000000007</v>
      </c>
      <c r="T74" s="15">
        <v>3351.1475999999998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>
        <v>682.1656999999999</v>
      </c>
      <c r="AZ74" s="15">
        <v>1836.4545000000001</v>
      </c>
      <c r="BA74" s="15">
        <v>1828.5297999999998</v>
      </c>
      <c r="BB74" s="15">
        <v>1888.1387999999999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>
        <v>2.8995122446056731</v>
      </c>
      <c r="CD74" s="16">
        <v>1.7898388443601516</v>
      </c>
      <c r="CE74" s="16">
        <v>1.8614458457280822</v>
      </c>
      <c r="CF74" s="16">
        <f t="shared" si="2"/>
        <v>1.7748417648109345</v>
      </c>
      <c r="CG74" s="16" t="e">
        <f t="shared" si="2"/>
        <v>#DIV/0!</v>
      </c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>
        <v>0</v>
      </c>
      <c r="DO74" s="35">
        <v>0</v>
      </c>
      <c r="DP74" s="35">
        <v>246.77375000000001</v>
      </c>
      <c r="DQ74" s="35">
        <v>0</v>
      </c>
      <c r="DR74" s="35">
        <v>0</v>
      </c>
    </row>
    <row r="75" spans="1:122" ht="25.5">
      <c r="A75" s="14">
        <f t="shared" si="3"/>
        <v>71</v>
      </c>
      <c r="B75" s="14" t="s">
        <v>166</v>
      </c>
      <c r="C75" s="14" t="s">
        <v>59</v>
      </c>
      <c r="D75" s="17" t="s">
        <v>54</v>
      </c>
      <c r="E75" s="14" t="s">
        <v>238</v>
      </c>
      <c r="F75" s="15">
        <v>22308.117150000002</v>
      </c>
      <c r="G75" s="15">
        <v>20395.327499999999</v>
      </c>
      <c r="H75" s="15">
        <v>25511.458650000004</v>
      </c>
      <c r="I75" s="15">
        <v>25343.485849999994</v>
      </c>
      <c r="J75" s="15">
        <v>25145.128049999996</v>
      </c>
      <c r="K75" s="15">
        <v>26182.427949999998</v>
      </c>
      <c r="L75" s="15">
        <v>26103.696749999999</v>
      </c>
      <c r="M75" s="15">
        <v>27926.873050000002</v>
      </c>
      <c r="N75" s="15">
        <v>29182.88795</v>
      </c>
      <c r="O75" s="15">
        <v>29842.4319</v>
      </c>
      <c r="P75" s="15">
        <v>21759.731749999995</v>
      </c>
      <c r="Q75" s="15">
        <v>22855.454549999999</v>
      </c>
      <c r="R75" s="15">
        <v>22857.610350000003</v>
      </c>
      <c r="S75" s="15">
        <v>23719.640950000005</v>
      </c>
      <c r="T75" s="15">
        <v>28727.895200000003</v>
      </c>
      <c r="U75" s="15">
        <v>29842.4319</v>
      </c>
      <c r="V75" s="15">
        <v>696.66079999999999</v>
      </c>
      <c r="W75" s="15">
        <v>4307.4226500000004</v>
      </c>
      <c r="X75" s="15">
        <v>304.00995</v>
      </c>
      <c r="Y75" s="15">
        <v>2303.7600000000002</v>
      </c>
      <c r="Z75" s="15">
        <v>147.47499999999999</v>
      </c>
      <c r="AA75" s="15">
        <v>840.34889999999996</v>
      </c>
      <c r="AB75" s="15">
        <v>12.21</v>
      </c>
      <c r="AC75" s="15">
        <v>51.965000000000003</v>
      </c>
      <c r="AD75" s="15">
        <v>56.339999999999996</v>
      </c>
      <c r="AE75" s="15">
        <v>1641.75875</v>
      </c>
      <c r="AF75" s="15">
        <v>1280.0906</v>
      </c>
      <c r="AG75" s="15">
        <v>25.094999999999999</v>
      </c>
      <c r="AH75" s="15">
        <v>3238.5717500000001</v>
      </c>
      <c r="AI75" s="15">
        <v>3602.6154499999998</v>
      </c>
      <c r="AJ75" s="15">
        <v>3251.4078999999961</v>
      </c>
      <c r="AK75" s="15">
        <v>5455.5684000000001</v>
      </c>
      <c r="AL75" s="15">
        <v>2975.1891000000001</v>
      </c>
      <c r="AM75" s="15">
        <v>13328.974249999996</v>
      </c>
      <c r="AN75" s="15">
        <v>23936.419099999999</v>
      </c>
      <c r="AO75" s="15">
        <v>23365.250449999996</v>
      </c>
      <c r="AP75" s="15">
        <v>29154.837450000003</v>
      </c>
      <c r="AQ75" s="15">
        <v>32160.521650000002</v>
      </c>
      <c r="AR75" s="15">
        <v>24543.580150000002</v>
      </c>
      <c r="AS75" s="15">
        <v>24834.59405</v>
      </c>
      <c r="AT75" s="15">
        <v>25388.043700000002</v>
      </c>
      <c r="AU75" s="15">
        <v>27227.766349999998</v>
      </c>
      <c r="AV75" s="15">
        <v>27771.120500000001</v>
      </c>
      <c r="AW75" s="15">
        <v>29922.7952</v>
      </c>
      <c r="AX75" s="15">
        <v>21651.954949999999</v>
      </c>
      <c r="AY75" s="15">
        <v>26254.375049999999</v>
      </c>
      <c r="AZ75" s="15">
        <v>21982.6921</v>
      </c>
      <c r="BA75" s="15">
        <v>21613.678</v>
      </c>
      <c r="BB75" s="15">
        <v>25989.880100000002</v>
      </c>
      <c r="BC75" s="15">
        <v>29922.7952</v>
      </c>
      <c r="BD75" s="15">
        <v>0</v>
      </c>
      <c r="BE75" s="15">
        <v>31.138999999999999</v>
      </c>
      <c r="BF75" s="15">
        <v>0</v>
      </c>
      <c r="BG75" s="15">
        <v>0</v>
      </c>
      <c r="BH75" s="15">
        <v>0</v>
      </c>
      <c r="BI75" s="15">
        <v>774.25504999999998</v>
      </c>
      <c r="BJ75" s="15">
        <v>8966.4609999999993</v>
      </c>
      <c r="BK75" s="15">
        <v>1991.64825</v>
      </c>
      <c r="BL75" s="15">
        <v>5639.6086999999998</v>
      </c>
      <c r="BM75" s="15">
        <v>903.64994999999999</v>
      </c>
      <c r="BN75" s="15">
        <v>0</v>
      </c>
      <c r="BO75" s="15">
        <v>44</v>
      </c>
      <c r="BP75" s="15">
        <v>2771.8</v>
      </c>
      <c r="BQ75" s="15">
        <v>529.39300000000082</v>
      </c>
      <c r="BR75" s="16">
        <v>0.93197387031045098</v>
      </c>
      <c r="BS75" s="16">
        <v>0.87289145663747858</v>
      </c>
      <c r="BT75" s="16">
        <v>0.8750334723612051</v>
      </c>
      <c r="BU75" s="16">
        <v>0.78803093201692487</v>
      </c>
      <c r="BV75" s="16">
        <v>1.0245093786775845</v>
      </c>
      <c r="BW75" s="16">
        <v>1.0542724353491093</v>
      </c>
      <c r="BX75" s="16">
        <v>1.0281885858735935</v>
      </c>
      <c r="BY75" s="16">
        <v>1.025676241341773</v>
      </c>
      <c r="BZ75" s="16">
        <v>1.0508358116122827</v>
      </c>
      <c r="CA75" s="16">
        <v>0.99731431173248142</v>
      </c>
      <c r="CB75" s="16">
        <v>1.0049776937116708</v>
      </c>
      <c r="CC75" s="16">
        <v>0.87053889138374285</v>
      </c>
      <c r="CD75" s="16">
        <v>1.0398003231824369</v>
      </c>
      <c r="CE75" s="16">
        <v>1.0974365839076534</v>
      </c>
      <c r="CF75" s="16">
        <f t="shared" si="2"/>
        <v>1.1053492778521898</v>
      </c>
      <c r="CG75" s="16">
        <f t="shared" si="2"/>
        <v>0.99731431173248142</v>
      </c>
      <c r="CH75" s="30"/>
      <c r="CI75" s="30"/>
      <c r="CJ75" s="30">
        <v>4500</v>
      </c>
      <c r="CK75" s="30"/>
      <c r="CL75" s="30">
        <v>4500</v>
      </c>
      <c r="CM75" s="30"/>
      <c r="CN75" s="30"/>
      <c r="CO75" s="30">
        <v>3000</v>
      </c>
      <c r="CP75" s="30"/>
      <c r="CQ75" s="30">
        <v>3000</v>
      </c>
      <c r="CR75" s="30"/>
      <c r="CS75" s="30">
        <v>3800</v>
      </c>
      <c r="CT75" s="30"/>
      <c r="CU75" s="30"/>
      <c r="CV75" s="30">
        <v>2500</v>
      </c>
      <c r="CW75" s="30">
        <v>3000</v>
      </c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>
        <v>0</v>
      </c>
      <c r="DO75" s="35">
        <v>2791.99</v>
      </c>
      <c r="DP75" s="35">
        <v>4500.7174500000001</v>
      </c>
      <c r="DQ75" s="35">
        <v>0</v>
      </c>
      <c r="DR75" s="35">
        <v>0</v>
      </c>
    </row>
    <row r="76" spans="1:122" ht="25.5">
      <c r="A76" s="14">
        <f t="shared" si="3"/>
        <v>72</v>
      </c>
      <c r="B76" s="14" t="s">
        <v>167</v>
      </c>
      <c r="C76" s="14" t="s">
        <v>60</v>
      </c>
      <c r="D76" s="17" t="s">
        <v>3</v>
      </c>
      <c r="E76" s="14" t="s">
        <v>218</v>
      </c>
      <c r="F76" s="15"/>
      <c r="G76" s="15"/>
      <c r="H76" s="15"/>
      <c r="I76" s="15">
        <v>0</v>
      </c>
      <c r="J76" s="15">
        <v>521.64215000000002</v>
      </c>
      <c r="K76" s="15"/>
      <c r="L76" s="15"/>
      <c r="M76" s="15">
        <v>472.91759999999999</v>
      </c>
      <c r="N76" s="15">
        <v>1187.1025</v>
      </c>
      <c r="O76" s="15">
        <v>3946.3742000000002</v>
      </c>
      <c r="P76" s="15">
        <v>5764.9808499999981</v>
      </c>
      <c r="Q76" s="15">
        <v>5844.3697000000002</v>
      </c>
      <c r="R76" s="15">
        <v>7701.8924999999999</v>
      </c>
      <c r="S76" s="15">
        <v>6401.439949999999</v>
      </c>
      <c r="T76" s="15">
        <v>6041.6270500000001</v>
      </c>
      <c r="U76" s="15">
        <v>3946.3742000000002</v>
      </c>
      <c r="V76" s="15">
        <v>22.28</v>
      </c>
      <c r="W76" s="15">
        <v>2491.5423999999998</v>
      </c>
      <c r="X76" s="15">
        <v>51.673000000000002</v>
      </c>
      <c r="Y76" s="15">
        <v>279.74900000000002</v>
      </c>
      <c r="Z76" s="15">
        <v>0</v>
      </c>
      <c r="AA76" s="15">
        <v>115.2</v>
      </c>
      <c r="AB76" s="15">
        <v>0</v>
      </c>
      <c r="AC76" s="15">
        <v>0</v>
      </c>
      <c r="AD76" s="15">
        <v>5.6000000000000005</v>
      </c>
      <c r="AE76" s="15">
        <v>93.101699999999994</v>
      </c>
      <c r="AF76" s="15">
        <v>13.7209</v>
      </c>
      <c r="AG76" s="15">
        <v>0</v>
      </c>
      <c r="AH76" s="15">
        <v>288.74594999999999</v>
      </c>
      <c r="AI76" s="15">
        <v>537</v>
      </c>
      <c r="AJ76" s="15">
        <v>1866.3678999999977</v>
      </c>
      <c r="AK76" s="15">
        <v>2565.4953999999998</v>
      </c>
      <c r="AL76" s="15">
        <v>300.52269999999999</v>
      </c>
      <c r="AM76" s="15">
        <v>2898.9627499999983</v>
      </c>
      <c r="AN76" s="15"/>
      <c r="AO76" s="15"/>
      <c r="AP76" s="15"/>
      <c r="AQ76" s="15">
        <v>0</v>
      </c>
      <c r="AR76" s="15">
        <v>588.17829999999992</v>
      </c>
      <c r="AS76" s="15"/>
      <c r="AT76" s="15"/>
      <c r="AU76" s="15">
        <v>150.565</v>
      </c>
      <c r="AV76" s="15">
        <v>1119.2147</v>
      </c>
      <c r="AW76" s="15">
        <v>2415.5736000000002</v>
      </c>
      <c r="AX76" s="15">
        <v>3194.8369999999995</v>
      </c>
      <c r="AY76" s="15">
        <v>5073.6795999999995</v>
      </c>
      <c r="AZ76" s="15">
        <v>2521.6660500000003</v>
      </c>
      <c r="BA76" s="15">
        <v>3981.1519500000004</v>
      </c>
      <c r="BB76" s="15">
        <v>4464.4868500000002</v>
      </c>
      <c r="BC76" s="15">
        <v>2415.5736000000002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101.1434</v>
      </c>
      <c r="BJ76" s="15">
        <v>853.25234999999998</v>
      </c>
      <c r="BK76" s="15">
        <v>1.6587000000000001</v>
      </c>
      <c r="BL76" s="15">
        <v>1904.3118999999999</v>
      </c>
      <c r="BM76" s="15">
        <v>39.770650000000003</v>
      </c>
      <c r="BN76" s="15">
        <v>0</v>
      </c>
      <c r="BO76" s="15">
        <v>0</v>
      </c>
      <c r="BP76" s="15">
        <v>294.7</v>
      </c>
      <c r="BQ76" s="15">
        <v>-7.1054273576010019E-14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3.1409530767442635</v>
      </c>
      <c r="BZ76" s="16">
        <v>1.0606566371939181</v>
      </c>
      <c r="CA76" s="16">
        <v>1.6337213653932963</v>
      </c>
      <c r="CB76" s="16">
        <v>1.804467911821479</v>
      </c>
      <c r="CC76" s="16">
        <v>1.1518996390706264</v>
      </c>
      <c r="CD76" s="16">
        <v>3.0542872637715051</v>
      </c>
      <c r="CE76" s="16">
        <v>1.6079366048814083</v>
      </c>
      <c r="CF76" s="16">
        <f t="shared" si="2"/>
        <v>1.3532634887254735</v>
      </c>
      <c r="CG76" s="16">
        <f t="shared" si="2"/>
        <v>1.6337213653932963</v>
      </c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>
        <v>0</v>
      </c>
      <c r="DO76" s="35">
        <v>0</v>
      </c>
      <c r="DP76" s="35">
        <v>1559.8017</v>
      </c>
      <c r="DQ76" s="35">
        <v>0</v>
      </c>
      <c r="DR76" s="35">
        <v>0</v>
      </c>
    </row>
    <row r="77" spans="1:122" ht="25.5">
      <c r="A77" s="14">
        <f t="shared" si="3"/>
        <v>73</v>
      </c>
      <c r="B77" s="14" t="s">
        <v>168</v>
      </c>
      <c r="C77" s="14" t="s">
        <v>60</v>
      </c>
      <c r="D77" s="17" t="s">
        <v>57</v>
      </c>
      <c r="E77" s="14" t="s">
        <v>222</v>
      </c>
      <c r="F77" s="15">
        <v>48866.356949999994</v>
      </c>
      <c r="G77" s="15">
        <v>41266.914050000007</v>
      </c>
      <c r="H77" s="15">
        <v>41165.11310000001</v>
      </c>
      <c r="I77" s="15">
        <v>46620.649500000007</v>
      </c>
      <c r="J77" s="15">
        <v>45272.880499999999</v>
      </c>
      <c r="K77" s="15">
        <v>51739.781200000005</v>
      </c>
      <c r="L77" s="15">
        <v>67280.394899999999</v>
      </c>
      <c r="M77" s="15">
        <v>64921.331699999995</v>
      </c>
      <c r="N77" s="15">
        <v>66168.248300000007</v>
      </c>
      <c r="O77" s="15">
        <v>74006.796409999995</v>
      </c>
      <c r="P77" s="15">
        <v>52242.347849999998</v>
      </c>
      <c r="Q77" s="15">
        <v>70935.801300000021</v>
      </c>
      <c r="R77" s="15">
        <v>63782.220200000003</v>
      </c>
      <c r="S77" s="15">
        <v>60563.937549999973</v>
      </c>
      <c r="T77" s="15">
        <v>59454.019100000005</v>
      </c>
      <c r="U77" s="15">
        <v>74006.796409999995</v>
      </c>
      <c r="V77" s="15">
        <v>1104.4439</v>
      </c>
      <c r="W77" s="15">
        <v>23076.390950000001</v>
      </c>
      <c r="X77" s="15">
        <v>1315.57</v>
      </c>
      <c r="Y77" s="15">
        <v>4950.7361499999997</v>
      </c>
      <c r="Z77" s="15">
        <v>0</v>
      </c>
      <c r="AA77" s="15">
        <v>5963.14545</v>
      </c>
      <c r="AB77" s="15">
        <v>0</v>
      </c>
      <c r="AC77" s="15">
        <v>377.30059999999997</v>
      </c>
      <c r="AD77" s="15">
        <v>72.510700000000014</v>
      </c>
      <c r="AE77" s="15">
        <v>1577.7507000000001</v>
      </c>
      <c r="AF77" s="15">
        <v>192.20179999999999</v>
      </c>
      <c r="AG77" s="15">
        <v>138.83000000000001</v>
      </c>
      <c r="AH77" s="15">
        <v>4833.4712</v>
      </c>
      <c r="AI77" s="15">
        <v>4586.9741999999997</v>
      </c>
      <c r="AJ77" s="15">
        <v>4053.022199999994</v>
      </c>
      <c r="AK77" s="15">
        <v>25496.404849999999</v>
      </c>
      <c r="AL77" s="15">
        <v>2547.2437</v>
      </c>
      <c r="AM77" s="15">
        <v>24198.6993</v>
      </c>
      <c r="AN77" s="15">
        <v>41061.949050000003</v>
      </c>
      <c r="AO77" s="15">
        <v>33029.668350000007</v>
      </c>
      <c r="AP77" s="15">
        <v>38782.039999999994</v>
      </c>
      <c r="AQ77" s="15">
        <v>46691.880899999996</v>
      </c>
      <c r="AR77" s="15">
        <v>42048.341</v>
      </c>
      <c r="AS77" s="15">
        <v>49796.933849999994</v>
      </c>
      <c r="AT77" s="15">
        <v>57024.934649999996</v>
      </c>
      <c r="AU77" s="15">
        <v>54377.184900000007</v>
      </c>
      <c r="AV77" s="15">
        <v>49474.212599999999</v>
      </c>
      <c r="AW77" s="15">
        <v>69767.218099999998</v>
      </c>
      <c r="AX77" s="15">
        <v>42456.721750000004</v>
      </c>
      <c r="AY77" s="15">
        <v>81503.630700000009</v>
      </c>
      <c r="AZ77" s="15">
        <v>38150.817999999999</v>
      </c>
      <c r="BA77" s="15">
        <v>39453.347550000006</v>
      </c>
      <c r="BB77" s="15">
        <v>55867.116849999991</v>
      </c>
      <c r="BC77" s="15">
        <v>69767.218099999998</v>
      </c>
      <c r="BD77" s="15">
        <v>0</v>
      </c>
      <c r="BE77" s="15">
        <v>0</v>
      </c>
      <c r="BF77" s="15">
        <v>0</v>
      </c>
      <c r="BG77" s="15">
        <v>0</v>
      </c>
      <c r="BH77" s="15">
        <v>157</v>
      </c>
      <c r="BI77" s="15">
        <v>302.70800000000003</v>
      </c>
      <c r="BJ77" s="15">
        <v>21156.567450000002</v>
      </c>
      <c r="BK77" s="15">
        <v>400.57915000000003</v>
      </c>
      <c r="BL77" s="15">
        <v>9748.2862499999992</v>
      </c>
      <c r="BM77" s="15">
        <v>32.356900000000003</v>
      </c>
      <c r="BN77" s="15">
        <v>0</v>
      </c>
      <c r="BO77" s="15">
        <v>7464.5</v>
      </c>
      <c r="BP77" s="15">
        <v>1961.5740000000001</v>
      </c>
      <c r="BQ77" s="15">
        <v>1233.1500000000037</v>
      </c>
      <c r="BR77" s="16">
        <v>1.1900642341769208</v>
      </c>
      <c r="BS77" s="16">
        <v>1.2493892948822176</v>
      </c>
      <c r="BT77" s="16">
        <v>1.0614478531815246</v>
      </c>
      <c r="BU77" s="16">
        <v>0.9984744371263915</v>
      </c>
      <c r="BV77" s="16">
        <v>1.07668648568085</v>
      </c>
      <c r="BW77" s="16">
        <v>1.0390154011460289</v>
      </c>
      <c r="BX77" s="16">
        <v>1.1798416835187027</v>
      </c>
      <c r="BY77" s="16">
        <v>1.1939075518416546</v>
      </c>
      <c r="BZ77" s="16">
        <v>1.3374290326754994</v>
      </c>
      <c r="CA77" s="16">
        <v>1.0607674840055001</v>
      </c>
      <c r="CB77" s="16">
        <v>1.2304847311957146</v>
      </c>
      <c r="CC77" s="16">
        <v>0.87033915778674642</v>
      </c>
      <c r="CD77" s="16">
        <v>1.6718441056755324</v>
      </c>
      <c r="CE77" s="16">
        <v>1.5350772826880177</v>
      </c>
      <c r="CF77" s="16">
        <f t="shared" si="2"/>
        <v>1.0642041768439678</v>
      </c>
      <c r="CG77" s="16">
        <f t="shared" si="2"/>
        <v>1.0607674840055001</v>
      </c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>
        <v>9000</v>
      </c>
      <c r="CT77" s="30"/>
      <c r="CU77" s="30"/>
      <c r="CV77" s="30"/>
      <c r="CW77" s="30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>
        <v>12006.012000000001</v>
      </c>
      <c r="DO77" s="35">
        <v>9077.8439999999991</v>
      </c>
      <c r="DP77" s="35">
        <v>16.515999999999998</v>
      </c>
      <c r="DQ77" s="35">
        <v>0</v>
      </c>
      <c r="DR77" s="35">
        <v>532</v>
      </c>
    </row>
    <row r="78" spans="1:122" ht="25.5">
      <c r="A78" s="14">
        <f t="shared" si="3"/>
        <v>74</v>
      </c>
      <c r="B78" s="14" t="s">
        <v>169</v>
      </c>
      <c r="C78" s="14" t="s">
        <v>60</v>
      </c>
      <c r="D78" s="17" t="s">
        <v>33</v>
      </c>
      <c r="E78" s="14" t="s">
        <v>229</v>
      </c>
      <c r="F78" s="15">
        <v>6382.8187499999995</v>
      </c>
      <c r="G78" s="15">
        <v>6473.248450000001</v>
      </c>
      <c r="H78" s="15">
        <v>7495.3791500000007</v>
      </c>
      <c r="I78" s="15">
        <v>8233.4419500000022</v>
      </c>
      <c r="J78" s="15">
        <v>8687.8968499999992</v>
      </c>
      <c r="K78" s="15">
        <v>7746.8626000000004</v>
      </c>
      <c r="L78" s="15">
        <v>8388.1420500000004</v>
      </c>
      <c r="M78" s="15">
        <v>11129.93355</v>
      </c>
      <c r="N78" s="15">
        <v>9708.8901000000023</v>
      </c>
      <c r="O78" s="15">
        <v>13542.34885</v>
      </c>
      <c r="P78" s="15">
        <v>9809.249600000001</v>
      </c>
      <c r="Q78" s="15">
        <v>9058.5896499999999</v>
      </c>
      <c r="R78" s="15">
        <v>7817.4187999999995</v>
      </c>
      <c r="S78" s="15">
        <v>10501.5335</v>
      </c>
      <c r="T78" s="15">
        <v>12880.562900000001</v>
      </c>
      <c r="U78" s="15">
        <v>13542.34885</v>
      </c>
      <c r="V78" s="15">
        <v>0</v>
      </c>
      <c r="W78" s="15">
        <v>1909.0935999999999</v>
      </c>
      <c r="X78" s="15">
        <v>262.15699999999998</v>
      </c>
      <c r="Y78" s="15">
        <v>890.14589999999998</v>
      </c>
      <c r="Z78" s="15">
        <v>0</v>
      </c>
      <c r="AA78" s="15">
        <v>40</v>
      </c>
      <c r="AB78" s="15">
        <v>95</v>
      </c>
      <c r="AC78" s="15">
        <v>1534.614</v>
      </c>
      <c r="AD78" s="15">
        <v>54.353000000000002</v>
      </c>
      <c r="AE78" s="15">
        <v>677.92804999999998</v>
      </c>
      <c r="AF78" s="15">
        <v>149.40530000000001</v>
      </c>
      <c r="AG78" s="15">
        <v>0</v>
      </c>
      <c r="AH78" s="15">
        <v>1388.5988</v>
      </c>
      <c r="AI78" s="15">
        <v>1751.453</v>
      </c>
      <c r="AJ78" s="15">
        <v>1056.5009500000003</v>
      </c>
      <c r="AK78" s="15">
        <v>2171.2505999999998</v>
      </c>
      <c r="AL78" s="15">
        <v>2806.0204000000003</v>
      </c>
      <c r="AM78" s="15">
        <v>4831.9786000000013</v>
      </c>
      <c r="AN78" s="15">
        <v>3804.4597999999996</v>
      </c>
      <c r="AO78" s="15">
        <v>3512.3690500000002</v>
      </c>
      <c r="AP78" s="15">
        <v>6113.33115</v>
      </c>
      <c r="AQ78" s="15">
        <v>5984.0123000000003</v>
      </c>
      <c r="AR78" s="15">
        <v>5771.1016</v>
      </c>
      <c r="AS78" s="15">
        <v>5821.1061999999993</v>
      </c>
      <c r="AT78" s="15">
        <v>8342.6973999999991</v>
      </c>
      <c r="AU78" s="15">
        <v>7001.1127499999993</v>
      </c>
      <c r="AV78" s="15">
        <v>8742.2257000000009</v>
      </c>
      <c r="AW78" s="15">
        <v>12769.353200000001</v>
      </c>
      <c r="AX78" s="15">
        <v>10043.476549999999</v>
      </c>
      <c r="AY78" s="15">
        <v>5636.3685500000001</v>
      </c>
      <c r="AZ78" s="15">
        <v>5846.7212500000005</v>
      </c>
      <c r="BA78" s="15">
        <v>7573.5541999999996</v>
      </c>
      <c r="BB78" s="15">
        <v>7648.97055</v>
      </c>
      <c r="BC78" s="15">
        <v>12769.353200000001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1218.8637000000001</v>
      </c>
      <c r="BJ78" s="15">
        <v>3948.569</v>
      </c>
      <c r="BK78" s="15">
        <v>642.04629999999997</v>
      </c>
      <c r="BL78" s="15">
        <v>3073.6693</v>
      </c>
      <c r="BM78" s="15">
        <v>163.77125000000001</v>
      </c>
      <c r="BN78" s="15">
        <v>0</v>
      </c>
      <c r="BO78" s="15">
        <v>0</v>
      </c>
      <c r="BP78" s="15">
        <v>996.55700000000002</v>
      </c>
      <c r="BQ78" s="15">
        <v>-6.8212102632969618E-13</v>
      </c>
      <c r="BR78" s="16">
        <v>1.6777201194240507</v>
      </c>
      <c r="BS78" s="16">
        <v>1.842986416817447</v>
      </c>
      <c r="BT78" s="16">
        <v>1.2260711821573744</v>
      </c>
      <c r="BU78" s="16">
        <v>1.3759065886278345</v>
      </c>
      <c r="BV78" s="16">
        <v>1.5054139490457072</v>
      </c>
      <c r="BW78" s="16">
        <v>1.3308231002554121</v>
      </c>
      <c r="BX78" s="16">
        <v>1.0054472370051444</v>
      </c>
      <c r="BY78" s="16">
        <v>1.5897377956097052</v>
      </c>
      <c r="BZ78" s="16">
        <v>1.1105741756358454</v>
      </c>
      <c r="CA78" s="16">
        <v>1.060535223506857</v>
      </c>
      <c r="CB78" s="16">
        <v>0.97667869797535412</v>
      </c>
      <c r="CC78" s="16">
        <v>1.6071677303642609</v>
      </c>
      <c r="CD78" s="16">
        <v>1.3370602882769551</v>
      </c>
      <c r="CE78" s="16">
        <v>1.3866057101697378</v>
      </c>
      <c r="CF78" s="16">
        <f t="shared" si="2"/>
        <v>1.6839603206473321</v>
      </c>
      <c r="CG78" s="16">
        <f t="shared" si="2"/>
        <v>1.060535223506857</v>
      </c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>
        <v>0</v>
      </c>
      <c r="DO78" s="35">
        <v>0</v>
      </c>
      <c r="DP78" s="35">
        <v>451.39434999999997</v>
      </c>
      <c r="DQ78" s="35">
        <v>0</v>
      </c>
      <c r="DR78" s="35">
        <v>0</v>
      </c>
    </row>
    <row r="79" spans="1:122" ht="25.5">
      <c r="A79" s="14">
        <f t="shared" si="3"/>
        <v>75</v>
      </c>
      <c r="B79" s="14" t="s">
        <v>170</v>
      </c>
      <c r="C79" s="14" t="s">
        <v>60</v>
      </c>
      <c r="D79" s="17" t="s">
        <v>51</v>
      </c>
      <c r="E79" s="14" t="s">
        <v>234</v>
      </c>
      <c r="F79" s="15">
        <v>4358.8460500000001</v>
      </c>
      <c r="G79" s="15">
        <v>3696.8596499999999</v>
      </c>
      <c r="H79" s="15">
        <v>3912.1489000000001</v>
      </c>
      <c r="I79" s="15">
        <v>5427.2307999999994</v>
      </c>
      <c r="J79" s="15">
        <v>4240.4350000000004</v>
      </c>
      <c r="K79" s="15">
        <v>4293.3922499999999</v>
      </c>
      <c r="L79" s="15">
        <v>4858.9927500000003</v>
      </c>
      <c r="M79" s="15">
        <v>4713.4740000000002</v>
      </c>
      <c r="N79" s="15">
        <v>6550.4308000000001</v>
      </c>
      <c r="O79" s="15">
        <v>6941.3968999999988</v>
      </c>
      <c r="P79" s="15">
        <v>4838.9579000000003</v>
      </c>
      <c r="Q79" s="15">
        <v>5068.1043500000005</v>
      </c>
      <c r="R79" s="15">
        <v>4296.4777000000004</v>
      </c>
      <c r="S79" s="15">
        <v>3188.4792499999999</v>
      </c>
      <c r="T79" s="15">
        <v>3393.9899499999997</v>
      </c>
      <c r="U79" s="15">
        <v>6941.3968999999988</v>
      </c>
      <c r="V79" s="15">
        <v>46.545000000000002</v>
      </c>
      <c r="W79" s="15">
        <v>982.02099999999996</v>
      </c>
      <c r="X79" s="15">
        <v>10.576000000000001</v>
      </c>
      <c r="Y79" s="15">
        <v>188.91524999999999</v>
      </c>
      <c r="Z79" s="15">
        <v>0</v>
      </c>
      <c r="AA79" s="15">
        <v>342</v>
      </c>
      <c r="AB79" s="15">
        <v>0</v>
      </c>
      <c r="AC79" s="15">
        <v>0</v>
      </c>
      <c r="AD79" s="15">
        <v>0.76</v>
      </c>
      <c r="AE79" s="15">
        <v>0</v>
      </c>
      <c r="AF79" s="15">
        <v>127.4965</v>
      </c>
      <c r="AG79" s="15">
        <v>0</v>
      </c>
      <c r="AH79" s="15">
        <v>1320.5501999999999</v>
      </c>
      <c r="AI79" s="15">
        <v>96.281000000000006</v>
      </c>
      <c r="AJ79" s="15">
        <v>1723.8129500000002</v>
      </c>
      <c r="AK79" s="15">
        <v>1039.1420000000001</v>
      </c>
      <c r="AL79" s="15">
        <v>1058.0450000000001</v>
      </c>
      <c r="AM79" s="15">
        <v>2741.7709000000004</v>
      </c>
      <c r="AN79" s="15">
        <v>3669.6795499999739</v>
      </c>
      <c r="AO79" s="15">
        <v>2873.9486499999998</v>
      </c>
      <c r="AP79" s="15">
        <v>3586.4358000000002</v>
      </c>
      <c r="AQ79" s="15">
        <v>3900.7734999999993</v>
      </c>
      <c r="AR79" s="15">
        <v>2625.3708000000001</v>
      </c>
      <c r="AS79" s="15">
        <v>3099.4653000000003</v>
      </c>
      <c r="AT79" s="15">
        <v>2378.1828499999997</v>
      </c>
      <c r="AU79" s="15">
        <v>2663.8721</v>
      </c>
      <c r="AV79" s="15">
        <v>4181.7308999999996</v>
      </c>
      <c r="AW79" s="15">
        <v>3190.1018999999997</v>
      </c>
      <c r="AX79" s="15">
        <v>1767.7625499999999</v>
      </c>
      <c r="AY79" s="15">
        <v>2100.3622999999998</v>
      </c>
      <c r="AZ79" s="15">
        <v>2802.2046</v>
      </c>
      <c r="BA79" s="15">
        <v>2173.6916000000001</v>
      </c>
      <c r="BB79" s="15">
        <v>2711.3305</v>
      </c>
      <c r="BC79" s="15">
        <v>3190.1018999999997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843.55499999999995</v>
      </c>
      <c r="BK79" s="15">
        <v>10.72955</v>
      </c>
      <c r="BL79" s="15">
        <v>670.25364999999999</v>
      </c>
      <c r="BM79" s="15">
        <v>162.82435000000001</v>
      </c>
      <c r="BN79" s="15">
        <v>0</v>
      </c>
      <c r="BO79" s="15">
        <v>0</v>
      </c>
      <c r="BP79" s="15">
        <v>0</v>
      </c>
      <c r="BQ79" s="15">
        <v>80.399999999999864</v>
      </c>
      <c r="BR79" s="16">
        <v>1.1878001854412685</v>
      </c>
      <c r="BS79" s="16">
        <v>1.2863346218799003</v>
      </c>
      <c r="BT79" s="16">
        <v>1.0908180483810697</v>
      </c>
      <c r="BU79" s="16">
        <v>1.3913216955560226</v>
      </c>
      <c r="BV79" s="16">
        <v>1.615175654425653</v>
      </c>
      <c r="BW79" s="16">
        <v>1.3852041673123423</v>
      </c>
      <c r="BX79" s="16">
        <v>2.0431535573473676</v>
      </c>
      <c r="BY79" s="16">
        <v>1.769407022206509</v>
      </c>
      <c r="BZ79" s="16">
        <v>1.5664400595456778</v>
      </c>
      <c r="CA79" s="16">
        <v>2.175916982463789</v>
      </c>
      <c r="CB79" s="16">
        <v>2.7373347738359999</v>
      </c>
      <c r="CC79" s="16">
        <v>2.41296672959708</v>
      </c>
      <c r="CD79" s="16">
        <v>1.5332491067925591</v>
      </c>
      <c r="CE79" s="16">
        <v>1.4668498741955849</v>
      </c>
      <c r="CF79" s="16">
        <f t="shared" si="2"/>
        <v>1.2517802422094981</v>
      </c>
      <c r="CG79" s="16">
        <f t="shared" si="2"/>
        <v>2.175916982463789</v>
      </c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>
        <v>0</v>
      </c>
      <c r="DO79" s="35">
        <v>0</v>
      </c>
      <c r="DP79" s="35">
        <v>895.30880000000002</v>
      </c>
      <c r="DQ79" s="35">
        <v>0</v>
      </c>
      <c r="DR79" s="35">
        <v>0</v>
      </c>
    </row>
    <row r="80" spans="1:122" ht="25.5">
      <c r="A80" s="14">
        <f t="shared" si="3"/>
        <v>76</v>
      </c>
      <c r="B80" s="14" t="s">
        <v>171</v>
      </c>
      <c r="C80" s="14" t="s">
        <v>61</v>
      </c>
      <c r="D80" s="17" t="s">
        <v>62</v>
      </c>
      <c r="E80" s="14" t="s">
        <v>217</v>
      </c>
      <c r="F80" s="15">
        <v>58269.1466</v>
      </c>
      <c r="G80" s="15">
        <v>57040.913449999993</v>
      </c>
      <c r="H80" s="15">
        <v>49085.649100000002</v>
      </c>
      <c r="I80" s="15">
        <v>73143.825999999986</v>
      </c>
      <c r="J80" s="15">
        <v>67382.749199999977</v>
      </c>
      <c r="K80" s="15">
        <v>69841.490149999983</v>
      </c>
      <c r="L80" s="15">
        <v>88573.368599999973</v>
      </c>
      <c r="M80" s="15">
        <v>78670.019000000015</v>
      </c>
      <c r="N80" s="15">
        <v>85079.619049999994</v>
      </c>
      <c r="O80" s="15">
        <v>79255.492299999998</v>
      </c>
      <c r="P80" s="15">
        <v>77365.730249999979</v>
      </c>
      <c r="Q80" s="15">
        <v>80951.262700000007</v>
      </c>
      <c r="R80" s="15">
        <v>64842.381149999994</v>
      </c>
      <c r="S80" s="15">
        <v>64304.361850000001</v>
      </c>
      <c r="T80" s="15">
        <v>88702.389500000005</v>
      </c>
      <c r="U80" s="15">
        <v>79255.492299999998</v>
      </c>
      <c r="V80" s="15">
        <v>1709.5494000000001</v>
      </c>
      <c r="W80" s="15">
        <v>27069.653399999999</v>
      </c>
      <c r="X80" s="15">
        <v>1507.6477500000001</v>
      </c>
      <c r="Y80" s="15">
        <v>7379.4849000000004</v>
      </c>
      <c r="Z80" s="15">
        <v>414.76490000000001</v>
      </c>
      <c r="AA80" s="15">
        <v>5272.0041000000001</v>
      </c>
      <c r="AB80" s="15">
        <v>104.83</v>
      </c>
      <c r="AC80" s="15">
        <v>10604.575000000001</v>
      </c>
      <c r="AD80" s="15">
        <v>194.88200000000001</v>
      </c>
      <c r="AE80" s="15">
        <v>699.31804999999997</v>
      </c>
      <c r="AF80" s="15">
        <v>153.62990000000002</v>
      </c>
      <c r="AG80" s="15">
        <v>0</v>
      </c>
      <c r="AH80" s="15">
        <v>3588.4372499999999</v>
      </c>
      <c r="AI80" s="15">
        <v>3187.8798499999998</v>
      </c>
      <c r="AJ80" s="15">
        <v>15479.073749999981</v>
      </c>
      <c r="AK80" s="15">
        <v>30701.615449999998</v>
      </c>
      <c r="AL80" s="15">
        <v>12282.563</v>
      </c>
      <c r="AM80" s="15">
        <v>34381.551799999979</v>
      </c>
      <c r="AN80" s="15">
        <v>46611.825649999999</v>
      </c>
      <c r="AO80" s="15">
        <v>53177.449049999996</v>
      </c>
      <c r="AP80" s="15">
        <v>48985.971699999995</v>
      </c>
      <c r="AQ80" s="15">
        <v>62279.947949999994</v>
      </c>
      <c r="AR80" s="15">
        <v>62413.856550000011</v>
      </c>
      <c r="AS80" s="15">
        <v>62706.72395</v>
      </c>
      <c r="AT80" s="15">
        <v>64851.040899999993</v>
      </c>
      <c r="AU80" s="15">
        <v>59613.234049999999</v>
      </c>
      <c r="AV80" s="15">
        <v>75844.705400000006</v>
      </c>
      <c r="AW80" s="15">
        <v>76983.074550000005</v>
      </c>
      <c r="AX80" s="15">
        <v>68680.048500000004</v>
      </c>
      <c r="AY80" s="15">
        <v>79860.639850000007</v>
      </c>
      <c r="AZ80" s="15">
        <v>62502.077499999999</v>
      </c>
      <c r="BA80" s="15">
        <v>65430.584850000007</v>
      </c>
      <c r="BB80" s="15">
        <v>86410.881550000006</v>
      </c>
      <c r="BC80" s="15">
        <v>76983.074550000005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897.50045</v>
      </c>
      <c r="BJ80" s="15">
        <v>21327.417699999998</v>
      </c>
      <c r="BK80" s="15">
        <v>2885.1709999999998</v>
      </c>
      <c r="BL80" s="15">
        <v>22555.022700000001</v>
      </c>
      <c r="BM80" s="15">
        <v>1140.42815</v>
      </c>
      <c r="BN80" s="15">
        <v>0</v>
      </c>
      <c r="BO80" s="15">
        <v>3745</v>
      </c>
      <c r="BP80" s="15">
        <v>2568.6251999999999</v>
      </c>
      <c r="BQ80" s="15">
        <v>13560.883300000009</v>
      </c>
      <c r="BR80" s="16">
        <v>1.2500936358411012</v>
      </c>
      <c r="BS80" s="16">
        <v>1.0726523078677088</v>
      </c>
      <c r="BT80" s="16">
        <v>1.0020348152040435</v>
      </c>
      <c r="BU80" s="16">
        <v>1.1744362095280139</v>
      </c>
      <c r="BV80" s="16">
        <v>1.0796120112529717</v>
      </c>
      <c r="BW80" s="16">
        <v>1.1137799226393805</v>
      </c>
      <c r="BX80" s="16">
        <v>1.3657971772045987</v>
      </c>
      <c r="BY80" s="16">
        <v>1.3196737310714652</v>
      </c>
      <c r="BZ80" s="16">
        <v>1.1217608216855173</v>
      </c>
      <c r="CA80" s="16">
        <v>1.0295184073029464</v>
      </c>
      <c r="CB80" s="16">
        <v>1.1264658651194746</v>
      </c>
      <c r="CC80" s="16">
        <v>1.0136565754049616</v>
      </c>
      <c r="CD80" s="16">
        <v>1.037443613774278</v>
      </c>
      <c r="CE80" s="16">
        <v>0.98278751439281986</v>
      </c>
      <c r="CF80" s="16">
        <f t="shared" si="2"/>
        <v>1.0265187428816365</v>
      </c>
      <c r="CG80" s="16">
        <f t="shared" si="2"/>
        <v>1.0295184073029464</v>
      </c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>
        <v>2000</v>
      </c>
      <c r="CT80" s="30"/>
      <c r="CU80" s="30">
        <v>2000</v>
      </c>
      <c r="CV80" s="30">
        <v>4000</v>
      </c>
      <c r="CW80" s="30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>
        <v>0</v>
      </c>
      <c r="DO80" s="35">
        <v>4000.9450000000002</v>
      </c>
      <c r="DP80" s="35">
        <v>1000</v>
      </c>
      <c r="DQ80" s="35">
        <v>0</v>
      </c>
      <c r="DR80" s="35">
        <v>75</v>
      </c>
    </row>
    <row r="81" spans="1:122" ht="25.5">
      <c r="A81" s="14">
        <f t="shared" si="3"/>
        <v>77</v>
      </c>
      <c r="B81" s="14" t="s">
        <v>322</v>
      </c>
      <c r="C81" s="14" t="s">
        <v>61</v>
      </c>
      <c r="D81" s="17" t="s">
        <v>320</v>
      </c>
      <c r="E81" s="14" t="s">
        <v>217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>
        <v>3633.0337999999997</v>
      </c>
      <c r="R81" s="15">
        <v>7886.3296499999988</v>
      </c>
      <c r="S81" s="15">
        <v>5692.1697000000004</v>
      </c>
      <c r="T81" s="15">
        <v>7026.2603000000008</v>
      </c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>
        <v>3709.5564999999997</v>
      </c>
      <c r="AZ81" s="15">
        <v>7811.0778000000009</v>
      </c>
      <c r="BA81" s="15">
        <v>7738.24665</v>
      </c>
      <c r="BB81" s="15">
        <v>8325.3015500000001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>
        <v>0.9793714693387201</v>
      </c>
      <c r="CD81" s="16">
        <v>1.0096339905870606</v>
      </c>
      <c r="CE81" s="16">
        <v>0.73558907559505105</v>
      </c>
      <c r="CF81" s="16">
        <f t="shared" si="2"/>
        <v>0.84396466095573452</v>
      </c>
      <c r="CG81" s="16" t="e">
        <f t="shared" si="2"/>
        <v>#DIV/0!</v>
      </c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>
        <v>0</v>
      </c>
      <c r="DO81" s="35">
        <v>463.52</v>
      </c>
      <c r="DP81" s="35">
        <v>0</v>
      </c>
      <c r="DQ81" s="35">
        <v>0</v>
      </c>
      <c r="DR81" s="35">
        <v>0</v>
      </c>
    </row>
    <row r="82" spans="1:122" ht="25.5">
      <c r="A82" s="14">
        <f t="shared" si="3"/>
        <v>78</v>
      </c>
      <c r="B82" s="14" t="s">
        <v>172</v>
      </c>
      <c r="C82" s="14" t="s">
        <v>61</v>
      </c>
      <c r="D82" s="17" t="s">
        <v>63</v>
      </c>
      <c r="E82" s="14" t="s">
        <v>225</v>
      </c>
      <c r="F82" s="15">
        <v>27981.50445</v>
      </c>
      <c r="G82" s="15">
        <v>30010.450549999998</v>
      </c>
      <c r="H82" s="15">
        <v>26627.602099999996</v>
      </c>
      <c r="I82" s="15">
        <v>35878.051600000006</v>
      </c>
      <c r="J82" s="15">
        <v>40811.411400000012</v>
      </c>
      <c r="K82" s="15">
        <v>39525.288049999996</v>
      </c>
      <c r="L82" s="15">
        <v>39512.047149999999</v>
      </c>
      <c r="M82" s="15">
        <v>38245.40159999999</v>
      </c>
      <c r="N82" s="15">
        <v>45485.958050000001</v>
      </c>
      <c r="O82" s="15">
        <v>48498.826099999998</v>
      </c>
      <c r="P82" s="15">
        <v>45778.209850000007</v>
      </c>
      <c r="Q82" s="15">
        <v>56282.308650000006</v>
      </c>
      <c r="R82" s="15">
        <v>44161.618500000004</v>
      </c>
      <c r="S82" s="15">
        <v>46933.762149999995</v>
      </c>
      <c r="T82" s="15">
        <v>49585.604749999991</v>
      </c>
      <c r="U82" s="15">
        <v>48498.826099999998</v>
      </c>
      <c r="V82" s="15">
        <v>313.18700000000001</v>
      </c>
      <c r="W82" s="15">
        <v>13506.9018</v>
      </c>
      <c r="X82" s="15">
        <v>3536.7646</v>
      </c>
      <c r="Y82" s="15">
        <v>3385.26055</v>
      </c>
      <c r="Z82" s="15">
        <v>10</v>
      </c>
      <c r="AA82" s="15">
        <v>1974.3054</v>
      </c>
      <c r="AB82" s="15">
        <v>773.59029999999996</v>
      </c>
      <c r="AC82" s="15">
        <v>2443.54</v>
      </c>
      <c r="AD82" s="15">
        <v>23.833200000000001</v>
      </c>
      <c r="AE82" s="15">
        <v>566.0095</v>
      </c>
      <c r="AF82" s="15">
        <v>42.239699999999999</v>
      </c>
      <c r="AG82" s="15">
        <v>0</v>
      </c>
      <c r="AH82" s="15">
        <v>2121.2338</v>
      </c>
      <c r="AI82" s="15">
        <v>2017.2516000000001</v>
      </c>
      <c r="AJ82" s="15">
        <v>15064.092400000003</v>
      </c>
      <c r="AK82" s="15">
        <v>17366.8534</v>
      </c>
      <c r="AL82" s="15">
        <v>4178.8487999999998</v>
      </c>
      <c r="AM82" s="15">
        <v>24232.507650000007</v>
      </c>
      <c r="AN82" s="15">
        <v>27043.152099999999</v>
      </c>
      <c r="AO82" s="15">
        <v>27792.90165</v>
      </c>
      <c r="AP82" s="15">
        <v>26000.878349999999</v>
      </c>
      <c r="AQ82" s="15">
        <v>29479.527199999997</v>
      </c>
      <c r="AR82" s="15">
        <v>30405.465199999999</v>
      </c>
      <c r="AS82" s="15">
        <v>30961.573350000002</v>
      </c>
      <c r="AT82" s="15">
        <v>30874.515599999999</v>
      </c>
      <c r="AU82" s="15">
        <v>30580.342399999998</v>
      </c>
      <c r="AV82" s="15">
        <v>33377.400900000001</v>
      </c>
      <c r="AW82" s="15">
        <v>37725.460050000002</v>
      </c>
      <c r="AX82" s="15">
        <v>34863.863450000004</v>
      </c>
      <c r="AY82" s="15">
        <v>43745.753149999997</v>
      </c>
      <c r="AZ82" s="15">
        <v>31617.785700000004</v>
      </c>
      <c r="BA82" s="15">
        <v>39807.582649999997</v>
      </c>
      <c r="BB82" s="15">
        <v>35765.98085</v>
      </c>
      <c r="BC82" s="15">
        <v>37725.460050000002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749.42674999999997</v>
      </c>
      <c r="BJ82" s="15">
        <v>17284.635849999999</v>
      </c>
      <c r="BK82" s="15">
        <v>388.19385</v>
      </c>
      <c r="BL82" s="15">
        <v>10572.218000000001</v>
      </c>
      <c r="BM82" s="15">
        <v>345.09699999999998</v>
      </c>
      <c r="BN82" s="15">
        <v>0</v>
      </c>
      <c r="BO82" s="15">
        <v>0</v>
      </c>
      <c r="BP82" s="15">
        <v>3318.3089999999997</v>
      </c>
      <c r="BQ82" s="15">
        <v>2205.9830000000024</v>
      </c>
      <c r="BR82" s="16">
        <v>1.0346983349622176</v>
      </c>
      <c r="BS82" s="16">
        <v>1.0797883188997648</v>
      </c>
      <c r="BT82" s="16">
        <v>1.0241039453192164</v>
      </c>
      <c r="BU82" s="16">
        <v>1.2170497632675741</v>
      </c>
      <c r="BV82" s="16">
        <v>1.3422393353152844</v>
      </c>
      <c r="BW82" s="16">
        <v>1.2765917159051607</v>
      </c>
      <c r="BX82" s="16">
        <v>1.2797624960956473</v>
      </c>
      <c r="BY82" s="16">
        <v>1.2506531516141557</v>
      </c>
      <c r="BZ82" s="16">
        <v>1.3627771133611546</v>
      </c>
      <c r="CA82" s="16">
        <v>1.2855728209999655</v>
      </c>
      <c r="CB82" s="16">
        <v>1.3130561366399569</v>
      </c>
      <c r="CC82" s="16">
        <v>1.2865776583389332</v>
      </c>
      <c r="CD82" s="16">
        <v>1.396733437281789</v>
      </c>
      <c r="CE82" s="16">
        <v>1.1790156303299166</v>
      </c>
      <c r="CF82" s="16">
        <f t="shared" si="2"/>
        <v>1.3863901833968575</v>
      </c>
      <c r="CG82" s="16">
        <f t="shared" si="2"/>
        <v>1.2855728209999655</v>
      </c>
      <c r="CH82" s="30"/>
      <c r="CI82" s="30"/>
      <c r="CJ82" s="30"/>
      <c r="CK82" s="30"/>
      <c r="CL82" s="30">
        <v>1000</v>
      </c>
      <c r="CM82" s="30">
        <v>3000</v>
      </c>
      <c r="CN82" s="30"/>
      <c r="CO82" s="30">
        <v>2000</v>
      </c>
      <c r="CP82" s="30"/>
      <c r="CQ82" s="30">
        <v>1000</v>
      </c>
      <c r="CR82" s="30"/>
      <c r="CS82" s="30">
        <v>1500</v>
      </c>
      <c r="CT82" s="30">
        <v>1500</v>
      </c>
      <c r="CU82" s="30">
        <v>1500</v>
      </c>
      <c r="CV82" s="30">
        <v>1500</v>
      </c>
      <c r="CW82" s="30">
        <v>1000</v>
      </c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>
        <v>0</v>
      </c>
      <c r="DO82" s="35">
        <v>3174.35</v>
      </c>
      <c r="DP82" s="35">
        <v>1601.10385</v>
      </c>
      <c r="DQ82" s="35">
        <v>0</v>
      </c>
      <c r="DR82" s="35">
        <v>399.6</v>
      </c>
    </row>
    <row r="83" spans="1:122" ht="25.5">
      <c r="A83" s="14">
        <f t="shared" si="3"/>
        <v>79</v>
      </c>
      <c r="B83" s="14" t="s">
        <v>173</v>
      </c>
      <c r="C83" s="14" t="s">
        <v>61</v>
      </c>
      <c r="D83" s="17" t="s">
        <v>64</v>
      </c>
      <c r="E83" s="14" t="s">
        <v>227</v>
      </c>
      <c r="F83" s="15">
        <v>81806.655950000015</v>
      </c>
      <c r="G83" s="15">
        <v>55328.388800000001</v>
      </c>
      <c r="H83" s="15">
        <v>47205.428</v>
      </c>
      <c r="I83" s="15">
        <v>52029.337500000001</v>
      </c>
      <c r="J83" s="15">
        <v>52599.361000000004</v>
      </c>
      <c r="K83" s="15">
        <v>64026.147750000004</v>
      </c>
      <c r="L83" s="15">
        <v>80045.012950000018</v>
      </c>
      <c r="M83" s="15">
        <v>81018.719100000017</v>
      </c>
      <c r="N83" s="15">
        <v>92394.65625</v>
      </c>
      <c r="O83" s="15">
        <v>108033.36055</v>
      </c>
      <c r="P83" s="15">
        <v>122445.65280000003</v>
      </c>
      <c r="Q83" s="15">
        <v>104073.07824999999</v>
      </c>
      <c r="R83" s="15">
        <v>95090.938300000009</v>
      </c>
      <c r="S83" s="15">
        <v>91369.606050000002</v>
      </c>
      <c r="T83" s="15">
        <v>75236.345700000005</v>
      </c>
      <c r="U83" s="15">
        <v>108033.36055</v>
      </c>
      <c r="V83" s="15">
        <v>743.17729999999995</v>
      </c>
      <c r="W83" s="15">
        <v>72019.536200000002</v>
      </c>
      <c r="X83" s="15">
        <v>3761.3098</v>
      </c>
      <c r="Y83" s="15">
        <v>5728.2569000000003</v>
      </c>
      <c r="Z83" s="15">
        <v>343.899</v>
      </c>
      <c r="AA83" s="15">
        <v>1712.752</v>
      </c>
      <c r="AB83" s="15">
        <v>597.92100000000005</v>
      </c>
      <c r="AC83" s="15">
        <v>282.13799999999998</v>
      </c>
      <c r="AD83" s="15">
        <v>88.4619</v>
      </c>
      <c r="AE83" s="15">
        <v>1020.0112499999999</v>
      </c>
      <c r="AF83" s="15">
        <v>69.170450000000002</v>
      </c>
      <c r="AG83" s="15">
        <v>21.2</v>
      </c>
      <c r="AH83" s="15">
        <v>4715.1656999999996</v>
      </c>
      <c r="AI83" s="15">
        <v>16544.637149999999</v>
      </c>
      <c r="AJ83" s="15">
        <v>14798.016150000036</v>
      </c>
      <c r="AK83" s="15">
        <v>76867.922300000006</v>
      </c>
      <c r="AL83" s="15">
        <v>2274.3284999999996</v>
      </c>
      <c r="AM83" s="15">
        <v>43303.402000000016</v>
      </c>
      <c r="AN83" s="15">
        <v>68396.417950000003</v>
      </c>
      <c r="AO83" s="15">
        <v>68492.805250000005</v>
      </c>
      <c r="AP83" s="15">
        <v>51338.010249999992</v>
      </c>
      <c r="AQ83" s="15">
        <v>61216.643550000001</v>
      </c>
      <c r="AR83" s="15">
        <v>57556.795349999986</v>
      </c>
      <c r="AS83" s="15">
        <v>58553.626650000006</v>
      </c>
      <c r="AT83" s="15">
        <v>65432.328950000003</v>
      </c>
      <c r="AU83" s="15">
        <v>66660.664850000001</v>
      </c>
      <c r="AV83" s="15">
        <v>89453.300499999998</v>
      </c>
      <c r="AW83" s="15">
        <v>96153.067599999995</v>
      </c>
      <c r="AX83" s="15">
        <v>108866.7672</v>
      </c>
      <c r="AY83" s="15">
        <v>97445.569049999991</v>
      </c>
      <c r="AZ83" s="15">
        <v>88138.653200000001</v>
      </c>
      <c r="BA83" s="15">
        <v>79170.837449999992</v>
      </c>
      <c r="BB83" s="15">
        <v>72434.358850000004</v>
      </c>
      <c r="BC83" s="15">
        <v>96153.067599999995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359.07594999999998</v>
      </c>
      <c r="BJ83" s="15">
        <v>29350.148250000002</v>
      </c>
      <c r="BK83" s="15">
        <v>13144.440699999999</v>
      </c>
      <c r="BL83" s="15">
        <v>47421.207849999999</v>
      </c>
      <c r="BM83" s="15">
        <v>402.23165</v>
      </c>
      <c r="BN83" s="15">
        <v>0</v>
      </c>
      <c r="BO83" s="15">
        <v>0</v>
      </c>
      <c r="BP83" s="15">
        <v>11584.7868</v>
      </c>
      <c r="BQ83" s="15">
        <v>6604.8759999999984</v>
      </c>
      <c r="BR83" s="16">
        <v>1.1960663789411212</v>
      </c>
      <c r="BS83" s="16">
        <v>0.80779855049081961</v>
      </c>
      <c r="BT83" s="16">
        <v>0.91950248500330234</v>
      </c>
      <c r="BU83" s="16">
        <v>0.84992143447890811</v>
      </c>
      <c r="BV83" s="16">
        <v>0.91386882608988096</v>
      </c>
      <c r="BW83" s="16">
        <v>1.0934616933757424</v>
      </c>
      <c r="BX83" s="16">
        <v>1.2233251396441394</v>
      </c>
      <c r="BY83" s="16">
        <v>1.2153902047378098</v>
      </c>
      <c r="BZ83" s="16">
        <v>1.0328814670175306</v>
      </c>
      <c r="CA83" s="16">
        <v>1.1235560471083712</v>
      </c>
      <c r="CB83" s="16">
        <v>1.1247293912480578</v>
      </c>
      <c r="CC83" s="16">
        <v>1.0680124223667817</v>
      </c>
      <c r="CD83" s="16">
        <v>1.0788789577283897</v>
      </c>
      <c r="CE83" s="16">
        <v>1.154081591061912</v>
      </c>
      <c r="CF83" s="16">
        <f t="shared" si="2"/>
        <v>1.0386831179910416</v>
      </c>
      <c r="CG83" s="16">
        <f t="shared" si="2"/>
        <v>1.1235560471083712</v>
      </c>
      <c r="CH83" s="30"/>
      <c r="CI83" s="30">
        <v>9500</v>
      </c>
      <c r="CJ83" s="30">
        <v>12000</v>
      </c>
      <c r="CK83" s="30">
        <v>5000</v>
      </c>
      <c r="CL83" s="30">
        <v>8500</v>
      </c>
      <c r="CM83" s="30">
        <v>4000</v>
      </c>
      <c r="CN83" s="30"/>
      <c r="CO83" s="30"/>
      <c r="CP83" s="30"/>
      <c r="CQ83" s="30">
        <v>5000</v>
      </c>
      <c r="CR83" s="30"/>
      <c r="CS83" s="30">
        <v>0</v>
      </c>
      <c r="CT83" s="30">
        <v>4000</v>
      </c>
      <c r="CU83" s="30">
        <v>3000</v>
      </c>
      <c r="CV83" s="30">
        <v>7000</v>
      </c>
      <c r="CW83" s="30">
        <v>5000</v>
      </c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>
        <v>0</v>
      </c>
      <c r="DO83" s="35">
        <v>4817.42</v>
      </c>
      <c r="DP83" s="35">
        <v>2600</v>
      </c>
      <c r="DQ83" s="35">
        <v>0</v>
      </c>
      <c r="DR83" s="35">
        <v>18</v>
      </c>
    </row>
    <row r="84" spans="1:122" ht="25.5">
      <c r="A84" s="14">
        <f t="shared" si="3"/>
        <v>80</v>
      </c>
      <c r="B84" s="14" t="s">
        <v>174</v>
      </c>
      <c r="C84" s="14" t="s">
        <v>61</v>
      </c>
      <c r="D84" s="17" t="s">
        <v>65</v>
      </c>
      <c r="E84" s="14" t="s">
        <v>234</v>
      </c>
      <c r="F84" s="15">
        <v>43266.564650000008</v>
      </c>
      <c r="G84" s="15">
        <v>37775.039550000001</v>
      </c>
      <c r="H84" s="15">
        <v>37477.276749999997</v>
      </c>
      <c r="I84" s="15">
        <v>42387.88459999999</v>
      </c>
      <c r="J84" s="15">
        <v>44925.570300000007</v>
      </c>
      <c r="K84" s="15">
        <v>40808.883199999997</v>
      </c>
      <c r="L84" s="15">
        <v>46369.660349999991</v>
      </c>
      <c r="M84" s="15">
        <v>42829.235950000002</v>
      </c>
      <c r="N84" s="15">
        <v>43516.838750000003</v>
      </c>
      <c r="O84" s="15">
        <v>52900.238449999997</v>
      </c>
      <c r="P84" s="15">
        <v>53739.662249999994</v>
      </c>
      <c r="Q84" s="15">
        <v>58128.744449999998</v>
      </c>
      <c r="R84" s="15">
        <v>50103.059300000008</v>
      </c>
      <c r="S84" s="15">
        <v>47857.090799999998</v>
      </c>
      <c r="T84" s="15">
        <v>63268.654650000004</v>
      </c>
      <c r="U84" s="15">
        <v>52900.238449999997</v>
      </c>
      <c r="V84" s="15">
        <v>882.06899999999996</v>
      </c>
      <c r="W84" s="15">
        <v>16294.247300000001</v>
      </c>
      <c r="X84" s="15">
        <v>1241.1125999999999</v>
      </c>
      <c r="Y84" s="15">
        <v>3544.76145</v>
      </c>
      <c r="Z84" s="15">
        <v>0.35</v>
      </c>
      <c r="AA84" s="15">
        <v>1440.4748500000001</v>
      </c>
      <c r="AB84" s="15">
        <v>0</v>
      </c>
      <c r="AC84" s="15">
        <v>929.42</v>
      </c>
      <c r="AD84" s="15">
        <v>240.68900000000002</v>
      </c>
      <c r="AE84" s="15">
        <v>511.94995</v>
      </c>
      <c r="AF84" s="15">
        <v>412.29640000000001</v>
      </c>
      <c r="AG84" s="15">
        <v>13.9</v>
      </c>
      <c r="AH84" s="15">
        <v>2645.3786</v>
      </c>
      <c r="AI84" s="15">
        <v>2518.078</v>
      </c>
      <c r="AJ84" s="15">
        <v>23064.935099999992</v>
      </c>
      <c r="AK84" s="15">
        <v>18417.778900000001</v>
      </c>
      <c r="AL84" s="15">
        <v>2367.8993</v>
      </c>
      <c r="AM84" s="15">
        <v>32953.984049999992</v>
      </c>
      <c r="AN84" s="15">
        <v>36428.858199999995</v>
      </c>
      <c r="AO84" s="15">
        <v>33597.066749999998</v>
      </c>
      <c r="AP84" s="15">
        <v>32891.672299999998</v>
      </c>
      <c r="AQ84" s="15">
        <v>45591.643550000001</v>
      </c>
      <c r="AR84" s="15">
        <v>46506.138350000001</v>
      </c>
      <c r="AS84" s="15">
        <v>42830.833450000006</v>
      </c>
      <c r="AT84" s="15">
        <v>44643.750749999999</v>
      </c>
      <c r="AU84" s="15">
        <v>40651.910000000003</v>
      </c>
      <c r="AV84" s="15">
        <v>41621.762600000002</v>
      </c>
      <c r="AW84" s="15">
        <v>40814.910000000003</v>
      </c>
      <c r="AX84" s="15">
        <v>42604.999400000001</v>
      </c>
      <c r="AY84" s="15">
        <v>46246.277900000001</v>
      </c>
      <c r="AZ84" s="15">
        <v>40681.434849999998</v>
      </c>
      <c r="BA84" s="15">
        <v>48641.526449999998</v>
      </c>
      <c r="BB84" s="15">
        <v>43002.949000000001</v>
      </c>
      <c r="BC84" s="15">
        <v>40814.910000000003</v>
      </c>
      <c r="BD84" s="15">
        <v>0</v>
      </c>
      <c r="BE84" s="15">
        <v>714.99699999999996</v>
      </c>
      <c r="BF84" s="15">
        <v>0</v>
      </c>
      <c r="BG84" s="15">
        <v>0</v>
      </c>
      <c r="BH84" s="15">
        <v>0</v>
      </c>
      <c r="BI84" s="15">
        <v>940.78234999999995</v>
      </c>
      <c r="BJ84" s="15">
        <v>23601.107</v>
      </c>
      <c r="BK84" s="15">
        <v>1783.8478500000001</v>
      </c>
      <c r="BL84" s="15">
        <v>10071.430050000001</v>
      </c>
      <c r="BM84" s="15">
        <v>31.0458</v>
      </c>
      <c r="BN84" s="15">
        <v>0</v>
      </c>
      <c r="BO84" s="15">
        <v>723.13499999999999</v>
      </c>
      <c r="BP84" s="15">
        <v>2405.4499999999998</v>
      </c>
      <c r="BQ84" s="15">
        <v>2333.2043500000009</v>
      </c>
      <c r="BR84" s="16">
        <v>1.1877002680803215</v>
      </c>
      <c r="BS84" s="16">
        <v>1.1243552846767495</v>
      </c>
      <c r="BT84" s="16">
        <v>1.139415363505248</v>
      </c>
      <c r="BU84" s="16">
        <v>0.92972925078942437</v>
      </c>
      <c r="BV84" s="16">
        <v>0.9660137756847319</v>
      </c>
      <c r="BW84" s="16">
        <v>0.95279218060604864</v>
      </c>
      <c r="BX84" s="16">
        <v>1.0386596011984945</v>
      </c>
      <c r="BY84" s="16">
        <v>1.0535602373910598</v>
      </c>
      <c r="BZ84" s="16">
        <v>1.0455308961374932</v>
      </c>
      <c r="CA84" s="16">
        <v>1.2961008232040692</v>
      </c>
      <c r="CB84" s="16">
        <v>1.2613463914284198</v>
      </c>
      <c r="CC84" s="16">
        <v>1.2569388735606764</v>
      </c>
      <c r="CD84" s="16">
        <v>1.2315951854879084</v>
      </c>
      <c r="CE84" s="16">
        <v>0.98387312843057373</v>
      </c>
      <c r="CF84" s="16">
        <f t="shared" si="2"/>
        <v>1.4712631603474451</v>
      </c>
      <c r="CG84" s="16">
        <f t="shared" si="2"/>
        <v>1.2961008232040692</v>
      </c>
      <c r="CH84" s="30"/>
      <c r="CI84" s="30"/>
      <c r="CJ84" s="30"/>
      <c r="CK84" s="30"/>
      <c r="CL84" s="30">
        <v>2000</v>
      </c>
      <c r="CM84" s="30">
        <v>5000</v>
      </c>
      <c r="CN84" s="30"/>
      <c r="CO84" s="30"/>
      <c r="CP84" s="30"/>
      <c r="CQ84" s="30">
        <v>0</v>
      </c>
      <c r="CR84" s="30"/>
      <c r="CS84" s="30">
        <v>0</v>
      </c>
      <c r="CT84" s="30"/>
      <c r="CU84" s="30"/>
      <c r="CV84" s="30">
        <v>5000</v>
      </c>
      <c r="CW84" s="30">
        <v>0</v>
      </c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>
        <v>0</v>
      </c>
      <c r="DO84" s="35">
        <v>4643.5450000000001</v>
      </c>
      <c r="DP84" s="35">
        <v>1524.2502999999999</v>
      </c>
      <c r="DQ84" s="35">
        <v>0</v>
      </c>
      <c r="DR84" s="35">
        <v>659</v>
      </c>
    </row>
    <row r="85" spans="1:122" ht="25.5">
      <c r="A85" s="14">
        <f t="shared" si="3"/>
        <v>81</v>
      </c>
      <c r="B85" s="14" t="s">
        <v>175</v>
      </c>
      <c r="C85" s="14" t="s">
        <v>61</v>
      </c>
      <c r="D85" s="17" t="s">
        <v>66</v>
      </c>
      <c r="E85" s="14" t="s">
        <v>236</v>
      </c>
      <c r="F85" s="15">
        <v>36328.239150000001</v>
      </c>
      <c r="G85" s="15">
        <v>27766.725350000001</v>
      </c>
      <c r="H85" s="15">
        <v>28522.802449999996</v>
      </c>
      <c r="I85" s="15">
        <v>37463.871449999999</v>
      </c>
      <c r="J85" s="15">
        <v>36563.832899999994</v>
      </c>
      <c r="K85" s="15">
        <v>35371.75275</v>
      </c>
      <c r="L85" s="15">
        <v>38898.928449999992</v>
      </c>
      <c r="M85" s="15">
        <v>37803.672250000003</v>
      </c>
      <c r="N85" s="15">
        <v>42412.696449999996</v>
      </c>
      <c r="O85" s="15">
        <v>41613.948399999994</v>
      </c>
      <c r="P85" s="15">
        <v>41530.275199999996</v>
      </c>
      <c r="Q85" s="15">
        <v>45210.668299999998</v>
      </c>
      <c r="R85" s="15">
        <v>45280.95955</v>
      </c>
      <c r="S85" s="15">
        <v>43973.083850000003</v>
      </c>
      <c r="T85" s="15">
        <v>55464.180749999992</v>
      </c>
      <c r="U85" s="15">
        <v>41613.948399999994</v>
      </c>
      <c r="V85" s="15">
        <v>123.86</v>
      </c>
      <c r="W85" s="15">
        <v>9346.6661999999997</v>
      </c>
      <c r="X85" s="15">
        <v>4638.4354999999996</v>
      </c>
      <c r="Y85" s="15">
        <v>3848.7806500000002</v>
      </c>
      <c r="Z85" s="15">
        <v>75.086500000000001</v>
      </c>
      <c r="AA85" s="15">
        <v>2054.8806500000001</v>
      </c>
      <c r="AB85" s="15">
        <v>99.483000000000004</v>
      </c>
      <c r="AC85" s="15">
        <v>1231.038</v>
      </c>
      <c r="AD85" s="15">
        <v>49.794250000000005</v>
      </c>
      <c r="AE85" s="15">
        <v>569.54395</v>
      </c>
      <c r="AF85" s="15">
        <v>169.83044999999998</v>
      </c>
      <c r="AG85" s="15">
        <v>18</v>
      </c>
      <c r="AH85" s="15">
        <v>3812.9502499999999</v>
      </c>
      <c r="AI85" s="15">
        <v>4591.0456999999997</v>
      </c>
      <c r="AJ85" s="15">
        <v>10900.880099999991</v>
      </c>
      <c r="AK85" s="15">
        <v>14184.048199999999</v>
      </c>
      <c r="AL85" s="15">
        <v>2791.3656500000002</v>
      </c>
      <c r="AM85" s="15">
        <v>24554.861349999999</v>
      </c>
      <c r="AN85" s="15">
        <v>31631.995600000002</v>
      </c>
      <c r="AO85" s="15">
        <v>31451.889949999997</v>
      </c>
      <c r="AP85" s="15">
        <v>29453.558399999998</v>
      </c>
      <c r="AQ85" s="15">
        <v>35501.089650000002</v>
      </c>
      <c r="AR85" s="15">
        <v>34429.681499999999</v>
      </c>
      <c r="AS85" s="15">
        <v>27991.045399999999</v>
      </c>
      <c r="AT85" s="15">
        <v>32543.918949999999</v>
      </c>
      <c r="AU85" s="15">
        <v>34944.504500000003</v>
      </c>
      <c r="AV85" s="15">
        <v>41041.647149999997</v>
      </c>
      <c r="AW85" s="15">
        <v>39736.83885</v>
      </c>
      <c r="AX85" s="15">
        <v>36846.608049999995</v>
      </c>
      <c r="AY85" s="15">
        <v>50796.345849999998</v>
      </c>
      <c r="AZ85" s="15">
        <v>36761.354399999997</v>
      </c>
      <c r="BA85" s="15">
        <v>40437.058649999999</v>
      </c>
      <c r="BB85" s="15">
        <v>54803.61275</v>
      </c>
      <c r="BC85" s="15">
        <v>39736.83885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1373.2824000000001</v>
      </c>
      <c r="BJ85" s="15">
        <v>12370.9236</v>
      </c>
      <c r="BK85" s="15">
        <v>6266.2723999999998</v>
      </c>
      <c r="BL85" s="15">
        <v>9954.6198499999991</v>
      </c>
      <c r="BM85" s="15">
        <v>721.88374999999996</v>
      </c>
      <c r="BN85" s="15">
        <v>0</v>
      </c>
      <c r="BO85" s="15">
        <v>406.5</v>
      </c>
      <c r="BP85" s="15">
        <v>3111.558</v>
      </c>
      <c r="BQ85" s="15">
        <v>2641.5680499999999</v>
      </c>
      <c r="BR85" s="16">
        <v>1.1484649786053966</v>
      </c>
      <c r="BS85" s="16">
        <v>0.88283169609653311</v>
      </c>
      <c r="BT85" s="16">
        <v>0.96839920197893636</v>
      </c>
      <c r="BU85" s="16">
        <v>1.0552879311410093</v>
      </c>
      <c r="BV85" s="16">
        <v>1.0619858014080088</v>
      </c>
      <c r="BW85" s="16">
        <v>1.2636810181444671</v>
      </c>
      <c r="BX85" s="16">
        <v>1.1952748687016992</v>
      </c>
      <c r="BY85" s="16">
        <v>1.0818202401467734</v>
      </c>
      <c r="BZ85" s="16">
        <v>1.0334062932462007</v>
      </c>
      <c r="CA85" s="16">
        <v>1.0472385223466258</v>
      </c>
      <c r="CB85" s="16">
        <v>1.1271125728491582</v>
      </c>
      <c r="CC85" s="16">
        <v>0.89003780770974494</v>
      </c>
      <c r="CD85" s="16">
        <v>1.2317543868840699</v>
      </c>
      <c r="CE85" s="16">
        <v>1.0874451633736719</v>
      </c>
      <c r="CF85" s="16">
        <f t="shared" si="2"/>
        <v>1.0120533659525939</v>
      </c>
      <c r="CG85" s="16">
        <f t="shared" si="2"/>
        <v>1.0472385223466258</v>
      </c>
      <c r="CH85" s="30"/>
      <c r="CI85" s="30">
        <v>1000</v>
      </c>
      <c r="CJ85" s="30">
        <v>500</v>
      </c>
      <c r="CK85" s="30">
        <v>3000</v>
      </c>
      <c r="CL85" s="30"/>
      <c r="CM85" s="30"/>
      <c r="CN85" s="30"/>
      <c r="CO85" s="30"/>
      <c r="CP85" s="30"/>
      <c r="CQ85" s="30">
        <v>1000</v>
      </c>
      <c r="CR85" s="30"/>
      <c r="CS85" s="30">
        <v>0</v>
      </c>
      <c r="CT85" s="30"/>
      <c r="CU85" s="30"/>
      <c r="CV85" s="30">
        <v>0</v>
      </c>
      <c r="CW85" s="30">
        <v>1000</v>
      </c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>
        <v>0</v>
      </c>
      <c r="DO85" s="35">
        <v>3277.6680000000001</v>
      </c>
      <c r="DP85" s="35">
        <v>5656</v>
      </c>
      <c r="DQ85" s="35">
        <v>0</v>
      </c>
      <c r="DR85" s="35">
        <v>43</v>
      </c>
    </row>
    <row r="86" spans="1:122" ht="25.5">
      <c r="A86" s="14">
        <f t="shared" si="3"/>
        <v>82</v>
      </c>
      <c r="B86" s="14" t="s">
        <v>176</v>
      </c>
      <c r="C86" s="14" t="s">
        <v>61</v>
      </c>
      <c r="D86" s="17" t="s">
        <v>67</v>
      </c>
      <c r="E86" s="14" t="s">
        <v>238</v>
      </c>
      <c r="F86" s="15">
        <v>41372.975299999991</v>
      </c>
      <c r="G86" s="15">
        <v>39596.758049999997</v>
      </c>
      <c r="H86" s="15">
        <v>36117.661949999994</v>
      </c>
      <c r="I86" s="15">
        <v>42451.159350000009</v>
      </c>
      <c r="J86" s="15">
        <v>41151.403700000003</v>
      </c>
      <c r="K86" s="15">
        <v>46669.289000000004</v>
      </c>
      <c r="L86" s="15">
        <v>52069.06495</v>
      </c>
      <c r="M86" s="15">
        <v>49599.202100000002</v>
      </c>
      <c r="N86" s="15">
        <v>57173.615100000003</v>
      </c>
      <c r="O86" s="15">
        <v>52730.854350000001</v>
      </c>
      <c r="P86" s="15">
        <v>49191.415449999986</v>
      </c>
      <c r="Q86" s="15">
        <v>62269.10295</v>
      </c>
      <c r="R86" s="15">
        <v>54775.102299999991</v>
      </c>
      <c r="S86" s="15">
        <v>55363.604100000011</v>
      </c>
      <c r="T86" s="15">
        <v>56411.132599999997</v>
      </c>
      <c r="U86" s="15">
        <v>52730.854350000001</v>
      </c>
      <c r="V86" s="15">
        <v>543.81179999999995</v>
      </c>
      <c r="W86" s="15">
        <v>12012.04925</v>
      </c>
      <c r="X86" s="15">
        <v>1465.6110000000001</v>
      </c>
      <c r="Y86" s="15">
        <v>3523.6042499999999</v>
      </c>
      <c r="Z86" s="15">
        <v>135.1525</v>
      </c>
      <c r="AA86" s="15">
        <v>1836.269</v>
      </c>
      <c r="AB86" s="15">
        <v>123.91500000000001</v>
      </c>
      <c r="AC86" s="15">
        <v>4872.9349000000002</v>
      </c>
      <c r="AD86" s="15">
        <v>19.190000000000001</v>
      </c>
      <c r="AE86" s="15">
        <v>1126.4997499999999</v>
      </c>
      <c r="AF86" s="15">
        <v>40.525399999999998</v>
      </c>
      <c r="AG86" s="15">
        <v>17.25</v>
      </c>
      <c r="AH86" s="15">
        <v>2774.3551000000002</v>
      </c>
      <c r="AI86" s="15">
        <v>6751.9849000000004</v>
      </c>
      <c r="AJ86" s="15">
        <v>13948.262599999976</v>
      </c>
      <c r="AK86" s="15">
        <v>14156.62455</v>
      </c>
      <c r="AL86" s="15">
        <v>6961.6376499999997</v>
      </c>
      <c r="AM86" s="15">
        <v>28073.153249999985</v>
      </c>
      <c r="AN86" s="15">
        <v>42070.777799999996</v>
      </c>
      <c r="AO86" s="15">
        <v>37726.73520000001</v>
      </c>
      <c r="AP86" s="15">
        <v>40714.363500000007</v>
      </c>
      <c r="AQ86" s="15">
        <v>46236.952099999995</v>
      </c>
      <c r="AR86" s="15">
        <v>44869.97855</v>
      </c>
      <c r="AS86" s="15">
        <v>47132.880149999997</v>
      </c>
      <c r="AT86" s="15">
        <v>52007.1253</v>
      </c>
      <c r="AU86" s="15">
        <v>55479.897899999996</v>
      </c>
      <c r="AV86" s="15">
        <v>55400.43275</v>
      </c>
      <c r="AW86" s="15">
        <v>55801.836750000002</v>
      </c>
      <c r="AX86" s="15">
        <v>49924.553899999999</v>
      </c>
      <c r="AY86" s="15">
        <v>71099.724749999994</v>
      </c>
      <c r="AZ86" s="15">
        <v>62627.545250000003</v>
      </c>
      <c r="BA86" s="15">
        <v>65814.90135</v>
      </c>
      <c r="BB86" s="15">
        <v>68866.434450000001</v>
      </c>
      <c r="BC86" s="15">
        <v>55801.836750000002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1165.9751000000001</v>
      </c>
      <c r="BJ86" s="15">
        <v>26694.355800000001</v>
      </c>
      <c r="BK86" s="15">
        <v>7120.5279</v>
      </c>
      <c r="BL86" s="15">
        <v>9844.9191499999997</v>
      </c>
      <c r="BM86" s="15">
        <v>1648.2907499999999</v>
      </c>
      <c r="BN86" s="15">
        <v>0</v>
      </c>
      <c r="BO86" s="15">
        <v>143</v>
      </c>
      <c r="BP86" s="15">
        <v>1158.6368</v>
      </c>
      <c r="BQ86" s="15">
        <v>2148.8483999999949</v>
      </c>
      <c r="BR86" s="16">
        <v>0.98341360591626603</v>
      </c>
      <c r="BS86" s="16">
        <v>1.0495675769473947</v>
      </c>
      <c r="BT86" s="16">
        <v>0.88709877412181548</v>
      </c>
      <c r="BU86" s="16">
        <v>0.91812192244393231</v>
      </c>
      <c r="BV86" s="16">
        <v>0.91712554874845165</v>
      </c>
      <c r="BW86" s="16">
        <v>0.9901641667446458</v>
      </c>
      <c r="BX86" s="16">
        <v>1.0011909839208128</v>
      </c>
      <c r="BY86" s="16">
        <v>0.89400312504900992</v>
      </c>
      <c r="BZ86" s="16">
        <v>1.0320066516086916</v>
      </c>
      <c r="CA86" s="16">
        <v>0.9449662846447433</v>
      </c>
      <c r="CB86" s="16">
        <v>0.98531507258996232</v>
      </c>
      <c r="CC86" s="16">
        <v>0.87579949386512923</v>
      </c>
      <c r="CD86" s="16">
        <v>0.87461678533536313</v>
      </c>
      <c r="CE86" s="16">
        <v>0.84120165744197395</v>
      </c>
      <c r="CF86" s="16">
        <f t="shared" si="2"/>
        <v>0.81913827905460834</v>
      </c>
      <c r="CG86" s="16">
        <f t="shared" si="2"/>
        <v>0.9449662846447433</v>
      </c>
      <c r="CH86" s="30"/>
      <c r="CI86" s="30"/>
      <c r="CJ86" s="30">
        <v>6500</v>
      </c>
      <c r="CK86" s="30">
        <v>2000</v>
      </c>
      <c r="CL86" s="30">
        <v>3000</v>
      </c>
      <c r="CM86" s="30">
        <v>2000</v>
      </c>
      <c r="CN86" s="30"/>
      <c r="CO86" s="30">
        <v>5000</v>
      </c>
      <c r="CP86" s="30"/>
      <c r="CQ86" s="30">
        <v>4000</v>
      </c>
      <c r="CR86" s="30"/>
      <c r="CS86" s="30">
        <v>4500</v>
      </c>
      <c r="CT86" s="30"/>
      <c r="CU86" s="30"/>
      <c r="CV86" s="30">
        <v>9500</v>
      </c>
      <c r="CW86" s="30">
        <v>4000</v>
      </c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>
        <v>0</v>
      </c>
      <c r="DO86" s="35">
        <v>4173.5249999999996</v>
      </c>
      <c r="DP86" s="35">
        <v>2000</v>
      </c>
      <c r="DQ86" s="35">
        <v>0</v>
      </c>
      <c r="DR86" s="35">
        <v>289.8</v>
      </c>
    </row>
    <row r="87" spans="1:122" ht="25.5">
      <c r="A87" s="14">
        <f t="shared" si="3"/>
        <v>83</v>
      </c>
      <c r="B87" s="14" t="s">
        <v>177</v>
      </c>
      <c r="C87" s="14" t="s">
        <v>68</v>
      </c>
      <c r="D87" s="17" t="s">
        <v>69</v>
      </c>
      <c r="E87" s="14" t="s">
        <v>225</v>
      </c>
      <c r="F87" s="15">
        <v>37014.416550000002</v>
      </c>
      <c r="G87" s="15">
        <v>25947.51815</v>
      </c>
      <c r="H87" s="15">
        <v>27149.987249999995</v>
      </c>
      <c r="I87" s="15">
        <v>34073.207300000002</v>
      </c>
      <c r="J87" s="15">
        <v>31733.81625</v>
      </c>
      <c r="K87" s="15">
        <v>33901.149600000004</v>
      </c>
      <c r="L87" s="15">
        <v>44431.800499999998</v>
      </c>
      <c r="M87" s="15">
        <v>40419.478649999997</v>
      </c>
      <c r="N87" s="15">
        <v>34128.791549999994</v>
      </c>
      <c r="O87" s="15">
        <v>53324.263050000023</v>
      </c>
      <c r="P87" s="15">
        <v>49019.808349999985</v>
      </c>
      <c r="Q87" s="15">
        <v>79703.467650000006</v>
      </c>
      <c r="R87" s="15">
        <v>45900.866999999998</v>
      </c>
      <c r="S87" s="15">
        <v>51788.924800000001</v>
      </c>
      <c r="T87" s="15">
        <v>53531.20150000001</v>
      </c>
      <c r="U87" s="15">
        <v>53324.263050000023</v>
      </c>
      <c r="V87" s="15">
        <v>193.345</v>
      </c>
      <c r="W87" s="15">
        <v>9101.3294999999998</v>
      </c>
      <c r="X87" s="15">
        <v>16374.004849999999</v>
      </c>
      <c r="Y87" s="15">
        <v>871.26514999999995</v>
      </c>
      <c r="Z87" s="15">
        <v>0</v>
      </c>
      <c r="AA87" s="15">
        <v>7178.9939999999997</v>
      </c>
      <c r="AB87" s="15">
        <v>15.1</v>
      </c>
      <c r="AC87" s="15">
        <v>22.5</v>
      </c>
      <c r="AD87" s="15">
        <v>58.154799999999994</v>
      </c>
      <c r="AE87" s="15">
        <v>94.826999999999998</v>
      </c>
      <c r="AF87" s="15">
        <v>448.32830000000001</v>
      </c>
      <c r="AG87" s="15">
        <v>0</v>
      </c>
      <c r="AH87" s="15">
        <v>5966.2353999999996</v>
      </c>
      <c r="AI87" s="15">
        <v>192.274</v>
      </c>
      <c r="AJ87" s="15">
        <v>8503.450350000001</v>
      </c>
      <c r="AK87" s="15">
        <v>25668.679349999999</v>
      </c>
      <c r="AL87" s="15">
        <v>263.0471</v>
      </c>
      <c r="AM87" s="15">
        <v>23088.081899999986</v>
      </c>
      <c r="AN87" s="15">
        <v>30344.90595</v>
      </c>
      <c r="AO87" s="15">
        <v>29034.825149999997</v>
      </c>
      <c r="AP87" s="15">
        <v>29027.901000000005</v>
      </c>
      <c r="AQ87" s="15">
        <v>34255.947650000002</v>
      </c>
      <c r="AR87" s="15">
        <v>31926.8135</v>
      </c>
      <c r="AS87" s="15">
        <v>29898.098700000002</v>
      </c>
      <c r="AT87" s="15">
        <v>39406.311099999999</v>
      </c>
      <c r="AU87" s="15">
        <v>39545.513700000003</v>
      </c>
      <c r="AV87" s="15">
        <v>51426.924250000004</v>
      </c>
      <c r="AW87" s="15">
        <v>48194.291550000002</v>
      </c>
      <c r="AX87" s="15">
        <v>40446.194349999998</v>
      </c>
      <c r="AY87" s="15">
        <v>50126.113300000012</v>
      </c>
      <c r="AZ87" s="15">
        <v>36709.222350000004</v>
      </c>
      <c r="BA87" s="15">
        <v>33044.928150000007</v>
      </c>
      <c r="BB87" s="15">
        <v>39393.032400000004</v>
      </c>
      <c r="BC87" s="15">
        <v>48194.291550000002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320.90499999999997</v>
      </c>
      <c r="BJ87" s="15">
        <v>18771.563999999998</v>
      </c>
      <c r="BK87" s="15">
        <v>676.55200000000002</v>
      </c>
      <c r="BL87" s="15">
        <v>18485.518049999999</v>
      </c>
      <c r="BM87" s="15">
        <v>69.385249999999999</v>
      </c>
      <c r="BN87" s="15">
        <v>0</v>
      </c>
      <c r="BO87" s="15">
        <v>0</v>
      </c>
      <c r="BP87" s="15">
        <v>1755.48</v>
      </c>
      <c r="BQ87" s="15">
        <v>366.79004999999847</v>
      </c>
      <c r="BR87" s="16">
        <v>1.2197901226317691</v>
      </c>
      <c r="BS87" s="16">
        <v>0.89366882755276389</v>
      </c>
      <c r="BT87" s="16">
        <v>0.93530659519611803</v>
      </c>
      <c r="BU87" s="16">
        <v>0.99466544169593274</v>
      </c>
      <c r="BV87" s="16">
        <v>0.99395501057441893</v>
      </c>
      <c r="BW87" s="16">
        <v>1.1338898148730776</v>
      </c>
      <c r="BX87" s="16">
        <v>1.1275300645941457</v>
      </c>
      <c r="BY87" s="16">
        <v>1.0221002300445523</v>
      </c>
      <c r="BZ87" s="16">
        <v>0.66363664651789844</v>
      </c>
      <c r="CA87" s="16">
        <v>1.106443550366911</v>
      </c>
      <c r="CB87" s="16">
        <v>1.2119757900040844</v>
      </c>
      <c r="CC87" s="16">
        <v>1.5900588017463542</v>
      </c>
      <c r="CD87" s="16">
        <v>1.2503906119929014</v>
      </c>
      <c r="CE87" s="16">
        <v>1.5672276412560453</v>
      </c>
      <c r="CF87" s="16">
        <f t="shared" si="2"/>
        <v>1.3589002480550343</v>
      </c>
      <c r="CG87" s="16">
        <f t="shared" si="2"/>
        <v>1.106443550366911</v>
      </c>
      <c r="CH87" s="30"/>
      <c r="CI87" s="30"/>
      <c r="CJ87" s="30">
        <v>2500</v>
      </c>
      <c r="CK87" s="30"/>
      <c r="CL87" s="30"/>
      <c r="CM87" s="30"/>
      <c r="CN87" s="30"/>
      <c r="CO87" s="30"/>
      <c r="CP87" s="30">
        <v>1000</v>
      </c>
      <c r="CQ87" s="30">
        <v>6000</v>
      </c>
      <c r="CR87" s="30"/>
      <c r="CS87" s="30">
        <v>2000</v>
      </c>
      <c r="CT87" s="30"/>
      <c r="CU87" s="30"/>
      <c r="CV87" s="30"/>
      <c r="CW87" s="30">
        <v>6000</v>
      </c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>
        <v>17059.374349999998</v>
      </c>
      <c r="DO87" s="35">
        <v>3495.806</v>
      </c>
      <c r="DP87" s="35">
        <v>0</v>
      </c>
      <c r="DQ87" s="35">
        <v>0</v>
      </c>
      <c r="DR87" s="35">
        <v>393.09699999999998</v>
      </c>
    </row>
    <row r="88" spans="1:122" ht="25.5">
      <c r="A88" s="14">
        <f t="shared" si="3"/>
        <v>84</v>
      </c>
      <c r="B88" s="14" t="s">
        <v>179</v>
      </c>
      <c r="C88" s="14" t="s">
        <v>70</v>
      </c>
      <c r="D88" s="17" t="s">
        <v>71</v>
      </c>
      <c r="E88" s="14" t="s">
        <v>222</v>
      </c>
      <c r="F88" s="15"/>
      <c r="G88" s="15"/>
      <c r="H88" s="15"/>
      <c r="I88" s="15"/>
      <c r="J88" s="15"/>
      <c r="K88" s="15"/>
      <c r="L88" s="15"/>
      <c r="M88" s="15"/>
      <c r="N88" s="15"/>
      <c r="O88" s="15">
        <v>0</v>
      </c>
      <c r="P88" s="15">
        <v>92.575000000000003</v>
      </c>
      <c r="Q88" s="15">
        <v>1119.0809999999999</v>
      </c>
      <c r="R88" s="15">
        <v>1188.623</v>
      </c>
      <c r="S88" s="15">
        <v>1059.5550000000001</v>
      </c>
      <c r="T88" s="15">
        <v>1445.0519999999999</v>
      </c>
      <c r="U88" s="15">
        <v>0</v>
      </c>
      <c r="V88" s="15">
        <v>0</v>
      </c>
      <c r="W88" s="15">
        <v>92.575000000000003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92.575000000000003</v>
      </c>
      <c r="AL88" s="15">
        <v>0</v>
      </c>
      <c r="AM88" s="15">
        <v>0</v>
      </c>
      <c r="AN88" s="15"/>
      <c r="AO88" s="15"/>
      <c r="AP88" s="15"/>
      <c r="AQ88" s="15"/>
      <c r="AR88" s="15"/>
      <c r="AS88" s="15"/>
      <c r="AT88" s="15"/>
      <c r="AU88" s="15"/>
      <c r="AV88" s="15"/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/>
      <c r="CD88" s="16"/>
      <c r="CE88" s="16"/>
      <c r="CF88" s="16"/>
      <c r="CG88" s="16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>
        <v>0</v>
      </c>
      <c r="DO88" s="35">
        <v>0</v>
      </c>
      <c r="DP88" s="35">
        <v>0</v>
      </c>
      <c r="DQ88" s="35">
        <v>0</v>
      </c>
      <c r="DR88" s="35">
        <v>0</v>
      </c>
    </row>
    <row r="89" spans="1:122" ht="25.5">
      <c r="A89" s="14">
        <f t="shared" si="3"/>
        <v>85</v>
      </c>
      <c r="B89" s="14" t="s">
        <v>178</v>
      </c>
      <c r="C89" s="14" t="s">
        <v>70</v>
      </c>
      <c r="D89" s="17" t="s">
        <v>29</v>
      </c>
      <c r="E89" s="14" t="s">
        <v>237</v>
      </c>
      <c r="F89" s="15">
        <v>66929.525051589997</v>
      </c>
      <c r="G89" s="15">
        <v>61940.863498530009</v>
      </c>
      <c r="H89" s="15">
        <v>70369.169575339984</v>
      </c>
      <c r="I89" s="15">
        <v>70244.278337130017</v>
      </c>
      <c r="J89" s="15">
        <v>71327.516931699996</v>
      </c>
      <c r="K89" s="15">
        <v>69733.497346999997</v>
      </c>
      <c r="L89" s="15">
        <v>79247.131426699998</v>
      </c>
      <c r="M89" s="15">
        <v>73584.022791999989</v>
      </c>
      <c r="N89" s="15">
        <v>90572.903655000002</v>
      </c>
      <c r="O89" s="15">
        <v>89601.985320000022</v>
      </c>
      <c r="P89" s="15">
        <v>88928.184020350018</v>
      </c>
      <c r="Q89" s="15">
        <v>102195.80169000002</v>
      </c>
      <c r="R89" s="15">
        <v>85476.395610700012</v>
      </c>
      <c r="S89" s="15">
        <v>92773.056970160003</v>
      </c>
      <c r="T89" s="15">
        <v>99035.294078100022</v>
      </c>
      <c r="U89" s="15">
        <v>89601.985320000022</v>
      </c>
      <c r="V89" s="15">
        <v>873.303</v>
      </c>
      <c r="W89" s="15">
        <v>31858.444200000002</v>
      </c>
      <c r="X89" s="15">
        <v>3395.9490000000001</v>
      </c>
      <c r="Y89" s="15">
        <v>3965.3647000000001</v>
      </c>
      <c r="Z89" s="15">
        <v>478.2894</v>
      </c>
      <c r="AA89" s="15">
        <v>4364.58</v>
      </c>
      <c r="AB89" s="15">
        <v>0</v>
      </c>
      <c r="AC89" s="15">
        <v>6495.3869999999997</v>
      </c>
      <c r="AD89" s="15">
        <v>244.7457</v>
      </c>
      <c r="AE89" s="15">
        <v>371.11754999999999</v>
      </c>
      <c r="AF89" s="15">
        <v>272.04815000000002</v>
      </c>
      <c r="AG89" s="15">
        <v>0</v>
      </c>
      <c r="AH89" s="15">
        <v>8320.6821999999993</v>
      </c>
      <c r="AI89" s="15">
        <v>36</v>
      </c>
      <c r="AJ89" s="15">
        <v>28252.273120350026</v>
      </c>
      <c r="AK89" s="15">
        <v>36605.9856</v>
      </c>
      <c r="AL89" s="15">
        <v>9483.487799999999</v>
      </c>
      <c r="AM89" s="15">
        <v>42838.710620350015</v>
      </c>
      <c r="AN89" s="15">
        <v>83248.251351589992</v>
      </c>
      <c r="AO89" s="15">
        <v>73018.679298529998</v>
      </c>
      <c r="AP89" s="15">
        <v>83241.460775340005</v>
      </c>
      <c r="AQ89" s="15">
        <v>81563.185287130007</v>
      </c>
      <c r="AR89" s="15">
        <v>91557.247531700006</v>
      </c>
      <c r="AS89" s="15">
        <v>95352.748746999991</v>
      </c>
      <c r="AT89" s="15">
        <v>90900.538926699985</v>
      </c>
      <c r="AU89" s="15">
        <v>87036.983741999997</v>
      </c>
      <c r="AV89" s="15">
        <v>99339.153755000007</v>
      </c>
      <c r="AW89" s="15">
        <v>109642.67948000002</v>
      </c>
      <c r="AX89" s="15">
        <v>86861.06427035002</v>
      </c>
      <c r="AY89" s="15">
        <v>109205.53275083999</v>
      </c>
      <c r="AZ89" s="15">
        <v>82340.933310699998</v>
      </c>
      <c r="BA89" s="15">
        <v>107806.88402016</v>
      </c>
      <c r="BB89" s="15">
        <v>109889.24157809999</v>
      </c>
      <c r="BC89" s="15">
        <v>109642.67948000002</v>
      </c>
      <c r="BD89" s="15">
        <v>0</v>
      </c>
      <c r="BE89" s="15">
        <v>12.696</v>
      </c>
      <c r="BF89" s="15">
        <v>0</v>
      </c>
      <c r="BG89" s="15">
        <v>0</v>
      </c>
      <c r="BH89" s="15">
        <v>0</v>
      </c>
      <c r="BI89" s="15">
        <v>1416.8293000000001</v>
      </c>
      <c r="BJ89" s="15">
        <v>64372.276599999997</v>
      </c>
      <c r="BK89" s="15">
        <v>51</v>
      </c>
      <c r="BL89" s="15">
        <v>13023.494537</v>
      </c>
      <c r="BM89" s="15">
        <v>1319.7804000000001</v>
      </c>
      <c r="BN89" s="15">
        <v>0</v>
      </c>
      <c r="BO89" s="15">
        <v>3121</v>
      </c>
      <c r="BP89" s="15">
        <v>1933.5928000000001</v>
      </c>
      <c r="BQ89" s="15">
        <v>1610.3946333500146</v>
      </c>
      <c r="BR89" s="16">
        <v>0.80397514620361676</v>
      </c>
      <c r="BS89" s="16">
        <v>0.84828791883910437</v>
      </c>
      <c r="BT89" s="16">
        <v>0.84536202176051445</v>
      </c>
      <c r="BU89" s="16">
        <v>0.86122529533203485</v>
      </c>
      <c r="BV89" s="16">
        <v>0.77904828787042946</v>
      </c>
      <c r="BW89" s="16">
        <v>0.73132131232025932</v>
      </c>
      <c r="BX89" s="16">
        <v>0.87180045753747382</v>
      </c>
      <c r="BY89" s="16">
        <v>0.84543397103605933</v>
      </c>
      <c r="BZ89" s="16">
        <v>0.91175433080877466</v>
      </c>
      <c r="CA89" s="16">
        <v>0.81721812842365249</v>
      </c>
      <c r="CB89" s="16">
        <v>1.0237980016404842</v>
      </c>
      <c r="CC89" s="16">
        <v>0.93581157580327767</v>
      </c>
      <c r="CD89" s="16">
        <v>1.0380790230804022</v>
      </c>
      <c r="CE89" s="16">
        <v>0.8605485430115144</v>
      </c>
      <c r="CF89" s="16">
        <f t="shared" si="2"/>
        <v>0.90122829729163345</v>
      </c>
      <c r="CG89" s="16">
        <f t="shared" si="2"/>
        <v>0.81721812842365249</v>
      </c>
      <c r="CH89" s="30">
        <v>3000</v>
      </c>
      <c r="CI89" s="30">
        <v>9000</v>
      </c>
      <c r="CJ89" s="30">
        <v>14500</v>
      </c>
      <c r="CK89" s="30">
        <v>5500</v>
      </c>
      <c r="CL89" s="30">
        <v>22000</v>
      </c>
      <c r="CM89" s="30">
        <v>26000</v>
      </c>
      <c r="CN89" s="30">
        <v>19000</v>
      </c>
      <c r="CO89" s="30">
        <v>20000</v>
      </c>
      <c r="CP89" s="30">
        <v>14000</v>
      </c>
      <c r="CQ89" s="30">
        <v>18000</v>
      </c>
      <c r="CR89" s="30">
        <v>5000</v>
      </c>
      <c r="CS89" s="30">
        <v>18000</v>
      </c>
      <c r="CT89" s="30"/>
      <c r="CU89" s="30">
        <v>6900</v>
      </c>
      <c r="CV89" s="30">
        <v>17600</v>
      </c>
      <c r="CW89" s="30">
        <v>18000</v>
      </c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>
        <v>8864.3861500000003</v>
      </c>
      <c r="DO89" s="35">
        <v>16402.669939160001</v>
      </c>
      <c r="DP89" s="35">
        <v>2824.8434499999998</v>
      </c>
      <c r="DQ89" s="35">
        <v>0</v>
      </c>
      <c r="DR89" s="35">
        <v>973.06500000000005</v>
      </c>
    </row>
    <row r="90" spans="1:122" ht="25.5">
      <c r="A90" s="14">
        <f t="shared" si="3"/>
        <v>86</v>
      </c>
      <c r="B90" s="14" t="s">
        <v>340</v>
      </c>
      <c r="C90" s="14" t="s">
        <v>339</v>
      </c>
      <c r="D90" s="17" t="s">
        <v>2</v>
      </c>
      <c r="E90" s="14" t="s">
        <v>217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>
        <v>4532.6659999999993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>
        <v>1318.2635</v>
      </c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>
        <f t="shared" si="2"/>
        <v>3.4383611470696103</v>
      </c>
      <c r="CG90" s="16" t="e">
        <f t="shared" si="2"/>
        <v>#DIV/0!</v>
      </c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</row>
    <row r="91" spans="1:122" ht="25.5">
      <c r="A91" s="14">
        <f t="shared" si="3"/>
        <v>87</v>
      </c>
      <c r="B91" s="14" t="s">
        <v>341</v>
      </c>
      <c r="C91" s="14" t="s">
        <v>339</v>
      </c>
      <c r="D91" s="17" t="s">
        <v>337</v>
      </c>
      <c r="E91" s="14" t="s">
        <v>226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>
        <v>5766.2114499999989</v>
      </c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>
        <v>3652.9324999999999</v>
      </c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>
        <f t="shared" si="2"/>
        <v>1.5785157404359371</v>
      </c>
      <c r="CG91" s="16" t="e">
        <f t="shared" si="2"/>
        <v>#DIV/0!</v>
      </c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</row>
    <row r="92" spans="1:122" ht="25.5">
      <c r="A92" s="14">
        <f t="shared" si="3"/>
        <v>88</v>
      </c>
      <c r="B92" s="14" t="s">
        <v>342</v>
      </c>
      <c r="C92" s="14" t="s">
        <v>339</v>
      </c>
      <c r="D92" s="17" t="s">
        <v>9</v>
      </c>
      <c r="E92" s="14" t="s">
        <v>227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>
        <v>1539.4902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>
        <v>1428.8750499999999</v>
      </c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>
        <f t="shared" si="2"/>
        <v>1.0774141517832507</v>
      </c>
      <c r="CG92" s="16" t="e">
        <f t="shared" si="2"/>
        <v>#DIV/0!</v>
      </c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</row>
    <row r="93" spans="1:122" ht="25.5">
      <c r="A93" s="14">
        <f t="shared" si="3"/>
        <v>89</v>
      </c>
      <c r="B93" s="14" t="s">
        <v>343</v>
      </c>
      <c r="C93" s="14" t="s">
        <v>339</v>
      </c>
      <c r="D93" s="17" t="s">
        <v>24</v>
      </c>
      <c r="E93" s="14" t="s">
        <v>228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>
        <v>6122.2440999999999</v>
      </c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>
        <v>1867.4014999999999</v>
      </c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>
        <f t="shared" si="2"/>
        <v>3.2784830150345279</v>
      </c>
      <c r="CG93" s="16" t="e">
        <f t="shared" si="2"/>
        <v>#DIV/0!</v>
      </c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</row>
    <row r="94" spans="1:122" ht="25.5">
      <c r="A94" s="14">
        <f t="shared" si="3"/>
        <v>90</v>
      </c>
      <c r="B94" s="14" t="s">
        <v>344</v>
      </c>
      <c r="C94" s="14" t="s">
        <v>339</v>
      </c>
      <c r="D94" s="17" t="s">
        <v>338</v>
      </c>
      <c r="E94" s="14" t="s">
        <v>230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>
        <v>2845.6896000000002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>
        <v>2040.3834999999999</v>
      </c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>
        <f t="shared" si="2"/>
        <v>1.3946836954915585</v>
      </c>
      <c r="CG94" s="16" t="e">
        <f t="shared" si="2"/>
        <v>#DIV/0!</v>
      </c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</row>
    <row r="95" spans="1:122" ht="25.5">
      <c r="A95" s="14">
        <f t="shared" si="3"/>
        <v>91</v>
      </c>
      <c r="B95" s="14" t="s">
        <v>345</v>
      </c>
      <c r="C95" s="14" t="s">
        <v>339</v>
      </c>
      <c r="D95" s="17" t="s">
        <v>11</v>
      </c>
      <c r="E95" s="14" t="s">
        <v>238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>
        <v>2703.1679499999996</v>
      </c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>
        <v>1067.327</v>
      </c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>
        <f t="shared" si="2"/>
        <v>2.5326520831947468</v>
      </c>
      <c r="CG95" s="16" t="e">
        <f t="shared" si="2"/>
        <v>#DIV/0!</v>
      </c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</row>
    <row r="96" spans="1:122" ht="25.5">
      <c r="A96" s="14">
        <f t="shared" si="3"/>
        <v>92</v>
      </c>
      <c r="B96" s="14" t="s">
        <v>180</v>
      </c>
      <c r="C96" s="14" t="s">
        <v>72</v>
      </c>
      <c r="D96" s="17" t="s">
        <v>42</v>
      </c>
      <c r="E96" s="14" t="s">
        <v>219</v>
      </c>
      <c r="F96" s="15">
        <v>10585.645999999999</v>
      </c>
      <c r="G96" s="15">
        <v>7046.0665500000014</v>
      </c>
      <c r="H96" s="15">
        <v>5606.8166999999994</v>
      </c>
      <c r="I96" s="15">
        <v>8394.2688999999991</v>
      </c>
      <c r="J96" s="15">
        <v>8311.3802000000014</v>
      </c>
      <c r="K96" s="15">
        <v>7499.891599999999</v>
      </c>
      <c r="L96" s="15">
        <v>7687.0894000000008</v>
      </c>
      <c r="M96" s="15">
        <v>6382.3339999999998</v>
      </c>
      <c r="N96" s="15">
        <v>7632.6929499999997</v>
      </c>
      <c r="O96" s="15">
        <v>9829.6587999999992</v>
      </c>
      <c r="P96" s="15">
        <v>6048.3439999999991</v>
      </c>
      <c r="Q96" s="15">
        <v>10260.096250000001</v>
      </c>
      <c r="R96" s="15">
        <v>7652.2558499999996</v>
      </c>
      <c r="S96" s="15">
        <v>8963.9737499999992</v>
      </c>
      <c r="T96" s="15">
        <v>9377.1364500000018</v>
      </c>
      <c r="U96" s="15">
        <v>9829.6587999999992</v>
      </c>
      <c r="V96" s="15">
        <v>68.769000000000005</v>
      </c>
      <c r="W96" s="15">
        <v>343.15199999999999</v>
      </c>
      <c r="X96" s="15">
        <v>568.87549999999999</v>
      </c>
      <c r="Y96" s="15">
        <v>426.73590000000002</v>
      </c>
      <c r="Z96" s="15">
        <v>0</v>
      </c>
      <c r="AA96" s="15">
        <v>68.8</v>
      </c>
      <c r="AB96" s="15">
        <v>0</v>
      </c>
      <c r="AC96" s="15">
        <v>666.91600000000005</v>
      </c>
      <c r="AD96" s="15">
        <v>77.990200000000002</v>
      </c>
      <c r="AE96" s="15">
        <v>214.67910000000001</v>
      </c>
      <c r="AF96" s="15">
        <v>119.90145</v>
      </c>
      <c r="AG96" s="15">
        <v>0</v>
      </c>
      <c r="AH96" s="15">
        <v>1171.1278500000001</v>
      </c>
      <c r="AI96" s="15">
        <v>173.5179</v>
      </c>
      <c r="AJ96" s="15">
        <v>2147.8790999999983</v>
      </c>
      <c r="AK96" s="15">
        <v>980.79649999999992</v>
      </c>
      <c r="AL96" s="15">
        <v>1420.3678000000002</v>
      </c>
      <c r="AM96" s="15">
        <v>3647.1796999999988</v>
      </c>
      <c r="AN96" s="15">
        <v>5083.1882000000005</v>
      </c>
      <c r="AO96" s="15">
        <v>4689.9794499999998</v>
      </c>
      <c r="AP96" s="15">
        <v>4468.6147500000006</v>
      </c>
      <c r="AQ96" s="15">
        <v>8500.3402999999998</v>
      </c>
      <c r="AR96" s="15">
        <v>7105.3795000000009</v>
      </c>
      <c r="AS96" s="15">
        <v>7212.1690500000004</v>
      </c>
      <c r="AT96" s="15">
        <v>7423.5541499999999</v>
      </c>
      <c r="AU96" s="15">
        <v>7184.3829000000005</v>
      </c>
      <c r="AV96" s="15">
        <v>6225.5057999999999</v>
      </c>
      <c r="AW96" s="15">
        <v>7707.2251500000002</v>
      </c>
      <c r="AX96" s="15">
        <v>6359.7532000000001</v>
      </c>
      <c r="AY96" s="15">
        <v>7421.3698999999997</v>
      </c>
      <c r="AZ96" s="15">
        <v>4126.1707999999999</v>
      </c>
      <c r="BA96" s="15">
        <v>5638.8314499999997</v>
      </c>
      <c r="BB96" s="15">
        <v>6253.6410500000002</v>
      </c>
      <c r="BC96" s="15">
        <v>7707.2251500000002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361.05045000000001</v>
      </c>
      <c r="BJ96" s="15">
        <v>685.27665000000002</v>
      </c>
      <c r="BK96" s="15">
        <v>198.21525</v>
      </c>
      <c r="BL96" s="15">
        <v>2804.0284000000001</v>
      </c>
      <c r="BM96" s="15">
        <v>321.92885000000001</v>
      </c>
      <c r="BN96" s="15">
        <v>0</v>
      </c>
      <c r="BO96" s="15">
        <v>0</v>
      </c>
      <c r="BP96" s="15">
        <v>288.75360000000001</v>
      </c>
      <c r="BQ96" s="15">
        <v>1700.4999999999998</v>
      </c>
      <c r="BR96" s="16">
        <v>2.082481620491643</v>
      </c>
      <c r="BS96" s="16">
        <v>1.5023661884062203</v>
      </c>
      <c r="BT96" s="16">
        <v>1.2547102432582711</v>
      </c>
      <c r="BU96" s="16">
        <v>0.98752151134466926</v>
      </c>
      <c r="BV96" s="16">
        <v>1.1697306526695725</v>
      </c>
      <c r="BW96" s="16">
        <v>1.0398940385347732</v>
      </c>
      <c r="BX96" s="16">
        <v>1.0354998757569513</v>
      </c>
      <c r="BY96" s="16">
        <v>0.88836217234468384</v>
      </c>
      <c r="BZ96" s="16">
        <v>1.2260357945534321</v>
      </c>
      <c r="CA96" s="16">
        <v>1.2753823339389532</v>
      </c>
      <c r="CB96" s="16">
        <v>0.95103438919610894</v>
      </c>
      <c r="CC96" s="16">
        <v>1.3825070557391299</v>
      </c>
      <c r="CD96" s="16">
        <v>1.8545659452584948</v>
      </c>
      <c r="CE96" s="16">
        <v>1.5896864145495961</v>
      </c>
      <c r="CF96" s="16">
        <f t="shared" si="2"/>
        <v>1.4994682897573728</v>
      </c>
      <c r="CG96" s="16">
        <f t="shared" si="2"/>
        <v>1.2753823339389532</v>
      </c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>
        <v>0</v>
      </c>
      <c r="DO96" s="35">
        <v>0</v>
      </c>
      <c r="DP96" s="35">
        <v>331.71379999999999</v>
      </c>
      <c r="DQ96" s="35">
        <v>0</v>
      </c>
      <c r="DR96" s="35">
        <v>0</v>
      </c>
    </row>
    <row r="97" spans="1:122" ht="25.5">
      <c r="A97" s="14">
        <f t="shared" si="3"/>
        <v>93</v>
      </c>
      <c r="B97" s="14" t="s">
        <v>181</v>
      </c>
      <c r="C97" s="14" t="s">
        <v>72</v>
      </c>
      <c r="D97" s="17" t="s">
        <v>31</v>
      </c>
      <c r="E97" s="14" t="s">
        <v>225</v>
      </c>
      <c r="F97" s="15">
        <v>8146.300650000002</v>
      </c>
      <c r="G97" s="15">
        <v>10164.30625</v>
      </c>
      <c r="H97" s="15">
        <v>8814.1906499999986</v>
      </c>
      <c r="I97" s="15">
        <v>18809.131399999998</v>
      </c>
      <c r="J97" s="15">
        <v>7224.9663999999993</v>
      </c>
      <c r="K97" s="15">
        <v>5695.7638500000003</v>
      </c>
      <c r="L97" s="15">
        <v>6359.7516499999983</v>
      </c>
      <c r="M97" s="15">
        <v>6519.7615999999998</v>
      </c>
      <c r="N97" s="15">
        <v>9914.9441499999994</v>
      </c>
      <c r="O97" s="15">
        <v>12255.881299999999</v>
      </c>
      <c r="P97" s="15">
        <v>10296.862450000002</v>
      </c>
      <c r="Q97" s="15">
        <v>22320.4015</v>
      </c>
      <c r="R97" s="15">
        <v>11785.019300000002</v>
      </c>
      <c r="S97" s="15">
        <v>16907.762350000001</v>
      </c>
      <c r="T97" s="15">
        <v>15894.52665</v>
      </c>
      <c r="U97" s="15">
        <v>12255.881299999999</v>
      </c>
      <c r="V97" s="15">
        <v>69.465000000000003</v>
      </c>
      <c r="W97" s="15">
        <v>266.63139999999999</v>
      </c>
      <c r="X97" s="15">
        <v>51.575000000000003</v>
      </c>
      <c r="Y97" s="15">
        <v>972.66115000000002</v>
      </c>
      <c r="Z97" s="15">
        <v>0</v>
      </c>
      <c r="AA97" s="15">
        <v>413.29399999999998</v>
      </c>
      <c r="AB97" s="15">
        <v>9.5</v>
      </c>
      <c r="AC97" s="15">
        <v>1.24</v>
      </c>
      <c r="AD97" s="15">
        <v>1.7000000000000002</v>
      </c>
      <c r="AE97" s="15">
        <v>1266.50675</v>
      </c>
      <c r="AF97" s="15">
        <v>2209.6703499999999</v>
      </c>
      <c r="AG97" s="15">
        <v>0</v>
      </c>
      <c r="AH97" s="15">
        <v>1130.9004500000001</v>
      </c>
      <c r="AI97" s="15">
        <v>0</v>
      </c>
      <c r="AJ97" s="15">
        <v>3903.7183500000028</v>
      </c>
      <c r="AK97" s="15">
        <v>387.67140000000001</v>
      </c>
      <c r="AL97" s="15">
        <v>2736.7395999999999</v>
      </c>
      <c r="AM97" s="15">
        <v>7172.4514500000032</v>
      </c>
      <c r="AN97" s="15">
        <v>11058.050950000001</v>
      </c>
      <c r="AO97" s="15">
        <v>11410.10015</v>
      </c>
      <c r="AP97" s="15">
        <v>8688.06675</v>
      </c>
      <c r="AQ97" s="15">
        <v>16085.752899999999</v>
      </c>
      <c r="AR97" s="15">
        <v>9568.9259500000007</v>
      </c>
      <c r="AS97" s="15">
        <v>10542.129349999999</v>
      </c>
      <c r="AT97" s="15">
        <v>8984.8884500000004</v>
      </c>
      <c r="AU97" s="15">
        <v>10407.614399999999</v>
      </c>
      <c r="AV97" s="15">
        <v>13336.564200000001</v>
      </c>
      <c r="AW97" s="15">
        <v>17624.334650000001</v>
      </c>
      <c r="AX97" s="15">
        <v>14759.125550000001</v>
      </c>
      <c r="AY97" s="15">
        <v>21355.666700000002</v>
      </c>
      <c r="AZ97" s="15">
        <v>14086.028249999999</v>
      </c>
      <c r="BA97" s="15">
        <v>16178.924800000001</v>
      </c>
      <c r="BB97" s="15">
        <v>14636.87465</v>
      </c>
      <c r="BC97" s="15">
        <v>17624.334650000001</v>
      </c>
      <c r="BD97" s="15">
        <v>0</v>
      </c>
      <c r="BE97" s="15">
        <v>0</v>
      </c>
      <c r="BF97" s="15">
        <v>0</v>
      </c>
      <c r="BG97" s="15">
        <v>6.3658000000000001</v>
      </c>
      <c r="BH97" s="15">
        <v>0</v>
      </c>
      <c r="BI97" s="15">
        <v>234.8758</v>
      </c>
      <c r="BJ97" s="15">
        <v>7116.1145000000006</v>
      </c>
      <c r="BK97" s="15">
        <v>0</v>
      </c>
      <c r="BL97" s="15">
        <v>4764.5876500000004</v>
      </c>
      <c r="BM97" s="15">
        <v>339.52179999999998</v>
      </c>
      <c r="BN97" s="15">
        <v>0</v>
      </c>
      <c r="BO97" s="15">
        <v>0</v>
      </c>
      <c r="BP97" s="15">
        <v>557.66</v>
      </c>
      <c r="BQ97" s="15">
        <v>1740.0000000000002</v>
      </c>
      <c r="BR97" s="16">
        <v>0.73668503489758308</v>
      </c>
      <c r="BS97" s="16">
        <v>0.89081656746019</v>
      </c>
      <c r="BT97" s="16">
        <v>1.0145169119470678</v>
      </c>
      <c r="BU97" s="16">
        <v>1.1693037632077514</v>
      </c>
      <c r="BV97" s="16">
        <v>0.75504465576933411</v>
      </c>
      <c r="BW97" s="16">
        <v>0.54028590058990322</v>
      </c>
      <c r="BX97" s="16">
        <v>0.70782755794814545</v>
      </c>
      <c r="BY97" s="16">
        <v>0.62644150229086126</v>
      </c>
      <c r="BZ97" s="16">
        <v>0.74344066442539969</v>
      </c>
      <c r="CA97" s="16">
        <v>0.69539540319611437</v>
      </c>
      <c r="CB97" s="16">
        <v>0.69766073979904597</v>
      </c>
      <c r="CC97" s="16">
        <v>1.0451746514661608</v>
      </c>
      <c r="CD97" s="16">
        <v>0.83664600772045183</v>
      </c>
      <c r="CE97" s="16">
        <v>1.0450485776409568</v>
      </c>
      <c r="CF97" s="16">
        <f t="shared" si="2"/>
        <v>1.0859235342293514</v>
      </c>
      <c r="CG97" s="16">
        <f t="shared" si="2"/>
        <v>0.69539540319611437</v>
      </c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>
        <v>1373.5295000000001</v>
      </c>
      <c r="DO97" s="35">
        <v>3390</v>
      </c>
      <c r="DP97" s="35">
        <v>1282.2077999999999</v>
      </c>
      <c r="DQ97" s="35">
        <v>0</v>
      </c>
      <c r="DR97" s="35">
        <v>113</v>
      </c>
    </row>
    <row r="98" spans="1:122" ht="25.5">
      <c r="A98" s="14">
        <f t="shared" si="3"/>
        <v>94</v>
      </c>
      <c r="B98" s="14" t="s">
        <v>182</v>
      </c>
      <c r="C98" s="14" t="s">
        <v>72</v>
      </c>
      <c r="D98" s="17" t="s">
        <v>49</v>
      </c>
      <c r="E98" s="14" t="s">
        <v>232</v>
      </c>
      <c r="F98" s="15">
        <v>5678.4734499999995</v>
      </c>
      <c r="G98" s="15">
        <v>5626.0123999999996</v>
      </c>
      <c r="H98" s="15">
        <v>4037.1073999999999</v>
      </c>
      <c r="I98" s="15">
        <v>10772.9136</v>
      </c>
      <c r="J98" s="15">
        <v>5771.5577499999999</v>
      </c>
      <c r="K98" s="15">
        <v>3985.2933499999999</v>
      </c>
      <c r="L98" s="15">
        <v>2767.3612499999999</v>
      </c>
      <c r="M98" s="15">
        <v>4077.4246500000008</v>
      </c>
      <c r="N98" s="15">
        <v>5602.6938</v>
      </c>
      <c r="O98" s="15">
        <v>6456.9029500000006</v>
      </c>
      <c r="P98" s="15">
        <v>5453.1504500000001</v>
      </c>
      <c r="Q98" s="15">
        <v>8207.2862000000005</v>
      </c>
      <c r="R98" s="15">
        <v>6099.4217500000004</v>
      </c>
      <c r="S98" s="15">
        <v>8740.8326500000003</v>
      </c>
      <c r="T98" s="15">
        <v>6700.4979499999999</v>
      </c>
      <c r="U98" s="15">
        <v>6456.9029500000006</v>
      </c>
      <c r="V98" s="15">
        <v>20.225000000000001</v>
      </c>
      <c r="W98" s="15">
        <v>457.19880000000001</v>
      </c>
      <c r="X98" s="15">
        <v>1.2649999999999999</v>
      </c>
      <c r="Y98" s="15">
        <v>193.26955000000001</v>
      </c>
      <c r="Z98" s="15">
        <v>0</v>
      </c>
      <c r="AA98" s="15">
        <v>240.89500000000001</v>
      </c>
      <c r="AB98" s="15">
        <v>0</v>
      </c>
      <c r="AC98" s="15">
        <v>0</v>
      </c>
      <c r="AD98" s="15">
        <v>17.35605</v>
      </c>
      <c r="AE98" s="15">
        <v>501.19420000000002</v>
      </c>
      <c r="AF98" s="15">
        <v>879.06254999999999</v>
      </c>
      <c r="AG98" s="15">
        <v>50.44</v>
      </c>
      <c r="AH98" s="15">
        <v>853.08659999999998</v>
      </c>
      <c r="AI98" s="15">
        <v>20.771000000000001</v>
      </c>
      <c r="AJ98" s="15">
        <v>2218.3867000000014</v>
      </c>
      <c r="AK98" s="15">
        <v>478.68880000000001</v>
      </c>
      <c r="AL98" s="15">
        <v>977.11415</v>
      </c>
      <c r="AM98" s="15">
        <v>3997.3475000000003</v>
      </c>
      <c r="AN98" s="15">
        <v>2887.22435</v>
      </c>
      <c r="AO98" s="15">
        <v>4526.1318499999998</v>
      </c>
      <c r="AP98" s="15">
        <v>3174.5639000000001</v>
      </c>
      <c r="AQ98" s="15">
        <v>6756.3517000000002</v>
      </c>
      <c r="AR98" s="15">
        <v>4464.03665</v>
      </c>
      <c r="AS98" s="15">
        <v>2413.7566499999998</v>
      </c>
      <c r="AT98" s="15">
        <v>2576.4365000000003</v>
      </c>
      <c r="AU98" s="15">
        <v>3587.9739500000001</v>
      </c>
      <c r="AV98" s="15">
        <v>4327.6255000000001</v>
      </c>
      <c r="AW98" s="15">
        <v>3625.3183000000004</v>
      </c>
      <c r="AX98" s="15">
        <v>2614.0326500000001</v>
      </c>
      <c r="AY98" s="15">
        <v>4978.9048499999999</v>
      </c>
      <c r="AZ98" s="15">
        <v>3644.7606000000001</v>
      </c>
      <c r="BA98" s="15">
        <v>4935.9758499999998</v>
      </c>
      <c r="BB98" s="15">
        <v>5493.2672499999999</v>
      </c>
      <c r="BC98" s="15">
        <v>3625.3183000000004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447.28250000000003</v>
      </c>
      <c r="BJ98" s="15">
        <v>201.1875</v>
      </c>
      <c r="BK98" s="15">
        <v>54.957999999999998</v>
      </c>
      <c r="BL98" s="15">
        <v>1555.4027000000001</v>
      </c>
      <c r="BM98" s="15">
        <v>58.101950000000002</v>
      </c>
      <c r="BN98" s="15">
        <v>0</v>
      </c>
      <c r="BO98" s="15">
        <v>0</v>
      </c>
      <c r="BP98" s="15">
        <v>297.10000000000002</v>
      </c>
      <c r="BQ98" s="15">
        <v>-1.1368683772161603E-13</v>
      </c>
      <c r="BR98" s="16">
        <v>1.9667586448555685</v>
      </c>
      <c r="BS98" s="16">
        <v>1.2430067409547514</v>
      </c>
      <c r="BT98" s="16">
        <v>1.2717045638930122</v>
      </c>
      <c r="BU98" s="16">
        <v>1.594486799732465</v>
      </c>
      <c r="BV98" s="16">
        <v>1.2929010674677144</v>
      </c>
      <c r="BW98" s="16">
        <v>1.6510750369139326</v>
      </c>
      <c r="BX98" s="16">
        <v>1.0741041939127938</v>
      </c>
      <c r="BY98" s="16">
        <v>1.1364142289829058</v>
      </c>
      <c r="BZ98" s="16">
        <v>1.2946346212258892</v>
      </c>
      <c r="CA98" s="16">
        <v>1.7810582177018774</v>
      </c>
      <c r="CB98" s="16">
        <v>2.0861064799630564</v>
      </c>
      <c r="CC98" s="16">
        <v>1.6484119394247916</v>
      </c>
      <c r="CD98" s="16">
        <v>1.6734766475471667</v>
      </c>
      <c r="CE98" s="16">
        <v>1.7708418589608781</v>
      </c>
      <c r="CF98" s="16">
        <f t="shared" si="2"/>
        <v>1.2197655138660877</v>
      </c>
      <c r="CG98" s="16">
        <f t="shared" si="2"/>
        <v>1.7810582177018774</v>
      </c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>
        <v>0</v>
      </c>
      <c r="DO98" s="35">
        <v>0</v>
      </c>
      <c r="DP98" s="35">
        <v>278.56189999999998</v>
      </c>
      <c r="DQ98" s="35">
        <v>0</v>
      </c>
      <c r="DR98" s="35">
        <v>0</v>
      </c>
    </row>
    <row r="99" spans="1:122" ht="25.5">
      <c r="A99" s="14">
        <f t="shared" si="3"/>
        <v>95</v>
      </c>
      <c r="B99" s="14" t="s">
        <v>183</v>
      </c>
      <c r="C99" s="14" t="s">
        <v>72</v>
      </c>
      <c r="D99" s="17" t="s">
        <v>47</v>
      </c>
      <c r="E99" s="14" t="s">
        <v>233</v>
      </c>
      <c r="F99" s="15">
        <v>11307.676300000001</v>
      </c>
      <c r="G99" s="15">
        <v>10436.616699999999</v>
      </c>
      <c r="H99" s="15">
        <v>11760.298599999998</v>
      </c>
      <c r="I99" s="15">
        <v>13366.9241</v>
      </c>
      <c r="J99" s="15">
        <v>11482.342049999999</v>
      </c>
      <c r="K99" s="15">
        <v>11718.2695</v>
      </c>
      <c r="L99" s="15">
        <v>9051.530850000001</v>
      </c>
      <c r="M99" s="15">
        <v>9590.9486000000015</v>
      </c>
      <c r="N99" s="15">
        <v>12603.8845</v>
      </c>
      <c r="O99" s="15">
        <v>8978.3242500000015</v>
      </c>
      <c r="P99" s="15">
        <v>8124.653449999998</v>
      </c>
      <c r="Q99" s="15">
        <v>13772.933599999998</v>
      </c>
      <c r="R99" s="15">
        <v>8562.5061999999998</v>
      </c>
      <c r="S99" s="15">
        <v>10323.805549999999</v>
      </c>
      <c r="T99" s="15">
        <v>11818.153950000002</v>
      </c>
      <c r="U99" s="15">
        <v>8978.3242500000015</v>
      </c>
      <c r="V99" s="15">
        <v>6.3</v>
      </c>
      <c r="W99" s="15">
        <v>280.17899999999997</v>
      </c>
      <c r="X99" s="15">
        <v>269.69060000000002</v>
      </c>
      <c r="Y99" s="15">
        <v>1368.7829999999999</v>
      </c>
      <c r="Z99" s="15">
        <v>0</v>
      </c>
      <c r="AA99" s="15">
        <v>358.22199999999998</v>
      </c>
      <c r="AB99" s="15">
        <v>0</v>
      </c>
      <c r="AC99" s="15">
        <v>0</v>
      </c>
      <c r="AD99" s="15">
        <v>2.11</v>
      </c>
      <c r="AE99" s="15">
        <v>633.18700000000001</v>
      </c>
      <c r="AF99" s="15">
        <v>526.5154</v>
      </c>
      <c r="AG99" s="15">
        <v>0</v>
      </c>
      <c r="AH99" s="15">
        <v>1171.7322999999999</v>
      </c>
      <c r="AI99" s="15">
        <v>0</v>
      </c>
      <c r="AJ99" s="15">
        <v>3507.9341499999987</v>
      </c>
      <c r="AK99" s="15">
        <v>556.16959999999995</v>
      </c>
      <c r="AL99" s="15">
        <v>1068.8027</v>
      </c>
      <c r="AM99" s="15">
        <v>6499.6811499999976</v>
      </c>
      <c r="AN99" s="15">
        <v>6986.7916999999998</v>
      </c>
      <c r="AO99" s="15">
        <v>7553.9393500000006</v>
      </c>
      <c r="AP99" s="15">
        <v>7634.1555000000008</v>
      </c>
      <c r="AQ99" s="15">
        <v>10877.4465</v>
      </c>
      <c r="AR99" s="15">
        <v>8591.9838</v>
      </c>
      <c r="AS99" s="15">
        <v>8915.8382999999994</v>
      </c>
      <c r="AT99" s="15">
        <v>9550.9494500000001</v>
      </c>
      <c r="AU99" s="15">
        <v>8548.0843999999997</v>
      </c>
      <c r="AV99" s="15">
        <v>13153.535399999999</v>
      </c>
      <c r="AW99" s="15">
        <v>7603.9338500000003</v>
      </c>
      <c r="AX99" s="15">
        <v>7504.5542499999992</v>
      </c>
      <c r="AY99" s="15">
        <v>9533.4675999999999</v>
      </c>
      <c r="AZ99" s="15">
        <v>5738.4436000000005</v>
      </c>
      <c r="BA99" s="15">
        <v>7622.8668500000003</v>
      </c>
      <c r="BB99" s="15">
        <v>7471.8690499999993</v>
      </c>
      <c r="BC99" s="15">
        <v>7603.9338500000003</v>
      </c>
      <c r="BD99" s="15">
        <v>0</v>
      </c>
      <c r="BE99" s="15">
        <v>21.007999999999999</v>
      </c>
      <c r="BF99" s="15">
        <v>0</v>
      </c>
      <c r="BG99" s="15">
        <v>0</v>
      </c>
      <c r="BH99" s="15">
        <v>0</v>
      </c>
      <c r="BI99" s="15">
        <v>0</v>
      </c>
      <c r="BJ99" s="15">
        <v>433.98230000000001</v>
      </c>
      <c r="BK99" s="15">
        <v>1003.0500000000001</v>
      </c>
      <c r="BL99" s="15">
        <v>3956.7768000000001</v>
      </c>
      <c r="BM99" s="15">
        <v>129.4015</v>
      </c>
      <c r="BN99" s="15">
        <v>0</v>
      </c>
      <c r="BO99" s="15">
        <v>0</v>
      </c>
      <c r="BP99" s="15">
        <v>657.31400000000008</v>
      </c>
      <c r="BQ99" s="30">
        <v>1303.0216499999985</v>
      </c>
      <c r="BR99" s="16">
        <v>1.6184361557537206</v>
      </c>
      <c r="BS99" s="16">
        <v>1.3816124562874599</v>
      </c>
      <c r="BT99" s="16">
        <v>1.5404845499937743</v>
      </c>
      <c r="BU99" s="16">
        <v>1.2288659935031627</v>
      </c>
      <c r="BV99" s="16">
        <v>1.3364017341373478</v>
      </c>
      <c r="BW99" s="16">
        <v>1.3143205502055819</v>
      </c>
      <c r="BX99" s="16">
        <v>0.94771005724462309</v>
      </c>
      <c r="BY99" s="16">
        <v>1.1219997547052767</v>
      </c>
      <c r="BZ99" s="16">
        <v>0.95821268706206553</v>
      </c>
      <c r="CA99" s="16">
        <v>1.1807472851700309</v>
      </c>
      <c r="CB99" s="16">
        <v>1.0826297178143525</v>
      </c>
      <c r="CC99" s="16">
        <v>1.4446929677507898</v>
      </c>
      <c r="CD99" s="16">
        <v>1.4921304097159722</v>
      </c>
      <c r="CE99" s="16">
        <v>1.3543205926520938</v>
      </c>
      <c r="CF99" s="16">
        <f t="shared" si="2"/>
        <v>1.5816864389506402</v>
      </c>
      <c r="CG99" s="16">
        <f t="shared" si="2"/>
        <v>1.1807472851700309</v>
      </c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>
        <v>0</v>
      </c>
      <c r="DO99" s="35">
        <v>0</v>
      </c>
      <c r="DP99" s="35">
        <v>200</v>
      </c>
      <c r="DQ99" s="35">
        <v>0</v>
      </c>
      <c r="DR99" s="35">
        <v>0</v>
      </c>
    </row>
    <row r="100" spans="1:122" ht="25.5">
      <c r="A100" s="14">
        <f t="shared" si="3"/>
        <v>96</v>
      </c>
      <c r="B100" s="14" t="s">
        <v>184</v>
      </c>
      <c r="C100" s="14" t="s">
        <v>72</v>
      </c>
      <c r="D100" s="17" t="s">
        <v>52</v>
      </c>
      <c r="E100" s="14" t="s">
        <v>236</v>
      </c>
      <c r="F100" s="15">
        <v>1243.0534499999999</v>
      </c>
      <c r="G100" s="15">
        <v>2348.2844500000001</v>
      </c>
      <c r="H100" s="15">
        <v>1185.2887000000001</v>
      </c>
      <c r="I100" s="15">
        <v>1446.1855999999998</v>
      </c>
      <c r="J100" s="15">
        <v>2963.6084499999997</v>
      </c>
      <c r="K100" s="15">
        <v>2546.0830500000002</v>
      </c>
      <c r="L100" s="15">
        <v>2753.3925499999996</v>
      </c>
      <c r="M100" s="15">
        <v>2502.6822000000002</v>
      </c>
      <c r="N100" s="15">
        <v>5464.9598000000005</v>
      </c>
      <c r="O100" s="15">
        <v>1921.4898500000002</v>
      </c>
      <c r="P100" s="15">
        <v>922.93570000000011</v>
      </c>
      <c r="Q100" s="15">
        <v>1812.5393999999999</v>
      </c>
      <c r="R100" s="15">
        <v>2542.6950000000002</v>
      </c>
      <c r="S100" s="15">
        <v>2791.7617000000005</v>
      </c>
      <c r="T100" s="15">
        <v>2752.8235000000004</v>
      </c>
      <c r="U100" s="15">
        <v>1921.4898500000002</v>
      </c>
      <c r="V100" s="15">
        <v>0</v>
      </c>
      <c r="W100" s="15">
        <v>8.65</v>
      </c>
      <c r="X100" s="15">
        <v>0</v>
      </c>
      <c r="Y100" s="15">
        <v>36.290300000000002</v>
      </c>
      <c r="Z100" s="15">
        <v>0</v>
      </c>
      <c r="AA100" s="15">
        <v>44.557299999999998</v>
      </c>
      <c r="AB100" s="15">
        <v>0</v>
      </c>
      <c r="AC100" s="15">
        <v>0</v>
      </c>
      <c r="AD100" s="15">
        <v>0</v>
      </c>
      <c r="AE100" s="15">
        <v>61.152999999999999</v>
      </c>
      <c r="AF100" s="15">
        <v>11.535</v>
      </c>
      <c r="AG100" s="15">
        <v>0</v>
      </c>
      <c r="AH100" s="15">
        <v>330.71899999999999</v>
      </c>
      <c r="AI100" s="15">
        <v>0</v>
      </c>
      <c r="AJ100" s="15">
        <v>430.03110000000021</v>
      </c>
      <c r="AK100" s="15">
        <v>8.65</v>
      </c>
      <c r="AL100" s="15">
        <v>182.798</v>
      </c>
      <c r="AM100" s="15">
        <v>731.48770000000013</v>
      </c>
      <c r="AN100" s="15">
        <v>1098.9132500000001</v>
      </c>
      <c r="AO100" s="15">
        <v>1673.8905500000001</v>
      </c>
      <c r="AP100" s="15">
        <v>1785.27755</v>
      </c>
      <c r="AQ100" s="15">
        <v>1366.6484</v>
      </c>
      <c r="AR100" s="15">
        <v>2107.7646</v>
      </c>
      <c r="AS100" s="15">
        <v>1511.3551</v>
      </c>
      <c r="AT100" s="15">
        <v>2055.1936999999998</v>
      </c>
      <c r="AU100" s="15">
        <v>2280.3575000000001</v>
      </c>
      <c r="AV100" s="15">
        <v>3239.8113000000003</v>
      </c>
      <c r="AW100" s="15">
        <v>1014.1503</v>
      </c>
      <c r="AX100" s="15">
        <v>932.68049999999994</v>
      </c>
      <c r="AY100" s="15">
        <v>2200.8724000000002</v>
      </c>
      <c r="AZ100" s="15">
        <v>2607.6905000000002</v>
      </c>
      <c r="BA100" s="15">
        <v>2742.7192500000001</v>
      </c>
      <c r="BB100" s="15">
        <v>1752.6608500000002</v>
      </c>
      <c r="BC100" s="15">
        <v>1014.1503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23.883400000000002</v>
      </c>
      <c r="BK100" s="15">
        <v>0</v>
      </c>
      <c r="BL100" s="15">
        <v>458.7971</v>
      </c>
      <c r="BM100" s="15">
        <v>0</v>
      </c>
      <c r="BN100" s="15">
        <v>0</v>
      </c>
      <c r="BO100" s="15">
        <v>0</v>
      </c>
      <c r="BP100" s="15">
        <v>450</v>
      </c>
      <c r="BQ100" s="30">
        <v>-6.3948846218409017E-14</v>
      </c>
      <c r="BR100" s="16">
        <v>1.1311661316304993</v>
      </c>
      <c r="BS100" s="16">
        <v>1.4028900814333409</v>
      </c>
      <c r="BT100" s="16">
        <v>0.66392404923256898</v>
      </c>
      <c r="BU100" s="16">
        <v>1.0581987290952082</v>
      </c>
      <c r="BV100" s="16">
        <v>1.4060433741035407</v>
      </c>
      <c r="BW100" s="16">
        <v>1.6846358939735606</v>
      </c>
      <c r="BX100" s="16">
        <v>1.3397241097031389</v>
      </c>
      <c r="BY100" s="16">
        <v>1.0974955462027336</v>
      </c>
      <c r="BZ100" s="16">
        <v>1.6868142289645078</v>
      </c>
      <c r="CA100" s="16">
        <v>1.8946795657408968</v>
      </c>
      <c r="CB100" s="16">
        <v>0.98955183473869146</v>
      </c>
      <c r="CC100" s="16">
        <v>0.82355496847522813</v>
      </c>
      <c r="CD100" s="16">
        <v>0.97507545469832402</v>
      </c>
      <c r="CE100" s="16">
        <v>1.0178809588330997</v>
      </c>
      <c r="CF100" s="16">
        <f t="shared" si="2"/>
        <v>1.5706538432692212</v>
      </c>
      <c r="CG100" s="16">
        <f t="shared" si="2"/>
        <v>1.8946795657408968</v>
      </c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>
        <v>0</v>
      </c>
      <c r="DO100" s="35">
        <v>0</v>
      </c>
      <c r="DP100" s="35">
        <v>798.55335000000002</v>
      </c>
      <c r="DQ100" s="35">
        <v>0</v>
      </c>
      <c r="DR100" s="35">
        <v>0</v>
      </c>
    </row>
    <row r="101" spans="1:122" ht="25.5">
      <c r="A101" s="14">
        <f t="shared" si="3"/>
        <v>97</v>
      </c>
      <c r="B101" s="14" t="s">
        <v>185</v>
      </c>
      <c r="C101" s="14" t="s">
        <v>73</v>
      </c>
      <c r="D101" s="17" t="s">
        <v>74</v>
      </c>
      <c r="E101" s="14" t="s">
        <v>217</v>
      </c>
      <c r="F101" s="15">
        <v>95651.93668354</v>
      </c>
      <c r="G101" s="15">
        <v>71915.980923720024</v>
      </c>
      <c r="H101" s="15">
        <v>67666.889381929985</v>
      </c>
      <c r="I101" s="15">
        <v>77788.038748789972</v>
      </c>
      <c r="J101" s="15">
        <v>63220.542788290011</v>
      </c>
      <c r="K101" s="15">
        <v>66031.389107799987</v>
      </c>
      <c r="L101" s="15">
        <v>70694.548514790004</v>
      </c>
      <c r="M101" s="15">
        <v>61562.856202900002</v>
      </c>
      <c r="N101" s="15">
        <v>59817.462360580008</v>
      </c>
      <c r="O101" s="15">
        <v>58541.649455459999</v>
      </c>
      <c r="P101" s="15">
        <v>62905.738031280001</v>
      </c>
      <c r="Q101" s="15">
        <v>60988.900206659993</v>
      </c>
      <c r="R101" s="15">
        <v>48413.173774870003</v>
      </c>
      <c r="S101" s="15">
        <v>51729.182192699991</v>
      </c>
      <c r="T101" s="15">
        <v>57022.706138699999</v>
      </c>
      <c r="U101" s="15">
        <v>58541.649455459999</v>
      </c>
      <c r="V101" s="15">
        <v>538.45669999999996</v>
      </c>
      <c r="W101" s="15">
        <v>24707.9833</v>
      </c>
      <c r="X101" s="15">
        <v>15250.777480000001</v>
      </c>
      <c r="Y101" s="15">
        <v>2523.75870338</v>
      </c>
      <c r="Z101" s="15">
        <v>478.62180000000001</v>
      </c>
      <c r="AA101" s="15">
        <v>805.92607180999994</v>
      </c>
      <c r="AB101" s="15">
        <v>0</v>
      </c>
      <c r="AC101" s="15">
        <v>3972.721</v>
      </c>
      <c r="AD101" s="15">
        <v>47.60132806</v>
      </c>
      <c r="AE101" s="15">
        <v>1040.9507000000001</v>
      </c>
      <c r="AF101" s="15">
        <v>60.751873859999996</v>
      </c>
      <c r="AG101" s="15">
        <v>0</v>
      </c>
      <c r="AH101" s="15">
        <v>1821.8061641700001</v>
      </c>
      <c r="AI101" s="15">
        <v>7902.79581547</v>
      </c>
      <c r="AJ101" s="15">
        <v>3753.5870945300039</v>
      </c>
      <c r="AK101" s="15">
        <v>40975.83928</v>
      </c>
      <c r="AL101" s="15">
        <v>5788.3291740599998</v>
      </c>
      <c r="AM101" s="15">
        <v>16141.569577220002</v>
      </c>
      <c r="AN101" s="15">
        <v>62266.94618354</v>
      </c>
      <c r="AO101" s="15">
        <v>57338.227873719996</v>
      </c>
      <c r="AP101" s="15">
        <v>55443.655081929996</v>
      </c>
      <c r="AQ101" s="15">
        <v>53789.430548789998</v>
      </c>
      <c r="AR101" s="15">
        <v>38042.064788290001</v>
      </c>
      <c r="AS101" s="15">
        <v>42365.556607800005</v>
      </c>
      <c r="AT101" s="15">
        <v>50245.375564789996</v>
      </c>
      <c r="AU101" s="15">
        <v>45347.348652900007</v>
      </c>
      <c r="AV101" s="15">
        <v>41698.490010579997</v>
      </c>
      <c r="AW101" s="15">
        <v>40492.061655459998</v>
      </c>
      <c r="AX101" s="15">
        <v>36603.316781280009</v>
      </c>
      <c r="AY101" s="15">
        <v>44658.580056659994</v>
      </c>
      <c r="AZ101" s="15">
        <v>34909.629024869995</v>
      </c>
      <c r="BA101" s="15">
        <v>38097.567592700005</v>
      </c>
      <c r="BB101" s="15">
        <v>39423.7364887</v>
      </c>
      <c r="BC101" s="15">
        <v>40492.061655459998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741.74599999999998</v>
      </c>
      <c r="BJ101" s="15">
        <v>19620.326000000001</v>
      </c>
      <c r="BK101" s="15">
        <v>4017.0320424099996</v>
      </c>
      <c r="BL101" s="15">
        <v>5888.8365035200004</v>
      </c>
      <c r="BM101" s="15">
        <v>1050.12123535</v>
      </c>
      <c r="BN101" s="15">
        <v>0</v>
      </c>
      <c r="BO101" s="15">
        <v>0</v>
      </c>
      <c r="BP101" s="15">
        <v>2782.413</v>
      </c>
      <c r="BQ101" s="15">
        <v>2502.8420000000069</v>
      </c>
      <c r="BR101" s="16">
        <v>1.5361591108321477</v>
      </c>
      <c r="BS101" s="16">
        <v>1.2542414300299904</v>
      </c>
      <c r="BT101" s="16">
        <v>1.2204622743925795</v>
      </c>
      <c r="BU101" s="16">
        <v>1.4461584358702571</v>
      </c>
      <c r="BV101" s="16">
        <v>1.6618588696518486</v>
      </c>
      <c r="BW101" s="16">
        <v>1.5586102106266868</v>
      </c>
      <c r="BX101" s="16">
        <v>1.4069861697745969</v>
      </c>
      <c r="BY101" s="16">
        <v>1.3575844681486797</v>
      </c>
      <c r="BZ101" s="16">
        <v>1.4345234646483063</v>
      </c>
      <c r="CA101" s="16">
        <v>1.4457562065765099</v>
      </c>
      <c r="CB101" s="16">
        <v>1.7185802698473436</v>
      </c>
      <c r="CC101" s="16">
        <v>1.3656703847117646</v>
      </c>
      <c r="CD101" s="16">
        <v>1.3868143296618802</v>
      </c>
      <c r="CE101" s="16">
        <v>1.3578080035380522</v>
      </c>
      <c r="CF101" s="16">
        <f t="shared" si="2"/>
        <v>1.446405420121565</v>
      </c>
      <c r="CG101" s="16">
        <f t="shared" si="2"/>
        <v>1.4457562065765099</v>
      </c>
      <c r="CH101" s="30"/>
      <c r="CI101" s="30"/>
      <c r="CJ101" s="30">
        <v>2000</v>
      </c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>
        <v>1000</v>
      </c>
      <c r="CW101" s="30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>
        <v>277.65514999999999</v>
      </c>
      <c r="DO101" s="35">
        <v>2037.6580494899999</v>
      </c>
      <c r="DP101" s="35">
        <v>3704.6482500000002</v>
      </c>
      <c r="DQ101" s="35">
        <v>0</v>
      </c>
      <c r="DR101" s="35">
        <v>613</v>
      </c>
    </row>
    <row r="102" spans="1:122" ht="25.5">
      <c r="A102" s="14">
        <f t="shared" si="3"/>
        <v>98</v>
      </c>
      <c r="B102" s="14" t="s">
        <v>186</v>
      </c>
      <c r="C102" s="14" t="s">
        <v>73</v>
      </c>
      <c r="D102" s="17" t="s">
        <v>75</v>
      </c>
      <c r="E102" s="14" t="s">
        <v>217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>
        <v>3637.1326031399999</v>
      </c>
      <c r="P102" s="15">
        <v>2142.12502675</v>
      </c>
      <c r="Q102" s="15">
        <v>1842.4867058299999</v>
      </c>
      <c r="R102" s="15">
        <v>3431.3225578199999</v>
      </c>
      <c r="S102" s="15">
        <v>4160.8743609599996</v>
      </c>
      <c r="T102" s="15">
        <v>932.10266440999999</v>
      </c>
      <c r="U102" s="15">
        <v>3637.1326031399999</v>
      </c>
      <c r="V102" s="15">
        <v>20.806000000000001</v>
      </c>
      <c r="W102" s="15">
        <v>4.7</v>
      </c>
      <c r="X102" s="15">
        <v>0</v>
      </c>
      <c r="Y102" s="15">
        <v>389.06153238999997</v>
      </c>
      <c r="Z102" s="15">
        <v>0.3</v>
      </c>
      <c r="AA102" s="15">
        <v>0.10050000000000001</v>
      </c>
      <c r="AB102" s="15">
        <v>0</v>
      </c>
      <c r="AC102" s="15">
        <v>0</v>
      </c>
      <c r="AD102" s="15">
        <v>13.7348</v>
      </c>
      <c r="AE102" s="15">
        <v>0.57299999999999995</v>
      </c>
      <c r="AF102" s="15">
        <v>2.1545963399999999</v>
      </c>
      <c r="AG102" s="15">
        <v>0</v>
      </c>
      <c r="AH102" s="15">
        <v>541.85604604999992</v>
      </c>
      <c r="AI102" s="15">
        <v>1040.41139918</v>
      </c>
      <c r="AJ102" s="15">
        <v>128.42715279000018</v>
      </c>
      <c r="AK102" s="15">
        <v>25.806000000000001</v>
      </c>
      <c r="AL102" s="15">
        <v>47.671700000000001</v>
      </c>
      <c r="AM102" s="15">
        <v>2068.64732675</v>
      </c>
      <c r="AN102" s="15"/>
      <c r="AO102" s="15"/>
      <c r="AP102" s="15"/>
      <c r="AQ102" s="15"/>
      <c r="AR102" s="15"/>
      <c r="AS102" s="15"/>
      <c r="AT102" s="15"/>
      <c r="AU102" s="15"/>
      <c r="AV102" s="15"/>
      <c r="AW102" s="15">
        <v>2214.81475314</v>
      </c>
      <c r="AX102" s="15">
        <v>1823.2613267500001</v>
      </c>
      <c r="AY102" s="15">
        <v>1500.9098558300002</v>
      </c>
      <c r="AZ102" s="15">
        <v>2124.8784078200001</v>
      </c>
      <c r="BA102" s="15">
        <v>2429.7534109600001</v>
      </c>
      <c r="BB102" s="15">
        <v>389.63246441000001</v>
      </c>
      <c r="BC102" s="15">
        <v>2214.81475314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328.88220000000001</v>
      </c>
      <c r="BK102" s="15">
        <v>595.33687657000007</v>
      </c>
      <c r="BL102" s="15">
        <v>801.43404508000003</v>
      </c>
      <c r="BM102" s="15">
        <v>97.608205099999992</v>
      </c>
      <c r="BN102" s="15">
        <v>0</v>
      </c>
      <c r="BO102" s="15">
        <v>0</v>
      </c>
      <c r="BP102" s="15">
        <v>0</v>
      </c>
      <c r="BQ102" s="15">
        <v>-1.1368683772161603E-13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1.6421836625313893</v>
      </c>
      <c r="CB102" s="16">
        <v>1.1748864495296354</v>
      </c>
      <c r="CC102" s="16">
        <v>1.2275798567603571</v>
      </c>
      <c r="CD102" s="16">
        <v>1.6148324276777486</v>
      </c>
      <c r="CE102" s="16">
        <v>1.7124677517444169</v>
      </c>
      <c r="CF102" s="16">
        <f t="shared" si="2"/>
        <v>2.3922612963512528</v>
      </c>
      <c r="CG102" s="16">
        <f t="shared" si="2"/>
        <v>1.6421836625313893</v>
      </c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>
        <v>0</v>
      </c>
      <c r="DO102" s="35">
        <v>0</v>
      </c>
      <c r="DP102" s="35">
        <v>312.44619999999998</v>
      </c>
      <c r="DQ102" s="35">
        <v>0</v>
      </c>
      <c r="DR102" s="35">
        <v>0</v>
      </c>
    </row>
    <row r="103" spans="1:122" ht="25.5">
      <c r="A103" s="14">
        <f t="shared" si="3"/>
        <v>99</v>
      </c>
      <c r="B103" s="14" t="s">
        <v>187</v>
      </c>
      <c r="C103" s="14" t="s">
        <v>73</v>
      </c>
      <c r="D103" s="17" t="s">
        <v>18</v>
      </c>
      <c r="E103" s="14" t="s">
        <v>219</v>
      </c>
      <c r="F103" s="15">
        <v>37494.901559920007</v>
      </c>
      <c r="G103" s="15">
        <v>35875.443220430003</v>
      </c>
      <c r="H103" s="15">
        <v>32848.819211219998</v>
      </c>
      <c r="I103" s="15">
        <v>38591.302781700004</v>
      </c>
      <c r="J103" s="15">
        <v>38967.021109790003</v>
      </c>
      <c r="K103" s="15">
        <v>39756.684728320004</v>
      </c>
      <c r="L103" s="15">
        <v>45504.941817550003</v>
      </c>
      <c r="M103" s="15">
        <v>39940.03162898001</v>
      </c>
      <c r="N103" s="15">
        <v>40362.333647330001</v>
      </c>
      <c r="O103" s="15">
        <v>42009.293695490007</v>
      </c>
      <c r="P103" s="15">
        <v>58159.35403309</v>
      </c>
      <c r="Q103" s="15">
        <v>41376.445811510006</v>
      </c>
      <c r="R103" s="15">
        <v>35030.469656000001</v>
      </c>
      <c r="S103" s="15">
        <v>36974.264243720005</v>
      </c>
      <c r="T103" s="15">
        <v>40500.546553020002</v>
      </c>
      <c r="U103" s="15">
        <v>42009.293695490007</v>
      </c>
      <c r="V103" s="15">
        <v>237.4</v>
      </c>
      <c r="W103" s="15">
        <v>9643.4073000000008</v>
      </c>
      <c r="X103" s="15">
        <v>7948.8254049999996</v>
      </c>
      <c r="Y103" s="15">
        <v>1515.6644111800001</v>
      </c>
      <c r="Z103" s="15">
        <v>582.87</v>
      </c>
      <c r="AA103" s="15">
        <v>18502.10810053</v>
      </c>
      <c r="AB103" s="15">
        <v>0</v>
      </c>
      <c r="AC103" s="15">
        <v>212.46100000000001</v>
      </c>
      <c r="AD103" s="15">
        <v>0.84872000000000003</v>
      </c>
      <c r="AE103" s="15">
        <v>990.4221</v>
      </c>
      <c r="AF103" s="15">
        <v>294.64725518</v>
      </c>
      <c r="AG103" s="15">
        <v>72.650000000000006</v>
      </c>
      <c r="AH103" s="15">
        <v>2898.4982733699999</v>
      </c>
      <c r="AI103" s="15">
        <v>11407.379022450001</v>
      </c>
      <c r="AJ103" s="15">
        <v>3852.1724453799866</v>
      </c>
      <c r="AK103" s="15">
        <v>18412.502704999999</v>
      </c>
      <c r="AL103" s="15">
        <v>2096.2514110000002</v>
      </c>
      <c r="AM103" s="15">
        <v>37650.599917090003</v>
      </c>
      <c r="AN103" s="15">
        <v>37458.558759920001</v>
      </c>
      <c r="AO103" s="15">
        <v>39550.912870430002</v>
      </c>
      <c r="AP103" s="15">
        <v>33205.456561220002</v>
      </c>
      <c r="AQ103" s="15">
        <v>33405.1090817</v>
      </c>
      <c r="AR103" s="15">
        <v>33686.91045979</v>
      </c>
      <c r="AS103" s="15">
        <v>36301.671578320005</v>
      </c>
      <c r="AT103" s="15">
        <v>45148.461567550003</v>
      </c>
      <c r="AU103" s="15">
        <v>42657.606128979991</v>
      </c>
      <c r="AV103" s="15">
        <v>41060.276497329993</v>
      </c>
      <c r="AW103" s="15">
        <v>38422.129545489996</v>
      </c>
      <c r="AX103" s="15">
        <v>37421.195583089997</v>
      </c>
      <c r="AY103" s="15">
        <v>43641.322111510002</v>
      </c>
      <c r="AZ103" s="15">
        <v>33582.423256000002</v>
      </c>
      <c r="BA103" s="15">
        <v>39236.767943719999</v>
      </c>
      <c r="BB103" s="15">
        <v>42184.904753020004</v>
      </c>
      <c r="BC103" s="15">
        <v>38422.129545489996</v>
      </c>
      <c r="BD103" s="15">
        <v>0</v>
      </c>
      <c r="BE103" s="15">
        <v>233.96100000000001</v>
      </c>
      <c r="BF103" s="15">
        <v>0</v>
      </c>
      <c r="BG103" s="15">
        <v>0</v>
      </c>
      <c r="BH103" s="15">
        <v>21.72</v>
      </c>
      <c r="BI103" s="15">
        <v>1461.693</v>
      </c>
      <c r="BJ103" s="15">
        <v>17240.076008</v>
      </c>
      <c r="BK103" s="15">
        <v>8335.2772025699996</v>
      </c>
      <c r="BL103" s="15">
        <v>5646.0495584199998</v>
      </c>
      <c r="BM103" s="15">
        <v>1822.5488140999998</v>
      </c>
      <c r="BN103" s="15">
        <v>0</v>
      </c>
      <c r="BO103" s="15">
        <v>0</v>
      </c>
      <c r="BP103" s="15">
        <v>2086.87</v>
      </c>
      <c r="BQ103" s="15">
        <v>572.9999999999925</v>
      </c>
      <c r="BR103" s="16">
        <v>1.0009702135160334</v>
      </c>
      <c r="BS103" s="16">
        <v>0.90706991613465537</v>
      </c>
      <c r="BT103" s="16">
        <v>0.98925967636245316</v>
      </c>
      <c r="BU103" s="16">
        <v>1.1552515121958127</v>
      </c>
      <c r="BV103" s="16">
        <v>1.1567407214829792</v>
      </c>
      <c r="BW103" s="16">
        <v>1.0951750429052802</v>
      </c>
      <c r="BX103" s="16">
        <v>1.007895734154012</v>
      </c>
      <c r="BY103" s="16">
        <v>0.93629331913790259</v>
      </c>
      <c r="BZ103" s="16">
        <v>0.98300199342190553</v>
      </c>
      <c r="CA103" s="16">
        <v>1.0933619295034904</v>
      </c>
      <c r="CB103" s="16">
        <v>1.5541821453553779</v>
      </c>
      <c r="CC103" s="16">
        <v>0.94810248199601044</v>
      </c>
      <c r="CD103" s="16">
        <v>1.0431191754377429</v>
      </c>
      <c r="CE103" s="16">
        <v>0.94233715419054753</v>
      </c>
      <c r="CF103" s="16">
        <f t="shared" si="2"/>
        <v>0.96007201604788694</v>
      </c>
      <c r="CG103" s="16">
        <f t="shared" si="2"/>
        <v>1.0933619295034904</v>
      </c>
      <c r="CH103" s="30"/>
      <c r="CI103" s="30"/>
      <c r="CJ103" s="30">
        <v>4000</v>
      </c>
      <c r="CK103" s="30">
        <v>2000</v>
      </c>
      <c r="CL103" s="30"/>
      <c r="CM103" s="30"/>
      <c r="CN103" s="30"/>
      <c r="CO103" s="30">
        <v>2000</v>
      </c>
      <c r="CP103" s="30">
        <v>2000</v>
      </c>
      <c r="CQ103" s="30"/>
      <c r="CR103" s="30"/>
      <c r="CS103" s="30">
        <v>4000</v>
      </c>
      <c r="CT103" s="30"/>
      <c r="CU103" s="30">
        <v>2000</v>
      </c>
      <c r="CV103" s="30">
        <v>3000</v>
      </c>
      <c r="CW103" s="30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>
        <v>1675.79745</v>
      </c>
      <c r="DO103" s="35">
        <v>3352.0829455399999</v>
      </c>
      <c r="DP103" s="35">
        <v>1876.7825</v>
      </c>
      <c r="DQ103" s="35">
        <v>0</v>
      </c>
      <c r="DR103" s="35">
        <v>123</v>
      </c>
    </row>
    <row r="104" spans="1:122" ht="25.5">
      <c r="A104" s="14">
        <f t="shared" si="3"/>
        <v>100</v>
      </c>
      <c r="B104" s="14" t="s">
        <v>188</v>
      </c>
      <c r="C104" s="14" t="s">
        <v>73</v>
      </c>
      <c r="D104" s="17" t="s">
        <v>76</v>
      </c>
      <c r="E104" s="14" t="s">
        <v>222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>
        <v>3697.6349370100006</v>
      </c>
      <c r="P104" s="15">
        <v>2567.6265500000004</v>
      </c>
      <c r="Q104" s="15">
        <v>4648.4585129200004</v>
      </c>
      <c r="R104" s="15"/>
      <c r="S104" s="15"/>
      <c r="T104" s="15"/>
      <c r="U104" s="15">
        <v>3697.6349370100006</v>
      </c>
      <c r="V104" s="15">
        <v>153.66499999999999</v>
      </c>
      <c r="W104" s="15">
        <v>1278.1827000000001</v>
      </c>
      <c r="X104" s="15">
        <v>16.632439999999999</v>
      </c>
      <c r="Y104" s="15">
        <v>391.43624999999997</v>
      </c>
      <c r="Z104" s="15">
        <v>50.317</v>
      </c>
      <c r="AA104" s="15">
        <v>140.51275000000001</v>
      </c>
      <c r="AB104" s="15">
        <v>0</v>
      </c>
      <c r="AC104" s="15">
        <v>238.42099999999999</v>
      </c>
      <c r="AD104" s="15">
        <v>0</v>
      </c>
      <c r="AE104" s="15">
        <v>28.166</v>
      </c>
      <c r="AF104" s="15">
        <v>0.123</v>
      </c>
      <c r="AG104" s="15">
        <v>0</v>
      </c>
      <c r="AH104" s="15">
        <v>3.9750000000000001</v>
      </c>
      <c r="AI104" s="15">
        <v>186.79</v>
      </c>
      <c r="AJ104" s="15">
        <v>79.405410000000273</v>
      </c>
      <c r="AK104" s="15">
        <v>1498.7971400000001</v>
      </c>
      <c r="AL104" s="15">
        <v>282.87734</v>
      </c>
      <c r="AM104" s="15">
        <v>785.95207000000028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>
        <v>1514.4784370100001</v>
      </c>
      <c r="AX104" s="15">
        <v>638.74225000000001</v>
      </c>
      <c r="AY104" s="15">
        <v>919.64391292000005</v>
      </c>
      <c r="AZ104" s="15"/>
      <c r="BA104" s="15"/>
      <c r="BB104" s="15"/>
      <c r="BC104" s="15">
        <v>1514.4784370100001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125.744</v>
      </c>
      <c r="BJ104" s="15">
        <v>378.6</v>
      </c>
      <c r="BK104" s="15">
        <v>0</v>
      </c>
      <c r="BL104" s="15">
        <v>114.39825</v>
      </c>
      <c r="BM104" s="15">
        <v>0</v>
      </c>
      <c r="BN104" s="15">
        <v>0</v>
      </c>
      <c r="BO104" s="15">
        <v>0</v>
      </c>
      <c r="BP104" s="15">
        <v>20</v>
      </c>
      <c r="BQ104" s="15">
        <v>-2.8421709430404007E-14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2.4415236603237194</v>
      </c>
      <c r="CB104" s="16">
        <v>4.0198163656780181</v>
      </c>
      <c r="CC104" s="16">
        <v>5.0546286966228964</v>
      </c>
      <c r="CD104" s="16"/>
      <c r="CE104" s="16"/>
      <c r="CF104" s="16"/>
      <c r="CG104" s="16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>
        <v>0</v>
      </c>
      <c r="DO104" s="35">
        <v>0</v>
      </c>
      <c r="DP104" s="35">
        <v>0</v>
      </c>
      <c r="DQ104" s="35">
        <v>0</v>
      </c>
      <c r="DR104" s="35">
        <v>0</v>
      </c>
    </row>
    <row r="105" spans="1:122" ht="25.5">
      <c r="A105" s="14">
        <f t="shared" si="3"/>
        <v>101</v>
      </c>
      <c r="B105" s="14" t="s">
        <v>188</v>
      </c>
      <c r="C105" s="14" t="s">
        <v>73</v>
      </c>
      <c r="D105" s="17" t="s">
        <v>57</v>
      </c>
      <c r="E105" s="14" t="s">
        <v>222</v>
      </c>
      <c r="F105" s="15">
        <v>43662.622568319995</v>
      </c>
      <c r="G105" s="15">
        <v>43616.211038950001</v>
      </c>
      <c r="H105" s="15">
        <v>37012.493836329995</v>
      </c>
      <c r="I105" s="15">
        <v>42864.72314354001</v>
      </c>
      <c r="J105" s="15">
        <v>47741.945687669999</v>
      </c>
      <c r="K105" s="15">
        <v>41654.622995390004</v>
      </c>
      <c r="L105" s="15">
        <v>46479.550770699992</v>
      </c>
      <c r="M105" s="15">
        <v>48447.775101389998</v>
      </c>
      <c r="N105" s="15">
        <v>60538.445370620007</v>
      </c>
      <c r="O105" s="15">
        <v>53632.013532689991</v>
      </c>
      <c r="P105" s="15">
        <v>44013.143695669991</v>
      </c>
      <c r="Q105" s="15">
        <v>51513.714722129997</v>
      </c>
      <c r="R105" s="15">
        <v>44298.895722979993</v>
      </c>
      <c r="S105" s="15">
        <v>52485.369781329988</v>
      </c>
      <c r="T105" s="15">
        <v>52208.081477159998</v>
      </c>
      <c r="U105" s="15">
        <v>53632.013532689991</v>
      </c>
      <c r="V105" s="15">
        <v>320.09949999999998</v>
      </c>
      <c r="W105" s="15">
        <v>5173.2133000000003</v>
      </c>
      <c r="X105" s="15">
        <v>8012.0364499999996</v>
      </c>
      <c r="Y105" s="15">
        <v>2895.2792958200002</v>
      </c>
      <c r="Z105" s="15">
        <v>72.084000000000003</v>
      </c>
      <c r="AA105" s="15">
        <v>1440.66835883</v>
      </c>
      <c r="AB105" s="15">
        <v>0</v>
      </c>
      <c r="AC105" s="15">
        <v>15374.6258</v>
      </c>
      <c r="AD105" s="15">
        <v>3.0811600000000001</v>
      </c>
      <c r="AE105" s="15">
        <v>1234.9681</v>
      </c>
      <c r="AF105" s="15">
        <v>1395.6536150499999</v>
      </c>
      <c r="AG105" s="15">
        <v>0</v>
      </c>
      <c r="AH105" s="15">
        <v>2008.49006491</v>
      </c>
      <c r="AI105" s="15">
        <v>2470.80375</v>
      </c>
      <c r="AJ105" s="15">
        <v>3612.1403010599856</v>
      </c>
      <c r="AK105" s="15">
        <v>13577.43325</v>
      </c>
      <c r="AL105" s="15">
        <v>17411.249857799998</v>
      </c>
      <c r="AM105" s="15">
        <v>13024.460587869991</v>
      </c>
      <c r="AN105" s="15">
        <v>31991.396768320003</v>
      </c>
      <c r="AO105" s="15">
        <v>28000.307638949998</v>
      </c>
      <c r="AP105" s="15">
        <v>26636.693186330005</v>
      </c>
      <c r="AQ105" s="15">
        <v>33573.205943540001</v>
      </c>
      <c r="AR105" s="15">
        <v>28421.068387669999</v>
      </c>
      <c r="AS105" s="15">
        <v>29761.270645390003</v>
      </c>
      <c r="AT105" s="15">
        <v>32193.062970700001</v>
      </c>
      <c r="AU105" s="15">
        <v>30733.320451390002</v>
      </c>
      <c r="AV105" s="15">
        <v>35628.08692062</v>
      </c>
      <c r="AW105" s="15">
        <v>39182.949282690002</v>
      </c>
      <c r="AX105" s="15">
        <v>25469.635245670001</v>
      </c>
      <c r="AY105" s="15">
        <v>36781.99527213</v>
      </c>
      <c r="AZ105" s="15">
        <v>22706.572522980001</v>
      </c>
      <c r="BA105" s="15">
        <v>30976.222531329997</v>
      </c>
      <c r="BB105" s="15">
        <v>37555.747777160002</v>
      </c>
      <c r="BC105" s="15">
        <v>39182.949282690002</v>
      </c>
      <c r="BD105" s="15">
        <v>0</v>
      </c>
      <c r="BE105" s="15">
        <v>280.24900000000002</v>
      </c>
      <c r="BF105" s="15">
        <v>0</v>
      </c>
      <c r="BG105" s="15">
        <v>715</v>
      </c>
      <c r="BH105" s="15">
        <v>0</v>
      </c>
      <c r="BI105" s="15">
        <v>1026.7306000000001</v>
      </c>
      <c r="BJ105" s="15">
        <v>13236.10325</v>
      </c>
      <c r="BK105" s="26">
        <v>366.03344876</v>
      </c>
      <c r="BL105" s="15">
        <v>8084.5105172100002</v>
      </c>
      <c r="BM105" s="15">
        <v>476.16742970000001</v>
      </c>
      <c r="BN105" s="15">
        <v>0</v>
      </c>
      <c r="BO105" s="15">
        <v>0</v>
      </c>
      <c r="BP105" s="15">
        <v>1221.8410000000001</v>
      </c>
      <c r="BQ105" s="15">
        <v>63.000000000000455</v>
      </c>
      <c r="BR105" s="16">
        <v>1.3648238895138711</v>
      </c>
      <c r="BS105" s="16">
        <v>1.5577047081538993</v>
      </c>
      <c r="BT105" s="16">
        <v>1.3895303586454519</v>
      </c>
      <c r="BU105" s="16">
        <v>1.2767539452629437</v>
      </c>
      <c r="BV105" s="16">
        <v>1.6798082688679654</v>
      </c>
      <c r="BW105" s="16">
        <v>1.3996251534993609</v>
      </c>
      <c r="BX105" s="16">
        <v>1.4437753503915614</v>
      </c>
      <c r="BY105" s="16">
        <v>1.5763924753271756</v>
      </c>
      <c r="BZ105" s="16">
        <v>1.699177547913272</v>
      </c>
      <c r="CA105" s="16">
        <v>1.3687589758942216</v>
      </c>
      <c r="CB105" s="16">
        <v>1.7280633692291492</v>
      </c>
      <c r="CC105" s="16">
        <v>1.4005144185628868</v>
      </c>
      <c r="CD105" s="16">
        <v>1.9509283348751847</v>
      </c>
      <c r="CE105" s="16">
        <v>1.6943760566106856</v>
      </c>
      <c r="CF105" s="16">
        <f t="shared" si="2"/>
        <v>1.3901489004277261</v>
      </c>
      <c r="CG105" s="16">
        <f t="shared" si="2"/>
        <v>1.3687589758942216</v>
      </c>
      <c r="CH105" s="30"/>
      <c r="CI105" s="30">
        <v>6000</v>
      </c>
      <c r="CJ105" s="30"/>
      <c r="CK105" s="30"/>
      <c r="CL105" s="30">
        <v>3000</v>
      </c>
      <c r="CM105" s="30">
        <v>2000</v>
      </c>
      <c r="CN105" s="30"/>
      <c r="CO105" s="30">
        <v>3500</v>
      </c>
      <c r="CP105" s="30"/>
      <c r="CQ105" s="30">
        <v>2000</v>
      </c>
      <c r="CR105" s="30">
        <v>2000</v>
      </c>
      <c r="CS105" s="30">
        <v>2000</v>
      </c>
      <c r="CT105" s="30"/>
      <c r="CU105" s="30"/>
      <c r="CV105" s="30">
        <v>2000</v>
      </c>
      <c r="CW105" s="30">
        <v>2000</v>
      </c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>
        <v>1681.5608500000001</v>
      </c>
      <c r="DO105" s="35">
        <v>3067.6667049499997</v>
      </c>
      <c r="DP105" s="35">
        <v>1434.73335</v>
      </c>
      <c r="DQ105" s="35">
        <v>0</v>
      </c>
      <c r="DR105" s="35">
        <v>183</v>
      </c>
    </row>
    <row r="106" spans="1:122" ht="25.5">
      <c r="A106" s="14">
        <f t="shared" si="3"/>
        <v>102</v>
      </c>
      <c r="B106" s="14" t="s">
        <v>189</v>
      </c>
      <c r="C106" s="14" t="s">
        <v>73</v>
      </c>
      <c r="D106" s="17" t="s">
        <v>77</v>
      </c>
      <c r="E106" s="14" t="s">
        <v>224</v>
      </c>
      <c r="F106" s="15">
        <v>10551.19189074</v>
      </c>
      <c r="G106" s="15">
        <v>7155.3322211000004</v>
      </c>
      <c r="H106" s="15">
        <v>9486.6645257399996</v>
      </c>
      <c r="I106" s="15">
        <v>7989.7111543199999</v>
      </c>
      <c r="J106" s="15">
        <v>9647.2751208799982</v>
      </c>
      <c r="K106" s="15">
        <v>10395.136417879999</v>
      </c>
      <c r="L106" s="15">
        <v>7890.9715222700006</v>
      </c>
      <c r="M106" s="15">
        <v>8604.4848485500024</v>
      </c>
      <c r="N106" s="15">
        <v>9782.2915772199995</v>
      </c>
      <c r="O106" s="15">
        <v>9271.4247664699997</v>
      </c>
      <c r="P106" s="15">
        <v>10233.80111894</v>
      </c>
      <c r="Q106" s="15">
        <v>14.15463278</v>
      </c>
      <c r="R106" s="15">
        <v>0</v>
      </c>
      <c r="S106" s="15">
        <v>0</v>
      </c>
      <c r="T106" s="15">
        <v>618.41529999999989</v>
      </c>
      <c r="U106" s="15">
        <v>9271.4247664699997</v>
      </c>
      <c r="V106" s="15">
        <v>35.465000000000003</v>
      </c>
      <c r="W106" s="15">
        <v>3842.7633999999998</v>
      </c>
      <c r="X106" s="15">
        <v>10.744260000000001</v>
      </c>
      <c r="Y106" s="15">
        <v>349.47150391000002</v>
      </c>
      <c r="Z106" s="15">
        <v>0</v>
      </c>
      <c r="AA106" s="15">
        <v>136.43375</v>
      </c>
      <c r="AB106" s="15">
        <v>0</v>
      </c>
      <c r="AC106" s="15">
        <v>71.44</v>
      </c>
      <c r="AD106" s="15">
        <v>11.56908</v>
      </c>
      <c r="AE106" s="15">
        <v>121.595</v>
      </c>
      <c r="AF106" s="15">
        <v>45.503783420000005</v>
      </c>
      <c r="AG106" s="15">
        <v>950.53</v>
      </c>
      <c r="AH106" s="15">
        <v>1136.5685718699999</v>
      </c>
      <c r="AI106" s="15">
        <v>2144.70058096</v>
      </c>
      <c r="AJ106" s="15">
        <v>1377.0161887800007</v>
      </c>
      <c r="AK106" s="15">
        <v>3888.9726599999999</v>
      </c>
      <c r="AL106" s="15">
        <v>695.14748000000009</v>
      </c>
      <c r="AM106" s="15">
        <v>5649.6809789400013</v>
      </c>
      <c r="AN106" s="15">
        <v>10280.126190739998</v>
      </c>
      <c r="AO106" s="15">
        <v>8314.8087211000002</v>
      </c>
      <c r="AP106" s="15">
        <v>10697.74622574</v>
      </c>
      <c r="AQ106" s="15">
        <v>11499.414504320001</v>
      </c>
      <c r="AR106" s="15">
        <v>11627.614270879998</v>
      </c>
      <c r="AS106" s="15">
        <v>13030.87726788</v>
      </c>
      <c r="AT106" s="15">
        <v>11274.644072269999</v>
      </c>
      <c r="AU106" s="15">
        <v>10643.871298550001</v>
      </c>
      <c r="AV106" s="15">
        <v>12774.282027220001</v>
      </c>
      <c r="AW106" s="15">
        <v>13408.790816470002</v>
      </c>
      <c r="AX106" s="15">
        <v>13418.309868939999</v>
      </c>
      <c r="AY106" s="15">
        <v>4625.9061827799997</v>
      </c>
      <c r="AZ106" s="15">
        <v>0</v>
      </c>
      <c r="BA106" s="15">
        <v>0</v>
      </c>
      <c r="BB106" s="15">
        <v>181.922</v>
      </c>
      <c r="BC106" s="15">
        <v>13408.790816470002</v>
      </c>
      <c r="BD106" s="15">
        <v>0</v>
      </c>
      <c r="BE106" s="15">
        <v>2068.96</v>
      </c>
      <c r="BF106" s="15">
        <v>0</v>
      </c>
      <c r="BG106" s="15">
        <v>0</v>
      </c>
      <c r="BH106" s="15">
        <v>0</v>
      </c>
      <c r="BI106" s="15">
        <v>230.17400000000001</v>
      </c>
      <c r="BJ106" s="15">
        <v>5430.8669999999993</v>
      </c>
      <c r="BK106" s="15">
        <v>1228.7070082499999</v>
      </c>
      <c r="BL106" s="15">
        <v>90.202013390000005</v>
      </c>
      <c r="BM106" s="15">
        <v>1876.1458473</v>
      </c>
      <c r="BN106" s="15">
        <v>0</v>
      </c>
      <c r="BO106" s="15">
        <v>0</v>
      </c>
      <c r="BP106" s="15">
        <v>2300.4540000000002</v>
      </c>
      <c r="BQ106" s="15">
        <v>192.80000000000018</v>
      </c>
      <c r="BR106" s="16">
        <v>1.0263679350788679</v>
      </c>
      <c r="BS106" s="16">
        <v>0.86055283544194294</v>
      </c>
      <c r="BT106" s="16">
        <v>0.88679094881817255</v>
      </c>
      <c r="BU106" s="16">
        <v>0.69479286543836594</v>
      </c>
      <c r="BV106" s="16">
        <v>0.82968654584977697</v>
      </c>
      <c r="BW106" s="16">
        <v>0.79773112770412802</v>
      </c>
      <c r="BX106" s="16">
        <v>0.69988653049171234</v>
      </c>
      <c r="BY106" s="16">
        <v>0.80839805435473266</v>
      </c>
      <c r="BZ106" s="16">
        <v>0.76578014767291525</v>
      </c>
      <c r="CA106" s="16">
        <v>0.69144376203422608</v>
      </c>
      <c r="CB106" s="16">
        <v>0.76267437694434725</v>
      </c>
      <c r="CC106" s="16">
        <v>3.0598616186144931E-3</v>
      </c>
      <c r="CD106" s="16"/>
      <c r="CE106" s="16"/>
      <c r="CF106" s="16">
        <f t="shared" si="2"/>
        <v>3.3993431250755815</v>
      </c>
      <c r="CG106" s="16">
        <f t="shared" si="2"/>
        <v>0.69144376203422608</v>
      </c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>
        <v>0</v>
      </c>
      <c r="DO106" s="35">
        <v>0</v>
      </c>
      <c r="DP106" s="35">
        <v>1124.3032499999999</v>
      </c>
      <c r="DQ106" s="35">
        <v>0</v>
      </c>
      <c r="DR106" s="35">
        <v>0</v>
      </c>
    </row>
    <row r="107" spans="1:122" ht="25.5">
      <c r="A107" s="14">
        <f t="shared" si="3"/>
        <v>103</v>
      </c>
      <c r="B107" s="14" t="s">
        <v>190</v>
      </c>
      <c r="C107" s="14" t="s">
        <v>73</v>
      </c>
      <c r="D107" s="17" t="s">
        <v>78</v>
      </c>
      <c r="E107" s="14" t="s">
        <v>225</v>
      </c>
      <c r="F107" s="15">
        <v>28.25333285</v>
      </c>
      <c r="G107" s="15">
        <v>71.440966250000002</v>
      </c>
      <c r="H107" s="15">
        <v>688.32558319999998</v>
      </c>
      <c r="I107" s="15">
        <v>21.569501679999998</v>
      </c>
      <c r="J107" s="15">
        <v>17.27743633</v>
      </c>
      <c r="K107" s="15">
        <v>127.79791392</v>
      </c>
      <c r="L107" s="15">
        <v>39.971126619999993</v>
      </c>
      <c r="M107" s="15">
        <v>197.55696634999998</v>
      </c>
      <c r="N107" s="15">
        <v>46.090702589999999</v>
      </c>
      <c r="O107" s="15">
        <v>643.02654270000005</v>
      </c>
      <c r="P107" s="15">
        <v>59.389815110000001</v>
      </c>
      <c r="Q107" s="15">
        <v>10628.011263959999</v>
      </c>
      <c r="R107" s="15">
        <v>10503.252617670001</v>
      </c>
      <c r="S107" s="15">
        <v>8410.1645443899997</v>
      </c>
      <c r="T107" s="15">
        <v>7534.9777670999993</v>
      </c>
      <c r="U107" s="15">
        <v>643.02654270000005</v>
      </c>
      <c r="V107" s="15">
        <v>0</v>
      </c>
      <c r="W107" s="15">
        <v>0</v>
      </c>
      <c r="X107" s="15">
        <v>0</v>
      </c>
      <c r="Y107" s="15">
        <v>56.418550580000002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2.9712645299999991</v>
      </c>
      <c r="AK107" s="15">
        <v>0</v>
      </c>
      <c r="AL107" s="15">
        <v>0</v>
      </c>
      <c r="AM107" s="15">
        <v>59.389815110000001</v>
      </c>
      <c r="AN107" s="15">
        <v>5618.0323828500004</v>
      </c>
      <c r="AO107" s="15">
        <v>5736.0762162499996</v>
      </c>
      <c r="AP107" s="15">
        <v>7660.6610831999997</v>
      </c>
      <c r="AQ107" s="15">
        <v>5843.7779016800005</v>
      </c>
      <c r="AR107" s="15">
        <v>3378.5302363299998</v>
      </c>
      <c r="AS107" s="15">
        <v>3665.2859639200001</v>
      </c>
      <c r="AT107" s="15">
        <v>3692.7830266199999</v>
      </c>
      <c r="AU107" s="15">
        <v>3864.7456163500001</v>
      </c>
      <c r="AV107" s="15">
        <v>6379.8300025899998</v>
      </c>
      <c r="AW107" s="15">
        <v>7790.7122426999995</v>
      </c>
      <c r="AX107" s="15">
        <v>4319.2001651099999</v>
      </c>
      <c r="AY107" s="15">
        <v>15619.722513959998</v>
      </c>
      <c r="AZ107" s="15">
        <v>19723.888717670001</v>
      </c>
      <c r="BA107" s="15">
        <v>19387.112494389999</v>
      </c>
      <c r="BB107" s="15">
        <v>12692.316317099998</v>
      </c>
      <c r="BC107" s="15">
        <v>7790.7122426999995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4319.2001651099999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6">
        <v>5.0290441429722095E-3</v>
      </c>
      <c r="BS107" s="16">
        <v>1.2454675209442221E-2</v>
      </c>
      <c r="BT107" s="16">
        <v>8.9851982188523305E-2</v>
      </c>
      <c r="BU107" s="16">
        <v>3.6910200974268857E-3</v>
      </c>
      <c r="BV107" s="16">
        <v>5.1138912845036374E-3</v>
      </c>
      <c r="BW107" s="16">
        <v>3.4867105916974873E-2</v>
      </c>
      <c r="BX107" s="16">
        <v>1.0824120001598232E-2</v>
      </c>
      <c r="BY107" s="16">
        <v>5.1117715358606097E-2</v>
      </c>
      <c r="BZ107" s="16">
        <v>7.2244405526932067E-3</v>
      </c>
      <c r="CA107" s="16">
        <v>8.2537580989790041E-2</v>
      </c>
      <c r="CB107" s="16">
        <v>1.3750188192189856E-2</v>
      </c>
      <c r="CC107" s="16">
        <v>0.68042253980256706</v>
      </c>
      <c r="CD107" s="16">
        <v>0.53251429107184489</v>
      </c>
      <c r="CE107" s="16">
        <v>0.4338018127673024</v>
      </c>
      <c r="CF107" s="16">
        <f t="shared" si="2"/>
        <v>0.5936645115713306</v>
      </c>
      <c r="CG107" s="16">
        <f t="shared" si="2"/>
        <v>8.2537580989790041E-2</v>
      </c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>
        <v>0</v>
      </c>
      <c r="DO107" s="35">
        <v>945.298</v>
      </c>
      <c r="DP107" s="35">
        <v>952.25879999999995</v>
      </c>
      <c r="DQ107" s="35">
        <v>0</v>
      </c>
      <c r="DR107" s="35">
        <v>0</v>
      </c>
    </row>
    <row r="108" spans="1:122" ht="25.5">
      <c r="A108" s="14">
        <f t="shared" si="3"/>
        <v>104</v>
      </c>
      <c r="B108" s="14" t="s">
        <v>191</v>
      </c>
      <c r="C108" s="14" t="s">
        <v>73</v>
      </c>
      <c r="D108" s="17" t="s">
        <v>7</v>
      </c>
      <c r="E108" s="14" t="s">
        <v>227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>
        <v>8319.521544969999</v>
      </c>
      <c r="P108" s="15">
        <v>7222.84610299</v>
      </c>
      <c r="Q108" s="15">
        <v>8464.9898511699994</v>
      </c>
      <c r="R108" s="15">
        <v>7461.9897862300013</v>
      </c>
      <c r="S108" s="15">
        <v>5984.7678521499993</v>
      </c>
      <c r="T108" s="15">
        <v>7937.8242956299991</v>
      </c>
      <c r="U108" s="15">
        <v>8319.521544969999</v>
      </c>
      <c r="V108" s="15">
        <v>55.942</v>
      </c>
      <c r="W108" s="15">
        <v>582.78589499999998</v>
      </c>
      <c r="X108" s="15">
        <v>131.56985</v>
      </c>
      <c r="Y108" s="15">
        <v>870.95066099999997</v>
      </c>
      <c r="Z108" s="15">
        <v>16.95</v>
      </c>
      <c r="AA108" s="15">
        <v>10.005000000000001</v>
      </c>
      <c r="AB108" s="15">
        <v>22.715</v>
      </c>
      <c r="AC108" s="15">
        <v>1.35</v>
      </c>
      <c r="AD108" s="15">
        <v>0</v>
      </c>
      <c r="AE108" s="15">
        <v>27.14</v>
      </c>
      <c r="AF108" s="15">
        <v>5.6211462599999997</v>
      </c>
      <c r="AG108" s="15">
        <v>0</v>
      </c>
      <c r="AH108" s="15">
        <v>700.52867613000001</v>
      </c>
      <c r="AI108" s="15">
        <v>3537.2617758299998</v>
      </c>
      <c r="AJ108" s="15">
        <v>1260.0260987700005</v>
      </c>
      <c r="AK108" s="15">
        <v>787.24774500000001</v>
      </c>
      <c r="AL108" s="15">
        <v>289.433176</v>
      </c>
      <c r="AM108" s="15">
        <v>6146.1651819899998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>
        <v>8711.184194970001</v>
      </c>
      <c r="AX108" s="15">
        <v>5421.8356529900002</v>
      </c>
      <c r="AY108" s="15">
        <v>5346.4490511699996</v>
      </c>
      <c r="AZ108" s="15">
        <v>5273.0665862299993</v>
      </c>
      <c r="BA108" s="15">
        <v>5396.6585021499995</v>
      </c>
      <c r="BB108" s="15">
        <v>7059.985045630001</v>
      </c>
      <c r="BC108" s="15">
        <v>8711.184194970001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636.34806408000009</v>
      </c>
      <c r="BK108" s="15">
        <v>1806.75500119</v>
      </c>
      <c r="BL108" s="15">
        <v>2695.0405819699999</v>
      </c>
      <c r="BM108" s="15">
        <v>283.69200575000002</v>
      </c>
      <c r="BN108" s="15">
        <v>0</v>
      </c>
      <c r="BO108" s="15">
        <v>0</v>
      </c>
      <c r="BP108" s="15">
        <v>0</v>
      </c>
      <c r="BQ108" s="15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0.95503910361278377</v>
      </c>
      <c r="CB108" s="16">
        <v>1.3321772486790133</v>
      </c>
      <c r="CC108" s="16">
        <v>1.5832919700820021</v>
      </c>
      <c r="CD108" s="16">
        <v>1.4151138932544718</v>
      </c>
      <c r="CE108" s="16">
        <v>1.1089765731453454</v>
      </c>
      <c r="CF108" s="16">
        <f t="shared" si="2"/>
        <v>1.1243401004855336</v>
      </c>
      <c r="CG108" s="16">
        <f t="shared" si="2"/>
        <v>0.95503910361278377</v>
      </c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>
        <v>0</v>
      </c>
      <c r="DO108" s="35">
        <v>0</v>
      </c>
      <c r="DP108" s="35">
        <v>414.47474999999997</v>
      </c>
      <c r="DQ108" s="35">
        <v>0</v>
      </c>
      <c r="DR108" s="35">
        <v>0</v>
      </c>
    </row>
    <row r="109" spans="1:122" ht="25.5">
      <c r="A109" s="14">
        <f t="shared" si="3"/>
        <v>105</v>
      </c>
      <c r="B109" s="14" t="s">
        <v>192</v>
      </c>
      <c r="C109" s="14" t="s">
        <v>73</v>
      </c>
      <c r="D109" s="17" t="s">
        <v>79</v>
      </c>
      <c r="E109" s="14" t="s">
        <v>227</v>
      </c>
      <c r="F109" s="15">
        <v>107692.34527539997</v>
      </c>
      <c r="G109" s="15">
        <v>90994.98205438997</v>
      </c>
      <c r="H109" s="15">
        <v>102327.58453591001</v>
      </c>
      <c r="I109" s="15">
        <v>120790.32414863002</v>
      </c>
      <c r="J109" s="15">
        <v>102555.86934439999</v>
      </c>
      <c r="K109" s="15">
        <v>121997.92556900003</v>
      </c>
      <c r="L109" s="15">
        <v>120933.07095565001</v>
      </c>
      <c r="M109" s="15">
        <v>117037.62448696999</v>
      </c>
      <c r="N109" s="15">
        <v>115802.49206713001</v>
      </c>
      <c r="O109" s="15">
        <v>110098.87081647001</v>
      </c>
      <c r="P109" s="15">
        <v>90550.575885419996</v>
      </c>
      <c r="Q109" s="15">
        <v>98908.254564289993</v>
      </c>
      <c r="R109" s="15">
        <v>74021.867637830001</v>
      </c>
      <c r="S109" s="15">
        <v>80478.789936810004</v>
      </c>
      <c r="T109" s="15">
        <v>89206.296030289988</v>
      </c>
      <c r="U109" s="15">
        <v>110098.87081647001</v>
      </c>
      <c r="V109" s="15">
        <v>789.76501699999994</v>
      </c>
      <c r="W109" s="15">
        <v>22826.303800000002</v>
      </c>
      <c r="X109" s="15">
        <v>48.3</v>
      </c>
      <c r="Y109" s="15">
        <v>1827.35195191</v>
      </c>
      <c r="Z109" s="15">
        <v>245.905</v>
      </c>
      <c r="AA109" s="15">
        <v>401.90723924999998</v>
      </c>
      <c r="AB109" s="15">
        <v>101.501</v>
      </c>
      <c r="AC109" s="15">
        <v>2631.5439999999999</v>
      </c>
      <c r="AD109" s="15">
        <v>697.33193600000004</v>
      </c>
      <c r="AE109" s="15">
        <v>9036.3715800000009</v>
      </c>
      <c r="AF109" s="15">
        <v>1354.63356552</v>
      </c>
      <c r="AG109" s="15">
        <v>28.060223829999998</v>
      </c>
      <c r="AH109" s="15">
        <v>8341.2873413800007</v>
      </c>
      <c r="AI109" s="15">
        <v>28404.956967950002</v>
      </c>
      <c r="AJ109" s="15">
        <v>13815.356262579995</v>
      </c>
      <c r="AK109" s="15">
        <v>23910.273817000001</v>
      </c>
      <c r="AL109" s="15">
        <v>14651.883501000002</v>
      </c>
      <c r="AM109" s="15">
        <v>51988.418567419983</v>
      </c>
      <c r="AN109" s="15">
        <v>86433.567325399985</v>
      </c>
      <c r="AO109" s="15">
        <v>78969.389404389993</v>
      </c>
      <c r="AP109" s="15">
        <v>83143.517135909991</v>
      </c>
      <c r="AQ109" s="15">
        <v>104993.58494863</v>
      </c>
      <c r="AR109" s="15">
        <v>98981.929344400021</v>
      </c>
      <c r="AS109" s="15">
        <v>104182.505169</v>
      </c>
      <c r="AT109" s="15">
        <v>97817.81405565</v>
      </c>
      <c r="AU109" s="15">
        <v>94565.445286970004</v>
      </c>
      <c r="AV109" s="15">
        <v>97885.644517130015</v>
      </c>
      <c r="AW109" s="15">
        <v>85342.26251647</v>
      </c>
      <c r="AX109" s="15">
        <v>78889.629985420004</v>
      </c>
      <c r="AY109" s="15">
        <v>96644.705114290002</v>
      </c>
      <c r="AZ109" s="15">
        <v>63193.605387829994</v>
      </c>
      <c r="BA109" s="15">
        <v>64746.733336810001</v>
      </c>
      <c r="BB109" s="15">
        <v>81912.902780289995</v>
      </c>
      <c r="BC109" s="15">
        <v>85342.26251647</v>
      </c>
      <c r="BD109" s="15">
        <v>0</v>
      </c>
      <c r="BE109" s="15">
        <v>1572.7261140000001</v>
      </c>
      <c r="BF109" s="15">
        <v>0</v>
      </c>
      <c r="BG109" s="15">
        <v>1825.425</v>
      </c>
      <c r="BH109" s="15">
        <v>0</v>
      </c>
      <c r="BI109" s="15">
        <v>669.42600000000004</v>
      </c>
      <c r="BJ109" s="15">
        <v>40251.569201910002</v>
      </c>
      <c r="BK109" s="15">
        <v>22108.343782169999</v>
      </c>
      <c r="BL109" s="15">
        <v>8204.8910506400007</v>
      </c>
      <c r="BM109" s="15">
        <v>1859.2158367</v>
      </c>
      <c r="BN109" s="15">
        <v>0</v>
      </c>
      <c r="BO109" s="15">
        <v>106</v>
      </c>
      <c r="BP109" s="15">
        <v>1398.0329999999999</v>
      </c>
      <c r="BQ109" s="15">
        <v>894.00000000001364</v>
      </c>
      <c r="BR109" s="16">
        <v>1.2459551145212624</v>
      </c>
      <c r="BS109" s="16">
        <v>1.1522816972589061</v>
      </c>
      <c r="BT109" s="16">
        <v>1.2307343742584393</v>
      </c>
      <c r="BU109" s="16">
        <v>1.1504543273546557</v>
      </c>
      <c r="BV109" s="16">
        <v>1.0361069947178412</v>
      </c>
      <c r="BW109" s="16">
        <v>1.171002035045142</v>
      </c>
      <c r="BX109" s="16">
        <v>1.2363092768240496</v>
      </c>
      <c r="BY109" s="16">
        <v>1.2376362648301977</v>
      </c>
      <c r="BZ109" s="16">
        <v>1.1830385613578356</v>
      </c>
      <c r="CA109" s="16">
        <v>1.2900861492302513</v>
      </c>
      <c r="CB109" s="16">
        <v>1.1478134185970337</v>
      </c>
      <c r="CC109" s="16">
        <v>1.0234213498538089</v>
      </c>
      <c r="CD109" s="16">
        <v>1.171350600801222</v>
      </c>
      <c r="CE109" s="16">
        <v>1.2429783834523735</v>
      </c>
      <c r="CF109" s="16">
        <f t="shared" si="2"/>
        <v>1.0890383932499941</v>
      </c>
      <c r="CG109" s="16">
        <f t="shared" si="2"/>
        <v>1.2900861492302513</v>
      </c>
      <c r="CH109" s="30"/>
      <c r="CI109" s="30">
        <v>10000</v>
      </c>
      <c r="CJ109" s="30">
        <v>6000</v>
      </c>
      <c r="CK109" s="30">
        <v>7000</v>
      </c>
      <c r="CL109" s="30">
        <v>20000</v>
      </c>
      <c r="CM109" s="30">
        <v>10000</v>
      </c>
      <c r="CN109" s="30">
        <v>5000</v>
      </c>
      <c r="CO109" s="30">
        <v>10000</v>
      </c>
      <c r="CP109" s="30">
        <v>9000</v>
      </c>
      <c r="CQ109" s="30">
        <v>10000</v>
      </c>
      <c r="CR109" s="30">
        <v>1100</v>
      </c>
      <c r="CS109" s="30">
        <v>10000</v>
      </c>
      <c r="CT109" s="30">
        <v>9500</v>
      </c>
      <c r="CU109" s="30">
        <v>13500</v>
      </c>
      <c r="CV109" s="30">
        <v>21000</v>
      </c>
      <c r="CW109" s="30">
        <v>10000</v>
      </c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>
        <v>1706.8180500000001</v>
      </c>
      <c r="DO109" s="35">
        <v>8316.9735999999994</v>
      </c>
      <c r="DP109" s="35">
        <v>5835.3972999999996</v>
      </c>
      <c r="DQ109" s="35">
        <v>0</v>
      </c>
      <c r="DR109" s="35">
        <v>493</v>
      </c>
    </row>
    <row r="110" spans="1:122" ht="25.5">
      <c r="A110" s="14">
        <f t="shared" si="3"/>
        <v>106</v>
      </c>
      <c r="B110" s="14" t="s">
        <v>193</v>
      </c>
      <c r="C110" s="14" t="s">
        <v>73</v>
      </c>
      <c r="D110" s="17" t="s">
        <v>80</v>
      </c>
      <c r="E110" s="14" t="s">
        <v>229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>
        <v>2513.7326741800002</v>
      </c>
      <c r="P110" s="15">
        <v>2804.07060422</v>
      </c>
      <c r="Q110" s="15">
        <v>2983.6266548499998</v>
      </c>
      <c r="R110" s="15">
        <v>1965.0308620399996</v>
      </c>
      <c r="S110" s="15">
        <v>2314.0627207400003</v>
      </c>
      <c r="T110" s="15">
        <v>2279.9508940300002</v>
      </c>
      <c r="U110" s="15">
        <v>2513.7326741800002</v>
      </c>
      <c r="V110" s="15">
        <v>7.1</v>
      </c>
      <c r="W110" s="15">
        <v>464.6044</v>
      </c>
      <c r="X110" s="15">
        <v>3.8109999999999999</v>
      </c>
      <c r="Y110" s="15">
        <v>189.34230835</v>
      </c>
      <c r="Z110" s="15">
        <v>0</v>
      </c>
      <c r="AA110" s="15">
        <v>5.15</v>
      </c>
      <c r="AB110" s="15">
        <v>0</v>
      </c>
      <c r="AC110" s="15">
        <v>208.541</v>
      </c>
      <c r="AD110" s="15">
        <v>0</v>
      </c>
      <c r="AE110" s="15">
        <v>3.8421500000000002</v>
      </c>
      <c r="AF110" s="15">
        <v>24.540098</v>
      </c>
      <c r="AG110" s="15">
        <v>0</v>
      </c>
      <c r="AH110" s="15">
        <v>557.18407999999999</v>
      </c>
      <c r="AI110" s="15">
        <v>1062.8832500000001</v>
      </c>
      <c r="AJ110" s="15">
        <v>277.07231786999995</v>
      </c>
      <c r="AK110" s="15">
        <v>475.5154</v>
      </c>
      <c r="AL110" s="15">
        <v>309.06465000000003</v>
      </c>
      <c r="AM110" s="15">
        <v>2019.4905542199997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>
        <v>2078.1481741799998</v>
      </c>
      <c r="AX110" s="15">
        <v>2062.1776042199999</v>
      </c>
      <c r="AY110" s="15">
        <v>1602.5847548500001</v>
      </c>
      <c r="AZ110" s="15">
        <v>1119.74731204</v>
      </c>
      <c r="BA110" s="15">
        <v>2469.3160707400002</v>
      </c>
      <c r="BB110" s="15">
        <v>2212.5807940300001</v>
      </c>
      <c r="BC110" s="15">
        <v>2078.1481741799998</v>
      </c>
      <c r="BD110" s="15">
        <v>0</v>
      </c>
      <c r="BE110" s="15">
        <v>11.635</v>
      </c>
      <c r="BF110" s="15">
        <v>0</v>
      </c>
      <c r="BG110" s="15">
        <v>0</v>
      </c>
      <c r="BH110" s="15">
        <v>0</v>
      </c>
      <c r="BI110" s="15">
        <v>0</v>
      </c>
      <c r="BJ110" s="15">
        <v>971.21199999999999</v>
      </c>
      <c r="BK110" s="15">
        <v>242.69720544999998</v>
      </c>
      <c r="BL110" s="15">
        <v>830.68339876999994</v>
      </c>
      <c r="BM110" s="15">
        <v>0</v>
      </c>
      <c r="BN110" s="15">
        <v>0</v>
      </c>
      <c r="BO110" s="15">
        <v>0</v>
      </c>
      <c r="BP110" s="15">
        <v>5.95</v>
      </c>
      <c r="BQ110" s="15">
        <v>2.1849189124623081E-13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1.2096022340523791</v>
      </c>
      <c r="CB110" s="16">
        <v>1.3597619324745864</v>
      </c>
      <c r="CC110" s="16">
        <v>1.8617590400884998</v>
      </c>
      <c r="CD110" s="16">
        <v>1.7548877687949334</v>
      </c>
      <c r="CE110" s="16">
        <v>0.93712698352403545</v>
      </c>
      <c r="CF110" s="16">
        <f t="shared" si="2"/>
        <v>1.0304486508161774</v>
      </c>
      <c r="CG110" s="16">
        <f t="shared" si="2"/>
        <v>1.2096022340523791</v>
      </c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>
        <v>0</v>
      </c>
      <c r="DO110" s="35">
        <v>112.65</v>
      </c>
      <c r="DP110" s="35">
        <v>0</v>
      </c>
      <c r="DQ110" s="35">
        <v>0</v>
      </c>
      <c r="DR110" s="35">
        <v>0</v>
      </c>
    </row>
    <row r="111" spans="1:122" ht="25.5">
      <c r="A111" s="14">
        <f t="shared" si="3"/>
        <v>107</v>
      </c>
      <c r="B111" s="14" t="s">
        <v>194</v>
      </c>
      <c r="C111" s="14" t="s">
        <v>73</v>
      </c>
      <c r="D111" s="17" t="s">
        <v>23</v>
      </c>
      <c r="E111" s="14" t="s">
        <v>229</v>
      </c>
      <c r="F111" s="15">
        <v>38294.101143910011</v>
      </c>
      <c r="G111" s="15">
        <v>32867.65622253</v>
      </c>
      <c r="H111" s="15">
        <v>34087.035818810007</v>
      </c>
      <c r="I111" s="15">
        <v>42456.880854719995</v>
      </c>
      <c r="J111" s="15">
        <v>41175.40563672001</v>
      </c>
      <c r="K111" s="15">
        <v>41284.464546639996</v>
      </c>
      <c r="L111" s="15">
        <v>48607.873791670005</v>
      </c>
      <c r="M111" s="15">
        <v>45714.23225786</v>
      </c>
      <c r="N111" s="15">
        <v>54728.040157569987</v>
      </c>
      <c r="O111" s="15">
        <v>36529.727035269992</v>
      </c>
      <c r="P111" s="15">
        <v>30728.207947689993</v>
      </c>
      <c r="Q111" s="15">
        <v>35729.479307610003</v>
      </c>
      <c r="R111" s="15">
        <v>31024.993559039991</v>
      </c>
      <c r="S111" s="15">
        <v>24630.011344060003</v>
      </c>
      <c r="T111" s="15">
        <v>30396.007466909996</v>
      </c>
      <c r="U111" s="15">
        <v>36529.727035269992</v>
      </c>
      <c r="V111" s="15">
        <v>347.45190000000002</v>
      </c>
      <c r="W111" s="15">
        <v>11767.2528</v>
      </c>
      <c r="X111" s="15">
        <v>67.536000000000001</v>
      </c>
      <c r="Y111" s="15">
        <v>1269.77352064</v>
      </c>
      <c r="Z111" s="15">
        <v>350.92099999999999</v>
      </c>
      <c r="AA111" s="15">
        <v>2356.1633695</v>
      </c>
      <c r="AB111" s="15">
        <v>9.4350000000000005</v>
      </c>
      <c r="AC111" s="15">
        <v>828.05799999999999</v>
      </c>
      <c r="AD111" s="15">
        <v>40.292000000000002</v>
      </c>
      <c r="AE111" s="15">
        <v>367.54493075000005</v>
      </c>
      <c r="AF111" s="15">
        <v>42.049773420000001</v>
      </c>
      <c r="AG111" s="15">
        <v>64.543999999999997</v>
      </c>
      <c r="AH111" s="15">
        <v>2205.4505920000001</v>
      </c>
      <c r="AI111" s="15">
        <v>6444.5985600699996</v>
      </c>
      <c r="AJ111" s="15">
        <v>4567.1365013099876</v>
      </c>
      <c r="AK111" s="15">
        <v>12533.161700000001</v>
      </c>
      <c r="AL111" s="15">
        <v>1716.0893207500001</v>
      </c>
      <c r="AM111" s="15">
        <v>16478.956926939991</v>
      </c>
      <c r="AN111" s="15">
        <v>38094.103543910001</v>
      </c>
      <c r="AO111" s="15">
        <v>38313.434072529999</v>
      </c>
      <c r="AP111" s="15">
        <v>36870.244268809998</v>
      </c>
      <c r="AQ111" s="15">
        <v>46181.721704720003</v>
      </c>
      <c r="AR111" s="15">
        <v>40536.074836720007</v>
      </c>
      <c r="AS111" s="15">
        <v>39665.168146639997</v>
      </c>
      <c r="AT111" s="15">
        <v>45180.159491669998</v>
      </c>
      <c r="AU111" s="15">
        <v>45586.015207859993</v>
      </c>
      <c r="AV111" s="15">
        <v>52508.874657569999</v>
      </c>
      <c r="AW111" s="15">
        <v>40699.908685269998</v>
      </c>
      <c r="AX111" s="15">
        <v>33455.403197690001</v>
      </c>
      <c r="AY111" s="15">
        <v>38778.78975761</v>
      </c>
      <c r="AZ111" s="15">
        <v>31148.85465904</v>
      </c>
      <c r="BA111" s="15">
        <v>29041.593544060001</v>
      </c>
      <c r="BB111" s="15">
        <v>33788.584866910001</v>
      </c>
      <c r="BC111" s="15">
        <v>40699.908685269998</v>
      </c>
      <c r="BD111" s="15">
        <v>0</v>
      </c>
      <c r="BE111" s="15">
        <v>1627.827</v>
      </c>
      <c r="BF111" s="15">
        <v>0</v>
      </c>
      <c r="BG111" s="15">
        <v>0</v>
      </c>
      <c r="BH111" s="15">
        <v>0</v>
      </c>
      <c r="BI111" s="15">
        <v>1045.3969999999999</v>
      </c>
      <c r="BJ111" s="15">
        <v>12130.285500000002</v>
      </c>
      <c r="BK111" s="15">
        <v>5419.41774119</v>
      </c>
      <c r="BL111" s="15">
        <v>7197.3368354499999</v>
      </c>
      <c r="BM111" s="15">
        <v>722.89252104999991</v>
      </c>
      <c r="BN111" s="15">
        <v>0</v>
      </c>
      <c r="BO111" s="15">
        <v>280</v>
      </c>
      <c r="BP111" s="15">
        <v>4246.7430000000004</v>
      </c>
      <c r="BQ111" s="15">
        <v>785.5035999999966</v>
      </c>
      <c r="BR111" s="16">
        <v>1.0052500933581356</v>
      </c>
      <c r="BS111" s="16">
        <v>0.85786244481006946</v>
      </c>
      <c r="BT111" s="16">
        <v>0.92451342525130986</v>
      </c>
      <c r="BU111" s="16">
        <v>0.91934382884604948</v>
      </c>
      <c r="BV111" s="16">
        <v>1.0157718970713183</v>
      </c>
      <c r="BW111" s="16">
        <v>1.0408241405661902</v>
      </c>
      <c r="BX111" s="16">
        <v>1.0758676892371746</v>
      </c>
      <c r="BY111" s="16">
        <v>1.0028126400040751</v>
      </c>
      <c r="BZ111" s="16">
        <v>1.0422626749187065</v>
      </c>
      <c r="CA111" s="16">
        <v>0.89753830451444561</v>
      </c>
      <c r="CB111" s="16">
        <v>0.9184826667942142</v>
      </c>
      <c r="CC111" s="16">
        <v>0.92136653905240562</v>
      </c>
      <c r="CD111" s="16">
        <v>0.99602357449877976</v>
      </c>
      <c r="CE111" s="16">
        <v>0.84809434808365336</v>
      </c>
      <c r="CF111" s="16">
        <f t="shared" si="2"/>
        <v>0.89959397786669537</v>
      </c>
      <c r="CG111" s="16">
        <f t="shared" si="2"/>
        <v>0.89753830451444561</v>
      </c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>
        <v>0</v>
      </c>
      <c r="DO111" s="35">
        <v>2194.5254</v>
      </c>
      <c r="DP111" s="35">
        <v>4687.9185500000003</v>
      </c>
      <c r="DQ111" s="35">
        <v>0</v>
      </c>
      <c r="DR111" s="35">
        <v>0</v>
      </c>
    </row>
    <row r="112" spans="1:122" ht="25.5">
      <c r="A112" s="14">
        <f t="shared" si="3"/>
        <v>108</v>
      </c>
      <c r="B112" s="14" t="s">
        <v>196</v>
      </c>
      <c r="C112" s="14" t="s">
        <v>73</v>
      </c>
      <c r="D112" s="17" t="s">
        <v>27</v>
      </c>
      <c r="E112" s="14" t="s">
        <v>234</v>
      </c>
      <c r="F112" s="15">
        <v>12459.84629605</v>
      </c>
      <c r="G112" s="15">
        <v>11683.743213810001</v>
      </c>
      <c r="H112" s="15">
        <v>9507.7032817600011</v>
      </c>
      <c r="I112" s="15">
        <v>9789.0088065100008</v>
      </c>
      <c r="J112" s="15">
        <v>8728.2792998699988</v>
      </c>
      <c r="K112" s="15">
        <v>9562.78012193</v>
      </c>
      <c r="L112" s="15">
        <v>9777.3065725100005</v>
      </c>
      <c r="M112" s="15">
        <v>8284.0648191199998</v>
      </c>
      <c r="N112" s="15">
        <v>9205.3894496399989</v>
      </c>
      <c r="O112" s="15">
        <v>12433.186501669999</v>
      </c>
      <c r="P112" s="15">
        <v>9182.2513439600007</v>
      </c>
      <c r="Q112" s="15">
        <v>11745.433010859999</v>
      </c>
      <c r="R112" s="15">
        <v>11856.711554110001</v>
      </c>
      <c r="S112" s="15">
        <v>10215.481821839998</v>
      </c>
      <c r="T112" s="15">
        <v>13846.681171060001</v>
      </c>
      <c r="U112" s="15">
        <v>12433.186501669999</v>
      </c>
      <c r="V112" s="15">
        <v>312.14287999999999</v>
      </c>
      <c r="W112" s="15">
        <v>1400.7802999999999</v>
      </c>
      <c r="X112" s="15">
        <v>4.8513000000000002</v>
      </c>
      <c r="Y112" s="15">
        <v>747.21689259000004</v>
      </c>
      <c r="Z112" s="15">
        <v>62.508099999999999</v>
      </c>
      <c r="AA112" s="15">
        <v>288.13713000000001</v>
      </c>
      <c r="AB112" s="15">
        <v>3.5</v>
      </c>
      <c r="AC112" s="15">
        <v>1073.0630000000001</v>
      </c>
      <c r="AD112" s="15">
        <v>0.55000000000000004</v>
      </c>
      <c r="AE112" s="15">
        <v>109.23871140999999</v>
      </c>
      <c r="AF112" s="15">
        <v>100.56547797</v>
      </c>
      <c r="AG112" s="15">
        <v>104.06699999999999</v>
      </c>
      <c r="AH112" s="15">
        <v>1917.44262682</v>
      </c>
      <c r="AI112" s="15">
        <v>1649.9258040699999</v>
      </c>
      <c r="AJ112" s="15">
        <v>1408.2621211000014</v>
      </c>
      <c r="AK112" s="15">
        <v>1780.2825799999998</v>
      </c>
      <c r="AL112" s="15">
        <v>1676.20613041</v>
      </c>
      <c r="AM112" s="15">
        <v>5725.7626335500008</v>
      </c>
      <c r="AN112" s="15">
        <v>11819.42109605</v>
      </c>
      <c r="AO112" s="15">
        <v>18371.471263809999</v>
      </c>
      <c r="AP112" s="15">
        <v>11153.495281760001</v>
      </c>
      <c r="AQ112" s="15">
        <v>10722.131406510001</v>
      </c>
      <c r="AR112" s="15">
        <v>11509.63609987</v>
      </c>
      <c r="AS112" s="15">
        <v>13079.313721929999</v>
      </c>
      <c r="AT112" s="15">
        <v>16784.625972509999</v>
      </c>
      <c r="AU112" s="15">
        <v>17558.688819120005</v>
      </c>
      <c r="AV112" s="15">
        <v>18723.757849639998</v>
      </c>
      <c r="AW112" s="15">
        <v>20631.029701669999</v>
      </c>
      <c r="AX112" s="15">
        <v>16707.416443959999</v>
      </c>
      <c r="AY112" s="15">
        <v>17621.496610859998</v>
      </c>
      <c r="AZ112" s="15">
        <v>15437.77445411</v>
      </c>
      <c r="BA112" s="15">
        <v>17238.506821840001</v>
      </c>
      <c r="BB112" s="15">
        <v>19826.046171059999</v>
      </c>
      <c r="BC112" s="15">
        <v>20631.029701669999</v>
      </c>
      <c r="BD112" s="15">
        <v>0</v>
      </c>
      <c r="BE112" s="15">
        <v>990.76700000000005</v>
      </c>
      <c r="BF112" s="15">
        <v>0</v>
      </c>
      <c r="BG112" s="15">
        <v>0</v>
      </c>
      <c r="BH112" s="15">
        <v>0</v>
      </c>
      <c r="BI112" s="15">
        <v>253.01311921000001</v>
      </c>
      <c r="BJ112" s="15">
        <v>8408.1584800000001</v>
      </c>
      <c r="BK112" s="15">
        <v>1253.11454755</v>
      </c>
      <c r="BL112" s="15">
        <v>1543.5501262499999</v>
      </c>
      <c r="BM112" s="15">
        <v>1467.1933709500001</v>
      </c>
      <c r="BN112" s="15">
        <v>0</v>
      </c>
      <c r="BO112" s="15">
        <v>161.87979999999999</v>
      </c>
      <c r="BP112" s="15">
        <v>2541.7399999999998</v>
      </c>
      <c r="BQ112" s="15">
        <v>87.999999999997726</v>
      </c>
      <c r="BR112" s="16">
        <v>1.0541841427592444</v>
      </c>
      <c r="BS112" s="16">
        <v>0.63597210294342799</v>
      </c>
      <c r="BT112" s="16">
        <v>0.85244159266454667</v>
      </c>
      <c r="BU112" s="16">
        <v>0.91297228464916502</v>
      </c>
      <c r="BV112" s="16">
        <v>0.75834537461775908</v>
      </c>
      <c r="BW112" s="16">
        <v>0.73113775884862753</v>
      </c>
      <c r="BX112" s="16">
        <v>0.58251560615788256</v>
      </c>
      <c r="BY112" s="16">
        <v>0.47179290574927879</v>
      </c>
      <c r="BZ112" s="16">
        <v>0.49164219723216462</v>
      </c>
      <c r="CA112" s="16">
        <v>0.60264498095621388</v>
      </c>
      <c r="CB112" s="16">
        <v>0.54959133716209807</v>
      </c>
      <c r="CC112" s="16">
        <v>0.66654003744615964</v>
      </c>
      <c r="CD112" s="16">
        <v>0.76803243818304312</v>
      </c>
      <c r="CE112" s="16">
        <v>0.59259667484063561</v>
      </c>
      <c r="CF112" s="16">
        <f t="shared" si="2"/>
        <v>0.69840860106902947</v>
      </c>
      <c r="CG112" s="16">
        <f t="shared" si="2"/>
        <v>0.60264498095621388</v>
      </c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>
        <v>0</v>
      </c>
      <c r="DO112" s="35">
        <v>2205.9058</v>
      </c>
      <c r="DP112" s="35">
        <v>3330.1786999999999</v>
      </c>
      <c r="DQ112" s="35">
        <v>0</v>
      </c>
      <c r="DR112" s="35">
        <v>0</v>
      </c>
    </row>
    <row r="113" spans="1:122" ht="25.5">
      <c r="A113" s="14">
        <f t="shared" si="3"/>
        <v>109</v>
      </c>
      <c r="B113" s="14" t="s">
        <v>195</v>
      </c>
      <c r="C113" s="14" t="s">
        <v>73</v>
      </c>
      <c r="D113" s="17" t="s">
        <v>81</v>
      </c>
      <c r="E113" s="14" t="s">
        <v>236</v>
      </c>
      <c r="F113" s="15">
        <v>102139.03376669</v>
      </c>
      <c r="G113" s="15">
        <v>89965.471566270018</v>
      </c>
      <c r="H113" s="15">
        <v>92750.468575480016</v>
      </c>
      <c r="I113" s="15">
        <v>108446.00261042004</v>
      </c>
      <c r="J113" s="15">
        <v>94727.31234823</v>
      </c>
      <c r="K113" s="15">
        <v>101731.77929983</v>
      </c>
      <c r="L113" s="15">
        <v>110924.02456486998</v>
      </c>
      <c r="M113" s="15">
        <v>104237.46819535999</v>
      </c>
      <c r="N113" s="15">
        <v>101076.49109914001</v>
      </c>
      <c r="O113" s="15">
        <v>98377.249613970009</v>
      </c>
      <c r="P113" s="15">
        <v>83656.736610380001</v>
      </c>
      <c r="Q113" s="15">
        <v>96091.881586669988</v>
      </c>
      <c r="R113" s="15">
        <v>82578.015547009985</v>
      </c>
      <c r="S113" s="15">
        <v>78112.786188750018</v>
      </c>
      <c r="T113" s="15">
        <v>84556.299613750016</v>
      </c>
      <c r="U113" s="15">
        <v>98377.249613970009</v>
      </c>
      <c r="V113" s="15">
        <v>818.23599945000001</v>
      </c>
      <c r="W113" s="15">
        <v>25092.788585130002</v>
      </c>
      <c r="X113" s="15">
        <v>44.116999999999997</v>
      </c>
      <c r="Y113" s="15">
        <v>2953.4602438100001</v>
      </c>
      <c r="Z113" s="15">
        <v>1108</v>
      </c>
      <c r="AA113" s="15">
        <v>6037.1547016099994</v>
      </c>
      <c r="AB113" s="15">
        <v>1437.0571</v>
      </c>
      <c r="AC113" s="15">
        <v>3920.6514999999999</v>
      </c>
      <c r="AD113" s="15">
        <v>387.83753468000003</v>
      </c>
      <c r="AE113" s="15">
        <v>4267.7542000000003</v>
      </c>
      <c r="AF113" s="15">
        <v>264.05231365000003</v>
      </c>
      <c r="AG113" s="15">
        <v>0</v>
      </c>
      <c r="AH113" s="15">
        <v>5036.4048171699997</v>
      </c>
      <c r="AI113" s="15">
        <v>12940.87937445</v>
      </c>
      <c r="AJ113" s="15">
        <v>19348.343240430004</v>
      </c>
      <c r="AK113" s="15">
        <v>27063.14158458</v>
      </c>
      <c r="AL113" s="15">
        <v>13645.485223660002</v>
      </c>
      <c r="AM113" s="15">
        <v>42948.109802139996</v>
      </c>
      <c r="AN113" s="15">
        <v>74850.617076689989</v>
      </c>
      <c r="AO113" s="15">
        <v>62001.729566269998</v>
      </c>
      <c r="AP113" s="15">
        <v>74843.018025480007</v>
      </c>
      <c r="AQ113" s="15">
        <v>73794.549860419997</v>
      </c>
      <c r="AR113" s="15">
        <v>61874.775398229998</v>
      </c>
      <c r="AS113" s="15">
        <v>55476.668799829997</v>
      </c>
      <c r="AT113" s="15">
        <v>61339.474814870002</v>
      </c>
      <c r="AU113" s="15">
        <v>52150.388190359998</v>
      </c>
      <c r="AV113" s="15">
        <v>57748.491404139997</v>
      </c>
      <c r="AW113" s="15">
        <v>63492.63101397</v>
      </c>
      <c r="AX113" s="15">
        <v>52943.744960380005</v>
      </c>
      <c r="AY113" s="15">
        <v>69719.657786669995</v>
      </c>
      <c r="AZ113" s="15">
        <v>46909.076597010004</v>
      </c>
      <c r="BA113" s="15">
        <v>50919.641988750001</v>
      </c>
      <c r="BB113" s="15">
        <v>54775.04101375</v>
      </c>
      <c r="BC113" s="15">
        <v>63492.63101397</v>
      </c>
      <c r="BD113" s="15">
        <v>0</v>
      </c>
      <c r="BE113" s="15">
        <v>3847.2429999999999</v>
      </c>
      <c r="BF113" s="15">
        <v>0</v>
      </c>
      <c r="BG113" s="15">
        <v>80</v>
      </c>
      <c r="BH113" s="15">
        <v>0</v>
      </c>
      <c r="BI113" s="15">
        <v>3594.4880000000003</v>
      </c>
      <c r="BJ113" s="15">
        <v>13427.04260818</v>
      </c>
      <c r="BK113" s="15">
        <v>10415.25284381</v>
      </c>
      <c r="BL113" s="15">
        <v>11357.045725239999</v>
      </c>
      <c r="BM113" s="15">
        <v>522.96918314999994</v>
      </c>
      <c r="BN113" s="15">
        <v>0</v>
      </c>
      <c r="BO113" s="15">
        <v>4.2</v>
      </c>
      <c r="BP113" s="15">
        <v>5776.518</v>
      </c>
      <c r="BQ113" s="15">
        <v>3918.9856000000104</v>
      </c>
      <c r="BR113" s="16">
        <v>1.3645716996833976</v>
      </c>
      <c r="BS113" s="16">
        <v>1.4510155151415771</v>
      </c>
      <c r="BT113" s="16">
        <v>1.2392668150274684</v>
      </c>
      <c r="BU113" s="16">
        <v>1.4695665576325372</v>
      </c>
      <c r="BV113" s="16">
        <v>1.5309520194385997</v>
      </c>
      <c r="BW113" s="16">
        <v>1.8337759187902383</v>
      </c>
      <c r="BX113" s="16">
        <v>1.8083628022517666</v>
      </c>
      <c r="BY113" s="16">
        <v>1.9987860457504378</v>
      </c>
      <c r="BZ113" s="16">
        <v>1.7502879926642347</v>
      </c>
      <c r="CA113" s="16">
        <v>1.5494278319057924</v>
      </c>
      <c r="CB113" s="16">
        <v>1.5801061423400213</v>
      </c>
      <c r="CC113" s="16">
        <v>1.3782609473026159</v>
      </c>
      <c r="CD113" s="16">
        <v>1.7603845894564791</v>
      </c>
      <c r="CE113" s="16">
        <v>1.5340403651307677</v>
      </c>
      <c r="CF113" s="16">
        <f t="shared" si="2"/>
        <v>1.5437012560615724</v>
      </c>
      <c r="CG113" s="16">
        <f t="shared" si="2"/>
        <v>1.5494278319057924</v>
      </c>
      <c r="CH113" s="30"/>
      <c r="CI113" s="30"/>
      <c r="CJ113" s="30">
        <v>3000</v>
      </c>
      <c r="CK113" s="30"/>
      <c r="CL113" s="30"/>
      <c r="CM113" s="30"/>
      <c r="CN113" s="30"/>
      <c r="CO113" s="30"/>
      <c r="CP113" s="30"/>
      <c r="CQ113" s="30">
        <v>10000</v>
      </c>
      <c r="CR113" s="30"/>
      <c r="CS113" s="30"/>
      <c r="CT113" s="30"/>
      <c r="CU113" s="30"/>
      <c r="CV113" s="30"/>
      <c r="CW113" s="30">
        <v>10000</v>
      </c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>
        <v>1437.5688500000001</v>
      </c>
      <c r="DO113" s="35">
        <v>2057.24612871</v>
      </c>
      <c r="DP113" s="35">
        <v>4439.2360500000004</v>
      </c>
      <c r="DQ113" s="35">
        <v>0</v>
      </c>
      <c r="DR113" s="35">
        <v>264</v>
      </c>
    </row>
    <row r="114" spans="1:122" ht="25.5">
      <c r="A114" s="14">
        <f t="shared" si="3"/>
        <v>110</v>
      </c>
      <c r="B114" s="14" t="s">
        <v>197</v>
      </c>
      <c r="C114" s="14" t="s">
        <v>82</v>
      </c>
      <c r="D114" s="17" t="s">
        <v>57</v>
      </c>
      <c r="E114" s="14" t="s">
        <v>222</v>
      </c>
      <c r="F114" s="15">
        <v>58676.694099999979</v>
      </c>
      <c r="G114" s="15">
        <v>33690.195999999996</v>
      </c>
      <c r="H114" s="15">
        <v>45575.3148</v>
      </c>
      <c r="I114" s="15">
        <v>64987.280650000001</v>
      </c>
      <c r="J114" s="15">
        <v>69160.764450000002</v>
      </c>
      <c r="K114" s="15">
        <v>62158.505999999994</v>
      </c>
      <c r="L114" s="15">
        <v>73340.849600000001</v>
      </c>
      <c r="M114" s="15">
        <v>101861.38465000001</v>
      </c>
      <c r="N114" s="15">
        <v>145728.06014999998</v>
      </c>
      <c r="O114" s="15">
        <v>125758.42405000005</v>
      </c>
      <c r="P114" s="15">
        <v>100318.20835</v>
      </c>
      <c r="Q114" s="15">
        <v>111348.70835000002</v>
      </c>
      <c r="R114" s="15">
        <v>75091.456500000015</v>
      </c>
      <c r="S114" s="15">
        <v>98346.701300000001</v>
      </c>
      <c r="T114" s="15">
        <v>99492.594049999985</v>
      </c>
      <c r="U114" s="15">
        <v>125758.42405000005</v>
      </c>
      <c r="V114" s="15">
        <v>211.10759999999999</v>
      </c>
      <c r="W114" s="15">
        <v>7552.2455</v>
      </c>
      <c r="X114" s="15">
        <v>3304.2959999999998</v>
      </c>
      <c r="Y114" s="15">
        <v>11470.068600000001</v>
      </c>
      <c r="Z114" s="15">
        <v>16.349</v>
      </c>
      <c r="AA114" s="15">
        <v>11075.676949999999</v>
      </c>
      <c r="AB114" s="15">
        <v>0</v>
      </c>
      <c r="AC114" s="15">
        <v>31123.855</v>
      </c>
      <c r="AD114" s="15">
        <v>28.279350000000001</v>
      </c>
      <c r="AE114" s="15">
        <v>21009.588299999999</v>
      </c>
      <c r="AF114" s="15">
        <v>314.21390000000002</v>
      </c>
      <c r="AG114" s="15">
        <v>75.7</v>
      </c>
      <c r="AH114" s="15">
        <v>1955.165</v>
      </c>
      <c r="AI114" s="15">
        <v>2156.3544000000002</v>
      </c>
      <c r="AJ114" s="15">
        <v>10025.308750000015</v>
      </c>
      <c r="AK114" s="15">
        <v>11083.998100000001</v>
      </c>
      <c r="AL114" s="15">
        <v>53074.798650000004</v>
      </c>
      <c r="AM114" s="15">
        <v>36159.411599999999</v>
      </c>
      <c r="AN114" s="15">
        <v>66165.196349999998</v>
      </c>
      <c r="AO114" s="15">
        <v>35701.596300000005</v>
      </c>
      <c r="AP114" s="15">
        <v>48321.040199999996</v>
      </c>
      <c r="AQ114" s="15">
        <v>76984.675950000004</v>
      </c>
      <c r="AR114" s="15">
        <v>73488.857000000004</v>
      </c>
      <c r="AS114" s="15">
        <v>69655.655050000001</v>
      </c>
      <c r="AT114" s="15">
        <v>75808.972450000001</v>
      </c>
      <c r="AU114" s="15">
        <v>105841.91965</v>
      </c>
      <c r="AV114" s="15">
        <v>141849.78555</v>
      </c>
      <c r="AW114" s="15">
        <v>120279.87235000001</v>
      </c>
      <c r="AX114" s="15">
        <v>105589.69115</v>
      </c>
      <c r="AY114" s="15">
        <v>111171.15435</v>
      </c>
      <c r="AZ114" s="15">
        <v>63280.623800000001</v>
      </c>
      <c r="BA114" s="15">
        <v>87392.606950000001</v>
      </c>
      <c r="BB114" s="15">
        <v>102198.03559999999</v>
      </c>
      <c r="BC114" s="15">
        <v>120279.87235000001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891.63120000000004</v>
      </c>
      <c r="BJ114" s="15">
        <v>38559.293250000002</v>
      </c>
      <c r="BK114" s="15">
        <v>2554.8937500000002</v>
      </c>
      <c r="BL114" s="15">
        <v>20203.033950000001</v>
      </c>
      <c r="BM114" s="15">
        <v>1.1919999999999999</v>
      </c>
      <c r="BN114" s="15">
        <v>0</v>
      </c>
      <c r="BO114" s="15">
        <v>6567</v>
      </c>
      <c r="BP114" s="15">
        <v>34091.258000000002</v>
      </c>
      <c r="BQ114" s="15">
        <v>2721.3889999999847</v>
      </c>
      <c r="BR114" s="16">
        <v>0.88682112858265527</v>
      </c>
      <c r="BS114" s="16">
        <v>0.94366077407020565</v>
      </c>
      <c r="BT114" s="16">
        <v>0.94317743598574277</v>
      </c>
      <c r="BU114" s="16">
        <v>0.84415865687618052</v>
      </c>
      <c r="BV114" s="16">
        <v>0.94110545834180004</v>
      </c>
      <c r="BW114" s="16">
        <v>0.89236840792583993</v>
      </c>
      <c r="BX114" s="16">
        <v>0.967442866322613</v>
      </c>
      <c r="BY114" s="16">
        <v>0.96239169685165482</v>
      </c>
      <c r="BZ114" s="16">
        <v>1.0273407152852758</v>
      </c>
      <c r="CA114" s="16">
        <v>1.0455483664304042</v>
      </c>
      <c r="CB114" s="16">
        <v>0.95007578161667916</v>
      </c>
      <c r="CC114" s="16">
        <v>1.0015971229320964</v>
      </c>
      <c r="CD114" s="16">
        <v>1.1866421661285838</v>
      </c>
      <c r="CE114" s="16">
        <v>1.1253434899392254</v>
      </c>
      <c r="CF114" s="16">
        <f t="shared" si="2"/>
        <v>0.97352746034582294</v>
      </c>
      <c r="CG114" s="16">
        <f t="shared" si="2"/>
        <v>1.0455483664304042</v>
      </c>
      <c r="CH114" s="30"/>
      <c r="CI114" s="30">
        <v>3000</v>
      </c>
      <c r="CJ114" s="30">
        <v>1000</v>
      </c>
      <c r="CK114" s="30">
        <v>9500</v>
      </c>
      <c r="CL114" s="30">
        <v>6000</v>
      </c>
      <c r="CM114" s="30">
        <v>3000</v>
      </c>
      <c r="CN114" s="30"/>
      <c r="CO114" s="30">
        <v>11000</v>
      </c>
      <c r="CP114" s="30"/>
      <c r="CQ114" s="30">
        <v>500</v>
      </c>
      <c r="CR114" s="30">
        <v>4000</v>
      </c>
      <c r="CS114" s="30">
        <v>4000</v>
      </c>
      <c r="CT114" s="30"/>
      <c r="CU114" s="30"/>
      <c r="CV114" s="30">
        <v>3000</v>
      </c>
      <c r="CW114" s="30">
        <v>500</v>
      </c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>
        <v>8056.7281499999999</v>
      </c>
      <c r="DO114" s="35">
        <v>5381.3050000000003</v>
      </c>
      <c r="DP114" s="35">
        <v>0</v>
      </c>
      <c r="DQ114" s="35">
        <v>0</v>
      </c>
      <c r="DR114" s="35">
        <v>475.11900000000003</v>
      </c>
    </row>
    <row r="115" spans="1:122" ht="25.5">
      <c r="A115" s="14">
        <f t="shared" si="3"/>
        <v>111</v>
      </c>
      <c r="B115" s="14" t="s">
        <v>200</v>
      </c>
      <c r="C115" s="14" t="s">
        <v>83</v>
      </c>
      <c r="D115" s="17" t="s">
        <v>40</v>
      </c>
      <c r="E115" s="14" t="s">
        <v>217</v>
      </c>
      <c r="F115" s="15">
        <v>5726.5046021300004</v>
      </c>
      <c r="G115" s="15">
        <v>6384.3772247399993</v>
      </c>
      <c r="H115" s="15">
        <v>7136.8009211299996</v>
      </c>
      <c r="I115" s="15">
        <v>8538.7409293700002</v>
      </c>
      <c r="J115" s="15">
        <v>7510.6081807799992</v>
      </c>
      <c r="K115" s="15">
        <v>9118.0780147299993</v>
      </c>
      <c r="L115" s="15">
        <v>10079.0288339</v>
      </c>
      <c r="M115" s="15">
        <v>10379.178371</v>
      </c>
      <c r="N115" s="15">
        <v>8158.1236797900001</v>
      </c>
      <c r="O115" s="15">
        <v>14447.84088695</v>
      </c>
      <c r="P115" s="15">
        <v>10989.39594</v>
      </c>
      <c r="Q115" s="15">
        <v>10978.504384999998</v>
      </c>
      <c r="R115" s="15">
        <v>15401.777649999998</v>
      </c>
      <c r="S115" s="15">
        <v>11016.46945712</v>
      </c>
      <c r="T115" s="15">
        <v>10548.653588819998</v>
      </c>
      <c r="U115" s="15">
        <v>14447.84088695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3516.3349400000002</v>
      </c>
      <c r="AI115" s="15">
        <v>6768.4620000000004</v>
      </c>
      <c r="AJ115" s="15">
        <v>704.59899999999971</v>
      </c>
      <c r="AK115" s="15">
        <v>0</v>
      </c>
      <c r="AL115" s="15">
        <v>0</v>
      </c>
      <c r="AM115" s="15">
        <v>10989.39594</v>
      </c>
      <c r="AN115" s="15">
        <v>2042.7322499999998</v>
      </c>
      <c r="AO115" s="15">
        <v>1819.8060249999999</v>
      </c>
      <c r="AP115" s="15">
        <v>1439.8505992099999</v>
      </c>
      <c r="AQ115" s="15">
        <v>1961.8059029999999</v>
      </c>
      <c r="AR115" s="15">
        <v>1383.8787665999998</v>
      </c>
      <c r="AS115" s="15">
        <v>2998.5320758686994</v>
      </c>
      <c r="AT115" s="15">
        <v>1642.12593952</v>
      </c>
      <c r="AU115" s="15">
        <v>1462.83933</v>
      </c>
      <c r="AV115" s="15">
        <v>1757.9480349999999</v>
      </c>
      <c r="AW115" s="15">
        <v>2688.5396999999998</v>
      </c>
      <c r="AX115" s="15">
        <v>1534.0418230899998</v>
      </c>
      <c r="AY115" s="15">
        <v>2108.6825250000002</v>
      </c>
      <c r="AZ115" s="15">
        <v>3220.067665</v>
      </c>
      <c r="BA115" s="15">
        <v>2106.7734500000001</v>
      </c>
      <c r="BB115" s="15">
        <v>2072.28136782</v>
      </c>
      <c r="BC115" s="15">
        <v>2688.5396999999998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1189.2345949999999</v>
      </c>
      <c r="BK115" s="15">
        <v>344.80722809000002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-2.2737367544323206E-13</v>
      </c>
      <c r="BR115" s="16">
        <v>2.8033554579314059</v>
      </c>
      <c r="BS115" s="16">
        <v>3.5082734846643886</v>
      </c>
      <c r="BT115" s="16">
        <v>4.9566260034518406</v>
      </c>
      <c r="BU115" s="16">
        <v>4.3524901807628016</v>
      </c>
      <c r="BV115" s="16">
        <v>5.4272154194782054</v>
      </c>
      <c r="BW115" s="16">
        <v>3.0408472492622636</v>
      </c>
      <c r="BX115" s="16">
        <v>6.1377928399609472</v>
      </c>
      <c r="BY115" s="16">
        <v>7.0952278614220745</v>
      </c>
      <c r="BZ115" s="16">
        <v>4.6407080968067413</v>
      </c>
      <c r="CA115" s="16">
        <v>5.3738618354603434</v>
      </c>
      <c r="CB115" s="16">
        <v>7.1636873092965665</v>
      </c>
      <c r="CC115" s="16">
        <v>5.2063334593243225</v>
      </c>
      <c r="CD115" s="16">
        <v>4.7830602497603101</v>
      </c>
      <c r="CE115" s="16">
        <v>5.2290717149107797</v>
      </c>
      <c r="CF115" s="16">
        <f t="shared" si="2"/>
        <v>5.0903577827932596</v>
      </c>
      <c r="CG115" s="16">
        <f t="shared" si="2"/>
        <v>5.3738618354603434</v>
      </c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>
        <v>0</v>
      </c>
      <c r="DO115" s="35">
        <v>222.28833741999998</v>
      </c>
      <c r="DP115" s="35">
        <v>425.63799999999998</v>
      </c>
      <c r="DQ115" s="35">
        <v>0</v>
      </c>
      <c r="DR115" s="35">
        <v>0</v>
      </c>
    </row>
    <row r="116" spans="1:122" ht="25.5">
      <c r="A116" s="14">
        <f t="shared" si="3"/>
        <v>112</v>
      </c>
      <c r="B116" s="14" t="s">
        <v>199</v>
      </c>
      <c r="C116" s="14" t="s">
        <v>83</v>
      </c>
      <c r="D116" s="17" t="s">
        <v>48</v>
      </c>
      <c r="E116" s="14" t="s">
        <v>227</v>
      </c>
      <c r="F116" s="15">
        <v>4684.11399575</v>
      </c>
      <c r="G116" s="15">
        <v>4840.2482200000004</v>
      </c>
      <c r="H116" s="15">
        <v>4056.0461855199997</v>
      </c>
      <c r="I116" s="15">
        <v>5466.7654060000004</v>
      </c>
      <c r="J116" s="15">
        <v>5665.1664691299993</v>
      </c>
      <c r="K116" s="15">
        <v>5881.0494674199999</v>
      </c>
      <c r="L116" s="15">
        <v>4561.4639246999996</v>
      </c>
      <c r="M116" s="15">
        <v>4496.2858784700002</v>
      </c>
      <c r="N116" s="15">
        <v>4599.79819322</v>
      </c>
      <c r="O116" s="15">
        <v>5268.8320409999997</v>
      </c>
      <c r="P116" s="15">
        <v>3411.2887049999999</v>
      </c>
      <c r="Q116" s="15">
        <v>4726.5428026999998</v>
      </c>
      <c r="R116" s="15">
        <v>3777.2517033499998</v>
      </c>
      <c r="S116" s="15">
        <v>3977.8454334999997</v>
      </c>
      <c r="T116" s="15">
        <v>4872.2248889500006</v>
      </c>
      <c r="U116" s="15">
        <v>5268.8320409999997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757.46280000000002</v>
      </c>
      <c r="AI116" s="15">
        <v>1176.3369049999999</v>
      </c>
      <c r="AJ116" s="15">
        <v>1477.4889999999998</v>
      </c>
      <c r="AK116" s="15">
        <v>0</v>
      </c>
      <c r="AL116" s="15">
        <v>0</v>
      </c>
      <c r="AM116" s="15">
        <v>3411.2887049999999</v>
      </c>
      <c r="AN116" s="15">
        <v>359.53253349999994</v>
      </c>
      <c r="AO116" s="15">
        <v>390.27148656999998</v>
      </c>
      <c r="AP116" s="15">
        <v>776.30517499999996</v>
      </c>
      <c r="AQ116" s="15">
        <v>1057.8237890800001</v>
      </c>
      <c r="AR116" s="15">
        <v>592.70526055000005</v>
      </c>
      <c r="AS116" s="15">
        <v>170.31400000000002</v>
      </c>
      <c r="AT116" s="15">
        <v>344.94149999999996</v>
      </c>
      <c r="AU116" s="15">
        <v>557.58899999999994</v>
      </c>
      <c r="AV116" s="15">
        <v>303.87</v>
      </c>
      <c r="AW116" s="15">
        <v>503.32216</v>
      </c>
      <c r="AX116" s="15">
        <v>964.11099999999999</v>
      </c>
      <c r="AY116" s="15">
        <v>398.77611165999997</v>
      </c>
      <c r="AZ116" s="15">
        <v>779.51400000000001</v>
      </c>
      <c r="BA116" s="15">
        <v>248.4</v>
      </c>
      <c r="BB116" s="15">
        <v>939.60799999999995</v>
      </c>
      <c r="BC116" s="15">
        <v>503.32216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590.96900000000005</v>
      </c>
      <c r="BK116" s="15">
        <v>373.142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6">
        <v>13.02834530758814</v>
      </c>
      <c r="BS116" s="16">
        <v>12.402259418282771</v>
      </c>
      <c r="BT116" s="16">
        <v>5.2248088975060609</v>
      </c>
      <c r="BU116" s="16">
        <v>5.1679357776161385</v>
      </c>
      <c r="BV116" s="16">
        <v>9.5581511523501845</v>
      </c>
      <c r="BW116" s="16">
        <v>34.530628529774411</v>
      </c>
      <c r="BX116" s="16">
        <v>13.223876873904706</v>
      </c>
      <c r="BY116" s="16">
        <v>8.0637994624535292</v>
      </c>
      <c r="BZ116" s="16">
        <v>15.137388334550959</v>
      </c>
      <c r="CA116" s="16">
        <v>10.468110605342709</v>
      </c>
      <c r="CB116" s="16">
        <v>3.53827381390732</v>
      </c>
      <c r="CC116" s="16">
        <v>11.852622723624659</v>
      </c>
      <c r="CD116" s="16">
        <v>4.845649601354177</v>
      </c>
      <c r="CE116" s="16">
        <v>16.013870505233491</v>
      </c>
      <c r="CF116" s="16">
        <f t="shared" si="2"/>
        <v>5.185380380914169</v>
      </c>
      <c r="CG116" s="16">
        <f t="shared" si="2"/>
        <v>10.468110605342709</v>
      </c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>
        <v>0</v>
      </c>
      <c r="DO116" s="35">
        <v>0</v>
      </c>
      <c r="DP116" s="35">
        <v>363.6592</v>
      </c>
      <c r="DQ116" s="35">
        <v>0</v>
      </c>
      <c r="DR116" s="35">
        <v>0</v>
      </c>
    </row>
    <row r="117" spans="1:122" ht="25.5">
      <c r="A117" s="14">
        <f t="shared" si="3"/>
        <v>113</v>
      </c>
      <c r="B117" s="14" t="s">
        <v>198</v>
      </c>
      <c r="C117" s="14" t="s">
        <v>83</v>
      </c>
      <c r="D117" s="17" t="s">
        <v>52</v>
      </c>
      <c r="E117" s="14" t="s">
        <v>236</v>
      </c>
      <c r="F117" s="15">
        <v>7582.7795459000008</v>
      </c>
      <c r="G117" s="15">
        <v>4945.2641693900005</v>
      </c>
      <c r="H117" s="15">
        <v>2929.41734344</v>
      </c>
      <c r="I117" s="15">
        <v>3884.8276158500003</v>
      </c>
      <c r="J117" s="15">
        <v>3396.87876654</v>
      </c>
      <c r="K117" s="15">
        <v>3021.09045315</v>
      </c>
      <c r="L117" s="15">
        <v>3373.3324065399997</v>
      </c>
      <c r="M117" s="15">
        <v>3536.6646700900001</v>
      </c>
      <c r="N117" s="15">
        <v>4135.01305013</v>
      </c>
      <c r="O117" s="15">
        <v>4420.2412004999996</v>
      </c>
      <c r="P117" s="15">
        <v>3642.6160300000001</v>
      </c>
      <c r="Q117" s="15">
        <v>3523.31523363</v>
      </c>
      <c r="R117" s="15">
        <v>3177.9492389999996</v>
      </c>
      <c r="S117" s="15">
        <v>3576.9753000000001</v>
      </c>
      <c r="T117" s="15">
        <v>3752.9795060999995</v>
      </c>
      <c r="U117" s="15">
        <v>4420.2412004999996</v>
      </c>
      <c r="V117" s="15">
        <v>0</v>
      </c>
      <c r="W117" s="15">
        <v>35.146000000000001</v>
      </c>
      <c r="X117" s="15">
        <v>0</v>
      </c>
      <c r="Y117" s="15">
        <v>0</v>
      </c>
      <c r="Z117" s="15">
        <v>0</v>
      </c>
      <c r="AA117" s="15">
        <v>6.8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497.721</v>
      </c>
      <c r="AI117" s="15">
        <v>823.55399999999997</v>
      </c>
      <c r="AJ117" s="15">
        <v>2279.3950299999997</v>
      </c>
      <c r="AK117" s="15">
        <v>35.146000000000001</v>
      </c>
      <c r="AL117" s="15">
        <v>85.45</v>
      </c>
      <c r="AM117" s="15">
        <v>3522.0200300000001</v>
      </c>
      <c r="AN117" s="15">
        <v>2178.4616417799998</v>
      </c>
      <c r="AO117" s="15">
        <v>1398.6778972700001</v>
      </c>
      <c r="AP117" s="15">
        <v>1657.2824119100001</v>
      </c>
      <c r="AQ117" s="15">
        <v>1962.5381990799999</v>
      </c>
      <c r="AR117" s="15">
        <v>1268.2433141399999</v>
      </c>
      <c r="AS117" s="15">
        <v>1588.4577224300001</v>
      </c>
      <c r="AT117" s="15">
        <v>1740.0323859</v>
      </c>
      <c r="AU117" s="15">
        <v>1329.3349478700002</v>
      </c>
      <c r="AV117" s="15">
        <v>1354.6950300000001</v>
      </c>
      <c r="AW117" s="15">
        <v>2144.79669302</v>
      </c>
      <c r="AX117" s="15">
        <v>1611.4478931399999</v>
      </c>
      <c r="AY117" s="15">
        <v>1504.7533003899998</v>
      </c>
      <c r="AZ117" s="15">
        <v>1890.8893350000001</v>
      </c>
      <c r="BA117" s="15">
        <v>2234.3349739599998</v>
      </c>
      <c r="BB117" s="15">
        <v>2016.3736563099999</v>
      </c>
      <c r="BC117" s="15">
        <v>2144.79669302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605.35375999999997</v>
      </c>
      <c r="BK117" s="15">
        <v>992.09413313999994</v>
      </c>
      <c r="BL117" s="15">
        <v>0</v>
      </c>
      <c r="BM117" s="15">
        <v>0</v>
      </c>
      <c r="BN117" s="15">
        <v>0</v>
      </c>
      <c r="BO117" s="15">
        <v>0</v>
      </c>
      <c r="BP117" s="15">
        <v>14</v>
      </c>
      <c r="BQ117" s="30">
        <v>0</v>
      </c>
      <c r="BR117" s="16">
        <v>3.4807955304203499</v>
      </c>
      <c r="BS117" s="16">
        <v>3.5356704921428874</v>
      </c>
      <c r="BT117" s="16">
        <v>1.7676029881134612</v>
      </c>
      <c r="BU117" s="16">
        <v>1.97949146552721</v>
      </c>
      <c r="BV117" s="16">
        <v>2.6784125164842165</v>
      </c>
      <c r="BW117" s="16">
        <v>1.901901706599014</v>
      </c>
      <c r="BX117" s="16">
        <v>1.9386607018783764</v>
      </c>
      <c r="BY117" s="16">
        <v>2.6604767111229681</v>
      </c>
      <c r="BZ117" s="16">
        <v>3.052357142057279</v>
      </c>
      <c r="CA117" s="16">
        <v>2.0609138455337881</v>
      </c>
      <c r="CB117" s="16">
        <v>2.2604615672072095</v>
      </c>
      <c r="CC117" s="16">
        <v>2.3414570565931521</v>
      </c>
      <c r="CD117" s="16">
        <v>1.6806637914640306</v>
      </c>
      <c r="CE117" s="16">
        <v>1.6009127287035148</v>
      </c>
      <c r="CF117" s="16">
        <f t="shared" si="2"/>
        <v>1.8612520027503332</v>
      </c>
      <c r="CG117" s="16">
        <f t="shared" si="2"/>
        <v>2.0609138455337881</v>
      </c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>
        <v>0</v>
      </c>
      <c r="DO117" s="35">
        <v>0</v>
      </c>
      <c r="DP117" s="35">
        <v>179.86</v>
      </c>
      <c r="DQ117" s="35">
        <v>0</v>
      </c>
      <c r="DR117" s="35">
        <v>0</v>
      </c>
    </row>
    <row r="118" spans="1:122" ht="25.5">
      <c r="A118" s="14">
        <f t="shared" si="3"/>
        <v>114</v>
      </c>
      <c r="B118" s="14" t="s">
        <v>205</v>
      </c>
      <c r="C118" s="14" t="s">
        <v>84</v>
      </c>
      <c r="D118" s="17" t="s">
        <v>3</v>
      </c>
      <c r="E118" s="14" t="s">
        <v>219</v>
      </c>
      <c r="F118" s="15">
        <v>2758.9873986900002</v>
      </c>
      <c r="G118" s="15">
        <v>1224.2819499999998</v>
      </c>
      <c r="H118" s="15">
        <v>1556.8248463899999</v>
      </c>
      <c r="I118" s="15">
        <v>3330.3915175300003</v>
      </c>
      <c r="J118" s="15">
        <v>1403.4709684899999</v>
      </c>
      <c r="K118" s="15">
        <v>821.28099999999995</v>
      </c>
      <c r="L118" s="15">
        <v>1020.75769</v>
      </c>
      <c r="M118" s="15">
        <v>1072.5306752700001</v>
      </c>
      <c r="N118" s="15">
        <v>1036.5697362000003</v>
      </c>
      <c r="O118" s="15">
        <v>1287.4347247799999</v>
      </c>
      <c r="P118" s="15">
        <v>913.68231271000002</v>
      </c>
      <c r="Q118" s="15">
        <v>2184.0410000000002</v>
      </c>
      <c r="R118" s="15">
        <v>926.1733999999999</v>
      </c>
      <c r="S118" s="15">
        <v>1900.0159999999998</v>
      </c>
      <c r="T118" s="15">
        <v>1221.3290000000002</v>
      </c>
      <c r="U118" s="15">
        <v>1287.4347247799999</v>
      </c>
      <c r="V118" s="15">
        <v>0</v>
      </c>
      <c r="W118" s="15">
        <v>47.14</v>
      </c>
      <c r="X118" s="15">
        <v>0</v>
      </c>
      <c r="Y118" s="15">
        <v>0</v>
      </c>
      <c r="Z118" s="15">
        <v>0</v>
      </c>
      <c r="AA118" s="15">
        <v>126.566</v>
      </c>
      <c r="AB118" s="15">
        <v>0</v>
      </c>
      <c r="AC118" s="15">
        <v>0</v>
      </c>
      <c r="AD118" s="15">
        <v>0</v>
      </c>
      <c r="AE118" s="15">
        <v>5.8</v>
      </c>
      <c r="AF118" s="15">
        <v>0</v>
      </c>
      <c r="AG118" s="15">
        <v>0</v>
      </c>
      <c r="AH118" s="15">
        <v>76.552999999999997</v>
      </c>
      <c r="AI118" s="15">
        <v>45.689</v>
      </c>
      <c r="AJ118" s="15">
        <v>611.93431271000009</v>
      </c>
      <c r="AK118" s="15">
        <v>47.14</v>
      </c>
      <c r="AL118" s="15">
        <v>5.8</v>
      </c>
      <c r="AM118" s="15">
        <v>860.74231271000008</v>
      </c>
      <c r="AN118" s="15">
        <v>2978.9771999999998</v>
      </c>
      <c r="AO118" s="15">
        <v>2077.9132500000001</v>
      </c>
      <c r="AP118" s="15">
        <v>3289.8382547900001</v>
      </c>
      <c r="AQ118" s="15">
        <v>4387.38020753</v>
      </c>
      <c r="AR118" s="15">
        <v>932.63400000000001</v>
      </c>
      <c r="AS118" s="15">
        <v>341.01499999999999</v>
      </c>
      <c r="AT118" s="15">
        <v>66.994</v>
      </c>
      <c r="AU118" s="15">
        <v>1231.91859041</v>
      </c>
      <c r="AV118" s="15">
        <v>1725.0986800000001</v>
      </c>
      <c r="AW118" s="15">
        <v>1929.3551000000002</v>
      </c>
      <c r="AX118" s="15">
        <v>607.50621271</v>
      </c>
      <c r="AY118" s="15">
        <v>458.49</v>
      </c>
      <c r="AZ118" s="15">
        <v>132.81650000000002</v>
      </c>
      <c r="BA118" s="15">
        <v>415.5</v>
      </c>
      <c r="BB118" s="15">
        <v>23.696000000000002</v>
      </c>
      <c r="BC118" s="15">
        <v>1929.3551000000002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50</v>
      </c>
      <c r="BJ118" s="15">
        <v>0</v>
      </c>
      <c r="BK118" s="15">
        <v>87.606212709999994</v>
      </c>
      <c r="BL118" s="15">
        <v>0</v>
      </c>
      <c r="BM118" s="15">
        <v>0</v>
      </c>
      <c r="BN118" s="15">
        <v>0</v>
      </c>
      <c r="BO118" s="15">
        <v>0</v>
      </c>
      <c r="BP118" s="15">
        <v>169.9</v>
      </c>
      <c r="BQ118" s="30">
        <v>300</v>
      </c>
      <c r="BR118" s="16">
        <v>0.92615257300055887</v>
      </c>
      <c r="BS118" s="16">
        <v>0.58918819156670754</v>
      </c>
      <c r="BT118" s="16">
        <v>0.47322230633170648</v>
      </c>
      <c r="BU118" s="16">
        <v>0.75908431911464969</v>
      </c>
      <c r="BV118" s="16">
        <v>1.5048464547614604</v>
      </c>
      <c r="BW118" s="16">
        <v>2.4083427415216341</v>
      </c>
      <c r="BX118" s="16">
        <v>15.236553870495866</v>
      </c>
      <c r="BY118" s="16">
        <v>0.87061814280523742</v>
      </c>
      <c r="BZ118" s="16">
        <v>0.600875618431289</v>
      </c>
      <c r="CA118" s="16">
        <v>0.66728759510366953</v>
      </c>
      <c r="CB118" s="16">
        <v>1.5039884261169798</v>
      </c>
      <c r="CC118" s="16">
        <v>4.7635520949202821</v>
      </c>
      <c r="CD118" s="16">
        <v>6.9733308737995641</v>
      </c>
      <c r="CE118" s="16">
        <v>4.5728423586040909</v>
      </c>
      <c r="CF118" s="16">
        <f t="shared" si="2"/>
        <v>51.541568197164082</v>
      </c>
      <c r="CG118" s="16">
        <f t="shared" si="2"/>
        <v>0.66728759510366953</v>
      </c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>
        <v>0</v>
      </c>
      <c r="DO118" s="35">
        <v>0</v>
      </c>
      <c r="DP118" s="35">
        <v>304.88215000000002</v>
      </c>
      <c r="DQ118" s="35">
        <v>0</v>
      </c>
      <c r="DR118" s="35">
        <v>0</v>
      </c>
    </row>
    <row r="119" spans="1:122" ht="25.5">
      <c r="A119" s="14">
        <f t="shared" si="3"/>
        <v>115</v>
      </c>
      <c r="B119" s="14" t="s">
        <v>204</v>
      </c>
      <c r="C119" s="14" t="s">
        <v>84</v>
      </c>
      <c r="D119" s="17" t="s">
        <v>4</v>
      </c>
      <c r="E119" s="14" t="s">
        <v>221</v>
      </c>
      <c r="F119" s="15">
        <v>2877.0538299399996</v>
      </c>
      <c r="G119" s="15">
        <v>3708.3025120999996</v>
      </c>
      <c r="H119" s="15">
        <v>2196.6119079500004</v>
      </c>
      <c r="I119" s="15">
        <v>1899.7836152700002</v>
      </c>
      <c r="J119" s="15">
        <v>1685.4760000000001</v>
      </c>
      <c r="K119" s="15">
        <v>1838.7565</v>
      </c>
      <c r="L119" s="15">
        <v>4028.4395000000004</v>
      </c>
      <c r="M119" s="15">
        <v>4373.1420170000001</v>
      </c>
      <c r="N119" s="15">
        <v>3085.6354999999999</v>
      </c>
      <c r="O119" s="15">
        <v>5355.9209049999999</v>
      </c>
      <c r="P119" s="15">
        <v>3579.9077000000002</v>
      </c>
      <c r="Q119" s="15">
        <v>3922.2256000000007</v>
      </c>
      <c r="R119" s="15">
        <v>3873.0594000000001</v>
      </c>
      <c r="S119" s="15">
        <v>4030.4739999999997</v>
      </c>
      <c r="T119" s="15">
        <v>3823.3071499999996</v>
      </c>
      <c r="U119" s="15">
        <v>5355.9209049999999</v>
      </c>
      <c r="V119" s="15">
        <v>52.12</v>
      </c>
      <c r="W119" s="15">
        <v>2031.9295999999999</v>
      </c>
      <c r="X119" s="15">
        <v>0</v>
      </c>
      <c r="Y119" s="15">
        <v>0</v>
      </c>
      <c r="Z119" s="15">
        <v>32.36</v>
      </c>
      <c r="AA119" s="15">
        <v>197.215</v>
      </c>
      <c r="AB119" s="15">
        <v>0</v>
      </c>
      <c r="AC119" s="15">
        <v>0</v>
      </c>
      <c r="AD119" s="15">
        <v>0</v>
      </c>
      <c r="AE119" s="15">
        <v>49.286000000000001</v>
      </c>
      <c r="AF119" s="15">
        <v>0</v>
      </c>
      <c r="AG119" s="15">
        <v>0</v>
      </c>
      <c r="AH119" s="15">
        <v>520.48760000000004</v>
      </c>
      <c r="AI119" s="15">
        <v>181.92500000000001</v>
      </c>
      <c r="AJ119" s="15">
        <v>514.58449999999982</v>
      </c>
      <c r="AK119" s="15">
        <v>2116.4096</v>
      </c>
      <c r="AL119" s="15">
        <v>49.286000000000001</v>
      </c>
      <c r="AM119" s="15">
        <v>1414.2121000000002</v>
      </c>
      <c r="AN119" s="15">
        <v>7952.8989999999994</v>
      </c>
      <c r="AO119" s="15">
        <v>6582.8741795700007</v>
      </c>
      <c r="AP119" s="15">
        <v>9676.2454931600005</v>
      </c>
      <c r="AQ119" s="15">
        <v>6294.6111783600008</v>
      </c>
      <c r="AR119" s="15">
        <v>3688.1980191800003</v>
      </c>
      <c r="AS119" s="15">
        <v>5047.0551595900006</v>
      </c>
      <c r="AT119" s="15">
        <v>7923.9490000000005</v>
      </c>
      <c r="AU119" s="15">
        <v>10375.681</v>
      </c>
      <c r="AV119" s="15">
        <v>8143.1292181400004</v>
      </c>
      <c r="AW119" s="15">
        <v>6628.3173999999999</v>
      </c>
      <c r="AX119" s="15">
        <v>8121.9624000000003</v>
      </c>
      <c r="AY119" s="15">
        <v>3198.4094</v>
      </c>
      <c r="AZ119" s="15">
        <v>2437.9620999999997</v>
      </c>
      <c r="BA119" s="15">
        <v>4740.9030000000002</v>
      </c>
      <c r="BB119" s="15">
        <v>5400.9030000000002</v>
      </c>
      <c r="BC119" s="15">
        <v>6628.3173999999999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9.8000000000000007</v>
      </c>
      <c r="BJ119" s="15">
        <v>0</v>
      </c>
      <c r="BK119" s="15">
        <v>1768.6716000000001</v>
      </c>
      <c r="BL119" s="15">
        <v>0</v>
      </c>
      <c r="BM119" s="15">
        <v>0</v>
      </c>
      <c r="BN119" s="15">
        <v>0</v>
      </c>
      <c r="BO119" s="15">
        <v>32</v>
      </c>
      <c r="BP119" s="15">
        <v>765.45</v>
      </c>
      <c r="BQ119" s="30">
        <v>5546.0407999999998</v>
      </c>
      <c r="BR119" s="16">
        <v>0.36176164565147878</v>
      </c>
      <c r="BS119" s="16">
        <v>0.56332574661820889</v>
      </c>
      <c r="BT119" s="16">
        <v>0.22701076667626446</v>
      </c>
      <c r="BU119" s="16">
        <v>0.3018111145293918</v>
      </c>
      <c r="BV119" s="16">
        <v>0.4569917317982653</v>
      </c>
      <c r="BW119" s="16">
        <v>0.36432264793186292</v>
      </c>
      <c r="BX119" s="16">
        <v>0.50838786317276907</v>
      </c>
      <c r="BY119" s="16">
        <v>0.4214799989513941</v>
      </c>
      <c r="BZ119" s="16">
        <v>0.37892503205356237</v>
      </c>
      <c r="CA119" s="16">
        <v>0.80803627554105961</v>
      </c>
      <c r="CB119" s="16">
        <v>0.44076880976449734</v>
      </c>
      <c r="CC119" s="16">
        <v>1.226305050254042</v>
      </c>
      <c r="CD119" s="16">
        <v>1.5886462714084031</v>
      </c>
      <c r="CE119" s="16">
        <v>0.85014901169671675</v>
      </c>
      <c r="CF119" s="16">
        <f t="shared" si="2"/>
        <v>0.70790146573637769</v>
      </c>
      <c r="CG119" s="16">
        <f t="shared" si="2"/>
        <v>0.80803627554105961</v>
      </c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>
        <v>0</v>
      </c>
      <c r="DO119" s="35">
        <v>604.24699507000003</v>
      </c>
      <c r="DP119" s="35">
        <v>786.21029999999996</v>
      </c>
      <c r="DQ119" s="35">
        <v>0</v>
      </c>
      <c r="DR119" s="35">
        <v>0</v>
      </c>
    </row>
    <row r="120" spans="1:122" ht="25.5">
      <c r="A120" s="14">
        <f t="shared" si="3"/>
        <v>116</v>
      </c>
      <c r="B120" s="14" t="s">
        <v>207</v>
      </c>
      <c r="C120" s="14" t="s">
        <v>84</v>
      </c>
      <c r="D120" s="17" t="s">
        <v>14</v>
      </c>
      <c r="E120" s="14" t="s">
        <v>223</v>
      </c>
      <c r="F120" s="15"/>
      <c r="G120" s="15"/>
      <c r="H120" s="15"/>
      <c r="I120" s="15"/>
      <c r="J120" s="15"/>
      <c r="K120" s="15"/>
      <c r="L120" s="15"/>
      <c r="M120" s="15">
        <v>249.78664999827072</v>
      </c>
      <c r="N120" s="15">
        <v>986.08950000000004</v>
      </c>
      <c r="O120" s="15">
        <v>511.63385000000005</v>
      </c>
      <c r="P120" s="15">
        <v>3844.2499999999995</v>
      </c>
      <c r="Q120" s="15">
        <v>4728.6975000000002</v>
      </c>
      <c r="R120" s="15">
        <v>1947.527</v>
      </c>
      <c r="S120" s="15">
        <v>5170.4309999999987</v>
      </c>
      <c r="T120" s="15">
        <v>6559.3990000000003</v>
      </c>
      <c r="U120" s="15">
        <v>511.63385000000005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150.80699999999999</v>
      </c>
      <c r="AI120" s="15">
        <v>3597.3629999999998</v>
      </c>
      <c r="AJ120" s="15">
        <v>96.079999999999728</v>
      </c>
      <c r="AK120" s="15">
        <v>0</v>
      </c>
      <c r="AL120" s="15">
        <v>0</v>
      </c>
      <c r="AM120" s="15">
        <v>3844.2499999999995</v>
      </c>
      <c r="AN120" s="15"/>
      <c r="AO120" s="15"/>
      <c r="AP120" s="15"/>
      <c r="AQ120" s="15"/>
      <c r="AR120" s="15"/>
      <c r="AS120" s="15"/>
      <c r="AT120" s="15"/>
      <c r="AU120" s="15">
        <v>653.39999999990687</v>
      </c>
      <c r="AV120" s="15">
        <v>1603.8</v>
      </c>
      <c r="AW120" s="15">
        <v>1201.5700000000002</v>
      </c>
      <c r="AX120" s="15">
        <v>1413.48</v>
      </c>
      <c r="AY120" s="15">
        <v>1307.66334975</v>
      </c>
      <c r="AZ120" s="15">
        <v>1079.52310345</v>
      </c>
      <c r="BA120" s="15">
        <v>1301.4231034500001</v>
      </c>
      <c r="BB120" s="15">
        <v>1117.4000000000001</v>
      </c>
      <c r="BC120" s="15">
        <v>1201.5700000000002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1106.58</v>
      </c>
      <c r="BK120" s="15">
        <v>306.89999999999998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30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0.38228749617126773</v>
      </c>
      <c r="BZ120" s="16">
        <v>0.61484567901234577</v>
      </c>
      <c r="CA120" s="16">
        <v>0.42580444751450186</v>
      </c>
      <c r="CB120" s="16">
        <v>2.7197059739083675</v>
      </c>
      <c r="CC120" s="16">
        <v>3.6161428711021348</v>
      </c>
      <c r="CD120" s="16">
        <v>1.8040623621448999</v>
      </c>
      <c r="CE120" s="16">
        <v>3.9729054957557417</v>
      </c>
      <c r="CF120" s="16">
        <f t="shared" si="2"/>
        <v>5.8702335779488095</v>
      </c>
      <c r="CG120" s="16">
        <f t="shared" si="2"/>
        <v>0.42580444751450186</v>
      </c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>
        <v>0</v>
      </c>
      <c r="DO120" s="35">
        <v>142.52354680000002</v>
      </c>
      <c r="DP120" s="35">
        <v>697.92930000000001</v>
      </c>
      <c r="DQ120" s="35">
        <v>0</v>
      </c>
      <c r="DR120" s="35">
        <v>0</v>
      </c>
    </row>
    <row r="121" spans="1:122" ht="25.5">
      <c r="A121" s="14">
        <f t="shared" si="3"/>
        <v>117</v>
      </c>
      <c r="B121" s="14" t="s">
        <v>206</v>
      </c>
      <c r="C121" s="14" t="s">
        <v>84</v>
      </c>
      <c r="D121" s="17" t="s">
        <v>9</v>
      </c>
      <c r="E121" s="14" t="s">
        <v>227</v>
      </c>
      <c r="F121" s="15">
        <v>1828.9755</v>
      </c>
      <c r="G121" s="15">
        <v>3042.5510000000004</v>
      </c>
      <c r="H121" s="15">
        <v>2107.0680000000002</v>
      </c>
      <c r="I121" s="15">
        <v>2509.1119999999996</v>
      </c>
      <c r="J121" s="15">
        <v>1853.6850000000002</v>
      </c>
      <c r="K121" s="15">
        <v>2791.8220149999997</v>
      </c>
      <c r="L121" s="15">
        <v>2445.4370499999995</v>
      </c>
      <c r="M121" s="15">
        <v>1425.8120000000001</v>
      </c>
      <c r="N121" s="15">
        <v>3487.2298000000001</v>
      </c>
      <c r="O121" s="15">
        <v>1168.9550000000002</v>
      </c>
      <c r="P121" s="15">
        <v>3088.0459999999998</v>
      </c>
      <c r="Q121" s="15">
        <v>1512.663</v>
      </c>
      <c r="R121" s="15">
        <v>1820.0959999999998</v>
      </c>
      <c r="S121" s="15">
        <v>2752.1005</v>
      </c>
      <c r="T121" s="15">
        <v>3084.0519999999997</v>
      </c>
      <c r="U121" s="15">
        <v>1168.9550000000002</v>
      </c>
      <c r="V121" s="15">
        <v>5.7510000000000003</v>
      </c>
      <c r="W121" s="15">
        <v>290.78500000000003</v>
      </c>
      <c r="X121" s="15">
        <v>0</v>
      </c>
      <c r="Y121" s="15">
        <v>0</v>
      </c>
      <c r="Z121" s="15">
        <v>0</v>
      </c>
      <c r="AA121" s="15">
        <v>152.66300000000001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301.81599999999997</v>
      </c>
      <c r="AI121" s="15">
        <v>1683.0609999999999</v>
      </c>
      <c r="AJ121" s="15">
        <v>653.9699999999998</v>
      </c>
      <c r="AK121" s="15">
        <v>296.536</v>
      </c>
      <c r="AL121" s="15">
        <v>0</v>
      </c>
      <c r="AM121" s="15">
        <v>2791.5099999999998</v>
      </c>
      <c r="AN121" s="15">
        <v>4576.8799999999992</v>
      </c>
      <c r="AO121" s="15">
        <v>4368.9351500000002</v>
      </c>
      <c r="AP121" s="15">
        <v>3306.326</v>
      </c>
      <c r="AQ121" s="15">
        <v>6450.96875</v>
      </c>
      <c r="AR121" s="15">
        <v>3932.8725000000004</v>
      </c>
      <c r="AS121" s="15">
        <v>7386.7782000000007</v>
      </c>
      <c r="AT121" s="15">
        <v>3932.3885</v>
      </c>
      <c r="AU121" s="15">
        <v>2167.5289999999995</v>
      </c>
      <c r="AV121" s="15">
        <v>2402.8865000000001</v>
      </c>
      <c r="AW121" s="15">
        <v>5361.4009999999998</v>
      </c>
      <c r="AX121" s="15">
        <v>4941.076</v>
      </c>
      <c r="AY121" s="15">
        <v>6169.148000000001</v>
      </c>
      <c r="AZ121" s="15">
        <v>4101.3635599999998</v>
      </c>
      <c r="BA121" s="15">
        <v>3703.2725</v>
      </c>
      <c r="BB121" s="15">
        <v>5744.6045000000004</v>
      </c>
      <c r="BC121" s="15">
        <v>5361.4009999999998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1248.491</v>
      </c>
      <c r="BK121" s="15">
        <v>5.2350000000000003</v>
      </c>
      <c r="BL121" s="15">
        <v>0</v>
      </c>
      <c r="BM121" s="15">
        <v>0</v>
      </c>
      <c r="BN121" s="15">
        <v>0</v>
      </c>
      <c r="BO121" s="15">
        <v>0</v>
      </c>
      <c r="BP121" s="15">
        <v>967.35</v>
      </c>
      <c r="BQ121" s="30">
        <v>2720</v>
      </c>
      <c r="BR121" s="16">
        <v>0.39961185348971356</v>
      </c>
      <c r="BS121" s="16">
        <v>0.69640562185959665</v>
      </c>
      <c r="BT121" s="16">
        <v>0.63728380081093039</v>
      </c>
      <c r="BU121" s="16">
        <v>0.38895119434581038</v>
      </c>
      <c r="BV121" s="16">
        <v>0.47133106908500083</v>
      </c>
      <c r="BW121" s="16">
        <v>0.3779485371579181</v>
      </c>
      <c r="BX121" s="16">
        <v>0.62187066461007079</v>
      </c>
      <c r="BY121" s="16">
        <v>0.65780527042544779</v>
      </c>
      <c r="BZ121" s="16">
        <v>1.451266965793016</v>
      </c>
      <c r="CA121" s="16">
        <v>0.21803163016532437</v>
      </c>
      <c r="CB121" s="16">
        <v>0.62497439828895562</v>
      </c>
      <c r="CC121" s="16">
        <v>0.24519804031286002</v>
      </c>
      <c r="CD121" s="16">
        <v>0.44377826383184615</v>
      </c>
      <c r="CE121" s="16">
        <v>0.74315365666447719</v>
      </c>
      <c r="CF121" s="16">
        <f t="shared" si="2"/>
        <v>0.53686063157176434</v>
      </c>
      <c r="CG121" s="16">
        <f t="shared" si="2"/>
        <v>0.21803163016532437</v>
      </c>
      <c r="CH121" s="30"/>
      <c r="CI121" s="30"/>
      <c r="CJ121" s="30"/>
      <c r="CK121" s="30"/>
      <c r="CL121" s="30"/>
      <c r="CM121" s="30"/>
      <c r="CN121" s="30"/>
      <c r="CO121" s="30"/>
      <c r="CP121" s="30"/>
      <c r="CQ121" s="30">
        <v>700</v>
      </c>
      <c r="CR121" s="30"/>
      <c r="CS121" s="30"/>
      <c r="CT121" s="30"/>
      <c r="CU121" s="30"/>
      <c r="CV121" s="30"/>
      <c r="CW121" s="30">
        <v>700</v>
      </c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>
        <v>0</v>
      </c>
      <c r="DO121" s="35">
        <v>0</v>
      </c>
      <c r="DP121" s="35">
        <v>1093.4229499999999</v>
      </c>
      <c r="DQ121" s="35">
        <v>0</v>
      </c>
      <c r="DR121" s="35">
        <v>0</v>
      </c>
    </row>
    <row r="122" spans="1:122" ht="25.5">
      <c r="A122" s="14">
        <f t="shared" si="3"/>
        <v>118</v>
      </c>
      <c r="B122" s="14" t="s">
        <v>202</v>
      </c>
      <c r="C122" s="14" t="s">
        <v>84</v>
      </c>
      <c r="D122" s="17" t="s">
        <v>85</v>
      </c>
      <c r="E122" s="14" t="s">
        <v>232</v>
      </c>
      <c r="F122" s="15">
        <v>10028.553300310001</v>
      </c>
      <c r="G122" s="15">
        <v>5555.7819034799995</v>
      </c>
      <c r="H122" s="15">
        <v>8399.8608949999998</v>
      </c>
      <c r="I122" s="15">
        <v>11745.523630000002</v>
      </c>
      <c r="J122" s="15">
        <v>12281.00265</v>
      </c>
      <c r="K122" s="15">
        <v>11131.075875</v>
      </c>
      <c r="L122" s="15">
        <v>9035.0146000000022</v>
      </c>
      <c r="M122" s="15">
        <v>9222.6803500000024</v>
      </c>
      <c r="N122" s="15">
        <v>11302.147499999999</v>
      </c>
      <c r="O122" s="15">
        <v>11250.576032609999</v>
      </c>
      <c r="P122" s="15">
        <v>8211.7270499999995</v>
      </c>
      <c r="Q122" s="15">
        <v>7319.8141500000002</v>
      </c>
      <c r="R122" s="15">
        <v>7362.6341000000002</v>
      </c>
      <c r="S122" s="15">
        <v>12379.05205</v>
      </c>
      <c r="T122" s="15">
        <v>9222.6825999999983</v>
      </c>
      <c r="U122" s="15">
        <v>11250.576032609999</v>
      </c>
      <c r="V122" s="15">
        <v>236.43899999999999</v>
      </c>
      <c r="W122" s="15">
        <v>794.00225</v>
      </c>
      <c r="X122" s="15">
        <v>0</v>
      </c>
      <c r="Y122" s="15">
        <v>3074.4031500000001</v>
      </c>
      <c r="Z122" s="15">
        <v>66.91</v>
      </c>
      <c r="AA122" s="15">
        <v>162.32849999999999</v>
      </c>
      <c r="AB122" s="15">
        <v>0</v>
      </c>
      <c r="AC122" s="15">
        <v>0</v>
      </c>
      <c r="AD122" s="15">
        <v>0</v>
      </c>
      <c r="AE122" s="15">
        <v>1211.1770000000001</v>
      </c>
      <c r="AF122" s="15">
        <v>0</v>
      </c>
      <c r="AG122" s="15">
        <v>153.245</v>
      </c>
      <c r="AH122" s="15">
        <v>1052.905</v>
      </c>
      <c r="AI122" s="15">
        <v>452.12020000000001</v>
      </c>
      <c r="AJ122" s="15">
        <v>1008.1969499999994</v>
      </c>
      <c r="AK122" s="15">
        <v>1097.3512500000002</v>
      </c>
      <c r="AL122" s="15">
        <v>1211.1770000000001</v>
      </c>
      <c r="AM122" s="15">
        <v>5903.1988000000001</v>
      </c>
      <c r="AN122" s="15">
        <v>7687.5969999999998</v>
      </c>
      <c r="AO122" s="15">
        <v>6790.7951232899995</v>
      </c>
      <c r="AP122" s="15">
        <v>4723.4079999999994</v>
      </c>
      <c r="AQ122" s="15">
        <v>9426.9925000000003</v>
      </c>
      <c r="AR122" s="15">
        <v>6950.550650000001</v>
      </c>
      <c r="AS122" s="15">
        <v>6648.479049999999</v>
      </c>
      <c r="AT122" s="15">
        <v>7858.0640000000003</v>
      </c>
      <c r="AU122" s="15">
        <v>5860.4699999999993</v>
      </c>
      <c r="AV122" s="15">
        <v>9196.7499999999982</v>
      </c>
      <c r="AW122" s="15">
        <v>7733.7429999999995</v>
      </c>
      <c r="AX122" s="15">
        <v>3291.7574</v>
      </c>
      <c r="AY122" s="15">
        <v>3537.5469999999996</v>
      </c>
      <c r="AZ122" s="15">
        <v>4162.3778000000002</v>
      </c>
      <c r="BA122" s="15">
        <v>10090.918000000001</v>
      </c>
      <c r="BB122" s="15">
        <v>5602.9080000000004</v>
      </c>
      <c r="BC122" s="15">
        <v>7733.7429999999995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827.44939999999997</v>
      </c>
      <c r="BJ122" s="15">
        <v>0</v>
      </c>
      <c r="BK122" s="15">
        <v>52.994</v>
      </c>
      <c r="BL122" s="15">
        <v>0</v>
      </c>
      <c r="BM122" s="15">
        <v>0</v>
      </c>
      <c r="BN122" s="15">
        <v>0</v>
      </c>
      <c r="BO122" s="15">
        <v>1036.2</v>
      </c>
      <c r="BP122" s="15">
        <v>1235.0239999999999</v>
      </c>
      <c r="BQ122" s="30">
        <v>140.09000000000003</v>
      </c>
      <c r="BR122" s="16">
        <v>1.3045107984081372</v>
      </c>
      <c r="BS122" s="16">
        <v>0.81813422472806663</v>
      </c>
      <c r="BT122" s="16">
        <v>1.7783475183596253</v>
      </c>
      <c r="BU122" s="16">
        <v>1.2459460034576246</v>
      </c>
      <c r="BV122" s="16">
        <v>1.7669107482872597</v>
      </c>
      <c r="BW122" s="16">
        <v>1.6742289163113182</v>
      </c>
      <c r="BX122" s="16">
        <v>1.1497761535156754</v>
      </c>
      <c r="BY122" s="16">
        <v>1.5737100181384776</v>
      </c>
      <c r="BZ122" s="16">
        <v>1.2289284258025934</v>
      </c>
      <c r="CA122" s="16">
        <v>1.4547388027517851</v>
      </c>
      <c r="CB122" s="16">
        <v>2.4946331251507172</v>
      </c>
      <c r="CC122" s="16">
        <v>2.0691779218763742</v>
      </c>
      <c r="CD122" s="16">
        <v>1.768852913832089</v>
      </c>
      <c r="CE122" s="16">
        <v>1.2267518227776699</v>
      </c>
      <c r="CF122" s="16">
        <f t="shared" si="2"/>
        <v>1.6460528354204633</v>
      </c>
      <c r="CG122" s="16">
        <f t="shared" si="2"/>
        <v>1.4547388027517851</v>
      </c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>
        <v>0</v>
      </c>
      <c r="DO122" s="35">
        <v>1105.2736453299999</v>
      </c>
      <c r="DP122" s="35">
        <v>909.91610000000003</v>
      </c>
      <c r="DQ122" s="35">
        <v>0</v>
      </c>
      <c r="DR122" s="35">
        <v>0</v>
      </c>
    </row>
    <row r="123" spans="1:122" ht="25.5">
      <c r="A123" s="14">
        <f t="shared" si="3"/>
        <v>119</v>
      </c>
      <c r="B123" s="14" t="s">
        <v>203</v>
      </c>
      <c r="C123" s="14" t="s">
        <v>84</v>
      </c>
      <c r="D123" s="17" t="s">
        <v>10</v>
      </c>
      <c r="E123" s="14" t="s">
        <v>236</v>
      </c>
      <c r="F123" s="15">
        <v>534.01058</v>
      </c>
      <c r="G123" s="15">
        <v>644.36839999999995</v>
      </c>
      <c r="H123" s="15">
        <v>861.70569999999998</v>
      </c>
      <c r="I123" s="15">
        <v>572.38772500000005</v>
      </c>
      <c r="J123" s="15">
        <v>625.93231500000002</v>
      </c>
      <c r="K123" s="15">
        <v>546.48036000000002</v>
      </c>
      <c r="L123" s="15">
        <v>401.55762500000003</v>
      </c>
      <c r="M123" s="15">
        <v>824.786925</v>
      </c>
      <c r="N123" s="15">
        <v>1953.5309500000001</v>
      </c>
      <c r="O123" s="15">
        <v>758.10374999999999</v>
      </c>
      <c r="P123" s="15">
        <v>945.90387500000008</v>
      </c>
      <c r="Q123" s="15">
        <v>685.08313999999996</v>
      </c>
      <c r="R123" s="15">
        <v>647.70062500000006</v>
      </c>
      <c r="S123" s="15">
        <v>1222.7007000000001</v>
      </c>
      <c r="T123" s="15">
        <v>1514.098655</v>
      </c>
      <c r="U123" s="15">
        <v>758.10374999999999</v>
      </c>
      <c r="V123" s="15">
        <v>0</v>
      </c>
      <c r="W123" s="15">
        <v>0.23485</v>
      </c>
      <c r="X123" s="15">
        <v>0</v>
      </c>
      <c r="Y123" s="15">
        <v>0</v>
      </c>
      <c r="Z123" s="15">
        <v>5.025E-3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941.96400000000006</v>
      </c>
      <c r="AI123" s="15">
        <v>3.7</v>
      </c>
      <c r="AJ123" s="15">
        <v>-1.6375789613221059E-14</v>
      </c>
      <c r="AK123" s="15">
        <v>0.239875</v>
      </c>
      <c r="AL123" s="15">
        <v>0</v>
      </c>
      <c r="AM123" s="15">
        <v>945.6640000000001</v>
      </c>
      <c r="AN123" s="15">
        <v>1772.1</v>
      </c>
      <c r="AO123" s="15">
        <v>1712.7</v>
      </c>
      <c r="AP123" s="15">
        <v>2972.9700000000003</v>
      </c>
      <c r="AQ123" s="15">
        <v>1202.8499999999999</v>
      </c>
      <c r="AR123" s="15">
        <v>397</v>
      </c>
      <c r="AS123" s="15">
        <v>638.54999999999995</v>
      </c>
      <c r="AT123" s="15">
        <v>431.64</v>
      </c>
      <c r="AU123" s="15">
        <v>1603.55</v>
      </c>
      <c r="AV123" s="15">
        <v>900.90000000000009</v>
      </c>
      <c r="AW123" s="15">
        <v>1314.9499999999998</v>
      </c>
      <c r="AX123" s="15">
        <v>148.5</v>
      </c>
      <c r="AY123" s="15">
        <v>0</v>
      </c>
      <c r="AZ123" s="15">
        <v>0</v>
      </c>
      <c r="BA123" s="15">
        <v>0</v>
      </c>
      <c r="BB123" s="15">
        <v>369</v>
      </c>
      <c r="BC123" s="15">
        <v>1314.9499999999998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148.5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30">
        <v>0</v>
      </c>
      <c r="BR123" s="16">
        <v>0.30134336662716554</v>
      </c>
      <c r="BS123" s="16">
        <v>0.37622957902726684</v>
      </c>
      <c r="BT123" s="16">
        <v>0.28984675257402526</v>
      </c>
      <c r="BU123" s="16">
        <v>0.47585960427318458</v>
      </c>
      <c r="BV123" s="16">
        <v>1.5766557052896726</v>
      </c>
      <c r="BW123" s="16">
        <v>0.85581451726568014</v>
      </c>
      <c r="BX123" s="16">
        <v>0.93030679501436397</v>
      </c>
      <c r="BY123" s="16">
        <v>0.51435061270306504</v>
      </c>
      <c r="BZ123" s="16">
        <v>2.1684215229215229</v>
      </c>
      <c r="CA123" s="16">
        <v>0.5765266740180236</v>
      </c>
      <c r="CB123" s="16">
        <v>6.3697230639730646</v>
      </c>
      <c r="CC123" s="16"/>
      <c r="CD123" s="16"/>
      <c r="CE123" s="16"/>
      <c r="CF123" s="16">
        <f t="shared" si="2"/>
        <v>4.103248387533875</v>
      </c>
      <c r="CG123" s="16">
        <f t="shared" si="2"/>
        <v>0.5765266740180236</v>
      </c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>
        <v>0</v>
      </c>
      <c r="DO123" s="35">
        <v>0</v>
      </c>
      <c r="DP123" s="35">
        <v>0</v>
      </c>
      <c r="DQ123" s="35">
        <v>0</v>
      </c>
      <c r="DR123" s="35">
        <v>0</v>
      </c>
    </row>
    <row r="124" spans="1:122" ht="25.5">
      <c r="A124" s="14">
        <f t="shared" si="3"/>
        <v>120</v>
      </c>
      <c r="B124" s="14" t="s">
        <v>201</v>
      </c>
      <c r="C124" s="14" t="s">
        <v>84</v>
      </c>
      <c r="D124" s="17" t="s">
        <v>11</v>
      </c>
      <c r="E124" s="14" t="s">
        <v>238</v>
      </c>
      <c r="F124" s="15">
        <v>11881.577425000001</v>
      </c>
      <c r="G124" s="15">
        <v>10106.932075000001</v>
      </c>
      <c r="H124" s="15">
        <v>9597.6091059999999</v>
      </c>
      <c r="I124" s="15">
        <v>12177.4768</v>
      </c>
      <c r="J124" s="15">
        <v>8967.9063499999993</v>
      </c>
      <c r="K124" s="15">
        <v>10274.069799999999</v>
      </c>
      <c r="L124" s="15">
        <v>7190.1867500000008</v>
      </c>
      <c r="M124" s="15">
        <v>6613.4232000000011</v>
      </c>
      <c r="N124" s="15">
        <v>7357.6151000000009</v>
      </c>
      <c r="O124" s="15">
        <v>7860.4141000000009</v>
      </c>
      <c r="P124" s="15">
        <v>7974.7534999999998</v>
      </c>
      <c r="Q124" s="15">
        <v>12030.377000000002</v>
      </c>
      <c r="R124" s="15">
        <v>4351.9223000000002</v>
      </c>
      <c r="S124" s="15">
        <v>4693.6349</v>
      </c>
      <c r="T124" s="15">
        <v>8296.1772000000001</v>
      </c>
      <c r="U124" s="15">
        <v>7860.4141000000009</v>
      </c>
      <c r="V124" s="15">
        <v>268.51350000000002</v>
      </c>
      <c r="W124" s="15">
        <v>1843.0867000000001</v>
      </c>
      <c r="X124" s="15">
        <v>0</v>
      </c>
      <c r="Y124" s="15">
        <v>378.53250000000003</v>
      </c>
      <c r="Z124" s="15">
        <v>179.58699999999999</v>
      </c>
      <c r="AA124" s="15">
        <v>244.792</v>
      </c>
      <c r="AB124" s="15">
        <v>101.72499999999999</v>
      </c>
      <c r="AC124" s="15">
        <v>0</v>
      </c>
      <c r="AD124" s="15">
        <v>0</v>
      </c>
      <c r="AE124" s="15">
        <v>103.55</v>
      </c>
      <c r="AF124" s="15">
        <v>0</v>
      </c>
      <c r="AG124" s="15">
        <v>0</v>
      </c>
      <c r="AH124" s="15">
        <v>2360.9630000000002</v>
      </c>
      <c r="AI124" s="15">
        <v>178.81399999999999</v>
      </c>
      <c r="AJ124" s="15">
        <v>2315.1897999999983</v>
      </c>
      <c r="AK124" s="15">
        <v>2291.1871999999998</v>
      </c>
      <c r="AL124" s="15">
        <v>205.27500000000001</v>
      </c>
      <c r="AM124" s="15">
        <v>5478.2913000000008</v>
      </c>
      <c r="AN124" s="15">
        <v>13170.366875</v>
      </c>
      <c r="AO124" s="15">
        <v>10604.683370000001</v>
      </c>
      <c r="AP124" s="15">
        <v>7102.9780799999999</v>
      </c>
      <c r="AQ124" s="15">
        <v>11745.270930000001</v>
      </c>
      <c r="AR124" s="15">
        <v>10065.353940000001</v>
      </c>
      <c r="AS124" s="15">
        <v>17463.446049999999</v>
      </c>
      <c r="AT124" s="15">
        <v>14396.494299999998</v>
      </c>
      <c r="AU124" s="15">
        <v>4830.8767500000004</v>
      </c>
      <c r="AV124" s="15">
        <v>4447.5617499999998</v>
      </c>
      <c r="AW124" s="15">
        <v>5436.0070999999998</v>
      </c>
      <c r="AX124" s="15">
        <v>16895.949949999995</v>
      </c>
      <c r="AY124" s="15">
        <v>8882.5865999999987</v>
      </c>
      <c r="AZ124" s="15">
        <v>2285.2318999999998</v>
      </c>
      <c r="BA124" s="15">
        <v>6536.1338500000002</v>
      </c>
      <c r="BB124" s="15">
        <v>4498.5617000000002</v>
      </c>
      <c r="BC124" s="15">
        <v>5436.0070999999998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173.34700000000001</v>
      </c>
      <c r="BJ124" s="15">
        <v>0</v>
      </c>
      <c r="BK124" s="15">
        <v>202.19800000000001</v>
      </c>
      <c r="BL124" s="15">
        <v>897.02374999999995</v>
      </c>
      <c r="BM124" s="15">
        <v>0</v>
      </c>
      <c r="BN124" s="15">
        <v>0</v>
      </c>
      <c r="BO124" s="15">
        <v>66</v>
      </c>
      <c r="BP124" s="15">
        <v>9839.1899999999987</v>
      </c>
      <c r="BQ124" s="30">
        <v>5718.1911999999957</v>
      </c>
      <c r="BR124" s="16">
        <v>0.90214475707230457</v>
      </c>
      <c r="BS124" s="16">
        <v>0.95306306868075774</v>
      </c>
      <c r="BT124" s="16">
        <v>1.3512091685914367</v>
      </c>
      <c r="BU124" s="16">
        <v>1.0367982886538658</v>
      </c>
      <c r="BV124" s="16">
        <v>0.89096780932474573</v>
      </c>
      <c r="BW124" s="16">
        <v>0.58831858102828449</v>
      </c>
      <c r="BX124" s="16">
        <v>0.49944011369490149</v>
      </c>
      <c r="BY124" s="16">
        <v>1.3689902562718042</v>
      </c>
      <c r="BZ124" s="16">
        <v>1.6543030796593214</v>
      </c>
      <c r="CA124" s="16">
        <v>1.4459904035077513</v>
      </c>
      <c r="CB124" s="16">
        <v>0.47199201723487599</v>
      </c>
      <c r="CC124" s="16">
        <v>1.3543776764304223</v>
      </c>
      <c r="CD124" s="16">
        <v>1.9043679111953586</v>
      </c>
      <c r="CE124" s="16">
        <v>0.71810568873218528</v>
      </c>
      <c r="CF124" s="16">
        <f t="shared" si="2"/>
        <v>1.8441843756416634</v>
      </c>
      <c r="CG124" s="16">
        <f t="shared" si="2"/>
        <v>1.4459904035077513</v>
      </c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>
        <v>0</v>
      </c>
      <c r="DO124" s="35">
        <v>192.70492611</v>
      </c>
      <c r="DP124" s="35">
        <v>1399.1176</v>
      </c>
      <c r="DQ124" s="35">
        <v>0</v>
      </c>
      <c r="DR124" s="35">
        <v>0</v>
      </c>
    </row>
    <row r="125" spans="1:122" ht="25.5">
      <c r="A125" s="14">
        <f t="shared" si="3"/>
        <v>121</v>
      </c>
      <c r="B125" s="14" t="s">
        <v>209</v>
      </c>
      <c r="C125" s="14" t="s">
        <v>86</v>
      </c>
      <c r="D125" s="17" t="s">
        <v>57</v>
      </c>
      <c r="E125" s="14" t="s">
        <v>222</v>
      </c>
      <c r="F125" s="15">
        <v>146917.005748</v>
      </c>
      <c r="G125" s="15">
        <v>142086.8517</v>
      </c>
      <c r="H125" s="15">
        <v>140956.11679</v>
      </c>
      <c r="I125" s="15">
        <v>138204.39560999998</v>
      </c>
      <c r="J125" s="15">
        <v>123871.33037499999</v>
      </c>
      <c r="K125" s="15">
        <v>119433.97884250002</v>
      </c>
      <c r="L125" s="15">
        <v>137394.72822999998</v>
      </c>
      <c r="M125" s="15">
        <v>146161.02249832998</v>
      </c>
      <c r="N125" s="15">
        <v>102576.94287981003</v>
      </c>
      <c r="O125" s="15">
        <v>115728.87555300001</v>
      </c>
      <c r="P125" s="15">
        <v>165222.94486999998</v>
      </c>
      <c r="Q125" s="15">
        <v>184908.45112999997</v>
      </c>
      <c r="R125" s="15">
        <v>186353.35511</v>
      </c>
      <c r="S125" s="15">
        <v>184134.25060999996</v>
      </c>
      <c r="T125" s="15">
        <v>198933.21025999996</v>
      </c>
      <c r="U125" s="15">
        <v>115728.87555300001</v>
      </c>
      <c r="V125" s="15">
        <v>1094.2095999999999</v>
      </c>
      <c r="W125" s="15">
        <v>17366.881399999998</v>
      </c>
      <c r="X125" s="15">
        <v>12180.4146</v>
      </c>
      <c r="Y125" s="15">
        <v>6982.3844499999996</v>
      </c>
      <c r="Z125" s="15">
        <v>148.47800000000001</v>
      </c>
      <c r="AA125" s="15">
        <v>6908.4858000000004</v>
      </c>
      <c r="AB125" s="15">
        <v>0</v>
      </c>
      <c r="AC125" s="15">
        <v>102825.808</v>
      </c>
      <c r="AD125" s="15">
        <v>2097.8043000000002</v>
      </c>
      <c r="AE125" s="15">
        <v>162.55860000000001</v>
      </c>
      <c r="AF125" s="15">
        <v>303.54520000000002</v>
      </c>
      <c r="AG125" s="15">
        <v>3.5760000000000001</v>
      </c>
      <c r="AH125" s="15">
        <v>4560.8164999999999</v>
      </c>
      <c r="AI125" s="15">
        <v>3271.181</v>
      </c>
      <c r="AJ125" s="15">
        <v>7316.8014200000016</v>
      </c>
      <c r="AK125" s="15">
        <v>30789.983599999996</v>
      </c>
      <c r="AL125" s="15">
        <v>106465.32175000002</v>
      </c>
      <c r="AM125" s="15">
        <v>27967.639519999953</v>
      </c>
      <c r="AN125" s="15">
        <v>78587.127108839995</v>
      </c>
      <c r="AO125" s="15">
        <v>83612.502082269988</v>
      </c>
      <c r="AP125" s="15">
        <v>83710.910562179997</v>
      </c>
      <c r="AQ125" s="15">
        <v>99453.572857549996</v>
      </c>
      <c r="AR125" s="15">
        <v>92147.584329670019</v>
      </c>
      <c r="AS125" s="15">
        <v>96895.973133129984</v>
      </c>
      <c r="AT125" s="15">
        <v>103465.38863393999</v>
      </c>
      <c r="AU125" s="15">
        <v>98252.323936250003</v>
      </c>
      <c r="AV125" s="15">
        <v>92536.428640390004</v>
      </c>
      <c r="AW125" s="15">
        <v>103596.62908352999</v>
      </c>
      <c r="AX125" s="15">
        <v>98175.818833610014</v>
      </c>
      <c r="AY125" s="15">
        <v>108763.35190441</v>
      </c>
      <c r="AZ125" s="15">
        <v>94803.405286959998</v>
      </c>
      <c r="BA125" s="15">
        <v>100344.03208296999</v>
      </c>
      <c r="BB125" s="15">
        <v>116448.10887803999</v>
      </c>
      <c r="BC125" s="15">
        <v>103596.62908352999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1265.3841</v>
      </c>
      <c r="BJ125" s="15">
        <v>64267.477833609999</v>
      </c>
      <c r="BK125" s="15">
        <v>987.23099999999999</v>
      </c>
      <c r="BL125" s="15">
        <v>19027.5969</v>
      </c>
      <c r="BM125" s="15">
        <v>0</v>
      </c>
      <c r="BN125" s="15">
        <v>0</v>
      </c>
      <c r="BO125" s="15">
        <v>3956.65</v>
      </c>
      <c r="BP125" s="15">
        <v>2660.3069999999998</v>
      </c>
      <c r="BQ125" s="30">
        <v>6011.1720000000159</v>
      </c>
      <c r="BR125" s="16">
        <v>1.8694792792784738</v>
      </c>
      <c r="BS125" s="16">
        <v>1.6993493575900234</v>
      </c>
      <c r="BT125" s="16">
        <v>1.6838440275392605</v>
      </c>
      <c r="BU125" s="16">
        <v>1.389637311551932</v>
      </c>
      <c r="BV125" s="16">
        <v>1.3442710547010557</v>
      </c>
      <c r="BW125" s="16">
        <v>1.23260002434161</v>
      </c>
      <c r="BX125" s="16">
        <v>1.3279293688839444</v>
      </c>
      <c r="BY125" s="16">
        <v>1.4876088080437164</v>
      </c>
      <c r="BZ125" s="16">
        <v>1.1085033687483112</v>
      </c>
      <c r="CA125" s="16">
        <v>1.1171104366695925</v>
      </c>
      <c r="CB125" s="16">
        <v>1.6829291248390048</v>
      </c>
      <c r="CC125" s="16">
        <v>1.7000988650341746</v>
      </c>
      <c r="CD125" s="16">
        <v>1.9656820822620018</v>
      </c>
      <c r="CE125" s="16">
        <v>1.8350294161764158</v>
      </c>
      <c r="CF125" s="16">
        <f t="shared" si="2"/>
        <v>1.7083421291826164</v>
      </c>
      <c r="CG125" s="16">
        <f t="shared" si="2"/>
        <v>1.1171104366695925</v>
      </c>
      <c r="CH125" s="30"/>
      <c r="CI125" s="30"/>
      <c r="CJ125" s="30">
        <v>7000</v>
      </c>
      <c r="CK125" s="30"/>
      <c r="CL125" s="30">
        <v>10000</v>
      </c>
      <c r="CM125" s="30">
        <v>20000</v>
      </c>
      <c r="CN125" s="30">
        <v>12000</v>
      </c>
      <c r="CO125" s="30">
        <v>5000</v>
      </c>
      <c r="CP125" s="30">
        <v>4000</v>
      </c>
      <c r="CQ125" s="30">
        <v>25000</v>
      </c>
      <c r="CR125" s="30"/>
      <c r="CS125" s="30">
        <v>3000</v>
      </c>
      <c r="CT125" s="30"/>
      <c r="CU125" s="30">
        <v>5000</v>
      </c>
      <c r="CV125" s="30">
        <v>4000</v>
      </c>
      <c r="CW125" s="30">
        <v>25000</v>
      </c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>
        <v>6876.3314499999997</v>
      </c>
      <c r="DO125" s="35">
        <v>24659.147264849998</v>
      </c>
      <c r="DP125" s="35">
        <v>8009.7655500000001</v>
      </c>
      <c r="DQ125" s="35">
        <v>0</v>
      </c>
      <c r="DR125" s="35">
        <v>33</v>
      </c>
    </row>
    <row r="126" spans="1:122" ht="25.5">
      <c r="A126" s="14">
        <f t="shared" si="3"/>
        <v>122</v>
      </c>
      <c r="B126" s="14" t="s">
        <v>208</v>
      </c>
      <c r="C126" s="14" t="s">
        <v>86</v>
      </c>
      <c r="D126" s="17" t="s">
        <v>58</v>
      </c>
      <c r="E126" s="14" t="s">
        <v>223</v>
      </c>
      <c r="F126" s="15">
        <v>152459.99554999999</v>
      </c>
      <c r="G126" s="15">
        <v>158093.30939999994</v>
      </c>
      <c r="H126" s="15">
        <v>152528.31869999997</v>
      </c>
      <c r="I126" s="15">
        <v>156243.54395000005</v>
      </c>
      <c r="J126" s="15">
        <v>161638.18231249996</v>
      </c>
      <c r="K126" s="15">
        <v>153198.49751250001</v>
      </c>
      <c r="L126" s="15">
        <v>164352.08947499993</v>
      </c>
      <c r="M126" s="15">
        <v>160119.43408472999</v>
      </c>
      <c r="N126" s="15">
        <v>173412.54658620001</v>
      </c>
      <c r="O126" s="15">
        <v>179590.26195000004</v>
      </c>
      <c r="P126" s="15">
        <v>168115.56780000002</v>
      </c>
      <c r="Q126" s="15">
        <v>186402.253161</v>
      </c>
      <c r="R126" s="15">
        <v>156000.73620000001</v>
      </c>
      <c r="S126" s="15">
        <v>172817.98005000001</v>
      </c>
      <c r="T126" s="15">
        <v>168116.40865</v>
      </c>
      <c r="U126" s="15">
        <v>179590.26195000004</v>
      </c>
      <c r="V126" s="15">
        <v>457.59719999999999</v>
      </c>
      <c r="W126" s="15">
        <v>48491.059350000003</v>
      </c>
      <c r="X126" s="15">
        <v>10549.3547</v>
      </c>
      <c r="Y126" s="15">
        <v>10045.793299999999</v>
      </c>
      <c r="Z126" s="15">
        <v>826.43200000000002</v>
      </c>
      <c r="AA126" s="15">
        <v>6655.8199500000001</v>
      </c>
      <c r="AB126" s="15">
        <v>0</v>
      </c>
      <c r="AC126" s="15">
        <v>65251.341099999998</v>
      </c>
      <c r="AD126" s="15">
        <v>191.50829999999999</v>
      </c>
      <c r="AE126" s="15">
        <v>624.78219999999999</v>
      </c>
      <c r="AF126" s="15">
        <v>136.98570000000001</v>
      </c>
      <c r="AG126" s="15">
        <v>458.91300000000001</v>
      </c>
      <c r="AH126" s="15">
        <v>5716.1998999999996</v>
      </c>
      <c r="AI126" s="15">
        <v>9708.4657000000007</v>
      </c>
      <c r="AJ126" s="15">
        <v>9001.3154000000468</v>
      </c>
      <c r="AK126" s="15">
        <v>60324.443249999997</v>
      </c>
      <c r="AL126" s="15">
        <v>67031.328799999988</v>
      </c>
      <c r="AM126" s="15">
        <v>40759.795750000034</v>
      </c>
      <c r="AN126" s="15">
        <v>120341.54459999999</v>
      </c>
      <c r="AO126" s="15">
        <v>119907.66180000002</v>
      </c>
      <c r="AP126" s="15">
        <v>117548.84188694999</v>
      </c>
      <c r="AQ126" s="15">
        <v>136998.42070000005</v>
      </c>
      <c r="AR126" s="15">
        <v>132640.5745125</v>
      </c>
      <c r="AS126" s="15">
        <v>141906.20527727998</v>
      </c>
      <c r="AT126" s="15">
        <v>138167.49811478</v>
      </c>
      <c r="AU126" s="15">
        <v>152517.70419322001</v>
      </c>
      <c r="AV126" s="15">
        <v>147386.6003362</v>
      </c>
      <c r="AW126" s="15">
        <v>169002.54260590003</v>
      </c>
      <c r="AX126" s="15">
        <v>166289.27767969001</v>
      </c>
      <c r="AY126" s="15">
        <v>201513.34796520998</v>
      </c>
      <c r="AZ126" s="15">
        <v>149616.92728409998</v>
      </c>
      <c r="BA126" s="15">
        <v>169021.19066773998</v>
      </c>
      <c r="BB126" s="15">
        <v>198822.46515013999</v>
      </c>
      <c r="BC126" s="15">
        <v>169002.54260590003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3152.2476999999999</v>
      </c>
      <c r="BJ126" s="15">
        <v>94682.881179689997</v>
      </c>
      <c r="BK126" s="15">
        <v>3339.54</v>
      </c>
      <c r="BL126" s="15">
        <v>42252.711000000003</v>
      </c>
      <c r="BM126" s="15">
        <v>2472.7959000000001</v>
      </c>
      <c r="BN126" s="15">
        <v>0</v>
      </c>
      <c r="BO126" s="15">
        <v>65.05</v>
      </c>
      <c r="BP126" s="15">
        <v>12119.0936</v>
      </c>
      <c r="BQ126" s="30">
        <v>8204.9583000000348</v>
      </c>
      <c r="BR126" s="16">
        <v>1.2668941225306494</v>
      </c>
      <c r="BS126" s="16">
        <v>1.3184587792537534</v>
      </c>
      <c r="BT126" s="16">
        <v>1.297573980751684</v>
      </c>
      <c r="BU126" s="16">
        <v>1.1404769715713956</v>
      </c>
      <c r="BV126" s="16">
        <v>1.2186179297441693</v>
      </c>
      <c r="BW126" s="16">
        <v>1.0795757466218991</v>
      </c>
      <c r="BX126" s="16">
        <v>1.1895133929288317</v>
      </c>
      <c r="BY126" s="16">
        <v>1.0498416228576295</v>
      </c>
      <c r="BZ126" s="16">
        <v>1.176582852108895</v>
      </c>
      <c r="CA126" s="16">
        <v>1.0626482843443941</v>
      </c>
      <c r="CB126" s="16">
        <v>1.0109826090160055</v>
      </c>
      <c r="CC126" s="16">
        <v>0.92501194111062646</v>
      </c>
      <c r="CD126" s="16">
        <v>1.0426676916294246</v>
      </c>
      <c r="CE126" s="16">
        <v>1.0224633927098745</v>
      </c>
      <c r="CF126" s="16">
        <f t="shared" si="2"/>
        <v>0.84556042760584205</v>
      </c>
      <c r="CG126" s="16">
        <f t="shared" si="2"/>
        <v>1.0626482843443941</v>
      </c>
      <c r="CH126" s="30"/>
      <c r="CI126" s="30"/>
      <c r="CJ126" s="30">
        <v>21000</v>
      </c>
      <c r="CK126" s="30">
        <v>9000</v>
      </c>
      <c r="CL126" s="30">
        <v>3000</v>
      </c>
      <c r="CM126" s="30"/>
      <c r="CN126" s="30">
        <v>500</v>
      </c>
      <c r="CO126" s="30">
        <v>5000</v>
      </c>
      <c r="CP126" s="30"/>
      <c r="CQ126" s="30">
        <v>3000</v>
      </c>
      <c r="CR126" s="30">
        <v>8300</v>
      </c>
      <c r="CS126" s="30">
        <v>42500</v>
      </c>
      <c r="CT126" s="30"/>
      <c r="CU126" s="30"/>
      <c r="CV126" s="30">
        <v>26000</v>
      </c>
      <c r="CW126" s="30">
        <v>3000</v>
      </c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>
        <v>8031.7824000000001</v>
      </c>
      <c r="DO126" s="35">
        <v>28951.405707360002</v>
      </c>
      <c r="DP126" s="35">
        <v>6105</v>
      </c>
      <c r="DQ126" s="35">
        <v>0</v>
      </c>
      <c r="DR126" s="35">
        <v>342</v>
      </c>
    </row>
    <row r="127" spans="1:122" ht="25.5">
      <c r="A127" s="14">
        <f t="shared" si="3"/>
        <v>123</v>
      </c>
      <c r="B127" s="14" t="s">
        <v>210</v>
      </c>
      <c r="C127" s="14" t="s">
        <v>86</v>
      </c>
      <c r="D127" s="17" t="s">
        <v>10</v>
      </c>
      <c r="E127" s="14" t="s">
        <v>236</v>
      </c>
      <c r="F127" s="15">
        <v>0</v>
      </c>
      <c r="G127" s="15">
        <v>0</v>
      </c>
      <c r="H127" s="15">
        <v>0</v>
      </c>
      <c r="I127" s="15"/>
      <c r="J127" s="15"/>
      <c r="K127" s="15"/>
      <c r="L127" s="15"/>
      <c r="M127" s="15"/>
      <c r="N127" s="15"/>
      <c r="O127" s="15">
        <v>0</v>
      </c>
      <c r="P127" s="15">
        <v>5.5966999999999993</v>
      </c>
      <c r="Q127" s="15">
        <v>6.2473000000000001</v>
      </c>
      <c r="R127" s="15">
        <v>5.4749999999999996</v>
      </c>
      <c r="S127" s="15">
        <v>12.966600000000001</v>
      </c>
      <c r="T127" s="15">
        <v>5.0999999999999996</v>
      </c>
      <c r="U127" s="15">
        <v>0</v>
      </c>
      <c r="V127" s="15">
        <v>0</v>
      </c>
      <c r="W127" s="15">
        <v>4.8316999999999997</v>
      </c>
      <c r="X127" s="15">
        <v>0</v>
      </c>
      <c r="Y127" s="15">
        <v>0</v>
      </c>
      <c r="Z127" s="15">
        <v>0</v>
      </c>
      <c r="AA127" s="15">
        <v>0.75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1.499999999999968E-2</v>
      </c>
      <c r="AK127" s="15">
        <v>4.8316999999999997</v>
      </c>
      <c r="AL127" s="15">
        <v>0</v>
      </c>
      <c r="AM127" s="15">
        <v>0.76499999999999968</v>
      </c>
      <c r="AN127" s="15">
        <v>40.249000000000002</v>
      </c>
      <c r="AO127" s="15">
        <v>29.34</v>
      </c>
      <c r="AP127" s="15">
        <v>37.28</v>
      </c>
      <c r="AQ127" s="15"/>
      <c r="AR127" s="15"/>
      <c r="AS127" s="15"/>
      <c r="AT127" s="15"/>
      <c r="AU127" s="15"/>
      <c r="AV127" s="15"/>
      <c r="AW127" s="15">
        <v>0</v>
      </c>
      <c r="AX127" s="15">
        <v>59.601999999999997</v>
      </c>
      <c r="AY127" s="15">
        <v>54.957000000000001</v>
      </c>
      <c r="AZ127" s="15">
        <v>4.97</v>
      </c>
      <c r="BA127" s="15">
        <v>41.210500000000003</v>
      </c>
      <c r="BB127" s="15">
        <v>17.23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59.601999999999997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30">
        <v>0</v>
      </c>
      <c r="BR127" s="16">
        <v>0</v>
      </c>
      <c r="BS127" s="16">
        <v>0</v>
      </c>
      <c r="BT127" s="16"/>
      <c r="BU127" s="16"/>
      <c r="BV127" s="16"/>
      <c r="BW127" s="16"/>
      <c r="BX127" s="16"/>
      <c r="BY127" s="16"/>
      <c r="BZ127" s="16"/>
      <c r="CA127" s="16"/>
      <c r="CB127" s="16">
        <v>9.3901211368746004E-2</v>
      </c>
      <c r="CC127" s="16">
        <v>0.11367614680568444</v>
      </c>
      <c r="CD127" s="16">
        <v>1.1016096579476862</v>
      </c>
      <c r="CE127" s="16">
        <v>0.3146431127989226</v>
      </c>
      <c r="CF127" s="16">
        <f t="shared" si="2"/>
        <v>0.29599535693557744</v>
      </c>
      <c r="CG127" s="16" t="e">
        <f t="shared" si="2"/>
        <v>#DIV/0!</v>
      </c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>
        <v>0</v>
      </c>
      <c r="DO127" s="35">
        <v>0</v>
      </c>
      <c r="DP127" s="35">
        <v>0</v>
      </c>
      <c r="DQ127" s="35">
        <v>0</v>
      </c>
      <c r="DR127" s="35">
        <v>0</v>
      </c>
    </row>
    <row r="128" spans="1:122" ht="25.5">
      <c r="A128" s="14">
        <f t="shared" si="3"/>
        <v>124</v>
      </c>
      <c r="B128" s="14" t="s">
        <v>211</v>
      </c>
      <c r="C128" s="14" t="s">
        <v>87</v>
      </c>
      <c r="D128" s="17" t="s">
        <v>88</v>
      </c>
      <c r="E128" s="14" t="s">
        <v>217</v>
      </c>
      <c r="F128" s="15">
        <v>6486.9313499999998</v>
      </c>
      <c r="G128" s="15">
        <v>3488.8210429999999</v>
      </c>
      <c r="H128" s="15">
        <v>3243.8912493399998</v>
      </c>
      <c r="I128" s="15">
        <v>3536.1962999999996</v>
      </c>
      <c r="J128" s="15">
        <v>5066.1345461600004</v>
      </c>
      <c r="K128" s="15">
        <v>6255.796425569999</v>
      </c>
      <c r="L128" s="15">
        <v>4599.0806632900003</v>
      </c>
      <c r="M128" s="15">
        <v>4587.4340000000002</v>
      </c>
      <c r="N128" s="15">
        <v>6277.0836500000005</v>
      </c>
      <c r="O128" s="15">
        <v>8550.2572</v>
      </c>
      <c r="P128" s="15">
        <v>9898.2988089399987</v>
      </c>
      <c r="Q128" s="15">
        <v>6843.3075858100001</v>
      </c>
      <c r="R128" s="15">
        <v>6901.2279117299995</v>
      </c>
      <c r="S128" s="15">
        <v>6092.0397627499997</v>
      </c>
      <c r="T128" s="15">
        <v>8364.2386720199993</v>
      </c>
      <c r="U128" s="15">
        <v>8550.2572</v>
      </c>
      <c r="V128" s="15">
        <v>0</v>
      </c>
      <c r="W128" s="15">
        <v>0</v>
      </c>
      <c r="X128" s="15">
        <v>0</v>
      </c>
      <c r="Y128" s="15">
        <v>6183.2157999999999</v>
      </c>
      <c r="Z128" s="15">
        <v>11.792299999999999</v>
      </c>
      <c r="AA128" s="15">
        <v>26.27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1377.99966565</v>
      </c>
      <c r="AI128" s="15">
        <v>925.17724999999996</v>
      </c>
      <c r="AJ128" s="15">
        <v>1373.8437932899978</v>
      </c>
      <c r="AK128" s="15">
        <v>11.792299999999999</v>
      </c>
      <c r="AL128" s="15">
        <v>0</v>
      </c>
      <c r="AM128" s="15">
        <v>9886.5065089399995</v>
      </c>
      <c r="AN128" s="15">
        <v>8260.8583500000004</v>
      </c>
      <c r="AO128" s="15">
        <v>6271.8343599999998</v>
      </c>
      <c r="AP128" s="15">
        <v>6895.4495493399991</v>
      </c>
      <c r="AQ128" s="15">
        <v>8038.8203000000003</v>
      </c>
      <c r="AR128" s="15">
        <v>8425.7386000000006</v>
      </c>
      <c r="AS128" s="15">
        <v>10378.86325</v>
      </c>
      <c r="AT128" s="15">
        <v>8485.5457999999999</v>
      </c>
      <c r="AU128" s="15">
        <v>6993.7820160000001</v>
      </c>
      <c r="AV128" s="15">
        <v>8890.7831499999993</v>
      </c>
      <c r="AW128" s="15">
        <v>12418.518199999999</v>
      </c>
      <c r="AX128" s="15">
        <v>9792.1863499999999</v>
      </c>
      <c r="AY128" s="15">
        <v>9108.6845499999999</v>
      </c>
      <c r="AZ128" s="15">
        <v>8812.1031000000003</v>
      </c>
      <c r="BA128" s="15">
        <v>11099.53875</v>
      </c>
      <c r="BB128" s="15">
        <v>17308.16735</v>
      </c>
      <c r="BC128" s="15">
        <v>12418.518199999999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3.9140000000000001</v>
      </c>
      <c r="BJ128" s="15">
        <v>1597.2990000000002</v>
      </c>
      <c r="BK128" s="15">
        <v>1012.676</v>
      </c>
      <c r="BL128" s="15">
        <v>6916.84735</v>
      </c>
      <c r="BM128" s="15">
        <v>0</v>
      </c>
      <c r="BN128" s="15">
        <v>0</v>
      </c>
      <c r="BO128" s="15">
        <v>0</v>
      </c>
      <c r="BP128" s="15">
        <v>261.45</v>
      </c>
      <c r="BQ128" s="30">
        <v>-9.2237328885858005E-13</v>
      </c>
      <c r="BR128" s="16">
        <v>0.78526117688484509</v>
      </c>
      <c r="BS128" s="16">
        <v>0.55626804579705136</v>
      </c>
      <c r="BT128" s="16">
        <v>0.47043941459197397</v>
      </c>
      <c r="BU128" s="16">
        <v>0.43988995499750122</v>
      </c>
      <c r="BV128" s="16">
        <v>0.60126889601820788</v>
      </c>
      <c r="BW128" s="16">
        <v>0.60274389158851271</v>
      </c>
      <c r="BX128" s="16">
        <v>0.54198996407396682</v>
      </c>
      <c r="BY128" s="16">
        <v>0.6559303663604491</v>
      </c>
      <c r="BZ128" s="16">
        <v>0.70602145436423125</v>
      </c>
      <c r="CA128" s="16">
        <v>0.68850864992894245</v>
      </c>
      <c r="CB128" s="16">
        <v>1.0108364419494527</v>
      </c>
      <c r="CC128" s="16">
        <v>0.75129482728765706</v>
      </c>
      <c r="CD128" s="16">
        <v>0.7831533327986141</v>
      </c>
      <c r="CE128" s="16">
        <v>0.54885521821796424</v>
      </c>
      <c r="CF128" s="16">
        <f t="shared" si="2"/>
        <v>0.483253859457281</v>
      </c>
      <c r="CG128" s="16">
        <f t="shared" si="2"/>
        <v>0.68850864992894245</v>
      </c>
      <c r="CH128" s="30"/>
      <c r="CI128" s="30"/>
      <c r="CJ128" s="30"/>
      <c r="CK128" s="30">
        <v>2000</v>
      </c>
      <c r="CL128" s="30">
        <v>2000</v>
      </c>
      <c r="CM128" s="30">
        <v>1500</v>
      </c>
      <c r="CN128" s="30"/>
      <c r="CO128" s="30">
        <v>2000</v>
      </c>
      <c r="CP128" s="30"/>
      <c r="CQ128" s="30">
        <v>2000</v>
      </c>
      <c r="CR128" s="30">
        <v>2000</v>
      </c>
      <c r="CS128" s="30"/>
      <c r="CT128" s="30"/>
      <c r="CU128" s="30"/>
      <c r="CV128" s="30">
        <v>4000</v>
      </c>
      <c r="CW128" s="30">
        <v>2000</v>
      </c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>
        <v>0</v>
      </c>
      <c r="DO128" s="35">
        <v>767.09</v>
      </c>
      <c r="DP128" s="35">
        <v>2211.13535</v>
      </c>
      <c r="DQ128" s="35">
        <v>0</v>
      </c>
      <c r="DR128" s="35">
        <v>0</v>
      </c>
    </row>
    <row r="129" spans="1:122" ht="25.5">
      <c r="A129" s="14">
        <f t="shared" si="3"/>
        <v>125</v>
      </c>
      <c r="B129" s="20" t="s">
        <v>212</v>
      </c>
      <c r="C129" s="20" t="s">
        <v>87</v>
      </c>
      <c r="D129" s="21" t="s">
        <v>89</v>
      </c>
      <c r="E129" s="20" t="s">
        <v>236</v>
      </c>
      <c r="F129" s="15">
        <v>11475.49105122</v>
      </c>
      <c r="G129" s="15">
        <v>6034.1537614199988</v>
      </c>
      <c r="H129" s="15">
        <v>9908.8437596500007</v>
      </c>
      <c r="I129" s="15">
        <v>7666.7383878999999</v>
      </c>
      <c r="J129" s="15">
        <v>11583.67465227</v>
      </c>
      <c r="K129" s="15">
        <v>5906.9347827900001</v>
      </c>
      <c r="L129" s="15">
        <v>9664.4755607599982</v>
      </c>
      <c r="M129" s="15">
        <v>8540.7560694799995</v>
      </c>
      <c r="N129" s="15">
        <v>10571.50272054</v>
      </c>
      <c r="O129" s="15">
        <v>11875.357624110002</v>
      </c>
      <c r="P129" s="15">
        <v>8209.8986434699982</v>
      </c>
      <c r="Q129" s="15">
        <v>10610.14234296</v>
      </c>
      <c r="R129" s="15">
        <v>12898.672556250001</v>
      </c>
      <c r="S129" s="15">
        <v>11000.61048456</v>
      </c>
      <c r="T129" s="15">
        <v>14931.244215060002</v>
      </c>
      <c r="U129" s="15">
        <v>11875.357624110002</v>
      </c>
      <c r="V129" s="15">
        <v>3.0750000000000002</v>
      </c>
      <c r="W129" s="15">
        <v>2.5</v>
      </c>
      <c r="X129" s="15">
        <v>0</v>
      </c>
      <c r="Y129" s="15">
        <v>2575.9294500000001</v>
      </c>
      <c r="Z129" s="15">
        <v>0</v>
      </c>
      <c r="AA129" s="15">
        <v>1.7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2271.4643563300001</v>
      </c>
      <c r="AI129" s="15">
        <v>1130.4138499999999</v>
      </c>
      <c r="AJ129" s="15">
        <v>2224.815987139998</v>
      </c>
      <c r="AK129" s="15">
        <v>5.5750000000000002</v>
      </c>
      <c r="AL129" s="15">
        <v>0</v>
      </c>
      <c r="AM129" s="15">
        <v>8204.3236434699975</v>
      </c>
      <c r="AN129" s="15">
        <v>13552.98905</v>
      </c>
      <c r="AO129" s="15">
        <v>6679.6721800000005</v>
      </c>
      <c r="AP129" s="15">
        <v>11443.507000000001</v>
      </c>
      <c r="AQ129" s="15">
        <v>12747.2232</v>
      </c>
      <c r="AR129" s="15">
        <v>12188.28125</v>
      </c>
      <c r="AS129" s="15">
        <v>9898.0859999999993</v>
      </c>
      <c r="AT129" s="15">
        <v>13656.67995</v>
      </c>
      <c r="AU129" s="15">
        <v>11105.6589</v>
      </c>
      <c r="AV129" s="15">
        <v>12688.058300000001</v>
      </c>
      <c r="AW129" s="15">
        <v>14477.15625</v>
      </c>
      <c r="AX129" s="15">
        <v>14758.251049999999</v>
      </c>
      <c r="AY129" s="15">
        <v>16911.88625</v>
      </c>
      <c r="AZ129" s="15">
        <v>14582.55898</v>
      </c>
      <c r="BA129" s="15">
        <v>12699.7947</v>
      </c>
      <c r="BB129" s="15">
        <v>19539.613512</v>
      </c>
      <c r="BC129" s="15">
        <v>14477.15625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1467.65625</v>
      </c>
      <c r="BK129" s="15">
        <v>1457.702</v>
      </c>
      <c r="BL129" s="15">
        <v>8611.5717999999997</v>
      </c>
      <c r="BM129" s="15">
        <v>0</v>
      </c>
      <c r="BN129" s="15">
        <v>0</v>
      </c>
      <c r="BO129" s="15">
        <v>0</v>
      </c>
      <c r="BP129" s="15">
        <v>3221.3209999999999</v>
      </c>
      <c r="BQ129" s="30">
        <v>-6.8212102632969618E-13</v>
      </c>
      <c r="BR129" s="16">
        <v>0.84671292870409276</v>
      </c>
      <c r="BS129" s="16">
        <v>0.90336076364454132</v>
      </c>
      <c r="BT129" s="16">
        <v>0.86589222688901224</v>
      </c>
      <c r="BU129" s="16">
        <v>0.60144380212154747</v>
      </c>
      <c r="BV129" s="16">
        <v>0.95039443336360485</v>
      </c>
      <c r="BW129" s="16">
        <v>0.59677545565779089</v>
      </c>
      <c r="BX129" s="16">
        <v>0.70767387067308396</v>
      </c>
      <c r="BY129" s="16">
        <v>0.76904541606982002</v>
      </c>
      <c r="BZ129" s="16">
        <v>0.83318522587021848</v>
      </c>
      <c r="CA129" s="16">
        <v>0.82028247944826882</v>
      </c>
      <c r="CB129" s="16">
        <v>0.55629211182648897</v>
      </c>
      <c r="CC129" s="16">
        <v>0.62737782090746974</v>
      </c>
      <c r="CD129" s="16">
        <v>0.88452737094638523</v>
      </c>
      <c r="CE129" s="16">
        <v>0.86620380442527944</v>
      </c>
      <c r="CF129" s="16">
        <f t="shared" si="2"/>
        <v>0.76415248468912511</v>
      </c>
      <c r="CG129" s="16">
        <f t="shared" si="2"/>
        <v>0.82028247944826882</v>
      </c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>
        <v>0</v>
      </c>
      <c r="DO129" s="35">
        <v>316.02999999999997</v>
      </c>
      <c r="DP129" s="35">
        <v>948.45185000000004</v>
      </c>
      <c r="DQ129" s="35">
        <v>0</v>
      </c>
      <c r="DR129" s="35">
        <v>0</v>
      </c>
    </row>
    <row r="130" spans="1:122" ht="25.5">
      <c r="A130" s="14">
        <f t="shared" si="3"/>
        <v>126</v>
      </c>
      <c r="B130" s="14" t="s">
        <v>213</v>
      </c>
      <c r="C130" s="14" t="s">
        <v>90</v>
      </c>
      <c r="D130" s="17" t="s">
        <v>91</v>
      </c>
      <c r="E130" s="14" t="s">
        <v>225</v>
      </c>
      <c r="F130" s="15">
        <v>0</v>
      </c>
      <c r="G130" s="15">
        <v>182.83500000000001</v>
      </c>
      <c r="H130" s="15">
        <v>153.94630000000001</v>
      </c>
      <c r="I130" s="15">
        <v>78.162499999999994</v>
      </c>
      <c r="J130" s="15">
        <v>87.757900000000006</v>
      </c>
      <c r="K130" s="15">
        <v>216.069772</v>
      </c>
      <c r="L130" s="15">
        <v>373.21159000000006</v>
      </c>
      <c r="M130" s="15">
        <v>412.99930000000001</v>
      </c>
      <c r="N130" s="15">
        <v>358.22316000000001</v>
      </c>
      <c r="O130" s="15">
        <v>445.37113999999997</v>
      </c>
      <c r="P130" s="15">
        <v>438.77163000000002</v>
      </c>
      <c r="Q130" s="15">
        <v>607.73445415999993</v>
      </c>
      <c r="R130" s="15">
        <v>1187.93895</v>
      </c>
      <c r="S130" s="15">
        <v>311.297191</v>
      </c>
      <c r="T130" s="15">
        <v>569.90756509999994</v>
      </c>
      <c r="U130" s="15">
        <v>445.37113999999997</v>
      </c>
      <c r="V130" s="15">
        <v>0</v>
      </c>
      <c r="W130" s="15">
        <v>10</v>
      </c>
      <c r="X130" s="15">
        <v>0</v>
      </c>
      <c r="Y130" s="15">
        <v>400.327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28.444630000000018</v>
      </c>
      <c r="AK130" s="15">
        <v>10</v>
      </c>
      <c r="AL130" s="15">
        <v>0</v>
      </c>
      <c r="AM130" s="15">
        <v>428.77163000000002</v>
      </c>
      <c r="AN130" s="15">
        <v>0</v>
      </c>
      <c r="AO130" s="15">
        <v>58.861900000000006</v>
      </c>
      <c r="AP130" s="15">
        <v>56.983799999999995</v>
      </c>
      <c r="AQ130" s="15">
        <v>73.202699999999993</v>
      </c>
      <c r="AR130" s="15">
        <v>180.96950000000001</v>
      </c>
      <c r="AS130" s="15">
        <v>300.47789999999998</v>
      </c>
      <c r="AT130" s="15">
        <v>345.92649999999998</v>
      </c>
      <c r="AU130" s="15">
        <v>283.82979999999998</v>
      </c>
      <c r="AV130" s="15">
        <v>3300.2254383499999</v>
      </c>
      <c r="AW130" s="15">
        <v>17053.650554279997</v>
      </c>
      <c r="AX130" s="15">
        <v>32702.963548290001</v>
      </c>
      <c r="AY130" s="15">
        <v>64106.574250790007</v>
      </c>
      <c r="AZ130" s="15">
        <v>58416.140358290009</v>
      </c>
      <c r="BA130" s="15">
        <v>79724.423380000007</v>
      </c>
      <c r="BB130" s="15">
        <v>95324.139479999983</v>
      </c>
      <c r="BC130" s="15">
        <v>17053.650554279997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32561.93234829</v>
      </c>
      <c r="BK130" s="15">
        <v>0</v>
      </c>
      <c r="BL130" s="15">
        <v>96.151200000000003</v>
      </c>
      <c r="BM130" s="15">
        <v>0</v>
      </c>
      <c r="BN130" s="15">
        <v>0</v>
      </c>
      <c r="BO130" s="15">
        <v>0</v>
      </c>
      <c r="BP130" s="15">
        <v>44.879999999999995</v>
      </c>
      <c r="BQ130" s="15">
        <v>0</v>
      </c>
      <c r="BR130" s="16">
        <v>0</v>
      </c>
      <c r="BS130" s="16">
        <v>3.1061688460617138</v>
      </c>
      <c r="BT130" s="16">
        <v>2.7015800982033493</v>
      </c>
      <c r="BU130" s="16">
        <v>1.0677543314659159</v>
      </c>
      <c r="BV130" s="16">
        <v>0.48493199130240178</v>
      </c>
      <c r="BW130" s="16">
        <v>0.71908706763459151</v>
      </c>
      <c r="BX130" s="16">
        <v>1.0788753969412579</v>
      </c>
      <c r="BY130" s="16">
        <v>1.4550949195609484</v>
      </c>
      <c r="BZ130" s="16">
        <v>0.10854505750949528</v>
      </c>
      <c r="CA130" s="16">
        <v>2.6115882847630185E-2</v>
      </c>
      <c r="CB130" s="16">
        <v>1.3416876710641195E-2</v>
      </c>
      <c r="CC130" s="16">
        <v>9.4800644280646548E-3</v>
      </c>
      <c r="CD130" s="16">
        <v>2.0335800049676101E-2</v>
      </c>
      <c r="CE130" s="16">
        <v>3.9046653183833911E-3</v>
      </c>
      <c r="CF130" s="16">
        <f t="shared" si="2"/>
        <v>5.9786279551946294E-3</v>
      </c>
      <c r="CG130" s="16">
        <f t="shared" si="2"/>
        <v>2.6115882847630185E-2</v>
      </c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>
        <v>0</v>
      </c>
      <c r="DO130" s="35">
        <v>33448.988268000001</v>
      </c>
      <c r="DP130" s="35">
        <v>410.53323499999999</v>
      </c>
      <c r="DQ130" s="35">
        <v>0</v>
      </c>
      <c r="DR130" s="35">
        <v>0</v>
      </c>
    </row>
    <row r="131" spans="1:122" s="9" customFormat="1" ht="25.5">
      <c r="A131" s="14">
        <f t="shared" si="3"/>
        <v>127</v>
      </c>
      <c r="B131" s="14" t="s">
        <v>214</v>
      </c>
      <c r="C131" s="14" t="s">
        <v>92</v>
      </c>
      <c r="D131" s="17" t="s">
        <v>40</v>
      </c>
      <c r="E131" s="14" t="s">
        <v>217</v>
      </c>
      <c r="F131" s="15">
        <v>204.749</v>
      </c>
      <c r="G131" s="15">
        <v>185.93370000000002</v>
      </c>
      <c r="H131" s="15">
        <v>594.69655000000012</v>
      </c>
      <c r="I131" s="15">
        <v>530.2998</v>
      </c>
      <c r="J131" s="15">
        <v>815.43489999999997</v>
      </c>
      <c r="K131" s="15">
        <v>1021.11115</v>
      </c>
      <c r="L131" s="15">
        <v>1149.1816000000001</v>
      </c>
      <c r="M131" s="15">
        <v>1179.1351802300001</v>
      </c>
      <c r="N131" s="15">
        <v>1520.46545896</v>
      </c>
      <c r="O131" s="15">
        <v>1790.1033</v>
      </c>
      <c r="P131" s="15">
        <v>1843.0384000000001</v>
      </c>
      <c r="Q131" s="15">
        <v>1427.2275</v>
      </c>
      <c r="R131" s="15">
        <v>1372.8399400000001</v>
      </c>
      <c r="S131" s="15">
        <v>1695.7436499999999</v>
      </c>
      <c r="T131" s="15">
        <v>1792.8967235</v>
      </c>
      <c r="U131" s="15">
        <v>1790.1033</v>
      </c>
      <c r="V131" s="15">
        <v>0</v>
      </c>
      <c r="W131" s="15">
        <v>0</v>
      </c>
      <c r="X131" s="15">
        <v>0</v>
      </c>
      <c r="Y131" s="15">
        <v>367.38380000000001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146.78285</v>
      </c>
      <c r="AI131" s="15">
        <v>29.861999999999998</v>
      </c>
      <c r="AJ131" s="15">
        <v>1299.0097499999999</v>
      </c>
      <c r="AK131" s="15">
        <v>0</v>
      </c>
      <c r="AL131" s="15">
        <v>0</v>
      </c>
      <c r="AM131" s="15">
        <v>1843.0384000000001</v>
      </c>
      <c r="AN131" s="15">
        <v>553.66652500000009</v>
      </c>
      <c r="AO131" s="15">
        <v>413.03309999999999</v>
      </c>
      <c r="AP131" s="15">
        <v>2562.27565</v>
      </c>
      <c r="AQ131" s="15">
        <v>1365.7094999999999</v>
      </c>
      <c r="AR131" s="15">
        <v>910.54575</v>
      </c>
      <c r="AS131" s="15">
        <v>588.52459999999996</v>
      </c>
      <c r="AT131" s="15">
        <v>775.98519999999996</v>
      </c>
      <c r="AU131" s="15">
        <v>791.49429999999995</v>
      </c>
      <c r="AV131" s="15">
        <v>1339.5756000000001</v>
      </c>
      <c r="AW131" s="15">
        <v>1131.3092876800001</v>
      </c>
      <c r="AX131" s="15">
        <v>1294.0819999999999</v>
      </c>
      <c r="AY131" s="15">
        <v>1711.8588999999999</v>
      </c>
      <c r="AZ131" s="15">
        <v>935.82595000000003</v>
      </c>
      <c r="BA131" s="15">
        <v>1112.7748999999999</v>
      </c>
      <c r="BB131" s="15">
        <v>1550.4095500000001</v>
      </c>
      <c r="BC131" s="15">
        <v>1131.3092876800001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340.97669999999999</v>
      </c>
      <c r="BK131" s="15">
        <v>13.944000000000001</v>
      </c>
      <c r="BL131" s="15">
        <v>939.16129999999998</v>
      </c>
      <c r="BM131" s="15">
        <v>0</v>
      </c>
      <c r="BN131" s="15">
        <v>0</v>
      </c>
      <c r="BO131" s="15">
        <v>0</v>
      </c>
      <c r="BP131" s="15">
        <v>0</v>
      </c>
      <c r="BQ131" s="30">
        <v>-1.1368683772161603E-13</v>
      </c>
      <c r="BR131" s="16">
        <v>0.36980563345418066</v>
      </c>
      <c r="BS131" s="16">
        <v>0.4501665847119759</v>
      </c>
      <c r="BT131" s="16">
        <v>0.23209702281641717</v>
      </c>
      <c r="BU131" s="16">
        <v>0.38829619329733012</v>
      </c>
      <c r="BV131" s="16">
        <v>0.89554522658526492</v>
      </c>
      <c r="BW131" s="16">
        <v>1.7350356297765632</v>
      </c>
      <c r="BX131" s="16">
        <v>1.4809323682977462</v>
      </c>
      <c r="BY131" s="16">
        <v>1.4897582714493334</v>
      </c>
      <c r="BZ131" s="16">
        <v>1.1350351999245132</v>
      </c>
      <c r="CA131" s="16">
        <v>1.5823288286362456</v>
      </c>
      <c r="CB131" s="16">
        <v>1.4242052667450751</v>
      </c>
      <c r="CC131" s="16">
        <v>0.8337296374134574</v>
      </c>
      <c r="CD131" s="16">
        <v>1.466982124186661</v>
      </c>
      <c r="CE131" s="16">
        <v>1.5238874007672172</v>
      </c>
      <c r="CF131" s="16">
        <f t="shared" si="2"/>
        <v>1.1564020122941063</v>
      </c>
      <c r="CG131" s="16">
        <f t="shared" si="2"/>
        <v>1.5823288286362456</v>
      </c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>
        <v>0</v>
      </c>
      <c r="DO131" s="35">
        <v>0</v>
      </c>
      <c r="DP131" s="35">
        <v>688.07245</v>
      </c>
      <c r="DQ131" s="35">
        <v>0</v>
      </c>
      <c r="DR131" s="35">
        <v>0</v>
      </c>
    </row>
    <row r="132" spans="1:122" s="9" customFormat="1" ht="25.5">
      <c r="A132" s="14">
        <f t="shared" si="3"/>
        <v>128</v>
      </c>
      <c r="B132" s="14" t="s">
        <v>215</v>
      </c>
      <c r="C132" s="14" t="s">
        <v>92</v>
      </c>
      <c r="D132" s="17" t="s">
        <v>33</v>
      </c>
      <c r="E132" s="14" t="s">
        <v>228</v>
      </c>
      <c r="F132" s="15">
        <v>528.29499999999996</v>
      </c>
      <c r="G132" s="15">
        <v>120.42479999999999</v>
      </c>
      <c r="H132" s="15">
        <v>229.54310100000001</v>
      </c>
      <c r="I132" s="15">
        <v>714.15110000000004</v>
      </c>
      <c r="J132" s="15">
        <v>1661.4134999999999</v>
      </c>
      <c r="K132" s="15">
        <v>1040.2063262199999</v>
      </c>
      <c r="L132" s="15">
        <v>1256.7910999999999</v>
      </c>
      <c r="M132" s="15">
        <v>1122.7881</v>
      </c>
      <c r="N132" s="15">
        <v>1968.2248840000002</v>
      </c>
      <c r="O132" s="15">
        <v>2718.4649100000001</v>
      </c>
      <c r="P132" s="15">
        <v>2205.4006549999999</v>
      </c>
      <c r="Q132" s="15">
        <v>1875.06672</v>
      </c>
      <c r="R132" s="15">
        <v>1568.2039</v>
      </c>
      <c r="S132" s="15">
        <v>2779.2176400399999</v>
      </c>
      <c r="T132" s="15">
        <v>2392.84470035</v>
      </c>
      <c r="U132" s="15">
        <v>2718.4649100000001</v>
      </c>
      <c r="V132" s="15">
        <v>0</v>
      </c>
      <c r="W132" s="15">
        <v>0</v>
      </c>
      <c r="X132" s="15">
        <v>0</v>
      </c>
      <c r="Y132" s="15">
        <v>548.03155000000004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97.039519999999996</v>
      </c>
      <c r="AI132" s="15">
        <v>0</v>
      </c>
      <c r="AJ132" s="15">
        <v>1560.329585</v>
      </c>
      <c r="AK132" s="15">
        <v>0</v>
      </c>
      <c r="AL132" s="15">
        <v>0</v>
      </c>
      <c r="AM132" s="15">
        <v>2205.4006549999999</v>
      </c>
      <c r="AN132" s="15">
        <v>675.09285</v>
      </c>
      <c r="AO132" s="15">
        <v>530.09735000000001</v>
      </c>
      <c r="AP132" s="15">
        <v>841.18404999999996</v>
      </c>
      <c r="AQ132" s="15">
        <v>819.15730000000008</v>
      </c>
      <c r="AR132" s="15">
        <v>944.82074999999986</v>
      </c>
      <c r="AS132" s="15">
        <v>1537.2740450000001</v>
      </c>
      <c r="AT132" s="15">
        <v>1219.80025</v>
      </c>
      <c r="AU132" s="15">
        <v>1269.9797000000001</v>
      </c>
      <c r="AV132" s="15">
        <v>1475.4675</v>
      </c>
      <c r="AW132" s="15">
        <v>1551.00965</v>
      </c>
      <c r="AX132" s="15">
        <v>1766.1760999999999</v>
      </c>
      <c r="AY132" s="15">
        <v>1610.83995</v>
      </c>
      <c r="AZ132" s="15">
        <v>1338.6186</v>
      </c>
      <c r="BA132" s="15">
        <v>1782.0187000000001</v>
      </c>
      <c r="BB132" s="15">
        <v>1964.8557000000001</v>
      </c>
      <c r="BC132" s="15">
        <v>1551.00965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169.6327</v>
      </c>
      <c r="BK132" s="15">
        <v>0.83299999999999996</v>
      </c>
      <c r="BL132" s="15">
        <v>1595.7103999999999</v>
      </c>
      <c r="BM132" s="15">
        <v>0</v>
      </c>
      <c r="BN132" s="15">
        <v>0</v>
      </c>
      <c r="BO132" s="15">
        <v>0</v>
      </c>
      <c r="BP132" s="15">
        <v>0</v>
      </c>
      <c r="BQ132" s="30">
        <v>-2.8421709430404007E-14</v>
      </c>
      <c r="BR132" s="16">
        <v>0.78255161493711567</v>
      </c>
      <c r="BS132" s="16">
        <v>0.22717487646372878</v>
      </c>
      <c r="BT132" s="16">
        <v>0.27288094799229728</v>
      </c>
      <c r="BU132" s="16">
        <v>0.87181192183723444</v>
      </c>
      <c r="BV132" s="16">
        <v>1.7584430697568827</v>
      </c>
      <c r="BW132" s="16">
        <v>0.67665640332852939</v>
      </c>
      <c r="BX132" s="16">
        <v>1.0303253340044813</v>
      </c>
      <c r="BY132" s="16">
        <v>0.88409924977540977</v>
      </c>
      <c r="BZ132" s="16">
        <v>1.3339669521693973</v>
      </c>
      <c r="CA132" s="16">
        <v>1.7527066385434804</v>
      </c>
      <c r="CB132" s="16">
        <v>1.2486867277843925</v>
      </c>
      <c r="CC132" s="16">
        <v>1.1640304302112696</v>
      </c>
      <c r="CD132" s="16">
        <v>1.1715091214181546</v>
      </c>
      <c r="CE132" s="16">
        <v>1.559589492545729</v>
      </c>
      <c r="CF132" s="16">
        <f>+T132/BB132</f>
        <v>1.2178221028394096</v>
      </c>
      <c r="CG132" s="16">
        <f>+U132/BC132</f>
        <v>1.7527066385434804</v>
      </c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>
        <v>0</v>
      </c>
      <c r="DO132" s="35">
        <v>0</v>
      </c>
      <c r="DP132" s="35">
        <v>1109.2775999999999</v>
      </c>
      <c r="DQ132" s="35">
        <v>0</v>
      </c>
      <c r="DR132" s="35">
        <v>0</v>
      </c>
    </row>
    <row r="133" spans="1:122" ht="25.5">
      <c r="A133" s="14">
        <f t="shared" si="3"/>
        <v>129</v>
      </c>
      <c r="B133" s="14" t="s">
        <v>216</v>
      </c>
      <c r="C133" s="14" t="s">
        <v>92</v>
      </c>
      <c r="D133" s="17" t="s">
        <v>52</v>
      </c>
      <c r="E133" s="14" t="s">
        <v>236</v>
      </c>
      <c r="F133" s="15">
        <v>1659.0907000000002</v>
      </c>
      <c r="G133" s="15">
        <v>1648.6263650000001</v>
      </c>
      <c r="H133" s="15">
        <v>1391.7226699999999</v>
      </c>
      <c r="I133" s="15">
        <v>1467.636792</v>
      </c>
      <c r="J133" s="15">
        <v>621.10587500000008</v>
      </c>
      <c r="K133" s="15">
        <v>666.51536499999997</v>
      </c>
      <c r="L133" s="15">
        <v>1436.5205000000001</v>
      </c>
      <c r="M133" s="15">
        <v>891.08381697000004</v>
      </c>
      <c r="N133" s="15">
        <v>560.83719999999994</v>
      </c>
      <c r="O133" s="15">
        <v>873.28143993000003</v>
      </c>
      <c r="P133" s="15">
        <v>909.72040000000004</v>
      </c>
      <c r="Q133" s="15">
        <v>2216.6347000000001</v>
      </c>
      <c r="R133" s="15">
        <v>1672.1843000000001</v>
      </c>
      <c r="S133" s="15">
        <v>2028.3505500000001</v>
      </c>
      <c r="T133" s="15">
        <v>2893.3981715499999</v>
      </c>
      <c r="U133" s="15">
        <v>873.28143993000003</v>
      </c>
      <c r="V133" s="15">
        <v>0</v>
      </c>
      <c r="W133" s="15">
        <v>0</v>
      </c>
      <c r="X133" s="15">
        <v>0</v>
      </c>
      <c r="Y133" s="15">
        <v>233.54220000000001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156.99545000000001</v>
      </c>
      <c r="AI133" s="15">
        <v>2.8740000000000001</v>
      </c>
      <c r="AJ133" s="15">
        <v>516.30875000000003</v>
      </c>
      <c r="AK133" s="15">
        <v>0</v>
      </c>
      <c r="AL133" s="15">
        <v>0</v>
      </c>
      <c r="AM133" s="15">
        <v>909.72040000000004</v>
      </c>
      <c r="AN133" s="15">
        <v>1070.88004</v>
      </c>
      <c r="AO133" s="15">
        <v>1978.5034000000001</v>
      </c>
      <c r="AP133" s="15">
        <v>1966.1149</v>
      </c>
      <c r="AQ133" s="15">
        <v>2292.1561999999999</v>
      </c>
      <c r="AR133" s="15">
        <v>2769.4371000000001</v>
      </c>
      <c r="AS133" s="15">
        <v>1968.9459000000002</v>
      </c>
      <c r="AT133" s="15">
        <v>2707.7762499999999</v>
      </c>
      <c r="AU133" s="15">
        <v>1269.5891999999999</v>
      </c>
      <c r="AV133" s="15">
        <v>1253.2139</v>
      </c>
      <c r="AW133" s="15">
        <v>1042.8538000000001</v>
      </c>
      <c r="AX133" s="15">
        <v>1470.61555</v>
      </c>
      <c r="AY133" s="15">
        <v>2690.68705</v>
      </c>
      <c r="AZ133" s="15">
        <v>1087.0958499999999</v>
      </c>
      <c r="BA133" s="15">
        <v>1556.5754000000002</v>
      </c>
      <c r="BB133" s="15">
        <v>2826.6826000000001</v>
      </c>
      <c r="BC133" s="15">
        <v>1042.8538000000001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666.48630000000003</v>
      </c>
      <c r="BK133" s="15">
        <v>21.681000000000001</v>
      </c>
      <c r="BL133" s="15">
        <v>782.44825000000003</v>
      </c>
      <c r="BM133" s="15">
        <v>0</v>
      </c>
      <c r="BN133" s="15">
        <v>0</v>
      </c>
      <c r="BO133" s="15">
        <v>0</v>
      </c>
      <c r="BP133" s="15">
        <v>0</v>
      </c>
      <c r="BQ133" s="30">
        <v>-1.1368683772161603E-13</v>
      </c>
      <c r="BR133" s="16">
        <v>1.5492778257404072</v>
      </c>
      <c r="BS133" s="16">
        <v>0.83326941212231431</v>
      </c>
      <c r="BT133" s="16">
        <v>0.70785419000690131</v>
      </c>
      <c r="BU133" s="16">
        <v>0.64028655289722403</v>
      </c>
      <c r="BV133" s="16">
        <v>0.22427152254153021</v>
      </c>
      <c r="BW133" s="16">
        <v>0.3385138032487332</v>
      </c>
      <c r="BX133" s="16">
        <v>0.53051669243350519</v>
      </c>
      <c r="BY133" s="16">
        <v>0.70186783013749654</v>
      </c>
      <c r="BZ133" s="16">
        <v>0.44751913460264042</v>
      </c>
      <c r="CA133" s="16">
        <v>0.83739584583188931</v>
      </c>
      <c r="CB133" s="16">
        <v>0.61859838215364993</v>
      </c>
      <c r="CC133" s="16">
        <v>0.82381735921314225</v>
      </c>
      <c r="CD133" s="16">
        <v>1.5382123848600842</v>
      </c>
      <c r="CE133" s="16">
        <f>+S133/BA133</f>
        <v>1.3030853179357709</v>
      </c>
      <c r="CF133" s="16">
        <f>+T133/BB133</f>
        <v>1.0236020738762817</v>
      </c>
      <c r="CG133" s="16">
        <f>+U133/BC133</f>
        <v>0.83739584583188931</v>
      </c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>
        <v>0</v>
      </c>
      <c r="DO133" s="35">
        <v>0</v>
      </c>
      <c r="DP133" s="35">
        <v>1256.5904</v>
      </c>
      <c r="DQ133" s="35">
        <v>0</v>
      </c>
      <c r="DR133" s="35">
        <v>0</v>
      </c>
    </row>
    <row r="134" spans="1:122" ht="43.5" customHeight="1">
      <c r="A134" s="22"/>
      <c r="B134" s="22"/>
      <c r="C134" s="22"/>
      <c r="D134" s="23" t="s">
        <v>93</v>
      </c>
      <c r="E134" s="23"/>
      <c r="F134" s="24">
        <v>2799567.8460971201</v>
      </c>
      <c r="G134" s="24">
        <v>2383804.0510123195</v>
      </c>
      <c r="H134" s="24">
        <v>2340284.8066742304</v>
      </c>
      <c r="I134" s="24">
        <v>2735095.71394963</v>
      </c>
      <c r="J134" s="24">
        <v>2658572.4370251196</v>
      </c>
      <c r="K134" s="24">
        <v>2684223.3831236707</v>
      </c>
      <c r="L134" s="24">
        <v>2961306.5757678798</v>
      </c>
      <c r="M134" s="24">
        <v>2863930.7739508087</v>
      </c>
      <c r="N134" s="24">
        <v>3058132.8651898792</v>
      </c>
      <c r="O134" s="24">
        <v>3171854.5320131304</v>
      </c>
      <c r="P134" s="24">
        <v>2922292.3622776908</v>
      </c>
      <c r="Q134" s="24">
        <v>3331524.2765123299</v>
      </c>
      <c r="R134" s="24">
        <f t="shared" ref="R134:BB134" si="4">SUM(R4:R133)</f>
        <v>2979764.5762598603</v>
      </c>
      <c r="S134" s="24">
        <f t="shared" si="4"/>
        <v>2960784.2879457795</v>
      </c>
      <c r="T134" s="24">
        <f t="shared" si="4"/>
        <v>3159929.24516006</v>
      </c>
      <c r="U134" s="24">
        <v>3171854.5320131304</v>
      </c>
      <c r="V134" s="24">
        <f t="shared" si="4"/>
        <v>28609.350126959991</v>
      </c>
      <c r="W134" s="24">
        <f t="shared" si="4"/>
        <v>753605.15957386966</v>
      </c>
      <c r="X134" s="24">
        <f t="shared" si="4"/>
        <v>122912.77341499999</v>
      </c>
      <c r="Y134" s="24">
        <f t="shared" si="4"/>
        <v>221093.02244623005</v>
      </c>
      <c r="Z134" s="24">
        <f t="shared" si="4"/>
        <v>11303.492728000001</v>
      </c>
      <c r="AA134" s="24">
        <f t="shared" si="4"/>
        <v>141210.66746405</v>
      </c>
      <c r="AB134" s="24">
        <f t="shared" si="4"/>
        <v>6177.1694500000003</v>
      </c>
      <c r="AC134" s="24">
        <f t="shared" si="4"/>
        <v>391070.45487158</v>
      </c>
      <c r="AD134" s="24">
        <f t="shared" si="4"/>
        <v>12366.630252600004</v>
      </c>
      <c r="AE134" s="24">
        <f t="shared" si="4"/>
        <v>88797.193424219993</v>
      </c>
      <c r="AF134" s="24">
        <f t="shared" si="4"/>
        <v>70711.089098430049</v>
      </c>
      <c r="AG134" s="24">
        <f t="shared" si="4"/>
        <v>37916.021391830014</v>
      </c>
      <c r="AH134" s="24">
        <f t="shared" si="4"/>
        <v>208130.03586141998</v>
      </c>
      <c r="AI134" s="24">
        <f t="shared" si="4"/>
        <v>274625.53493193013</v>
      </c>
      <c r="AJ134" s="24">
        <f t="shared" si="4"/>
        <v>553763.76724156993</v>
      </c>
      <c r="AK134" s="24">
        <f t="shared" si="4"/>
        <v>916430.77584382985</v>
      </c>
      <c r="AL134" s="24">
        <f t="shared" si="4"/>
        <v>559342.95857918006</v>
      </c>
      <c r="AM134" s="24">
        <f t="shared" si="4"/>
        <v>1446518.6278546795</v>
      </c>
      <c r="AN134" s="24">
        <f t="shared" si="4"/>
        <v>2692477.7990920902</v>
      </c>
      <c r="AO134" s="24">
        <f t="shared" si="4"/>
        <v>2603872.7994077597</v>
      </c>
      <c r="AP134" s="24">
        <f t="shared" si="4"/>
        <v>2645579.6897648503</v>
      </c>
      <c r="AQ134" s="24">
        <f t="shared" si="4"/>
        <v>3130447.0753392596</v>
      </c>
      <c r="AR134" s="24">
        <f t="shared" si="4"/>
        <v>2969931.4895013887</v>
      </c>
      <c r="AS134" s="24">
        <f t="shared" si="4"/>
        <v>3016233.2588697094</v>
      </c>
      <c r="AT134" s="24">
        <f t="shared" si="4"/>
        <v>3204101.9986956706</v>
      </c>
      <c r="AU134" s="24">
        <f t="shared" si="4"/>
        <v>3229799.4602056509</v>
      </c>
      <c r="AV134" s="24">
        <f t="shared" si="4"/>
        <v>3446343.5892838398</v>
      </c>
      <c r="AW134" s="24">
        <f t="shared" si="4"/>
        <v>3554699.8834418994</v>
      </c>
      <c r="AX134" s="24">
        <f t="shared" si="4"/>
        <v>3071685.3832596904</v>
      </c>
      <c r="AY134" s="24">
        <f t="shared" si="4"/>
        <v>3723584.1021744194</v>
      </c>
      <c r="AZ134" s="24">
        <f t="shared" si="4"/>
        <v>2952568.0489810114</v>
      </c>
      <c r="BA134" s="24">
        <f t="shared" si="4"/>
        <v>3188548.7436369192</v>
      </c>
      <c r="BB134" s="24">
        <f t="shared" si="4"/>
        <v>3607103.8049682491</v>
      </c>
      <c r="BC134" s="24">
        <f t="shared" ref="BC134" si="5">SUM(BC4:BC133)</f>
        <v>3554699.8834418994</v>
      </c>
      <c r="BD134" s="24">
        <v>89429.759644610007</v>
      </c>
      <c r="BE134" s="24">
        <v>17070.882772999998</v>
      </c>
      <c r="BF134" s="24">
        <v>20452.385479570003</v>
      </c>
      <c r="BG134" s="24">
        <v>24675.293599999997</v>
      </c>
      <c r="BH134" s="24">
        <v>725.18000000000006</v>
      </c>
      <c r="BI134" s="24">
        <v>55838.368689210016</v>
      </c>
      <c r="BJ134" s="24">
        <v>1539241.3430131804</v>
      </c>
      <c r="BK134" s="24">
        <v>191806.97951882001</v>
      </c>
      <c r="BL134" s="24">
        <v>672549.63806445012</v>
      </c>
      <c r="BM134" s="24">
        <v>39407.091951729999</v>
      </c>
      <c r="BN134" s="24">
        <v>3815.0234339999997</v>
      </c>
      <c r="BO134" s="24">
        <v>62876.529799999997</v>
      </c>
      <c r="BP134" s="24">
        <v>238647.94486777001</v>
      </c>
      <c r="BQ134" s="24">
        <v>115148.96242335008</v>
      </c>
      <c r="BR134" s="25">
        <v>1.0397737901650075</v>
      </c>
      <c r="BS134" s="25">
        <v>0.9154840634129694</v>
      </c>
      <c r="BT134" s="25">
        <v>0.88460189489973151</v>
      </c>
      <c r="BU134" s="25">
        <v>0.87370769993075714</v>
      </c>
      <c r="BV134" s="25">
        <v>0.89516288386553244</v>
      </c>
      <c r="BW134" s="25">
        <v>0.88992566315297028</v>
      </c>
      <c r="BX134" s="25">
        <v>0.92422356622023016</v>
      </c>
      <c r="BY134" s="25">
        <v>0.88672092779669165</v>
      </c>
      <c r="BZ134" s="25">
        <v>0.88735576879186562</v>
      </c>
      <c r="CA134" s="25">
        <v>0.89229882578495701</v>
      </c>
      <c r="CB134" s="25">
        <v>0.95136447834268012</v>
      </c>
      <c r="CC134" s="25">
        <v>0.89470901827270566</v>
      </c>
      <c r="CD134" s="25">
        <f>+R134/AZ134</f>
        <v>1.009211143258234</v>
      </c>
      <c r="CE134" s="25">
        <f>+S134/BA134</f>
        <v>0.92856798687940167</v>
      </c>
      <c r="CF134" s="25">
        <f>+T134/BB134</f>
        <v>0.87602947295493061</v>
      </c>
      <c r="CG134" s="25">
        <f>+U134/BC134</f>
        <v>0.89229882578495701</v>
      </c>
      <c r="CH134" s="24">
        <v>30000</v>
      </c>
      <c r="CI134" s="24">
        <v>180000</v>
      </c>
      <c r="CJ134" s="24">
        <v>306000</v>
      </c>
      <c r="CK134" s="24">
        <v>310000</v>
      </c>
      <c r="CL134" s="24">
        <v>337000</v>
      </c>
      <c r="CM134" s="24">
        <v>320000</v>
      </c>
      <c r="CN134" s="24">
        <v>172000</v>
      </c>
      <c r="CO134" s="24">
        <v>302000</v>
      </c>
      <c r="CP134" s="24">
        <v>285000</v>
      </c>
      <c r="CQ134" s="24">
        <v>422000</v>
      </c>
      <c r="CR134" s="24">
        <v>196000</v>
      </c>
      <c r="CS134" s="24">
        <v>327000</v>
      </c>
      <c r="CT134" s="24">
        <f t="shared" ref="CT134:CU134" si="6">SUM(CT4:CT133)</f>
        <v>142000</v>
      </c>
      <c r="CU134" s="24">
        <f t="shared" si="6"/>
        <v>160000</v>
      </c>
      <c r="CV134" s="24">
        <f>SUM(CV4:CV133)</f>
        <v>425000</v>
      </c>
      <c r="CW134" s="24">
        <v>422000</v>
      </c>
      <c r="CX134" s="36">
        <v>290000</v>
      </c>
      <c r="CY134" s="36">
        <v>60000</v>
      </c>
      <c r="CZ134" s="36">
        <v>30000</v>
      </c>
      <c r="DA134" s="36">
        <v>20000</v>
      </c>
      <c r="DB134" s="36">
        <v>10000</v>
      </c>
      <c r="DC134" s="36">
        <v>30000</v>
      </c>
      <c r="DD134" s="36">
        <v>50000</v>
      </c>
      <c r="DE134" s="36">
        <v>0</v>
      </c>
      <c r="DF134" s="36">
        <v>0</v>
      </c>
      <c r="DG134" s="36">
        <v>30000</v>
      </c>
      <c r="DH134" s="36">
        <v>110000</v>
      </c>
      <c r="DI134" s="36">
        <v>0</v>
      </c>
      <c r="DJ134" s="36">
        <v>215000</v>
      </c>
      <c r="DK134" s="36">
        <v>30000</v>
      </c>
      <c r="DL134" s="36">
        <v>60000</v>
      </c>
      <c r="DM134" s="36">
        <v>15000</v>
      </c>
      <c r="DN134" s="36">
        <v>284296.4596</v>
      </c>
      <c r="DO134" s="36">
        <v>408328.58446724998</v>
      </c>
      <c r="DP134" s="36">
        <v>161163.59157700001</v>
      </c>
      <c r="DQ134" s="36">
        <v>0</v>
      </c>
      <c r="DR134" s="36">
        <v>13523.689</v>
      </c>
    </row>
    <row r="135" spans="1:122"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38"/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  <c r="DE135" s="38"/>
      <c r="DF135" s="38"/>
      <c r="DG135" s="38"/>
      <c r="DH135" s="38"/>
    </row>
    <row r="136" spans="1:122"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</row>
  </sheetData>
  <autoFilter ref="A4:CB136" xr:uid="{A461F0B2-B027-43E3-828F-5BAF82A3C0AB}"/>
  <mergeCells count="133">
    <mergeCell ref="R1:U1"/>
    <mergeCell ref="CG2:CG3"/>
    <mergeCell ref="CD1:CG1"/>
    <mergeCell ref="CW2:CW3"/>
    <mergeCell ref="CT1:CW1"/>
    <mergeCell ref="DN1:DR1"/>
    <mergeCell ref="CX1:DI1"/>
    <mergeCell ref="DJ2:DJ3"/>
    <mergeCell ref="DK2:DK3"/>
    <mergeCell ref="DL2:DL3"/>
    <mergeCell ref="CT2:CT3"/>
    <mergeCell ref="CU2:CU3"/>
    <mergeCell ref="CV2:CV3"/>
    <mergeCell ref="DD2:DD3"/>
    <mergeCell ref="DE2:DE3"/>
    <mergeCell ref="DR2:DR3"/>
    <mergeCell ref="DC2:DC3"/>
    <mergeCell ref="DN2:DN3"/>
    <mergeCell ref="DO2:DO3"/>
    <mergeCell ref="DP2:DP3"/>
    <mergeCell ref="DQ2:DQ3"/>
    <mergeCell ref="DM2:DM3"/>
    <mergeCell ref="DJ1:DM1"/>
    <mergeCell ref="F1:Q1"/>
    <mergeCell ref="AN1:AY1"/>
    <mergeCell ref="AZ2:AZ3"/>
    <mergeCell ref="BA2:BA3"/>
    <mergeCell ref="BB2:BB3"/>
    <mergeCell ref="K2:K3"/>
    <mergeCell ref="L2:L3"/>
    <mergeCell ref="M2:M3"/>
    <mergeCell ref="N2:N3"/>
    <mergeCell ref="O2:O3"/>
    <mergeCell ref="V2:V3"/>
    <mergeCell ref="AL2:AL3"/>
    <mergeCell ref="AM2:AM3"/>
    <mergeCell ref="X2:X3"/>
    <mergeCell ref="Y2:Y3"/>
    <mergeCell ref="Z2:Z3"/>
    <mergeCell ref="AA2:AA3"/>
    <mergeCell ref="AB2:AB3"/>
    <mergeCell ref="U2:U3"/>
    <mergeCell ref="BC2:BC3"/>
    <mergeCell ref="AZ1:BC1"/>
    <mergeCell ref="CM2:CM3"/>
    <mergeCell ref="CN2:CN3"/>
    <mergeCell ref="CO2:CO3"/>
    <mergeCell ref="CP2:CP3"/>
    <mergeCell ref="CQ2:CQ3"/>
    <mergeCell ref="W2:W3"/>
    <mergeCell ref="CD2:CD3"/>
    <mergeCell ref="CE2:CE3"/>
    <mergeCell ref="CF2:CF3"/>
    <mergeCell ref="Q2:Q3"/>
    <mergeCell ref="AN2:AN3"/>
    <mergeCell ref="AC2:AC3"/>
    <mergeCell ref="AD2:AD3"/>
    <mergeCell ref="AE2:AE3"/>
    <mergeCell ref="AF2:AF3"/>
    <mergeCell ref="CH1:CS1"/>
    <mergeCell ref="BR1:CC1"/>
    <mergeCell ref="R2:R3"/>
    <mergeCell ref="S2:S3"/>
    <mergeCell ref="T2:T3"/>
    <mergeCell ref="CC2:CC3"/>
    <mergeCell ref="BG2:BG3"/>
    <mergeCell ref="BH2:BH3"/>
    <mergeCell ref="BI2:BI3"/>
    <mergeCell ref="BJ2:BJ3"/>
    <mergeCell ref="AQ2:AQ3"/>
    <mergeCell ref="AR2:AR3"/>
    <mergeCell ref="AS2:AS3"/>
    <mergeCell ref="AT2:AT3"/>
    <mergeCell ref="CH2:CH3"/>
    <mergeCell ref="CI2:CI3"/>
    <mergeCell ref="CL2:CL3"/>
    <mergeCell ref="BE2:BE3"/>
    <mergeCell ref="BF2:BF3"/>
    <mergeCell ref="AU2:AU3"/>
    <mergeCell ref="AV2:AV3"/>
    <mergeCell ref="AW2:AW3"/>
    <mergeCell ref="AX2:AX3"/>
    <mergeCell ref="AO2:AO3"/>
    <mergeCell ref="AP2:AP3"/>
    <mergeCell ref="BD2:BD3"/>
    <mergeCell ref="AY2:AY3"/>
    <mergeCell ref="CA2:CA3"/>
    <mergeCell ref="CB2:CB3"/>
    <mergeCell ref="CJ2:CJ3"/>
    <mergeCell ref="CK2:CK3"/>
    <mergeCell ref="BS2:BS3"/>
    <mergeCell ref="BT2:BT3"/>
    <mergeCell ref="BU2:BU3"/>
    <mergeCell ref="BV2:BV3"/>
    <mergeCell ref="BW2:BW3"/>
    <mergeCell ref="BX2:BX3"/>
    <mergeCell ref="BY2:BY3"/>
    <mergeCell ref="BZ2:BZ3"/>
    <mergeCell ref="A2:A3"/>
    <mergeCell ref="B2:B3"/>
    <mergeCell ref="C2:C3"/>
    <mergeCell ref="D2:D3"/>
    <mergeCell ref="F2:F3"/>
    <mergeCell ref="G2:G3"/>
    <mergeCell ref="H2:H3"/>
    <mergeCell ref="I2:I3"/>
    <mergeCell ref="BR2:BR3"/>
    <mergeCell ref="P2:P3"/>
    <mergeCell ref="J2:J3"/>
    <mergeCell ref="AG2:AG3"/>
    <mergeCell ref="AH2:AH3"/>
    <mergeCell ref="AI2:AI3"/>
    <mergeCell ref="AJ2:AJ3"/>
    <mergeCell ref="AK2:AK3"/>
    <mergeCell ref="E2:E3"/>
    <mergeCell ref="BQ2:BQ3"/>
    <mergeCell ref="BK2:BK3"/>
    <mergeCell ref="BL2:BL3"/>
    <mergeCell ref="BM2:BM3"/>
    <mergeCell ref="BN2:BN3"/>
    <mergeCell ref="BO2:BO3"/>
    <mergeCell ref="BP2:BP3"/>
    <mergeCell ref="CR2:CR3"/>
    <mergeCell ref="CY2:CY3"/>
    <mergeCell ref="CZ2:CZ3"/>
    <mergeCell ref="DA2:DA3"/>
    <mergeCell ref="DB2:DB3"/>
    <mergeCell ref="CX2:CX3"/>
    <mergeCell ref="DI2:DI3"/>
    <mergeCell ref="CS2:CS3"/>
    <mergeCell ref="DF2:DF3"/>
    <mergeCell ref="DG2:DG3"/>
    <mergeCell ref="DH2:DH3"/>
  </mergeCells>
  <conditionalFormatting sqref="D4:D133 F4:N133 CH4:CP133">
    <cfRule type="cellIs" dxfId="0" priority="2" operator="equal">
      <formula>0</formula>
    </cfRule>
  </conditionalFormatting>
  <printOptions horizontalCentered="1"/>
  <pageMargins left="3.937007874015748E-2" right="3.937007874015748E-2" top="3.937007874015748E-2" bottom="3.937007874015748E-2" header="3.937007874015748E-2" footer="3.937007874015748E-2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Дастурга</vt:lpstr>
      <vt:lpstr>Дастурга!Заголовки_для_печати</vt:lpstr>
      <vt:lpstr>Дастурга!Область_печати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CBuser</cp:lastModifiedBy>
  <dcterms:created xsi:type="dcterms:W3CDTF">2025-12-16T09:28:25Z</dcterms:created>
  <dcterms:modified xsi:type="dcterms:W3CDTF">2026-05-23T07:52:37Z</dcterms:modified>
</cp:coreProperties>
</file>