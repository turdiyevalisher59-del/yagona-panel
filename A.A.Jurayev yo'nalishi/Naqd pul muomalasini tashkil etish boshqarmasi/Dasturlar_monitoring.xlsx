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0.194.32\Hazrat rab\__2025 йил\1   2025 йил Рейтинг курсаткичлари\Хисобот учун\Очко учун\Янги\"/>
    </mc:Choice>
  </mc:AlternateContent>
  <xr:revisionPtr revIDLastSave="0" documentId="13_ncr:1_{867F7108-43A6-4EFE-9880-50A2CA386AE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Филиал" sheetId="5" r:id="rId1"/>
  </sheets>
  <externalReferences>
    <externalReference r:id="rId2"/>
  </externalReferences>
  <definedNames>
    <definedName name="_____xlfn.BAHTTEXT" hidden="1">#NAME?</definedName>
    <definedName name="____xlfn.BAHTTEXT" hidden="1">#NAME?</definedName>
    <definedName name="___xlfn.BAHTTEXT" hidden="1">#NAME?</definedName>
    <definedName name="__xlfn.BAHTTEXT" hidden="1">#NAME?</definedName>
    <definedName name="_xlnm._FilterDatabase" localSheetId="0" hidden="1">Филиал!$A$5:$GN$5</definedName>
    <definedName name="_xlnm._FilterDatabase" hidden="1">#REF!</definedName>
    <definedName name="Access_Button" hidden="1">"Kaspl_5_ПЛАН_4_Таблица1"</definedName>
    <definedName name="AccessDatabase" hidden="1">"C:\Мои документы\Kaspl_5.mdb"</definedName>
    <definedName name="Z_3A9B8CE0_90FE_45F7_B16A_6C9B6CFEF69B_.wvu.PrintTitles" hidden="1">[1]оборот!$A$1:$B$65536,[1]оборот!$A$1:$IV$1</definedName>
    <definedName name="Z_86A21AE1_D222_11D6_8098_444553540000_.wvu.Cols" localSheetId="0" hidden="1">#REF!,#REF!,#REF!,#REF!</definedName>
    <definedName name="Z_86A21AE1_D222_11D6_8098_444553540000_.wvu.Cols" hidden="1">#REF!,#REF!,#REF!,#REF!</definedName>
    <definedName name="апапап" localSheetId="0" hidden="1">#REF!</definedName>
    <definedName name="апапап" hidden="1">#REF!</definedName>
    <definedName name="банклар" localSheetId="0" hidden="1">#REF!</definedName>
    <definedName name="банклар" hidden="1">#REF!</definedName>
    <definedName name="_xlnm.Print_Titles" localSheetId="0">Филиал!$2:$2</definedName>
    <definedName name="ипотека" localSheetId="0" hidden="1">#REF!,#REF!,#REF!,#REF!</definedName>
    <definedName name="ипотека" hidden="1">#REF!,#REF!,#REF!,#REF!</definedName>
    <definedName name="нар26" localSheetId="0" hidden="1">#REF!,#REF!,#REF!,#REF!</definedName>
    <definedName name="нар26" hidden="1">#REF!,#REF!,#REF!,#REF!</definedName>
    <definedName name="_xlnm.Print_Area" localSheetId="0">Филиал!$A$1:$GL$106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G5" i="5" l="1"/>
  <c r="DT71" i="5"/>
  <c r="EE83" i="5"/>
  <c r="ED83" i="5"/>
  <c r="EC83" i="5"/>
  <c r="EB83" i="5"/>
  <c r="EA83" i="5"/>
  <c r="DZ83" i="5"/>
  <c r="DY83" i="5"/>
  <c r="DX83" i="5"/>
  <c r="DW83" i="5"/>
  <c r="DV83" i="5"/>
  <c r="DU83" i="5"/>
  <c r="EG90" i="5"/>
  <c r="EF90" i="5"/>
  <c r="EE90" i="5"/>
  <c r="ED90" i="5"/>
  <c r="EC90" i="5"/>
  <c r="EB90" i="5"/>
  <c r="EA90" i="5"/>
  <c r="DZ90" i="5"/>
  <c r="DY90" i="5"/>
  <c r="DX90" i="5"/>
  <c r="DW90" i="5"/>
  <c r="DV90" i="5"/>
  <c r="DU90" i="5"/>
  <c r="EG101" i="5"/>
  <c r="EF101" i="5"/>
  <c r="EE101" i="5"/>
  <c r="ED101" i="5"/>
  <c r="EC101" i="5"/>
  <c r="EB101" i="5"/>
  <c r="EA101" i="5"/>
  <c r="DZ101" i="5"/>
  <c r="DY101" i="5"/>
  <c r="DX101" i="5"/>
  <c r="DW101" i="5"/>
  <c r="DV101" i="5"/>
  <c r="DU101" i="5"/>
  <c r="EE103" i="5"/>
  <c r="ED103" i="5"/>
  <c r="EC103" i="5"/>
  <c r="EB103" i="5"/>
  <c r="EA103" i="5"/>
  <c r="DZ103" i="5"/>
  <c r="DY103" i="5"/>
  <c r="DX103" i="5"/>
  <c r="DW103" i="5"/>
  <c r="DV103" i="5"/>
  <c r="DU103" i="5"/>
  <c r="EG105" i="5"/>
  <c r="EG104" i="5"/>
  <c r="EG103" i="5" s="1"/>
  <c r="EG102" i="5"/>
  <c r="EG72" i="5"/>
  <c r="EG70" i="5"/>
  <c r="EG69" i="5"/>
  <c r="EF69" i="5"/>
  <c r="EE69" i="5"/>
  <c r="ED69" i="5"/>
  <c r="EC69" i="5"/>
  <c r="EB69" i="5"/>
  <c r="EA69" i="5"/>
  <c r="DZ69" i="5"/>
  <c r="DY69" i="5"/>
  <c r="DX69" i="5"/>
  <c r="DW69" i="5"/>
  <c r="DV69" i="5"/>
  <c r="DU69" i="5"/>
  <c r="EG68" i="5"/>
  <c r="EG67" i="5"/>
  <c r="EG66" i="5"/>
  <c r="EG65" i="5"/>
  <c r="EG63" i="5"/>
  <c r="EG62" i="5"/>
  <c r="EG61" i="5"/>
  <c r="EG60" i="5"/>
  <c r="EG59" i="5"/>
  <c r="EG58" i="5"/>
  <c r="EG57" i="5"/>
  <c r="EG56" i="5"/>
  <c r="EG55" i="5"/>
  <c r="EG54" i="5"/>
  <c r="EG53" i="5"/>
  <c r="EG52" i="5"/>
  <c r="EG51" i="5"/>
  <c r="EG50" i="5"/>
  <c r="EG49" i="5"/>
  <c r="EG48" i="5"/>
  <c r="EG47" i="5"/>
  <c r="EG46" i="5"/>
  <c r="EG45" i="5"/>
  <c r="EF103" i="5"/>
  <c r="EF83" i="5"/>
  <c r="EF79" i="5"/>
  <c r="EE79" i="5"/>
  <c r="ED79" i="5"/>
  <c r="EC79" i="5"/>
  <c r="EB79" i="5"/>
  <c r="EA79" i="5"/>
  <c r="DZ79" i="5"/>
  <c r="DY79" i="5"/>
  <c r="DX79" i="5"/>
  <c r="DW79" i="5"/>
  <c r="DV79" i="5"/>
  <c r="EF73" i="5"/>
  <c r="EE73" i="5"/>
  <c r="ED73" i="5"/>
  <c r="EC73" i="5"/>
  <c r="EB73" i="5"/>
  <c r="EA73" i="5"/>
  <c r="DZ73" i="5"/>
  <c r="DY73" i="5"/>
  <c r="DX73" i="5"/>
  <c r="DW73" i="5"/>
  <c r="DV73" i="5"/>
  <c r="EF71" i="5"/>
  <c r="EE71" i="5"/>
  <c r="ED71" i="5"/>
  <c r="EC71" i="5"/>
  <c r="EB71" i="5"/>
  <c r="EA71" i="5"/>
  <c r="DZ71" i="5"/>
  <c r="DY71" i="5"/>
  <c r="DX71" i="5"/>
  <c r="DW71" i="5"/>
  <c r="DV71" i="5"/>
  <c r="DU71" i="5"/>
  <c r="EF64" i="5"/>
  <c r="EE64" i="5"/>
  <c r="ED64" i="5"/>
  <c r="EC64" i="5"/>
  <c r="EB64" i="5"/>
  <c r="EA64" i="5"/>
  <c r="DZ64" i="5"/>
  <c r="DY64" i="5"/>
  <c r="DX64" i="5"/>
  <c r="DW64" i="5"/>
  <c r="DV64" i="5"/>
  <c r="DU64" i="5"/>
  <c r="EF44" i="5"/>
  <c r="EE44" i="5"/>
  <c r="ED44" i="5"/>
  <c r="EC44" i="5"/>
  <c r="EB44" i="5"/>
  <c r="EA44" i="5"/>
  <c r="DZ44" i="5"/>
  <c r="DY44" i="5"/>
  <c r="DX44" i="5"/>
  <c r="DW44" i="5"/>
  <c r="DV44" i="5"/>
  <c r="DU44" i="5"/>
  <c r="EF21" i="5"/>
  <c r="EE21" i="5"/>
  <c r="ED21" i="5"/>
  <c r="EC21" i="5"/>
  <c r="EB21" i="5"/>
  <c r="EA21" i="5"/>
  <c r="DZ21" i="5"/>
  <c r="DY21" i="5"/>
  <c r="DX21" i="5"/>
  <c r="DW21" i="5"/>
  <c r="DV21" i="5"/>
  <c r="DU21" i="5"/>
  <c r="EF33" i="5"/>
  <c r="EE33" i="5"/>
  <c r="ED33" i="5"/>
  <c r="EC33" i="5"/>
  <c r="EB33" i="5"/>
  <c r="EA33" i="5"/>
  <c r="DZ33" i="5"/>
  <c r="DY33" i="5"/>
  <c r="DX33" i="5"/>
  <c r="DW33" i="5"/>
  <c r="DV33" i="5"/>
  <c r="DU33" i="5"/>
  <c r="EF14" i="5"/>
  <c r="EE14" i="5"/>
  <c r="ED14" i="5"/>
  <c r="EC14" i="5"/>
  <c r="EB14" i="5"/>
  <c r="EA14" i="5"/>
  <c r="DZ14" i="5"/>
  <c r="DY14" i="5"/>
  <c r="DX14" i="5"/>
  <c r="DW14" i="5"/>
  <c r="DV14" i="5"/>
  <c r="DU14" i="5"/>
  <c r="EF6" i="5"/>
  <c r="EE6" i="5"/>
  <c r="ED6" i="5"/>
  <c r="EC6" i="5"/>
  <c r="EB6" i="5"/>
  <c r="EA6" i="5"/>
  <c r="DZ6" i="5"/>
  <c r="DY6" i="5"/>
  <c r="DX6" i="5"/>
  <c r="DW6" i="5"/>
  <c r="DV6" i="5"/>
  <c r="DU6" i="5"/>
  <c r="DT103" i="5"/>
  <c r="DT101" i="5"/>
  <c r="DT90" i="5"/>
  <c r="DT83" i="5"/>
  <c r="DU79" i="5"/>
  <c r="DT79" i="5"/>
  <c r="DU73" i="5"/>
  <c r="DT73" i="5"/>
  <c r="DT69" i="5"/>
  <c r="DT64" i="5"/>
  <c r="DT44" i="5"/>
  <c r="DT33" i="5"/>
  <c r="DT21" i="5"/>
  <c r="DT14" i="5"/>
  <c r="DT6" i="5"/>
  <c r="DF103" i="5"/>
  <c r="DE103" i="5"/>
  <c r="DD103" i="5"/>
  <c r="DC103" i="5"/>
  <c r="DB103" i="5"/>
  <c r="DA103" i="5"/>
  <c r="CZ103" i="5"/>
  <c r="CY103" i="5"/>
  <c r="CX103" i="5"/>
  <c r="CW103" i="5"/>
  <c r="CV103" i="5"/>
  <c r="CU103" i="5"/>
  <c r="CT103" i="5"/>
  <c r="CS103" i="5"/>
  <c r="DF90" i="5"/>
  <c r="DE90" i="5"/>
  <c r="DD90" i="5"/>
  <c r="DC90" i="5"/>
  <c r="DB90" i="5"/>
  <c r="DA90" i="5"/>
  <c r="CZ90" i="5"/>
  <c r="CY90" i="5"/>
  <c r="CX90" i="5"/>
  <c r="CW90" i="5"/>
  <c r="CV90" i="5"/>
  <c r="CU90" i="5"/>
  <c r="CT90" i="5"/>
  <c r="CS90" i="5"/>
  <c r="DF83" i="5"/>
  <c r="DE83" i="5"/>
  <c r="DD83" i="5"/>
  <c r="DC83" i="5"/>
  <c r="DB83" i="5"/>
  <c r="DA83" i="5"/>
  <c r="CZ83" i="5"/>
  <c r="CY83" i="5"/>
  <c r="CX83" i="5"/>
  <c r="CW83" i="5"/>
  <c r="CV83" i="5"/>
  <c r="CU83" i="5"/>
  <c r="CT83" i="5"/>
  <c r="CS83" i="5"/>
  <c r="DF73" i="5"/>
  <c r="DE73" i="5"/>
  <c r="DD73" i="5"/>
  <c r="DC73" i="5"/>
  <c r="DB73" i="5"/>
  <c r="DA73" i="5"/>
  <c r="CZ73" i="5"/>
  <c r="CY73" i="5"/>
  <c r="CX73" i="5"/>
  <c r="CW73" i="5"/>
  <c r="CV73" i="5"/>
  <c r="CU73" i="5"/>
  <c r="CT73" i="5"/>
  <c r="CS73" i="5"/>
  <c r="DF71" i="5"/>
  <c r="DE71" i="5"/>
  <c r="DD71" i="5"/>
  <c r="DC71" i="5"/>
  <c r="DB71" i="5"/>
  <c r="DA71" i="5"/>
  <c r="CZ71" i="5"/>
  <c r="CY71" i="5"/>
  <c r="CX71" i="5"/>
  <c r="CW71" i="5"/>
  <c r="CV71" i="5"/>
  <c r="CU71" i="5"/>
  <c r="CT71" i="5"/>
  <c r="CS71" i="5"/>
  <c r="DF69" i="5"/>
  <c r="DE69" i="5"/>
  <c r="DD69" i="5"/>
  <c r="DC69" i="5"/>
  <c r="DB69" i="5"/>
  <c r="DA69" i="5"/>
  <c r="CZ69" i="5"/>
  <c r="CY69" i="5"/>
  <c r="CX69" i="5"/>
  <c r="CW69" i="5"/>
  <c r="CV69" i="5"/>
  <c r="CU69" i="5"/>
  <c r="CT69" i="5"/>
  <c r="CS69" i="5"/>
  <c r="DF64" i="5"/>
  <c r="DE64" i="5"/>
  <c r="DD64" i="5"/>
  <c r="DC64" i="5"/>
  <c r="DB64" i="5"/>
  <c r="DA64" i="5"/>
  <c r="CZ64" i="5"/>
  <c r="CY64" i="5"/>
  <c r="CX64" i="5"/>
  <c r="CW64" i="5"/>
  <c r="CV64" i="5"/>
  <c r="CU64" i="5"/>
  <c r="CT64" i="5"/>
  <c r="CS64" i="5"/>
  <c r="DF44" i="5"/>
  <c r="DE44" i="5"/>
  <c r="DD44" i="5"/>
  <c r="DC44" i="5"/>
  <c r="DB44" i="5"/>
  <c r="DA44" i="5"/>
  <c r="CZ44" i="5"/>
  <c r="CY44" i="5"/>
  <c r="CX44" i="5"/>
  <c r="CW44" i="5"/>
  <c r="CV44" i="5"/>
  <c r="CU44" i="5"/>
  <c r="CT44" i="5"/>
  <c r="CS44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D103" i="5"/>
  <c r="CC103" i="5"/>
  <c r="CB103" i="5"/>
  <c r="CA103" i="5"/>
  <c r="BZ103" i="5"/>
  <c r="BY103" i="5"/>
  <c r="BX103" i="5"/>
  <c r="BW103" i="5"/>
  <c r="BV103" i="5"/>
  <c r="BU103" i="5"/>
  <c r="BT103" i="5"/>
  <c r="BS103" i="5"/>
  <c r="BR103" i="5"/>
  <c r="CD101" i="5"/>
  <c r="CC101" i="5"/>
  <c r="CB101" i="5"/>
  <c r="CA101" i="5"/>
  <c r="BZ101" i="5"/>
  <c r="BY101" i="5"/>
  <c r="BX101" i="5"/>
  <c r="BW101" i="5"/>
  <c r="BV101" i="5"/>
  <c r="BU101" i="5"/>
  <c r="BT101" i="5"/>
  <c r="BS101" i="5"/>
  <c r="BR101" i="5"/>
  <c r="CD92" i="5"/>
  <c r="CC92" i="5"/>
  <c r="CB92" i="5"/>
  <c r="CA92" i="5"/>
  <c r="BZ92" i="5"/>
  <c r="BY92" i="5"/>
  <c r="BX92" i="5"/>
  <c r="BW92" i="5"/>
  <c r="BV92" i="5"/>
  <c r="BU92" i="5"/>
  <c r="BT92" i="5"/>
  <c r="BS92" i="5"/>
  <c r="BR92" i="5"/>
  <c r="CD90" i="5"/>
  <c r="CC90" i="5"/>
  <c r="CB90" i="5"/>
  <c r="CA90" i="5"/>
  <c r="BZ90" i="5"/>
  <c r="BY90" i="5"/>
  <c r="BX90" i="5"/>
  <c r="BW90" i="5"/>
  <c r="BV90" i="5"/>
  <c r="BU90" i="5"/>
  <c r="BT90" i="5"/>
  <c r="BS90" i="5"/>
  <c r="BR90" i="5"/>
  <c r="CD83" i="5"/>
  <c r="CC83" i="5"/>
  <c r="CB83" i="5"/>
  <c r="CA83" i="5"/>
  <c r="BZ83" i="5"/>
  <c r="BY83" i="5"/>
  <c r="BX83" i="5"/>
  <c r="BW83" i="5"/>
  <c r="BV83" i="5"/>
  <c r="BU83" i="5"/>
  <c r="BT83" i="5"/>
  <c r="BS83" i="5"/>
  <c r="BR83" i="5"/>
  <c r="CD79" i="5"/>
  <c r="CC79" i="5"/>
  <c r="CB79" i="5"/>
  <c r="CA79" i="5"/>
  <c r="BZ79" i="5"/>
  <c r="BY79" i="5"/>
  <c r="BX79" i="5"/>
  <c r="BW79" i="5"/>
  <c r="BV79" i="5"/>
  <c r="BU79" i="5"/>
  <c r="BT79" i="5"/>
  <c r="BS79" i="5"/>
  <c r="BR79" i="5"/>
  <c r="CD73" i="5"/>
  <c r="CC73" i="5"/>
  <c r="CB73" i="5"/>
  <c r="CA73" i="5"/>
  <c r="BZ73" i="5"/>
  <c r="BY73" i="5"/>
  <c r="BX73" i="5"/>
  <c r="BW73" i="5"/>
  <c r="BV73" i="5"/>
  <c r="BU73" i="5"/>
  <c r="BT73" i="5"/>
  <c r="BS73" i="5"/>
  <c r="BR73" i="5"/>
  <c r="CD71" i="5"/>
  <c r="CC71" i="5"/>
  <c r="CB71" i="5"/>
  <c r="CA71" i="5"/>
  <c r="BZ71" i="5"/>
  <c r="BY71" i="5"/>
  <c r="BX71" i="5"/>
  <c r="BW71" i="5"/>
  <c r="BV71" i="5"/>
  <c r="BU71" i="5"/>
  <c r="BT71" i="5"/>
  <c r="BS71" i="5"/>
  <c r="BR71" i="5"/>
  <c r="CD69" i="5"/>
  <c r="CC69" i="5"/>
  <c r="CB69" i="5"/>
  <c r="CA69" i="5"/>
  <c r="BZ69" i="5"/>
  <c r="BY69" i="5"/>
  <c r="BX69" i="5"/>
  <c r="BW69" i="5"/>
  <c r="BV69" i="5"/>
  <c r="BU69" i="5"/>
  <c r="BT69" i="5"/>
  <c r="BS69" i="5"/>
  <c r="BR69" i="5"/>
  <c r="CD64" i="5"/>
  <c r="CC64" i="5"/>
  <c r="CB64" i="5"/>
  <c r="CA64" i="5"/>
  <c r="BZ64" i="5"/>
  <c r="BY64" i="5"/>
  <c r="BX64" i="5"/>
  <c r="BW64" i="5"/>
  <c r="BV64" i="5"/>
  <c r="BU64" i="5"/>
  <c r="BT64" i="5"/>
  <c r="BS64" i="5"/>
  <c r="BR64" i="5"/>
  <c r="CD44" i="5"/>
  <c r="CC44" i="5"/>
  <c r="CB44" i="5"/>
  <c r="CA44" i="5"/>
  <c r="BZ44" i="5"/>
  <c r="BY44" i="5"/>
  <c r="BX44" i="5"/>
  <c r="BW44" i="5"/>
  <c r="BV44" i="5"/>
  <c r="BU44" i="5"/>
  <c r="BT44" i="5"/>
  <c r="BS44" i="5"/>
  <c r="BR44" i="5"/>
  <c r="CD33" i="5"/>
  <c r="CC33" i="5"/>
  <c r="CB33" i="5"/>
  <c r="CA33" i="5"/>
  <c r="BZ33" i="5"/>
  <c r="BY33" i="5"/>
  <c r="BX33" i="5"/>
  <c r="BW33" i="5"/>
  <c r="BV33" i="5"/>
  <c r="BU33" i="5"/>
  <c r="BT33" i="5"/>
  <c r="BS33" i="5"/>
  <c r="BR33" i="5"/>
  <c r="CC21" i="5"/>
  <c r="CB21" i="5"/>
  <c r="CA21" i="5"/>
  <c r="BZ21" i="5"/>
  <c r="BY21" i="5"/>
  <c r="BX21" i="5"/>
  <c r="BW21" i="5"/>
  <c r="BV21" i="5"/>
  <c r="BU21" i="5"/>
  <c r="BT21" i="5"/>
  <c r="BS21" i="5"/>
  <c r="BR21" i="5"/>
  <c r="CC14" i="5"/>
  <c r="CB14" i="5"/>
  <c r="CA14" i="5"/>
  <c r="BZ14" i="5"/>
  <c r="BY14" i="5"/>
  <c r="BX14" i="5"/>
  <c r="BW14" i="5"/>
  <c r="BV14" i="5"/>
  <c r="BU14" i="5"/>
  <c r="BT14" i="5"/>
  <c r="BS14" i="5"/>
  <c r="BR14" i="5"/>
  <c r="CC6" i="5"/>
  <c r="CB6" i="5"/>
  <c r="CA6" i="5"/>
  <c r="BZ6" i="5"/>
  <c r="BY6" i="5"/>
  <c r="BX6" i="5"/>
  <c r="BW6" i="5"/>
  <c r="BV6" i="5"/>
  <c r="BU6" i="5"/>
  <c r="BT6" i="5"/>
  <c r="BS6" i="5"/>
  <c r="BR6" i="5"/>
  <c r="CE72" i="5"/>
  <c r="AC93" i="5"/>
  <c r="ED5" i="5" l="1"/>
  <c r="DV5" i="5"/>
  <c r="DX5" i="5"/>
  <c r="DY5" i="5"/>
  <c r="DZ5" i="5"/>
  <c r="EB5" i="5"/>
  <c r="EC5" i="5"/>
  <c r="EE5" i="5"/>
  <c r="DU5" i="5"/>
  <c r="DW5" i="5"/>
  <c r="EA5" i="5"/>
  <c r="DT5" i="5"/>
  <c r="DA5" i="5"/>
  <c r="CS5" i="5"/>
  <c r="CT5" i="5"/>
  <c r="CU5" i="5"/>
  <c r="DB5" i="5"/>
  <c r="CW5" i="5"/>
  <c r="CX5" i="5"/>
  <c r="CZ5" i="5"/>
  <c r="CV5" i="5"/>
  <c r="CY5" i="5"/>
  <c r="DC5" i="5"/>
  <c r="CB5" i="5"/>
  <c r="BY5" i="5"/>
  <c r="BZ5" i="5"/>
  <c r="BR5" i="5"/>
  <c r="CC5" i="5"/>
  <c r="BS5" i="5"/>
  <c r="BT5" i="5"/>
  <c r="BU5" i="5"/>
  <c r="BV5" i="5"/>
  <c r="BW5" i="5"/>
  <c r="BX5" i="5"/>
  <c r="CA5" i="5"/>
  <c r="GK23" i="5"/>
  <c r="GK63" i="5"/>
  <c r="GK62" i="5"/>
  <c r="GK61" i="5"/>
  <c r="GK60" i="5"/>
  <c r="GK59" i="5"/>
  <c r="GK58" i="5"/>
  <c r="GK57" i="5"/>
  <c r="GK56" i="5"/>
  <c r="GK55" i="5"/>
  <c r="GK54" i="5"/>
  <c r="GK53" i="5"/>
  <c r="GK52" i="5"/>
  <c r="GK51" i="5"/>
  <c r="GK50" i="5"/>
  <c r="GK49" i="5"/>
  <c r="GK48" i="5"/>
  <c r="GK47" i="5"/>
  <c r="GK46" i="5"/>
  <c r="GK45" i="5"/>
  <c r="EY103" i="5" l="1"/>
  <c r="EX103" i="5"/>
  <c r="FI64" i="5"/>
  <c r="FI44" i="5" l="1"/>
  <c r="FI14" i="5"/>
  <c r="FG69" i="5"/>
  <c r="FF69" i="5"/>
  <c r="FE69" i="5"/>
  <c r="FD69" i="5"/>
  <c r="FC69" i="5"/>
  <c r="FB69" i="5"/>
  <c r="FA69" i="5"/>
  <c r="EZ69" i="5"/>
  <c r="EY69" i="5"/>
  <c r="EX69" i="5"/>
  <c r="EW69" i="5"/>
  <c r="FI69" i="5"/>
  <c r="FI6" i="5"/>
  <c r="FI33" i="5"/>
  <c r="FI71" i="5"/>
  <c r="FK77" i="5"/>
  <c r="FK75" i="5"/>
  <c r="FK74" i="5"/>
  <c r="FK78" i="5"/>
  <c r="FK76" i="5"/>
  <c r="FI73" i="5"/>
  <c r="FJ6" i="5" l="1"/>
  <c r="EL85" i="5" l="1"/>
  <c r="EL86" i="5" s="1"/>
  <c r="DE5" i="5" l="1"/>
  <c r="CE71" i="5"/>
  <c r="CE91" i="5"/>
  <c r="CE90" i="5" s="1"/>
  <c r="CE102" i="5"/>
  <c r="CE82" i="5"/>
  <c r="CE81" i="5"/>
  <c r="CE80" i="5"/>
  <c r="CE89" i="5"/>
  <c r="CE88" i="5"/>
  <c r="CE87" i="5"/>
  <c r="CE86" i="5"/>
  <c r="CE85" i="5"/>
  <c r="CE84" i="5"/>
  <c r="CE100" i="5"/>
  <c r="CE99" i="5"/>
  <c r="CE98" i="5"/>
  <c r="CE97" i="5"/>
  <c r="CE96" i="5"/>
  <c r="CE95" i="5"/>
  <c r="CE94" i="5"/>
  <c r="CE93" i="5"/>
  <c r="CE104" i="5"/>
  <c r="CE105" i="5"/>
  <c r="CE63" i="5"/>
  <c r="CE62" i="5"/>
  <c r="CE61" i="5"/>
  <c r="CE60" i="5"/>
  <c r="CE59" i="5"/>
  <c r="CE58" i="5"/>
  <c r="CE57" i="5"/>
  <c r="CE56" i="5"/>
  <c r="CE55" i="5"/>
  <c r="CE54" i="5"/>
  <c r="CE53" i="5"/>
  <c r="CE52" i="5"/>
  <c r="CE51" i="5"/>
  <c r="CE50" i="5"/>
  <c r="CE49" i="5"/>
  <c r="CE48" i="5"/>
  <c r="CE47" i="5"/>
  <c r="CE46" i="5"/>
  <c r="CE45" i="5"/>
  <c r="CE70" i="5"/>
  <c r="CE13" i="5"/>
  <c r="CE12" i="5"/>
  <c r="CE11" i="5"/>
  <c r="CE10" i="5"/>
  <c r="CE9" i="5"/>
  <c r="CE8" i="5"/>
  <c r="CE7" i="5"/>
  <c r="CE20" i="5"/>
  <c r="CE19" i="5"/>
  <c r="CE18" i="5"/>
  <c r="CE17" i="5"/>
  <c r="CE16" i="5"/>
  <c r="CE15" i="5"/>
  <c r="CD6" i="5"/>
  <c r="CE43" i="5"/>
  <c r="CE42" i="5"/>
  <c r="CE41" i="5"/>
  <c r="CE40" i="5"/>
  <c r="CE39" i="5"/>
  <c r="CE38" i="5"/>
  <c r="CE37" i="5"/>
  <c r="CE36" i="5"/>
  <c r="CE35" i="5"/>
  <c r="CE34" i="5"/>
  <c r="CE68" i="5"/>
  <c r="CE67" i="5"/>
  <c r="CE66" i="5"/>
  <c r="CE65" i="5"/>
  <c r="CE78" i="5"/>
  <c r="CE74" i="5"/>
  <c r="CE44" i="5" l="1"/>
  <c r="CE6" i="5"/>
  <c r="CE73" i="5"/>
  <c r="CE22" i="5" l="1"/>
  <c r="CE32" i="5"/>
  <c r="CE31" i="5"/>
  <c r="CE30" i="5"/>
  <c r="CE29" i="5"/>
  <c r="CE28" i="5"/>
  <c r="CE27" i="5"/>
  <c r="CE26" i="5"/>
  <c r="CE25" i="5"/>
  <c r="CE24" i="5"/>
  <c r="CE23" i="5"/>
  <c r="CD21" i="5"/>
  <c r="BD104" i="5"/>
  <c r="BD105" i="5"/>
  <c r="BC103" i="5"/>
  <c r="BC83" i="5"/>
  <c r="BC92" i="5"/>
  <c r="BC90" i="5"/>
  <c r="BC73" i="5"/>
  <c r="BC71" i="5"/>
  <c r="BB71" i="5"/>
  <c r="BD71" i="5" s="1"/>
  <c r="BC69" i="5"/>
  <c r="BA69" i="5"/>
  <c r="AZ69" i="5"/>
  <c r="AY69" i="5"/>
  <c r="AX69" i="5"/>
  <c r="AW69" i="5"/>
  <c r="AV69" i="5"/>
  <c r="AU69" i="5"/>
  <c r="AT69" i="5"/>
  <c r="AS69" i="5"/>
  <c r="AR69" i="5"/>
  <c r="AQ69" i="5"/>
  <c r="BB69" i="5"/>
  <c r="BC64" i="5"/>
  <c r="BC44" i="5"/>
  <c r="BC33" i="5"/>
  <c r="BC21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CE21" i="5" l="1"/>
  <c r="BC5" i="5"/>
  <c r="BF65" i="5" s="1"/>
  <c r="AB103" i="5" l="1"/>
  <c r="AA103" i="5"/>
  <c r="Z103" i="5"/>
  <c r="Y103" i="5"/>
  <c r="X103" i="5"/>
  <c r="W103" i="5"/>
  <c r="V103" i="5"/>
  <c r="U103" i="5"/>
  <c r="T103" i="5"/>
  <c r="S103" i="5"/>
  <c r="R103" i="5"/>
  <c r="Q103" i="5"/>
  <c r="P103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AC77" i="5"/>
  <c r="AC76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AA71" i="5"/>
  <c r="Z71" i="5"/>
  <c r="Y71" i="5"/>
  <c r="X71" i="5"/>
  <c r="W71" i="5"/>
  <c r="V71" i="5"/>
  <c r="U71" i="5"/>
  <c r="T71" i="5"/>
  <c r="S71" i="5"/>
  <c r="R71" i="5"/>
  <c r="Q71" i="5"/>
  <c r="P71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P5" i="5" s="1"/>
  <c r="AC7" i="5"/>
  <c r="Q5" i="5" l="1"/>
  <c r="R5" i="5"/>
  <c r="V5" i="5"/>
  <c r="S5" i="5"/>
  <c r="W5" i="5"/>
  <c r="AA5" i="5"/>
  <c r="T5" i="5"/>
  <c r="Y5" i="5"/>
  <c r="U5" i="5"/>
  <c r="X5" i="5"/>
  <c r="Z5" i="5"/>
  <c r="AB5" i="5"/>
  <c r="AC90" i="5"/>
  <c r="AC14" i="5"/>
  <c r="O69" i="5" l="1"/>
  <c r="N69" i="5"/>
  <c r="M69" i="5"/>
  <c r="L69" i="5"/>
  <c r="K69" i="5"/>
  <c r="J69" i="5"/>
  <c r="I69" i="5"/>
  <c r="H69" i="5"/>
  <c r="G69" i="5"/>
  <c r="O71" i="5"/>
  <c r="N71" i="5"/>
  <c r="M71" i="5"/>
  <c r="L71" i="5"/>
  <c r="K71" i="5"/>
  <c r="J71" i="5"/>
  <c r="I71" i="5"/>
  <c r="H71" i="5"/>
  <c r="G71" i="5"/>
  <c r="O73" i="5"/>
  <c r="N73" i="5"/>
  <c r="M73" i="5"/>
  <c r="L73" i="5"/>
  <c r="K73" i="5"/>
  <c r="J73" i="5"/>
  <c r="I73" i="5"/>
  <c r="H73" i="5"/>
  <c r="G73" i="5"/>
  <c r="O79" i="5"/>
  <c r="N79" i="5"/>
  <c r="M79" i="5"/>
  <c r="L79" i="5"/>
  <c r="K79" i="5"/>
  <c r="J79" i="5"/>
  <c r="I79" i="5"/>
  <c r="H79" i="5"/>
  <c r="G79" i="5"/>
  <c r="O83" i="5"/>
  <c r="N83" i="5"/>
  <c r="M83" i="5"/>
  <c r="L83" i="5"/>
  <c r="K83" i="5"/>
  <c r="J83" i="5"/>
  <c r="I83" i="5"/>
  <c r="H83" i="5"/>
  <c r="G83" i="5"/>
  <c r="O90" i="5"/>
  <c r="N90" i="5"/>
  <c r="M90" i="5"/>
  <c r="L90" i="5"/>
  <c r="K90" i="5"/>
  <c r="J90" i="5"/>
  <c r="I90" i="5"/>
  <c r="H90" i="5"/>
  <c r="G90" i="5"/>
  <c r="O92" i="5"/>
  <c r="N92" i="5"/>
  <c r="M92" i="5"/>
  <c r="L92" i="5"/>
  <c r="K92" i="5"/>
  <c r="J92" i="5"/>
  <c r="I92" i="5"/>
  <c r="H92" i="5"/>
  <c r="G92" i="5"/>
  <c r="O101" i="5"/>
  <c r="N101" i="5"/>
  <c r="M101" i="5"/>
  <c r="L101" i="5"/>
  <c r="K101" i="5"/>
  <c r="J101" i="5"/>
  <c r="I101" i="5"/>
  <c r="H101" i="5"/>
  <c r="G101" i="5"/>
  <c r="O103" i="5"/>
  <c r="N103" i="5"/>
  <c r="M103" i="5"/>
  <c r="L103" i="5"/>
  <c r="K103" i="5"/>
  <c r="J103" i="5"/>
  <c r="I103" i="5"/>
  <c r="H103" i="5"/>
  <c r="G103" i="5"/>
  <c r="O64" i="5"/>
  <c r="N64" i="5"/>
  <c r="M64" i="5"/>
  <c r="L64" i="5"/>
  <c r="K64" i="5"/>
  <c r="J64" i="5"/>
  <c r="I64" i="5"/>
  <c r="H64" i="5"/>
  <c r="G64" i="5"/>
  <c r="O44" i="5"/>
  <c r="N44" i="5"/>
  <c r="M44" i="5"/>
  <c r="L44" i="5"/>
  <c r="K44" i="5"/>
  <c r="J44" i="5"/>
  <c r="I44" i="5"/>
  <c r="H44" i="5"/>
  <c r="G44" i="5"/>
  <c r="O33" i="5"/>
  <c r="N33" i="5"/>
  <c r="M33" i="5"/>
  <c r="L33" i="5"/>
  <c r="K33" i="5"/>
  <c r="J33" i="5"/>
  <c r="I33" i="5"/>
  <c r="H33" i="5"/>
  <c r="G33" i="5"/>
  <c r="O21" i="5"/>
  <c r="N21" i="5"/>
  <c r="M21" i="5"/>
  <c r="L21" i="5"/>
  <c r="K21" i="5"/>
  <c r="J21" i="5"/>
  <c r="I21" i="5"/>
  <c r="H21" i="5"/>
  <c r="G21" i="5"/>
  <c r="O14" i="5"/>
  <c r="N14" i="5"/>
  <c r="M14" i="5"/>
  <c r="L14" i="5"/>
  <c r="K14" i="5"/>
  <c r="J14" i="5"/>
  <c r="I14" i="5"/>
  <c r="H14" i="5"/>
  <c r="G14" i="5"/>
  <c r="O6" i="5"/>
  <c r="N6" i="5"/>
  <c r="M6" i="5"/>
  <c r="L6" i="5"/>
  <c r="K6" i="5"/>
  <c r="J6" i="5"/>
  <c r="I6" i="5"/>
  <c r="H6" i="5"/>
  <c r="G6" i="5"/>
  <c r="J5" i="5" l="1"/>
  <c r="K5" i="5"/>
  <c r="L5" i="5"/>
  <c r="N5" i="5"/>
  <c r="O5" i="5"/>
  <c r="H5" i="5"/>
  <c r="I5" i="5"/>
  <c r="M5" i="5"/>
  <c r="G5" i="5"/>
  <c r="GL63" i="5" l="1"/>
  <c r="GL62" i="5"/>
  <c r="GL61" i="5"/>
  <c r="GL60" i="5"/>
  <c r="GL59" i="5"/>
  <c r="GL58" i="5"/>
  <c r="GL57" i="5"/>
  <c r="GL56" i="5"/>
  <c r="GL55" i="5"/>
  <c r="GL54" i="5"/>
  <c r="GL53" i="5"/>
  <c r="GL52" i="5"/>
  <c r="GL51" i="5"/>
  <c r="GL50" i="5"/>
  <c r="GL49" i="5"/>
  <c r="GL48" i="5"/>
  <c r="GL47" i="5"/>
  <c r="GL46" i="5"/>
  <c r="GL45" i="5"/>
  <c r="GL43" i="5"/>
  <c r="GL42" i="5"/>
  <c r="GL41" i="5"/>
  <c r="GL40" i="5"/>
  <c r="GL39" i="5"/>
  <c r="GL38" i="5"/>
  <c r="GL37" i="5"/>
  <c r="GL36" i="5"/>
  <c r="GL35" i="5"/>
  <c r="GL34" i="5"/>
  <c r="EH70" i="5"/>
  <c r="EH69" i="5"/>
  <c r="EH5" i="5"/>
  <c r="EV100" i="5"/>
  <c r="EU100" i="5"/>
  <c r="ET100" i="5"/>
  <c r="ES100" i="5"/>
  <c r="ER100" i="5"/>
  <c r="EQ100" i="5"/>
  <c r="EP100" i="5"/>
  <c r="EO100" i="5"/>
  <c r="EN100" i="5"/>
  <c r="EM100" i="5"/>
  <c r="EL100" i="5"/>
  <c r="EV99" i="5"/>
  <c r="EU99" i="5"/>
  <c r="ET99" i="5"/>
  <c r="ES99" i="5"/>
  <c r="ER99" i="5"/>
  <c r="EQ99" i="5"/>
  <c r="EP99" i="5"/>
  <c r="EO99" i="5"/>
  <c r="EN99" i="5"/>
  <c r="EM99" i="5"/>
  <c r="EL99" i="5"/>
  <c r="EV98" i="5"/>
  <c r="EU98" i="5"/>
  <c r="ET98" i="5"/>
  <c r="ES98" i="5"/>
  <c r="ER98" i="5"/>
  <c r="EQ98" i="5"/>
  <c r="EP98" i="5"/>
  <c r="EO98" i="5"/>
  <c r="EN98" i="5"/>
  <c r="EM98" i="5"/>
  <c r="EL98" i="5"/>
  <c r="EV97" i="5"/>
  <c r="EU97" i="5"/>
  <c r="ET97" i="5"/>
  <c r="ES97" i="5"/>
  <c r="ER97" i="5"/>
  <c r="EQ97" i="5"/>
  <c r="EP97" i="5"/>
  <c r="EO97" i="5"/>
  <c r="EN97" i="5"/>
  <c r="EM97" i="5"/>
  <c r="EL97" i="5"/>
  <c r="EV96" i="5"/>
  <c r="EU96" i="5"/>
  <c r="ET96" i="5"/>
  <c r="ES96" i="5"/>
  <c r="ER96" i="5"/>
  <c r="EQ96" i="5"/>
  <c r="EP96" i="5"/>
  <c r="EO96" i="5"/>
  <c r="EN96" i="5"/>
  <c r="EM96" i="5"/>
  <c r="EL96" i="5"/>
  <c r="DG105" i="5"/>
  <c r="DG104" i="5"/>
  <c r="DG103" i="5"/>
  <c r="DG102" i="5"/>
  <c r="DG101" i="5"/>
  <c r="DG89" i="5"/>
  <c r="DG88" i="5"/>
  <c r="DG87" i="5"/>
  <c r="DG85" i="5"/>
  <c r="DG84" i="5"/>
  <c r="DG78" i="5"/>
  <c r="DG77" i="5"/>
  <c r="DG76" i="5"/>
  <c r="DG75" i="5"/>
  <c r="DG74" i="5"/>
  <c r="DG73" i="5"/>
  <c r="DG72" i="5"/>
  <c r="DG71" i="5"/>
  <c r="DG68" i="5"/>
  <c r="DG67" i="5"/>
  <c r="DG66" i="5"/>
  <c r="DG65" i="5"/>
  <c r="DG64" i="5"/>
  <c r="DG63" i="5"/>
  <c r="DG62" i="5"/>
  <c r="DG61" i="5"/>
  <c r="DG60" i="5"/>
  <c r="DG59" i="5"/>
  <c r="DG58" i="5"/>
  <c r="DG57" i="5"/>
  <c r="DG56" i="5"/>
  <c r="DG55" i="5"/>
  <c r="DG54" i="5"/>
  <c r="DG53" i="5"/>
  <c r="DG52" i="5"/>
  <c r="DG51" i="5"/>
  <c r="DG50" i="5"/>
  <c r="DG49" i="5"/>
  <c r="DG48" i="5"/>
  <c r="DG47" i="5"/>
  <c r="DG46" i="5"/>
  <c r="DG45" i="5"/>
  <c r="DG44" i="5"/>
  <c r="DG43" i="5"/>
  <c r="DG42" i="5"/>
  <c r="DG41" i="5"/>
  <c r="DG39" i="5"/>
  <c r="DG38" i="5"/>
  <c r="DG37" i="5"/>
  <c r="DG36" i="5"/>
  <c r="DG35" i="5"/>
  <c r="DG34" i="5"/>
  <c r="DG33" i="5"/>
  <c r="DG32" i="5"/>
  <c r="DG31" i="5"/>
  <c r="DG30" i="5"/>
  <c r="DG29" i="5"/>
  <c r="DG28" i="5"/>
  <c r="DG27" i="5"/>
  <c r="DG26" i="5"/>
  <c r="DG25" i="5"/>
  <c r="DG24" i="5"/>
  <c r="DG23" i="5"/>
  <c r="DG22" i="5"/>
  <c r="DG21" i="5"/>
  <c r="DG10" i="5"/>
  <c r="DG9" i="5"/>
  <c r="DG8" i="5"/>
  <c r="BE105" i="5"/>
  <c r="BE104" i="5"/>
  <c r="BD102" i="5"/>
  <c r="BD101" i="5"/>
  <c r="BD100" i="5"/>
  <c r="BD99" i="5"/>
  <c r="BD98" i="5"/>
  <c r="BD97" i="5"/>
  <c r="BD96" i="5"/>
  <c r="BE96" i="5" s="1"/>
  <c r="BD95" i="5"/>
  <c r="BD94" i="5"/>
  <c r="BD93" i="5"/>
  <c r="BE93" i="5" s="1"/>
  <c r="BD91" i="5"/>
  <c r="BE91" i="5" s="1"/>
  <c r="BD90" i="5"/>
  <c r="BE90" i="5" s="1"/>
  <c r="BD89" i="5"/>
  <c r="BD88" i="5"/>
  <c r="BE88" i="5" s="1"/>
  <c r="BD87" i="5"/>
  <c r="BE87" i="5" s="1"/>
  <c r="BD86" i="5"/>
  <c r="BE86" i="5" s="1"/>
  <c r="BD85" i="5"/>
  <c r="BE85" i="5" s="1"/>
  <c r="BD84" i="5"/>
  <c r="BE84" i="5" s="1"/>
  <c r="BD82" i="5"/>
  <c r="BD81" i="5"/>
  <c r="BD80" i="5"/>
  <c r="BD79" i="5"/>
  <c r="BD78" i="5"/>
  <c r="BD77" i="5"/>
  <c r="BE77" i="5" s="1"/>
  <c r="BD76" i="5"/>
  <c r="BD75" i="5"/>
  <c r="BD74" i="5"/>
  <c r="BE74" i="5" s="1"/>
  <c r="BD72" i="5"/>
  <c r="BE72" i="5" s="1"/>
  <c r="BE71" i="5"/>
  <c r="BD70" i="5"/>
  <c r="BE70" i="5" s="1"/>
  <c r="BD69" i="5"/>
  <c r="BE69" i="5" s="1"/>
  <c r="BD68" i="5"/>
  <c r="BD67" i="5"/>
  <c r="BE67" i="5" s="1"/>
  <c r="BD66" i="5"/>
  <c r="BE66" i="5" s="1"/>
  <c r="BD65" i="5"/>
  <c r="BE65" i="5" s="1"/>
  <c r="BD63" i="5"/>
  <c r="BE63" i="5" s="1"/>
  <c r="BD62" i="5"/>
  <c r="BE62" i="5" s="1"/>
  <c r="BD61" i="5"/>
  <c r="BE61" i="5" s="1"/>
  <c r="BD60" i="5"/>
  <c r="BE60" i="5" s="1"/>
  <c r="BD59" i="5"/>
  <c r="BE59" i="5" s="1"/>
  <c r="BD58" i="5"/>
  <c r="BE58" i="5" s="1"/>
  <c r="BD57" i="5"/>
  <c r="BE57" i="5" s="1"/>
  <c r="BD56" i="5"/>
  <c r="BE56" i="5" s="1"/>
  <c r="BD55" i="5"/>
  <c r="BE55" i="5" s="1"/>
  <c r="BD54" i="5"/>
  <c r="BE54" i="5" s="1"/>
  <c r="BD53" i="5"/>
  <c r="BE53" i="5" s="1"/>
  <c r="BD52" i="5"/>
  <c r="BE52" i="5" s="1"/>
  <c r="BD51" i="5"/>
  <c r="BE51" i="5" s="1"/>
  <c r="BD50" i="5"/>
  <c r="BE50" i="5" s="1"/>
  <c r="BD49" i="5"/>
  <c r="BE49" i="5" s="1"/>
  <c r="BD48" i="5"/>
  <c r="BE48" i="5" s="1"/>
  <c r="BD47" i="5"/>
  <c r="BE47" i="5" s="1"/>
  <c r="BD46" i="5"/>
  <c r="BE46" i="5" s="1"/>
  <c r="BD45" i="5"/>
  <c r="BE45" i="5" s="1"/>
  <c r="BD43" i="5"/>
  <c r="BE43" i="5" s="1"/>
  <c r="BD42" i="5"/>
  <c r="BE42" i="5" s="1"/>
  <c r="BD41" i="5"/>
  <c r="BE41" i="5" s="1"/>
  <c r="BD40" i="5"/>
  <c r="BE40" i="5" s="1"/>
  <c r="BD39" i="5"/>
  <c r="BE39" i="5" s="1"/>
  <c r="BD38" i="5"/>
  <c r="BE38" i="5" s="1"/>
  <c r="BD37" i="5"/>
  <c r="BE37" i="5" s="1"/>
  <c r="BD36" i="5"/>
  <c r="BE36" i="5" s="1"/>
  <c r="BD35" i="5"/>
  <c r="BE35" i="5" s="1"/>
  <c r="BD34" i="5"/>
  <c r="BD32" i="5"/>
  <c r="BE32" i="5" s="1"/>
  <c r="BD31" i="5"/>
  <c r="BE31" i="5" s="1"/>
  <c r="BD30" i="5"/>
  <c r="BE30" i="5" s="1"/>
  <c r="BD29" i="5"/>
  <c r="BE29" i="5" s="1"/>
  <c r="BD28" i="5"/>
  <c r="BE28" i="5" s="1"/>
  <c r="BD27" i="5"/>
  <c r="BE27" i="5" s="1"/>
  <c r="BD26" i="5"/>
  <c r="BE26" i="5" s="1"/>
  <c r="BD25" i="5"/>
  <c r="BE25" i="5" s="1"/>
  <c r="BD24" i="5"/>
  <c r="BE24" i="5" s="1"/>
  <c r="BD23" i="5"/>
  <c r="BE23" i="5" s="1"/>
  <c r="BD22" i="5"/>
  <c r="BE22" i="5" s="1"/>
  <c r="BD20" i="5"/>
  <c r="BE20" i="5" s="1"/>
  <c r="BD19" i="5"/>
  <c r="BE19" i="5" s="1"/>
  <c r="BD18" i="5"/>
  <c r="BE18" i="5" s="1"/>
  <c r="BD17" i="5"/>
  <c r="BE17" i="5" s="1"/>
  <c r="BD16" i="5"/>
  <c r="BE16" i="5" s="1"/>
  <c r="BD15" i="5"/>
  <c r="BE15" i="5" s="1"/>
  <c r="BD13" i="5"/>
  <c r="BE13" i="5" s="1"/>
  <c r="BD12" i="5"/>
  <c r="BE12" i="5" s="1"/>
  <c r="BD11" i="5"/>
  <c r="BE11" i="5" s="1"/>
  <c r="BD10" i="5"/>
  <c r="BE10" i="5" s="1"/>
  <c r="BD9" i="5"/>
  <c r="BE9" i="5" s="1"/>
  <c r="BD8" i="5"/>
  <c r="BE8" i="5" s="1"/>
  <c r="BD7" i="5"/>
  <c r="BE7" i="5" s="1"/>
  <c r="AC105" i="5"/>
  <c r="AD105" i="5" s="1"/>
  <c r="AC104" i="5"/>
  <c r="AD104" i="5" s="1"/>
  <c r="AC103" i="5"/>
  <c r="AC102" i="5"/>
  <c r="AD102" i="5" s="1"/>
  <c r="AC101" i="5"/>
  <c r="AC100" i="5"/>
  <c r="AD100" i="5" s="1"/>
  <c r="AC99" i="5"/>
  <c r="AD99" i="5" s="1"/>
  <c r="AC98" i="5"/>
  <c r="AD98" i="5" s="1"/>
  <c r="AC97" i="5"/>
  <c r="AD97" i="5" s="1"/>
  <c r="AC96" i="5"/>
  <c r="AD96" i="5" s="1"/>
  <c r="AC95" i="5"/>
  <c r="AD95" i="5" s="1"/>
  <c r="AC94" i="5"/>
  <c r="AD94" i="5" s="1"/>
  <c r="AD93" i="5"/>
  <c r="AC92" i="5"/>
  <c r="AC91" i="5"/>
  <c r="AD91" i="5" s="1"/>
  <c r="AD90" i="5"/>
  <c r="AC89" i="5"/>
  <c r="AD89" i="5" s="1"/>
  <c r="AC88" i="5"/>
  <c r="AD88" i="5" s="1"/>
  <c r="AC87" i="5"/>
  <c r="AD87" i="5" s="1"/>
  <c r="AC86" i="5"/>
  <c r="AD86" i="5" s="1"/>
  <c r="AC85" i="5"/>
  <c r="AD85" i="5" s="1"/>
  <c r="AC84" i="5"/>
  <c r="AD84" i="5" s="1"/>
  <c r="AC83" i="5"/>
  <c r="AC82" i="5"/>
  <c r="AD82" i="5" s="1"/>
  <c r="AC81" i="5"/>
  <c r="AD81" i="5" s="1"/>
  <c r="AC80" i="5"/>
  <c r="AD80" i="5" s="1"/>
  <c r="AC79" i="5"/>
  <c r="AC78" i="5"/>
  <c r="AD78" i="5" s="1"/>
  <c r="AD77" i="5"/>
  <c r="AD76" i="5"/>
  <c r="AC75" i="5"/>
  <c r="AC74" i="5"/>
  <c r="AD74" i="5" s="1"/>
  <c r="AC73" i="5"/>
  <c r="AC72" i="5"/>
  <c r="AD72" i="5" s="1"/>
  <c r="AC71" i="5"/>
  <c r="AC70" i="5"/>
  <c r="AC69" i="5"/>
  <c r="AD69" i="5" s="1"/>
  <c r="AC68" i="5"/>
  <c r="AD68" i="5" s="1"/>
  <c r="AC67" i="5"/>
  <c r="AD67" i="5" s="1"/>
  <c r="AC66" i="5"/>
  <c r="AD66" i="5" s="1"/>
  <c r="AC65" i="5"/>
  <c r="AD65" i="5" s="1"/>
  <c r="AC64" i="5"/>
  <c r="AC63" i="5"/>
  <c r="AD63" i="5" s="1"/>
  <c r="AC62" i="5"/>
  <c r="AD62" i="5" s="1"/>
  <c r="AC61" i="5"/>
  <c r="AD61" i="5" s="1"/>
  <c r="AC60" i="5"/>
  <c r="AD60" i="5" s="1"/>
  <c r="AC59" i="5"/>
  <c r="AD59" i="5" s="1"/>
  <c r="AC58" i="5"/>
  <c r="AD58" i="5" s="1"/>
  <c r="AC57" i="5"/>
  <c r="AD57" i="5" s="1"/>
  <c r="AC56" i="5"/>
  <c r="AD56" i="5" s="1"/>
  <c r="AC55" i="5"/>
  <c r="AD55" i="5" s="1"/>
  <c r="AC54" i="5"/>
  <c r="AD54" i="5" s="1"/>
  <c r="AC53" i="5"/>
  <c r="AD53" i="5" s="1"/>
  <c r="AC52" i="5"/>
  <c r="AD52" i="5" s="1"/>
  <c r="AC51" i="5"/>
  <c r="AD51" i="5" s="1"/>
  <c r="AC50" i="5"/>
  <c r="AD50" i="5" s="1"/>
  <c r="AC49" i="5"/>
  <c r="AD49" i="5" s="1"/>
  <c r="AC48" i="5"/>
  <c r="AD48" i="5" s="1"/>
  <c r="AC47" i="5"/>
  <c r="AD47" i="5" s="1"/>
  <c r="AC46" i="5"/>
  <c r="AD46" i="5" s="1"/>
  <c r="AC45" i="5"/>
  <c r="AD45" i="5" s="1"/>
  <c r="AC44" i="5"/>
  <c r="AC43" i="5"/>
  <c r="AD43" i="5" s="1"/>
  <c r="AC42" i="5"/>
  <c r="AD42" i="5" s="1"/>
  <c r="AC41" i="5"/>
  <c r="AD41" i="5" s="1"/>
  <c r="AC40" i="5"/>
  <c r="AD40" i="5" s="1"/>
  <c r="AC39" i="5"/>
  <c r="AD39" i="5" s="1"/>
  <c r="AC38" i="5"/>
  <c r="AD38" i="5" s="1"/>
  <c r="AC37" i="5"/>
  <c r="AD37" i="5" s="1"/>
  <c r="AC36" i="5"/>
  <c r="AD36" i="5" s="1"/>
  <c r="AC35" i="5"/>
  <c r="AD35" i="5" s="1"/>
  <c r="AC34" i="5"/>
  <c r="AD34" i="5" s="1"/>
  <c r="AC33" i="5"/>
  <c r="AC32" i="5"/>
  <c r="AD32" i="5" s="1"/>
  <c r="AC31" i="5"/>
  <c r="AD31" i="5" s="1"/>
  <c r="AC30" i="5"/>
  <c r="AD30" i="5" s="1"/>
  <c r="AC29" i="5"/>
  <c r="AD29" i="5" s="1"/>
  <c r="AC28" i="5"/>
  <c r="AD28" i="5" s="1"/>
  <c r="AC27" i="5"/>
  <c r="AD27" i="5" s="1"/>
  <c r="AC26" i="5"/>
  <c r="AD26" i="5" s="1"/>
  <c r="AC25" i="5"/>
  <c r="AD25" i="5" s="1"/>
  <c r="AC24" i="5"/>
  <c r="AD24" i="5" s="1"/>
  <c r="AC23" i="5"/>
  <c r="AD23" i="5" s="1"/>
  <c r="AC22" i="5"/>
  <c r="AD22" i="5" s="1"/>
  <c r="AC21" i="5"/>
  <c r="AC20" i="5"/>
  <c r="AD20" i="5" s="1"/>
  <c r="AC19" i="5"/>
  <c r="AD19" i="5" s="1"/>
  <c r="AC18" i="5"/>
  <c r="AD18" i="5" s="1"/>
  <c r="AC17" i="5"/>
  <c r="AD17" i="5" s="1"/>
  <c r="AC16" i="5"/>
  <c r="AD16" i="5" s="1"/>
  <c r="AC15" i="5"/>
  <c r="AD15" i="5" s="1"/>
  <c r="AC13" i="5"/>
  <c r="AD13" i="5" s="1"/>
  <c r="AC12" i="5"/>
  <c r="AD12" i="5" s="1"/>
  <c r="AC10" i="5"/>
  <c r="AD10" i="5" s="1"/>
  <c r="AC9" i="5"/>
  <c r="AD9" i="5" s="1"/>
  <c r="AC8" i="5"/>
  <c r="AD8" i="5" s="1"/>
  <c r="AD7" i="5"/>
  <c r="AD6" i="5"/>
  <c r="BB83" i="5"/>
  <c r="BA83" i="5"/>
  <c r="AZ83" i="5"/>
  <c r="AY83" i="5"/>
  <c r="AX83" i="5"/>
  <c r="AW83" i="5"/>
  <c r="AV83" i="5"/>
  <c r="AU83" i="5"/>
  <c r="AT83" i="5"/>
  <c r="AS83" i="5"/>
  <c r="AR83" i="5"/>
  <c r="AQ8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BB92" i="5"/>
  <c r="BA92" i="5"/>
  <c r="AZ92" i="5"/>
  <c r="AY92" i="5"/>
  <c r="AX92" i="5"/>
  <c r="AW92" i="5"/>
  <c r="AV92" i="5"/>
  <c r="AU92" i="5"/>
  <c r="AT92" i="5"/>
  <c r="AS92" i="5"/>
  <c r="AR92" i="5"/>
  <c r="AQ92" i="5"/>
  <c r="BB103" i="5"/>
  <c r="BA103" i="5"/>
  <c r="AZ103" i="5"/>
  <c r="AY103" i="5"/>
  <c r="AX103" i="5"/>
  <c r="AW103" i="5"/>
  <c r="AV103" i="5"/>
  <c r="AU103" i="5"/>
  <c r="AT103" i="5"/>
  <c r="AS103" i="5"/>
  <c r="AR103" i="5"/>
  <c r="AQ103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DG14" i="5" l="1"/>
  <c r="AC5" i="5"/>
  <c r="DG18" i="5"/>
  <c r="DG19" i="5"/>
  <c r="DG20" i="5"/>
  <c r="DG17" i="5"/>
  <c r="DG15" i="5"/>
  <c r="DG16" i="5"/>
  <c r="DG70" i="5"/>
  <c r="DG91" i="5"/>
  <c r="DG86" i="5"/>
  <c r="BD103" i="5"/>
  <c r="BE103" i="5" s="1"/>
  <c r="AD5" i="5"/>
  <c r="AD103" i="5"/>
  <c r="AD101" i="5"/>
  <c r="AD92" i="5"/>
  <c r="AD83" i="5"/>
  <c r="AD79" i="5"/>
  <c r="AD73" i="5"/>
  <c r="AD71" i="5"/>
  <c r="AD70" i="5"/>
  <c r="AD64" i="5"/>
  <c r="AD44" i="5"/>
  <c r="AD33" i="5"/>
  <c r="AD21" i="5"/>
  <c r="AD14" i="5"/>
  <c r="BD83" i="5"/>
  <c r="BE83" i="5" s="1"/>
  <c r="BD92" i="5"/>
  <c r="BE92" i="5" s="1"/>
  <c r="BD33" i="5"/>
  <c r="BD21" i="5"/>
  <c r="BB44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P6" i="5"/>
  <c r="AO6" i="5"/>
  <c r="AN6" i="5"/>
  <c r="AM6" i="5"/>
  <c r="AL6" i="5"/>
  <c r="AK6" i="5"/>
  <c r="AJ6" i="5"/>
  <c r="AI6" i="5"/>
  <c r="AP33" i="5"/>
  <c r="AO33" i="5"/>
  <c r="AN33" i="5"/>
  <c r="AM33" i="5"/>
  <c r="AL33" i="5"/>
  <c r="AK33" i="5"/>
  <c r="AJ33" i="5"/>
  <c r="AI33" i="5"/>
  <c r="BB64" i="5"/>
  <c r="BA64" i="5"/>
  <c r="AZ64" i="5"/>
  <c r="AY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BB73" i="5"/>
  <c r="BA73" i="5"/>
  <c r="AZ73" i="5"/>
  <c r="AY73" i="5"/>
  <c r="AX73" i="5"/>
  <c r="AW73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P21" i="5"/>
  <c r="AO21" i="5"/>
  <c r="AN21" i="5"/>
  <c r="AM21" i="5"/>
  <c r="AL21" i="5"/>
  <c r="AK21" i="5"/>
  <c r="AJ21" i="5"/>
  <c r="AH21" i="5"/>
  <c r="AH5" i="5" s="1"/>
  <c r="AG21" i="5"/>
  <c r="AG5" i="5" s="1"/>
  <c r="AF21" i="5"/>
  <c r="AF5" i="5" s="1"/>
  <c r="AE21" i="5"/>
  <c r="AE5" i="5" s="1"/>
  <c r="AI21" i="5"/>
  <c r="DG69" i="5" l="1"/>
  <c r="DG90" i="5"/>
  <c r="DG83" i="5"/>
  <c r="BB5" i="5"/>
  <c r="AP5" i="5"/>
  <c r="BE33" i="5"/>
  <c r="BE21" i="5"/>
  <c r="AN5" i="5"/>
  <c r="AZ5" i="5"/>
  <c r="AO5" i="5"/>
  <c r="BA5" i="5"/>
  <c r="AQ5" i="5"/>
  <c r="AS5" i="5"/>
  <c r="AR5" i="5"/>
  <c r="AT5" i="5"/>
  <c r="AI5" i="5"/>
  <c r="AU5" i="5"/>
  <c r="AJ5" i="5"/>
  <c r="AV5" i="5"/>
  <c r="AK5" i="5"/>
  <c r="AW5" i="5"/>
  <c r="AL5" i="5"/>
  <c r="AX5" i="5"/>
  <c r="AM5" i="5"/>
  <c r="AY5" i="5"/>
  <c r="BD44" i="5"/>
  <c r="BD73" i="5"/>
  <c r="BE73" i="5" s="1"/>
  <c r="BD14" i="5"/>
  <c r="BD64" i="5"/>
  <c r="BD6" i="5"/>
  <c r="FG44" i="5"/>
  <c r="FF44" i="5"/>
  <c r="FE44" i="5"/>
  <c r="FD44" i="5"/>
  <c r="FC44" i="5"/>
  <c r="FB44" i="5"/>
  <c r="FA44" i="5"/>
  <c r="EZ44" i="5"/>
  <c r="EY44" i="5"/>
  <c r="EX44" i="5"/>
  <c r="EW44" i="5"/>
  <c r="FG14" i="5"/>
  <c r="FF14" i="5"/>
  <c r="FE14" i="5"/>
  <c r="FD14" i="5"/>
  <c r="FC14" i="5"/>
  <c r="FB14" i="5"/>
  <c r="FA14" i="5"/>
  <c r="EZ14" i="5"/>
  <c r="EY14" i="5"/>
  <c r="EX14" i="5"/>
  <c r="EW14" i="5"/>
  <c r="FH6" i="5"/>
  <c r="FG6" i="5"/>
  <c r="FF6" i="5"/>
  <c r="FE6" i="5"/>
  <c r="FD6" i="5"/>
  <c r="FC6" i="5"/>
  <c r="FB6" i="5"/>
  <c r="FA6" i="5"/>
  <c r="EZ6" i="5"/>
  <c r="EY6" i="5"/>
  <c r="EX6" i="5"/>
  <c r="EW6" i="5"/>
  <c r="FG33" i="5"/>
  <c r="FF33" i="5"/>
  <c r="FE33" i="5"/>
  <c r="FD33" i="5"/>
  <c r="FC33" i="5"/>
  <c r="FB33" i="5"/>
  <c r="FA33" i="5"/>
  <c r="EZ33" i="5"/>
  <c r="EY33" i="5"/>
  <c r="EX33" i="5"/>
  <c r="EW33" i="5"/>
  <c r="FG103" i="5"/>
  <c r="FF103" i="5"/>
  <c r="FE103" i="5"/>
  <c r="FD103" i="5"/>
  <c r="FC103" i="5"/>
  <c r="FB103" i="5"/>
  <c r="FA103" i="5"/>
  <c r="EZ103" i="5"/>
  <c r="EW103" i="5"/>
  <c r="FG64" i="5"/>
  <c r="FF64" i="5"/>
  <c r="FE64" i="5"/>
  <c r="FD64" i="5"/>
  <c r="FC64" i="5"/>
  <c r="FB64" i="5"/>
  <c r="FA64" i="5"/>
  <c r="EZ64" i="5"/>
  <c r="EY64" i="5"/>
  <c r="EX64" i="5"/>
  <c r="EW64" i="5"/>
  <c r="FG73" i="5"/>
  <c r="FF73" i="5"/>
  <c r="FE73" i="5"/>
  <c r="FD73" i="5"/>
  <c r="FC73" i="5"/>
  <c r="FB73" i="5"/>
  <c r="FA73" i="5"/>
  <c r="EZ73" i="5"/>
  <c r="EY73" i="5"/>
  <c r="EX73" i="5"/>
  <c r="EW73" i="5"/>
  <c r="FI21" i="5"/>
  <c r="FG21" i="5"/>
  <c r="FF21" i="5"/>
  <c r="FE21" i="5"/>
  <c r="FD21" i="5"/>
  <c r="FC21" i="5"/>
  <c r="FB21" i="5"/>
  <c r="FA21" i="5"/>
  <c r="EZ21" i="5"/>
  <c r="EY21" i="5"/>
  <c r="EX21" i="5"/>
  <c r="EW21" i="5"/>
  <c r="FI5" i="5" l="1"/>
  <c r="BE64" i="5"/>
  <c r="BE44" i="5"/>
  <c r="BE14" i="5"/>
  <c r="EW5" i="5"/>
  <c r="BE6" i="5"/>
  <c r="BD5" i="5"/>
  <c r="EY5" i="5"/>
  <c r="EZ5" i="5"/>
  <c r="FA5" i="5"/>
  <c r="EX5" i="5"/>
  <c r="FB5" i="5"/>
  <c r="FC5" i="5"/>
  <c r="FD5" i="5"/>
  <c r="FE5" i="5"/>
  <c r="FF5" i="5"/>
  <c r="FG5" i="5"/>
  <c r="GJ33" i="5"/>
  <c r="GI33" i="5"/>
  <c r="GH33" i="5"/>
  <c r="GG33" i="5"/>
  <c r="GF33" i="5"/>
  <c r="GE33" i="5"/>
  <c r="GD33" i="5"/>
  <c r="GC33" i="5"/>
  <c r="GB33" i="5"/>
  <c r="GA33" i="5"/>
  <c r="FZ33" i="5"/>
  <c r="FY33" i="5"/>
  <c r="FX33" i="5"/>
  <c r="GJ21" i="5"/>
  <c r="GI21" i="5"/>
  <c r="GH21" i="5"/>
  <c r="GG21" i="5"/>
  <c r="GF21" i="5"/>
  <c r="GE21" i="5"/>
  <c r="GD21" i="5"/>
  <c r="GC21" i="5"/>
  <c r="GB21" i="5"/>
  <c r="GA21" i="5"/>
  <c r="FZ21" i="5"/>
  <c r="FY21" i="5"/>
  <c r="FX21" i="5"/>
  <c r="BE5" i="5" l="1"/>
  <c r="BG65" i="5"/>
  <c r="GK33" i="5"/>
  <c r="GL33" i="5" s="1"/>
  <c r="GJ44" i="5"/>
  <c r="GI44" i="5"/>
  <c r="GI5" i="5" s="1"/>
  <c r="GH44" i="5"/>
  <c r="GH5" i="5" s="1"/>
  <c r="GG44" i="5"/>
  <c r="GG5" i="5" s="1"/>
  <c r="GF44" i="5"/>
  <c r="GF5" i="5" s="1"/>
  <c r="GE44" i="5"/>
  <c r="GE5" i="5" s="1"/>
  <c r="GD44" i="5"/>
  <c r="GD5" i="5" s="1"/>
  <c r="GC44" i="5"/>
  <c r="GC5" i="5" s="1"/>
  <c r="GB44" i="5"/>
  <c r="GB5" i="5" s="1"/>
  <c r="GA44" i="5"/>
  <c r="GA5" i="5" s="1"/>
  <c r="FZ44" i="5"/>
  <c r="FZ5" i="5" s="1"/>
  <c r="FY44" i="5"/>
  <c r="FX44" i="5"/>
  <c r="FX5" i="5" s="1"/>
  <c r="FW44" i="5"/>
  <c r="FV44" i="5"/>
  <c r="FU44" i="5"/>
  <c r="FT44" i="5"/>
  <c r="FS44" i="5"/>
  <c r="FR44" i="5"/>
  <c r="FQ44" i="5"/>
  <c r="FP44" i="5"/>
  <c r="FO44" i="5"/>
  <c r="FN44" i="5"/>
  <c r="FM44" i="5"/>
  <c r="FL44" i="5"/>
  <c r="FW33" i="5"/>
  <c r="FV33" i="5"/>
  <c r="FU33" i="5"/>
  <c r="FT33" i="5"/>
  <c r="FS33" i="5"/>
  <c r="FR33" i="5"/>
  <c r="FQ33" i="5"/>
  <c r="FP33" i="5"/>
  <c r="FO33" i="5"/>
  <c r="FN33" i="5"/>
  <c r="FM33" i="5"/>
  <c r="FL33" i="5"/>
  <c r="FW21" i="5"/>
  <c r="FV21" i="5"/>
  <c r="FU21" i="5"/>
  <c r="FT21" i="5"/>
  <c r="FS21" i="5"/>
  <c r="FR21" i="5"/>
  <c r="FQ21" i="5"/>
  <c r="FP21" i="5"/>
  <c r="FO21" i="5"/>
  <c r="FN21" i="5"/>
  <c r="FM21" i="5"/>
  <c r="FL21" i="5"/>
  <c r="FL5" i="5" l="1"/>
  <c r="FP5" i="5"/>
  <c r="FQ5" i="5"/>
  <c r="FS5" i="5"/>
  <c r="FV5" i="5"/>
  <c r="FW5" i="5"/>
  <c r="FN5" i="5"/>
  <c r="FR5" i="5"/>
  <c r="FT5" i="5"/>
  <c r="FM5" i="5"/>
  <c r="FO5" i="5"/>
  <c r="FY5" i="5"/>
  <c r="GJ5" i="5"/>
  <c r="GK21" i="5"/>
  <c r="FU5" i="5"/>
  <c r="GK44" i="5"/>
  <c r="GL44" i="5" l="1"/>
  <c r="GK5" i="5"/>
  <c r="GL5" i="5" s="1"/>
  <c r="CF7" i="5"/>
  <c r="CF8" i="5"/>
  <c r="CF9" i="5"/>
  <c r="CF10" i="5"/>
  <c r="CF11" i="5"/>
  <c r="CF12" i="5"/>
  <c r="CF13" i="5"/>
  <c r="CD14" i="5"/>
  <c r="CE14" i="5"/>
  <c r="CF15" i="5"/>
  <c r="CF16" i="5"/>
  <c r="CF17" i="5"/>
  <c r="CF18" i="5"/>
  <c r="CF19" i="5"/>
  <c r="CF20" i="5"/>
  <c r="CF22" i="5"/>
  <c r="CF23" i="5"/>
  <c r="CF24" i="5"/>
  <c r="CF25" i="5"/>
  <c r="CF26" i="5"/>
  <c r="CF27" i="5"/>
  <c r="CF28" i="5"/>
  <c r="CF29" i="5"/>
  <c r="CF30" i="5"/>
  <c r="CF31" i="5"/>
  <c r="CF32" i="5"/>
  <c r="CE33" i="5"/>
  <c r="CF34" i="5"/>
  <c r="CF35" i="5"/>
  <c r="CF36" i="5"/>
  <c r="CF37" i="5"/>
  <c r="CF38" i="5"/>
  <c r="CF39" i="5"/>
  <c r="CF40" i="5"/>
  <c r="CF41" i="5"/>
  <c r="CF42" i="5"/>
  <c r="CF43" i="5"/>
  <c r="CF45" i="5"/>
  <c r="CF46" i="5"/>
  <c r="CF47" i="5"/>
  <c r="CF48" i="5"/>
  <c r="CF49" i="5"/>
  <c r="CF50" i="5"/>
  <c r="CF51" i="5"/>
  <c r="CF52" i="5"/>
  <c r="CF53" i="5"/>
  <c r="CF54" i="5"/>
  <c r="CF55" i="5"/>
  <c r="CF56" i="5"/>
  <c r="CF57" i="5"/>
  <c r="CF58" i="5"/>
  <c r="CF59" i="5"/>
  <c r="CF60" i="5"/>
  <c r="CF61" i="5"/>
  <c r="CF62" i="5"/>
  <c r="CF63" i="5"/>
  <c r="CE64" i="5"/>
  <c r="CF65" i="5"/>
  <c r="CF66" i="5"/>
  <c r="CF67" i="5"/>
  <c r="CF68" i="5"/>
  <c r="CE69" i="5"/>
  <c r="CF70" i="5"/>
  <c r="CF71" i="5"/>
  <c r="CF72" i="5"/>
  <c r="CF74" i="5"/>
  <c r="CF78" i="5"/>
  <c r="CE79" i="5"/>
  <c r="CF80" i="5"/>
  <c r="CF81" i="5"/>
  <c r="CF82" i="5"/>
  <c r="CE83" i="5"/>
  <c r="CF84" i="5"/>
  <c r="CF85" i="5"/>
  <c r="CF86" i="5"/>
  <c r="CF87" i="5"/>
  <c r="CF88" i="5"/>
  <c r="CF89" i="5"/>
  <c r="CF90" i="5"/>
  <c r="CF91" i="5"/>
  <c r="CE92" i="5"/>
  <c r="CF93" i="5"/>
  <c r="CF94" i="5"/>
  <c r="CF95" i="5"/>
  <c r="CF96" i="5"/>
  <c r="CF97" i="5"/>
  <c r="CF98" i="5"/>
  <c r="CF99" i="5"/>
  <c r="CF100" i="5"/>
  <c r="CE101" i="5"/>
  <c r="CF102" i="5"/>
  <c r="CE103" i="5"/>
  <c r="CF104" i="5"/>
  <c r="CF105" i="5"/>
  <c r="CE5" i="5" l="1"/>
  <c r="CF21" i="5"/>
  <c r="CF64" i="5"/>
  <c r="CF101" i="5"/>
  <c r="CF33" i="5"/>
  <c r="CF14" i="5"/>
  <c r="CF83" i="5"/>
  <c r="CF6" i="5"/>
  <c r="CF92" i="5"/>
  <c r="CF69" i="5"/>
  <c r="CF44" i="5"/>
  <c r="CF73" i="5"/>
  <c r="CF103" i="5"/>
  <c r="CF79" i="5"/>
  <c r="CF5" i="5" l="1"/>
  <c r="A76" i="5"/>
  <c r="A77" i="5" s="1"/>
  <c r="A78" i="5" s="1"/>
  <c r="A45" i="5" l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91" i="5"/>
  <c r="A102" i="5"/>
  <c r="A70" i="5"/>
  <c r="A104" i="5"/>
  <c r="A105" i="5" s="1"/>
  <c r="A94" i="5"/>
  <c r="A95" i="5" s="1"/>
  <c r="A96" i="5" s="1"/>
  <c r="A97" i="5" s="1"/>
  <c r="A98" i="5" s="1"/>
  <c r="A99" i="5" s="1"/>
  <c r="A100" i="5" s="1"/>
  <c r="A72" i="5"/>
  <c r="A84" i="5"/>
  <c r="A85" i="5" s="1"/>
  <c r="A86" i="5" s="1"/>
  <c r="A87" i="5" s="1"/>
  <c r="A88" i="5" s="1"/>
  <c r="A89" i="5" s="1"/>
  <c r="A65" i="5"/>
  <c r="A66" i="5" s="1"/>
  <c r="A67" i="5" s="1"/>
  <c r="A68" i="5" s="1"/>
  <c r="A80" i="5"/>
  <c r="A81" i="5" s="1"/>
  <c r="A82" i="5" s="1"/>
  <c r="A34" i="5"/>
  <c r="A35" i="5" s="1"/>
  <c r="A36" i="5" s="1"/>
  <c r="A37" i="5" s="1"/>
  <c r="A38" i="5" s="1"/>
  <c r="A39" i="5" s="1"/>
  <c r="A40" i="5" s="1"/>
  <c r="A41" i="5" s="1"/>
  <c r="A22" i="5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15" i="5"/>
  <c r="A16" i="5" s="1"/>
  <c r="A17" i="5" s="1"/>
  <c r="A18" i="5" s="1"/>
  <c r="A19" i="5" s="1"/>
  <c r="A20" i="5" s="1"/>
  <c r="A7" i="5"/>
  <c r="A8" i="5" s="1"/>
  <c r="A9" i="5" s="1"/>
  <c r="A10" i="5" s="1"/>
  <c r="A11" i="5" s="1"/>
  <c r="A12" i="5" s="1"/>
  <c r="A13" i="5" s="1"/>
  <c r="A42" i="5" l="1"/>
  <c r="A43" i="5" s="1"/>
  <c r="AD11" i="5"/>
  <c r="FJ103" i="5"/>
  <c r="FJ5" i="5"/>
  <c r="FH5" i="5" l="1"/>
  <c r="EG75" i="5"/>
  <c r="EG91" i="5"/>
  <c r="EG34" i="5"/>
  <c r="EG23" i="5"/>
  <c r="EH23" i="5" s="1"/>
  <c r="EH51" i="5"/>
  <c r="EG24" i="5"/>
  <c r="EH24" i="5" s="1"/>
  <c r="EH52" i="5"/>
  <c r="EG80" i="5"/>
  <c r="EG25" i="5"/>
  <c r="EH25" i="5" s="1"/>
  <c r="EH53" i="5"/>
  <c r="EG81" i="5"/>
  <c r="EH81" i="5" s="1"/>
  <c r="EG26" i="5"/>
  <c r="EH26" i="5" s="1"/>
  <c r="EH54" i="5"/>
  <c r="EG82" i="5"/>
  <c r="EH82" i="5" s="1"/>
  <c r="EG27" i="5"/>
  <c r="EH27" i="5" s="1"/>
  <c r="EH55" i="5"/>
  <c r="EG28" i="5"/>
  <c r="EH28" i="5" s="1"/>
  <c r="EH56" i="5"/>
  <c r="EG84" i="5"/>
  <c r="EG29" i="5"/>
  <c r="EH29" i="5" s="1"/>
  <c r="EH57" i="5"/>
  <c r="EG85" i="5"/>
  <c r="EH85" i="5" s="1"/>
  <c r="EG30" i="5"/>
  <c r="EH30" i="5" s="1"/>
  <c r="EH58" i="5"/>
  <c r="EG86" i="5"/>
  <c r="EH86" i="5" s="1"/>
  <c r="EG31" i="5"/>
  <c r="EH31" i="5"/>
  <c r="EH59" i="5"/>
  <c r="EG87" i="5"/>
  <c r="EH87" i="5" s="1"/>
  <c r="EG32" i="5"/>
  <c r="EH32" i="5" s="1"/>
  <c r="EH60" i="5"/>
  <c r="EG88" i="5"/>
  <c r="EH88" i="5" s="1"/>
  <c r="EH61" i="5"/>
  <c r="EG89" i="5"/>
  <c r="EH89" i="5" s="1"/>
  <c r="EH62" i="5"/>
  <c r="EI5" i="5"/>
  <c r="EJ5" i="5" s="1"/>
  <c r="EG35" i="5"/>
  <c r="EH35" i="5" s="1"/>
  <c r="EH63" i="5"/>
  <c r="EG8" i="5"/>
  <c r="EH8" i="5" s="1"/>
  <c r="EG36" i="5"/>
  <c r="EH36" i="5" s="1"/>
  <c r="EG9" i="5"/>
  <c r="EH9" i="5" s="1"/>
  <c r="EG37" i="5"/>
  <c r="EH37" i="5" s="1"/>
  <c r="EG10" i="5"/>
  <c r="EH10" i="5" s="1"/>
  <c r="EG38" i="5"/>
  <c r="EH38" i="5"/>
  <c r="EH66" i="5"/>
  <c r="EG11" i="5"/>
  <c r="EH11" i="5" s="1"/>
  <c r="EG39" i="5"/>
  <c r="EH39" i="5"/>
  <c r="EH67" i="5"/>
  <c r="EG12" i="5"/>
  <c r="EH12" i="5" s="1"/>
  <c r="EG40" i="5"/>
  <c r="EH40" i="5"/>
  <c r="EH68" i="5"/>
  <c r="EG13" i="5"/>
  <c r="EH13" i="5" s="1"/>
  <c r="EG41" i="5"/>
  <c r="EH41" i="5" s="1"/>
  <c r="EG42" i="5"/>
  <c r="EH42" i="5" s="1"/>
  <c r="EG15" i="5"/>
  <c r="EG43" i="5"/>
  <c r="EH43" i="5" s="1"/>
  <c r="EG16" i="5"/>
  <c r="EH16" i="5" s="1"/>
  <c r="EG17" i="5"/>
  <c r="EH17" i="5" s="1"/>
  <c r="EG18" i="5"/>
  <c r="EH18" i="5" s="1"/>
  <c r="EH46" i="5"/>
  <c r="EG74" i="5"/>
  <c r="EG19" i="5"/>
  <c r="EH19" i="5" s="1"/>
  <c r="EH47" i="5"/>
  <c r="EG20" i="5"/>
  <c r="EH20" i="5" s="1"/>
  <c r="EH48" i="5"/>
  <c r="EG76" i="5"/>
  <c r="EH76" i="5" s="1"/>
  <c r="EH49" i="5"/>
  <c r="EG77" i="5"/>
  <c r="EH77" i="5" s="1"/>
  <c r="EG22" i="5"/>
  <c r="EG21" i="5" s="1"/>
  <c r="EH50" i="5"/>
  <c r="EG78" i="5"/>
  <c r="EH78" i="5" s="1"/>
  <c r="EG7" i="5"/>
  <c r="EG6" i="5" s="1"/>
  <c r="EG44" i="5" l="1"/>
  <c r="EG14" i="5"/>
  <c r="EG83" i="5"/>
  <c r="EG73" i="5"/>
  <c r="EH73" i="5" s="1"/>
  <c r="EG71" i="5"/>
  <c r="EH71" i="5" s="1"/>
  <c r="EG79" i="5"/>
  <c r="EG64" i="5"/>
  <c r="EH64" i="5" s="1"/>
  <c r="EG33" i="5"/>
  <c r="EH90" i="5"/>
  <c r="EH84" i="5"/>
  <c r="EH83" i="5"/>
  <c r="EH45" i="5"/>
  <c r="EH33" i="5"/>
  <c r="EH15" i="5"/>
  <c r="EH14" i="5"/>
  <c r="EH80" i="5"/>
  <c r="EH79" i="5"/>
  <c r="EH74" i="5"/>
  <c r="EH7" i="5"/>
  <c r="EH6" i="5"/>
  <c r="EH22" i="5"/>
  <c r="EH21" i="5"/>
  <c r="EM85" i="5"/>
  <c r="EM86" i="5" s="1"/>
  <c r="EH72" i="5"/>
  <c r="EH44" i="5"/>
  <c r="EH65" i="5"/>
  <c r="DG7" i="5"/>
  <c r="DD5" i="5"/>
  <c r="DG6" i="5" l="1"/>
  <c r="DF5" i="5"/>
  <c r="DG5" i="5" l="1"/>
</calcChain>
</file>

<file path=xl/sharedStrings.xml><?xml version="1.0" encoding="utf-8"?>
<sst xmlns="http://schemas.openxmlformats.org/spreadsheetml/2006/main" count="345" uniqueCount="124">
  <si>
    <t>№</t>
  </si>
  <si>
    <t xml:space="preserve">Жами </t>
  </si>
  <si>
    <t>Микрокредитбанк</t>
  </si>
  <si>
    <t>Асака банк</t>
  </si>
  <si>
    <t>Ипотека банк</t>
  </si>
  <si>
    <t>Халқ банки</t>
  </si>
  <si>
    <t>Турон банк</t>
  </si>
  <si>
    <t>Ўзсаноатқурилишбанк</t>
  </si>
  <si>
    <t>Агро банк</t>
  </si>
  <si>
    <t>Миллий банк</t>
  </si>
  <si>
    <t>Ҳамкор банк</t>
  </si>
  <si>
    <t>Инфин банк</t>
  </si>
  <si>
    <t>Универсал банк</t>
  </si>
  <si>
    <t>Ипак йўли банк</t>
  </si>
  <si>
    <t>Тижорат банклари номи</t>
  </si>
  <si>
    <t>МФО</t>
  </si>
  <si>
    <t>00413</t>
  </si>
  <si>
    <t>00457</t>
  </si>
  <si>
    <t>00463</t>
  </si>
  <si>
    <t>00468</t>
  </si>
  <si>
    <t>00472</t>
  </si>
  <si>
    <t>00474</t>
  </si>
  <si>
    <t>00475</t>
  </si>
  <si>
    <t>00476</t>
  </si>
  <si>
    <t>00480</t>
  </si>
  <si>
    <t>00482</t>
  </si>
  <si>
    <t>00485</t>
  </si>
  <si>
    <t>00459</t>
  </si>
  <si>
    <t>00461</t>
  </si>
  <si>
    <t>00478</t>
  </si>
  <si>
    <t>00487</t>
  </si>
  <si>
    <t>00489</t>
  </si>
  <si>
    <t>01039</t>
  </si>
  <si>
    <t>01130</t>
  </si>
  <si>
    <t>01170</t>
  </si>
  <si>
    <t>01056</t>
  </si>
  <si>
    <t>01080</t>
  </si>
  <si>
    <t>01081</t>
  </si>
  <si>
    <t>Гарант банк</t>
  </si>
  <si>
    <t>Амалиёт БХМ</t>
  </si>
  <si>
    <t>Ангрен БХМ</t>
  </si>
  <si>
    <t>Янгийўл БХМ</t>
  </si>
  <si>
    <t>Бекобод БХМ</t>
  </si>
  <si>
    <t>Ғазалкент БХМ</t>
  </si>
  <si>
    <t>Чирчиқ БХМ</t>
  </si>
  <si>
    <t>Олмалиқ БХМ</t>
  </si>
  <si>
    <t>Оққўрғон БХО</t>
  </si>
  <si>
    <t>Ғазалкент БХО</t>
  </si>
  <si>
    <t>Юқоричирчиқ БХМ</t>
  </si>
  <si>
    <t>Бўстонлиқ БХМ</t>
  </si>
  <si>
    <t>Дўстобод БХМ</t>
  </si>
  <si>
    <t>Пискент БХМ</t>
  </si>
  <si>
    <t>Оққўрғон БХМ</t>
  </si>
  <si>
    <t>Паркент БХМ</t>
  </si>
  <si>
    <t>Зафар БХМ</t>
  </si>
  <si>
    <t>Қибрай БХМ</t>
  </si>
  <si>
    <t>Зангиота БХМ</t>
  </si>
  <si>
    <t>Келес БХМ</t>
  </si>
  <si>
    <t>Нурафшон БХМ</t>
  </si>
  <si>
    <t>Чиноз БХМ</t>
  </si>
  <si>
    <t>Бўка БХМ</t>
  </si>
  <si>
    <t>Алоқа банк</t>
  </si>
  <si>
    <t>Келес БХО</t>
  </si>
  <si>
    <t>Бекобод БХО</t>
  </si>
  <si>
    <t>Ўртачирчиқ БХО</t>
  </si>
  <si>
    <t>Тошкент вилояти БХМ</t>
  </si>
  <si>
    <t>Оҳангарон БХО</t>
  </si>
  <si>
    <t>Амалиёт БХО</t>
  </si>
  <si>
    <t>Оҳангарон филиали</t>
  </si>
  <si>
    <t>Оққўрғон филиали</t>
  </si>
  <si>
    <t>Бўка филиали</t>
  </si>
  <si>
    <t>Бекобод филиали</t>
  </si>
  <si>
    <t>Пискент филиали</t>
  </si>
  <si>
    <t>Қуйичирчиқ филиали</t>
  </si>
  <si>
    <t>Ҳудудий филиали</t>
  </si>
  <si>
    <t>Чиноз филиали</t>
  </si>
  <si>
    <t>Юқоричирчиқ филиали</t>
  </si>
  <si>
    <t>Паркент филиали</t>
  </si>
  <si>
    <t>Янгийўл филиали</t>
  </si>
  <si>
    <t>Нурафшон БХО</t>
  </si>
  <si>
    <t>Пискент БХО</t>
  </si>
  <si>
    <t>Паркент БХО</t>
  </si>
  <si>
    <t>Зангиота филиали</t>
  </si>
  <si>
    <t>Янгийўл БХО</t>
  </si>
  <si>
    <t>Чиноз БХО</t>
  </si>
  <si>
    <t>Олмалиқ БХО</t>
  </si>
  <si>
    <t>Ангрен БХО</t>
  </si>
  <si>
    <t>Чирчиқ БХО</t>
  </si>
  <si>
    <t>Олмалиқ филиали</t>
  </si>
  <si>
    <t>Ангрен филиали</t>
  </si>
  <si>
    <t>Чирчиқ филиали</t>
  </si>
  <si>
    <t>Дўстобод филиали</t>
  </si>
  <si>
    <t>Тошкент вилоят филиали</t>
  </si>
  <si>
    <t>Оҳангарон БХМ</t>
  </si>
  <si>
    <t>Бизнесни рив-ш банки</t>
  </si>
  <si>
    <t>Қибрай БХО</t>
  </si>
  <si>
    <t>Зангиота БХО</t>
  </si>
  <si>
    <t>Тошкент вилояти банк ва филиаллари</t>
  </si>
  <si>
    <t>прогноз</t>
  </si>
  <si>
    <t>амалда</t>
  </si>
  <si>
    <t xml:space="preserve">Январ </t>
  </si>
  <si>
    <t>феврал</t>
  </si>
  <si>
    <t>март</t>
  </si>
  <si>
    <t>Апрел</t>
  </si>
  <si>
    <t>май</t>
  </si>
  <si>
    <t>июн</t>
  </si>
  <si>
    <t>июл</t>
  </si>
  <si>
    <t>август</t>
  </si>
  <si>
    <t>сентябр</t>
  </si>
  <si>
    <t>октябр</t>
  </si>
  <si>
    <t>ноябр</t>
  </si>
  <si>
    <t>декабр</t>
  </si>
  <si>
    <t>2024 йил</t>
  </si>
  <si>
    <t>2025 йил</t>
  </si>
  <si>
    <t>2025 йил режа амалда</t>
  </si>
  <si>
    <t>бажари-лиши</t>
  </si>
  <si>
    <t>Микролойиҳалар (сони)</t>
  </si>
  <si>
    <r>
      <t xml:space="preserve">Аҳолини тадбиркорликка 
жалб қилиш (сони)
</t>
    </r>
    <r>
      <rPr>
        <i/>
        <u/>
        <sz val="14"/>
        <rFont val="Times New Roman"/>
        <family val="1"/>
        <charset val="204"/>
      </rPr>
      <t>(Январ-Октябрь ойлари солиқдан тасдиқланган)</t>
    </r>
  </si>
  <si>
    <t>Қичик бизнесни қўллаб қувватлаш комплекс дастури (млн.сўм)</t>
  </si>
  <si>
    <t>Бизнесга биринчи қадам (млн.сўм)</t>
  </si>
  <si>
    <t>Маҳалла лойиҳаси
(Паркент тажрибаси) (млн.сўм)</t>
  </si>
  <si>
    <t>Оилавий тадбиркорликни ривожлантириш дастурлари (млн.сўм)</t>
  </si>
  <si>
    <r>
      <t xml:space="preserve">Доимий иш ўринларини 
яратиш (сони)
</t>
    </r>
    <r>
      <rPr>
        <i/>
        <u/>
        <sz val="14"/>
        <rFont val="Times New Roman"/>
        <family val="1"/>
        <charset val="204"/>
      </rPr>
      <t>(Январ-Ноябрь ойлари солиқдан тасдиқланган)</t>
    </r>
  </si>
  <si>
    <t>Тошкент шаҳар банклари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</si>
</sst>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_-* #,##0&quot;р.&quot;_-;\-* #,##0&quot;р.&quot;_-;_-* &quot;-&quot;&quot;р.&quot;_-;_-@_-"/>
    <numFmt numFmtId="165" formatCode="_-* #,##0.00_р_._-;\-* #,##0.00_р_._-;_-* &quot;-&quot;??_р_._-;_-@_-"/>
    <numFmt numFmtId="166" formatCode="#,##0.0"/>
    <numFmt numFmtId="167" formatCode="#"/>
    <numFmt numFmtId="168" formatCode="_-* #,##0.00\ _?_._-;\-* #,##0.00\ _?_._-;_-* &quot;-&quot;??\ _?_._-;_-@_-"/>
    <numFmt numFmtId="169" formatCode="_-* #,##0.00\ &quot;?.&quot;_-;\-* #,##0.00\ &quot;?.&quot;_-;_-* &quot;-&quot;??\ &quot;?.&quot;_-;_-@_-"/>
    <numFmt numFmtId="170" formatCode="\$#.00"/>
    <numFmt numFmtId="171" formatCode="%#.00"/>
    <numFmt numFmtId="172" formatCode="#\,##0.00"/>
    <numFmt numFmtId="173" formatCode="#.00"/>
    <numFmt numFmtId="174" formatCode="_-* #,##0\ &quot;d.&quot;_-;\-* #,##0\ &quot;d.&quot;_-;_-* &quot;-&quot;\ &quot;d.&quot;_-;_-@_-"/>
    <numFmt numFmtId="175" formatCode="_-* #,##0.00\ &quot;d.&quot;_-;\-* #,##0.00\ &quot;d.&quot;_-;_-* &quot;-&quot;??\ &quot;d.&quot;_-;_-@_-"/>
    <numFmt numFmtId="176" formatCode="_-* #,##0\ _р_._-;\-* #,##0\ _р_._-;_-* &quot;-&quot;\ _р_._-;_-@_-"/>
    <numFmt numFmtId="177" formatCode="_-&quot;Ј&quot;* #,##0_-;\-&quot;Ј&quot;* #,##0_-;_-&quot;Ј&quot;* &quot;-&quot;_-;_-@_-"/>
    <numFmt numFmtId="178" formatCode="_-&quot;Ј&quot;* #,##0.00_-;\-&quot;Ј&quot;* #,##0.00_-;_-&quot;Ј&quot;* &quot;-&quot;??_-;_-@_-"/>
    <numFmt numFmtId="179" formatCode="_-* #,##0.00[$€-1]_-;\-* #,##0.00[$€-1]_-;_-* &quot;-&quot;??[$€-1]_-"/>
    <numFmt numFmtId="180" formatCode="_(* #,##0_);_(* \(#,##0\);_(* &quot;-&quot;_);_(@_)"/>
    <numFmt numFmtId="181" formatCode="_(* #,##0.00_);_(* \(#,##0.00\);_(* &quot;-&quot;??_);_(@_)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_-* #,##0\ _d_._-;\-* #,##0\ _d_._-;_-* &quot;-&quot;\ _d_._-;_-@_-"/>
    <numFmt numFmtId="185" formatCode="_-* #,##0.00\ _d_._-;\-* #,##0.00\ _d_._-;_-* &quot;-&quot;??\ _d_._-;_-@_-"/>
    <numFmt numFmtId="186" formatCode="#,##0.0_р_."/>
    <numFmt numFmtId="187" formatCode="_-* #,##0\ _?_._-;\-* #,##0\ _?_._-;_-* &quot;-&quot;\ _?_._-;_-@_-"/>
    <numFmt numFmtId="188" formatCode="_-* #,##0_р_._-;\-* #,##0_р_._-;_-* &quot;-&quot;??_р_._-;_-@_-"/>
    <numFmt numFmtId="189" formatCode="d/m"/>
  </numFmts>
  <fonts count="63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2"/>
      <color indexed="35"/>
      <name val="Courier"/>
      <family val="1"/>
      <charset val="204"/>
    </font>
    <font>
      <sz val="10"/>
      <color indexed="35"/>
      <name val="Courier"/>
      <family val="1"/>
      <charset val="204"/>
    </font>
    <font>
      <u/>
      <sz val="7.5"/>
      <color indexed="12"/>
      <name val="Arial Cyr"/>
      <charset val="204"/>
    </font>
    <font>
      <u/>
      <sz val="7.5"/>
      <color indexed="36"/>
      <name val="Arial Cyr"/>
      <charset val="204"/>
    </font>
    <font>
      <sz val="1"/>
      <color indexed="8"/>
      <name val="Courier"/>
      <family val="1"/>
      <charset val="204"/>
    </font>
    <font>
      <sz val="10"/>
      <name val="Arial"/>
      <family val="2"/>
      <charset val="204"/>
    </font>
    <font>
      <sz val="10"/>
      <name val="Helv"/>
      <family val="2"/>
    </font>
    <font>
      <sz val="10"/>
      <name val="Helv"/>
    </font>
    <font>
      <sz val="1"/>
      <color indexed="16"/>
      <name val="Courier"/>
      <family val="1"/>
      <charset val="204"/>
    </font>
    <font>
      <b/>
      <sz val="1"/>
      <color indexed="16"/>
      <name val="Courier"/>
      <family val="1"/>
      <charset val="204"/>
    </font>
    <font>
      <sz val="12"/>
      <color indexed="8"/>
      <name val="Courier"/>
      <family val="1"/>
      <charset val="204"/>
    </font>
    <font>
      <b/>
      <sz val="18"/>
      <color indexed="8"/>
      <name val="Courier"/>
      <family val="1"/>
      <charset val="204"/>
    </font>
    <font>
      <b/>
      <sz val="12"/>
      <color indexed="8"/>
      <name val="Courie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color indexed="0"/>
      <name val="Courier"/>
      <family val="1"/>
      <charset val="204"/>
    </font>
    <font>
      <sz val="10"/>
      <color indexed="72"/>
      <name val="Courier"/>
      <family val="1"/>
      <charset val="204"/>
    </font>
    <font>
      <sz val="11"/>
      <color indexed="16"/>
      <name val="Calibri"/>
      <family val="2"/>
      <charset val="204"/>
    </font>
    <font>
      <b/>
      <sz val="11"/>
      <color indexed="53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1"/>
      <color indexed="8"/>
      <name val="Calibri"/>
      <family val="2"/>
      <charset val="204"/>
    </font>
    <font>
      <i/>
      <sz val="11"/>
      <color indexed="23"/>
      <name val="Calibri"/>
      <family val="2"/>
      <charset val="204"/>
    </font>
    <font>
      <i/>
      <sz val="1"/>
      <color indexed="18"/>
      <name val="Courier"/>
      <family val="1"/>
      <charset val="204"/>
    </font>
    <font>
      <i/>
      <sz val="1"/>
      <color indexed="16"/>
      <name val="Courier"/>
      <family val="1"/>
      <charset val="204"/>
    </font>
    <font>
      <sz val="11"/>
      <color indexed="17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sz val="12"/>
      <name val="Arial Cyr"/>
      <charset val="204"/>
    </font>
    <font>
      <sz val="12"/>
      <color indexed="0"/>
      <name val="Courier"/>
      <family val="1"/>
      <charset val="204"/>
    </font>
    <font>
      <sz val="11"/>
      <color indexed="62"/>
      <name val="Calibri"/>
      <family val="2"/>
      <charset val="204"/>
    </font>
    <font>
      <sz val="11"/>
      <color indexed="53"/>
      <name val="Calibri"/>
      <family val="2"/>
      <charset val="204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Times New Roman"/>
      <family val="1"/>
      <charset val="204"/>
    </font>
    <font>
      <sz val="7"/>
      <color indexed="8"/>
      <name val="Times New Roman"/>
      <family val="1"/>
      <charset val="204"/>
    </font>
    <font>
      <b/>
      <sz val="6"/>
      <color indexed="8"/>
      <name val="Arial"/>
      <family val="2"/>
      <charset val="204"/>
    </font>
    <font>
      <b/>
      <sz val="18"/>
      <color indexed="62"/>
      <name val="Cambria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sz val="11"/>
      <name val="Arial"/>
      <family val="2"/>
      <charset val="204"/>
    </font>
    <font>
      <sz val="10"/>
      <name val="Arial Cyr"/>
    </font>
    <font>
      <sz val="12"/>
      <name val="PANDA Times UZ"/>
      <family val="2"/>
    </font>
    <font>
      <sz val="10"/>
      <name val="Arial Cyr"/>
      <charset val="186"/>
    </font>
    <font>
      <sz val="10"/>
      <name val="Tahoma"/>
      <family val="2"/>
      <charset val="204"/>
    </font>
    <font>
      <sz val="11"/>
      <name val="돋움"/>
      <charset val="129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24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i/>
      <u/>
      <sz val="14"/>
      <name val="Times New Roman"/>
      <family val="1"/>
      <charset val="204"/>
    </font>
    <font>
      <sz val="16"/>
      <name val="Cambria"/>
      <family val="1"/>
      <charset val="204"/>
    </font>
    <font>
      <sz val="16"/>
      <color rgb="FF000000"/>
      <name val="Times New Roman"/>
      <family val="1"/>
      <charset val="204"/>
    </font>
    <font>
      <sz val="18"/>
      <name val="Cambria"/>
      <family val="1"/>
      <charset val="204"/>
    </font>
    <font>
      <b/>
      <sz val="16"/>
      <color rgb="FFFF0000"/>
      <name val="Times New Roman"/>
      <family val="1"/>
      <charset val="204"/>
    </font>
    <font>
      <b/>
      <sz val="16"/>
      <color theme="1"/>
      <name val="Times New Roman"/>
      <family val="1"/>
      <charset val="204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31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7" fontId="2" fillId="0" borderId="0">
      <protection locked="0"/>
    </xf>
    <xf numFmtId="167" fontId="3" fillId="0" borderId="0">
      <protection locked="0"/>
    </xf>
    <xf numFmtId="167" fontId="3" fillId="0" borderId="0">
      <protection locked="0"/>
    </xf>
    <xf numFmtId="167" fontId="3" fillId="0" borderId="0">
      <protection locked="0"/>
    </xf>
    <xf numFmtId="167" fontId="3" fillId="0" borderId="0"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6" fillId="0" borderId="1"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>
      <protection locked="0"/>
    </xf>
    <xf numFmtId="0" fontId="6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67" fontId="10" fillId="0" borderId="0">
      <protection locked="0"/>
    </xf>
    <xf numFmtId="167" fontId="10" fillId="0" borderId="0">
      <protection locked="0"/>
    </xf>
    <xf numFmtId="167" fontId="10" fillId="0" borderId="0">
      <protection locked="0"/>
    </xf>
    <xf numFmtId="164" fontId="10" fillId="0" borderId="0">
      <protection locked="0"/>
    </xf>
    <xf numFmtId="0" fontId="10" fillId="0" borderId="1">
      <protection locked="0"/>
    </xf>
    <xf numFmtId="167" fontId="11" fillId="0" borderId="0">
      <protection locked="0"/>
    </xf>
    <xf numFmtId="167" fontId="11" fillId="0" borderId="0">
      <protection locked="0"/>
    </xf>
    <xf numFmtId="167" fontId="10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73" fontId="12" fillId="0" borderId="0">
      <protection locked="0"/>
    </xf>
    <xf numFmtId="167" fontId="13" fillId="0" borderId="0">
      <protection locked="0"/>
    </xf>
    <xf numFmtId="167" fontId="14" fillId="0" borderId="0">
      <protection locked="0"/>
    </xf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6" borderId="0" applyNumberFormat="0" applyBorder="0" applyAlignment="0" applyProtection="0"/>
    <xf numFmtId="0" fontId="15" fillId="9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167" fontId="17" fillId="0" borderId="0">
      <protection locked="0"/>
    </xf>
    <xf numFmtId="167" fontId="17" fillId="0" borderId="0">
      <protection locked="0"/>
    </xf>
    <xf numFmtId="167" fontId="18" fillId="0" borderId="0">
      <protection locked="0"/>
    </xf>
    <xf numFmtId="0" fontId="16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4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4" borderId="0" applyNumberFormat="0" applyBorder="0" applyAlignment="0" applyProtection="0"/>
    <xf numFmtId="0" fontId="16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30" borderId="0" applyNumberFormat="0" applyBorder="0" applyAlignment="0" applyProtection="0"/>
    <xf numFmtId="0" fontId="15" fillId="22" borderId="0" applyNumberFormat="0" applyBorder="0" applyAlignment="0" applyProtection="0"/>
    <xf numFmtId="0" fontId="15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17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0" fontId="19" fillId="33" borderId="0" applyNumberFormat="0" applyBorder="0" applyAlignment="0" applyProtection="0"/>
    <xf numFmtId="0" fontId="20" fillId="34" borderId="2" applyNumberFormat="0" applyAlignment="0" applyProtection="0"/>
    <xf numFmtId="0" fontId="21" fillId="24" borderId="3" applyNumberFormat="0" applyAlignment="0" applyProtection="0"/>
    <xf numFmtId="176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3" fontId="1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" fontId="1" fillId="0" borderId="0" applyFont="0" applyFill="0" applyBorder="0" applyAlignment="0" applyProtection="0"/>
    <xf numFmtId="0" fontId="22" fillId="35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179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64" fontId="10" fillId="0" borderId="0">
      <protection locked="0"/>
    </xf>
    <xf numFmtId="164" fontId="10" fillId="0" borderId="0">
      <protection locked="0"/>
    </xf>
    <xf numFmtId="164" fontId="24" fillId="0" borderId="0">
      <protection locked="0"/>
    </xf>
    <xf numFmtId="164" fontId="10" fillId="0" borderId="0">
      <protection locked="0"/>
    </xf>
    <xf numFmtId="164" fontId="10" fillId="0" borderId="0">
      <protection locked="0"/>
    </xf>
    <xf numFmtId="164" fontId="10" fillId="0" borderId="0">
      <protection locked="0"/>
    </xf>
    <xf numFmtId="164" fontId="25" fillId="0" borderId="0">
      <protection locked="0"/>
    </xf>
    <xf numFmtId="0" fontId="26" fillId="26" borderId="0" applyNumberFormat="0" applyBorder="0" applyAlignment="0" applyProtection="0"/>
    <xf numFmtId="0" fontId="27" fillId="0" borderId="4" applyNumberFormat="0" applyFill="0" applyAlignment="0" applyProtection="0"/>
    <xf numFmtId="0" fontId="28" fillId="0" borderId="5" applyNumberFormat="0" applyFill="0" applyAlignment="0" applyProtection="0"/>
    <xf numFmtId="0" fontId="29" fillId="0" borderId="6" applyNumberFormat="0" applyFill="0" applyAlignment="0" applyProtection="0"/>
    <xf numFmtId="0" fontId="29" fillId="0" borderId="0" applyNumberFormat="0" applyFill="0" applyBorder="0" applyAlignment="0" applyProtection="0"/>
    <xf numFmtId="167" fontId="17" fillId="0" borderId="0">
      <protection locked="0"/>
    </xf>
    <xf numFmtId="0" fontId="30" fillId="0" borderId="0"/>
    <xf numFmtId="167" fontId="31" fillId="0" borderId="0"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2" fillId="31" borderId="2" applyNumberFormat="0" applyAlignment="0" applyProtection="0"/>
    <xf numFmtId="0" fontId="33" fillId="0" borderId="7" applyNumberFormat="0" applyFill="0" applyAlignment="0" applyProtection="0"/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34" fillId="38" borderId="0" applyNumberFormat="0" applyBorder="0" applyAlignment="0" applyProtection="0"/>
    <xf numFmtId="0" fontId="7" fillId="0" borderId="0"/>
    <xf numFmtId="0" fontId="15" fillId="22" borderId="8" applyNumberFormat="0" applyFont="0" applyAlignment="0" applyProtection="0"/>
    <xf numFmtId="184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67" fontId="17" fillId="0" borderId="0">
      <protection locked="0"/>
    </xf>
    <xf numFmtId="167" fontId="17" fillId="0" borderId="0">
      <protection locked="0"/>
    </xf>
    <xf numFmtId="167" fontId="18" fillId="0" borderId="0">
      <protection locked="0"/>
    </xf>
    <xf numFmtId="0" fontId="35" fillId="34" borderId="9" applyNumberFormat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36" fillId="39" borderId="0">
      <alignment horizontal="left" vertical="top"/>
    </xf>
    <xf numFmtId="0" fontId="37" fillId="39" borderId="0">
      <alignment horizontal="center" vertical="center"/>
    </xf>
    <xf numFmtId="0" fontId="38" fillId="39" borderId="0">
      <alignment horizontal="center" vertical="top"/>
    </xf>
    <xf numFmtId="0" fontId="38" fillId="39" borderId="0">
      <alignment horizontal="center" vertical="top"/>
    </xf>
    <xf numFmtId="0" fontId="38" fillId="39" borderId="0">
      <alignment horizontal="center" vertical="top"/>
    </xf>
    <xf numFmtId="0" fontId="38" fillId="39" borderId="0">
      <alignment horizontal="left" vertical="top"/>
    </xf>
    <xf numFmtId="0" fontId="38" fillId="39" borderId="0">
      <alignment horizontal="left" vertical="top"/>
    </xf>
    <xf numFmtId="0" fontId="38" fillId="39" borderId="0">
      <alignment horizontal="right" vertical="center"/>
    </xf>
    <xf numFmtId="0" fontId="38" fillId="39" borderId="0">
      <alignment horizontal="right" vertical="center"/>
    </xf>
    <xf numFmtId="0" fontId="39" fillId="39" borderId="0">
      <alignment horizontal="right" vertical="top"/>
    </xf>
    <xf numFmtId="0" fontId="40" fillId="0" borderId="0" applyNumberFormat="0" applyFill="0" applyBorder="0" applyAlignment="0" applyProtection="0"/>
    <xf numFmtId="0" fontId="7" fillId="0" borderId="0"/>
    <xf numFmtId="0" fontId="4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42" fillId="0" borderId="0" applyNumberFormat="0" applyFill="0" applyBorder="0" applyAlignment="0" applyProtection="0"/>
    <xf numFmtId="183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0" fontId="30" fillId="0" borderId="0">
      <alignment horizont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3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43" fillId="0" borderId="0"/>
    <xf numFmtId="0" fontId="43" fillId="0" borderId="0"/>
    <xf numFmtId="0" fontId="15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4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44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43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40" borderId="8" applyNumberFormat="0" applyFont="0" applyAlignment="0" applyProtection="0"/>
    <xf numFmtId="0" fontId="15" fillId="40" borderId="8" applyNumberFormat="0" applyFont="0" applyAlignment="0" applyProtection="0"/>
    <xf numFmtId="0" fontId="15" fillId="40" borderId="8" applyNumberFormat="0" applyFont="0" applyAlignment="0" applyProtection="0"/>
    <xf numFmtId="0" fontId="15" fillId="40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8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8" fontId="4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8" fontId="47" fillId="0" borderId="0" applyFont="0" applyFill="0" applyBorder="0" applyAlignment="0" applyProtection="0"/>
    <xf numFmtId="188" fontId="4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8" fontId="47" fillId="0" borderId="0" applyFont="0" applyFill="0" applyBorder="0" applyAlignment="0" applyProtection="0"/>
    <xf numFmtId="188" fontId="47" fillId="0" borderId="0" applyFont="0" applyFill="0" applyBorder="0" applyAlignment="0" applyProtection="0"/>
    <xf numFmtId="188" fontId="47" fillId="0" borderId="0" applyFont="0" applyFill="0" applyBorder="0" applyAlignment="0" applyProtection="0"/>
    <xf numFmtId="188" fontId="47" fillId="0" borderId="0" applyFont="0" applyFill="0" applyBorder="0" applyAlignment="0" applyProtection="0"/>
    <xf numFmtId="189" fontId="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6" fontId="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7" fontId="10" fillId="0" borderId="0">
      <protection locked="0"/>
    </xf>
    <xf numFmtId="0" fontId="48" fillId="0" borderId="0"/>
    <xf numFmtId="0" fontId="50" fillId="0" borderId="0"/>
    <xf numFmtId="0" fontId="1" fillId="0" borderId="0"/>
    <xf numFmtId="0" fontId="1" fillId="0" borderId="0"/>
    <xf numFmtId="0" fontId="15" fillId="0" borderId="0"/>
    <xf numFmtId="9" fontId="50" fillId="0" borderId="0" applyFont="0" applyFill="0" applyBorder="0" applyAlignment="0" applyProtection="0"/>
  </cellStyleXfs>
  <cellXfs count="44">
    <xf numFmtId="0" fontId="0" fillId="0" borderId="0" xfId="0"/>
    <xf numFmtId="0" fontId="49" fillId="2" borderId="0" xfId="1" applyFont="1" applyFill="1" applyAlignment="1">
      <alignment horizontal="center" vertical="center"/>
    </xf>
    <xf numFmtId="0" fontId="49" fillId="2" borderId="0" xfId="1" applyFont="1" applyFill="1" applyAlignment="1">
      <alignment vertical="center"/>
    </xf>
    <xf numFmtId="3" fontId="49" fillId="2" borderId="0" xfId="1" applyNumberFormat="1" applyFont="1" applyFill="1" applyAlignment="1">
      <alignment vertical="center"/>
    </xf>
    <xf numFmtId="3" fontId="52" fillId="41" borderId="11" xfId="0" applyNumberFormat="1" applyFont="1" applyFill="1" applyBorder="1" applyAlignment="1">
      <alignment horizontal="center" vertical="center" wrapText="1"/>
    </xf>
    <xf numFmtId="9" fontId="52" fillId="41" borderId="11" xfId="0" applyNumberFormat="1" applyFont="1" applyFill="1" applyBorder="1" applyAlignment="1">
      <alignment horizontal="center" vertical="center" wrapText="1"/>
    </xf>
    <xf numFmtId="0" fontId="55" fillId="41" borderId="11" xfId="1" applyFont="1" applyFill="1" applyBorder="1" applyAlignment="1">
      <alignment horizontal="center" vertical="center" wrapText="1"/>
    </xf>
    <xf numFmtId="0" fontId="52" fillId="41" borderId="11" xfId="1" applyNumberFormat="1" applyFont="1" applyFill="1" applyBorder="1" applyAlignment="1">
      <alignment horizontal="center" vertical="center" wrapText="1"/>
    </xf>
    <xf numFmtId="0" fontId="52" fillId="41" borderId="11" xfId="1" applyFont="1" applyFill="1" applyBorder="1" applyAlignment="1">
      <alignment horizontal="center" vertical="center" wrapText="1"/>
    </xf>
    <xf numFmtId="3" fontId="52" fillId="41" borderId="11" xfId="1" applyNumberFormat="1" applyFont="1" applyFill="1" applyBorder="1" applyAlignment="1">
      <alignment horizontal="center" vertical="center" wrapText="1"/>
    </xf>
    <xf numFmtId="9" fontId="52" fillId="41" borderId="11" xfId="1" applyNumberFormat="1" applyFont="1" applyFill="1" applyBorder="1" applyAlignment="1">
      <alignment horizontal="center" vertical="center" wrapText="1"/>
    </xf>
    <xf numFmtId="0" fontId="55" fillId="2" borderId="0" xfId="1" applyFont="1" applyFill="1" applyAlignment="1">
      <alignment vertical="center"/>
    </xf>
    <xf numFmtId="0" fontId="51" fillId="42" borderId="0" xfId="1" applyFont="1" applyFill="1" applyAlignment="1">
      <alignment vertical="center"/>
    </xf>
    <xf numFmtId="0" fontId="53" fillId="42" borderId="11" xfId="1227" applyFont="1" applyFill="1" applyBorder="1" applyAlignment="1">
      <alignment horizontal="center" vertical="center" wrapText="1"/>
    </xf>
    <xf numFmtId="3" fontId="56" fillId="0" borderId="11" xfId="0" applyNumberFormat="1" applyFont="1" applyBorder="1" applyAlignment="1">
      <alignment horizontal="center" vertical="center" wrapText="1"/>
    </xf>
    <xf numFmtId="0" fontId="55" fillId="0" borderId="11" xfId="1" applyFont="1" applyFill="1" applyBorder="1" applyAlignment="1">
      <alignment horizontal="center" vertical="center" wrapText="1"/>
    </xf>
    <xf numFmtId="0" fontId="55" fillId="0" borderId="11" xfId="1" applyNumberFormat="1" applyFont="1" applyFill="1" applyBorder="1" applyAlignment="1">
      <alignment horizontal="left" vertical="center"/>
    </xf>
    <xf numFmtId="1" fontId="55" fillId="0" borderId="11" xfId="0" applyNumberFormat="1" applyFont="1" applyFill="1" applyBorder="1" applyAlignment="1">
      <alignment horizontal="center" vertical="center"/>
    </xf>
    <xf numFmtId="3" fontId="58" fillId="0" borderId="11" xfId="1157" applyNumberFormat="1" applyFont="1" applyFill="1" applyBorder="1" applyAlignment="1">
      <alignment horizontal="center" vertical="center"/>
    </xf>
    <xf numFmtId="9" fontId="55" fillId="0" borderId="11" xfId="0" applyNumberFormat="1" applyFont="1" applyFill="1" applyBorder="1" applyAlignment="1">
      <alignment horizontal="center" vertical="center"/>
    </xf>
    <xf numFmtId="3" fontId="55" fillId="0" borderId="11" xfId="0" applyNumberFormat="1" applyFont="1" applyFill="1" applyBorder="1" applyAlignment="1">
      <alignment horizontal="center" vertical="center"/>
    </xf>
    <xf numFmtId="3" fontId="60" fillId="0" borderId="11" xfId="1157" applyNumberFormat="1" applyFont="1" applyFill="1" applyBorder="1" applyAlignment="1">
      <alignment horizontal="center" vertical="center"/>
    </xf>
    <xf numFmtId="3" fontId="55" fillId="0" borderId="11" xfId="0" applyNumberFormat="1" applyFont="1" applyBorder="1" applyAlignment="1">
      <alignment horizontal="center" vertical="center"/>
    </xf>
    <xf numFmtId="3" fontId="55" fillId="2" borderId="11" xfId="0" applyNumberFormat="1" applyFont="1" applyFill="1" applyBorder="1" applyAlignment="1">
      <alignment horizontal="center" vertical="center" wrapText="1"/>
    </xf>
    <xf numFmtId="3" fontId="55" fillId="0" borderId="11" xfId="0" applyNumberFormat="1" applyFont="1" applyBorder="1" applyAlignment="1">
      <alignment horizontal="center" vertical="center" wrapText="1"/>
    </xf>
    <xf numFmtId="0" fontId="52" fillId="42" borderId="11" xfId="0" applyFont="1" applyFill="1" applyBorder="1" applyAlignment="1">
      <alignment horizontal="center" vertical="center" wrapText="1"/>
    </xf>
    <xf numFmtId="0" fontId="52" fillId="42" borderId="11" xfId="0" applyFont="1" applyFill="1" applyBorder="1" applyAlignment="1">
      <alignment horizontal="center" vertical="center" wrapText="1"/>
    </xf>
    <xf numFmtId="3" fontId="59" fillId="2" borderId="11" xfId="1157" applyNumberFormat="1" applyFont="1" applyFill="1" applyBorder="1" applyAlignment="1">
      <alignment horizontal="center" vertical="center" wrapText="1"/>
    </xf>
    <xf numFmtId="1" fontId="52" fillId="41" borderId="11" xfId="1" applyNumberFormat="1" applyFont="1" applyFill="1" applyBorder="1" applyAlignment="1">
      <alignment horizontal="center" vertical="center" wrapText="1"/>
    </xf>
    <xf numFmtId="0" fontId="55" fillId="0" borderId="11" xfId="0" applyNumberFormat="1" applyFont="1" applyFill="1" applyBorder="1" applyAlignment="1">
      <alignment horizontal="center" vertical="center"/>
    </xf>
    <xf numFmtId="4" fontId="52" fillId="41" borderId="11" xfId="1" applyNumberFormat="1" applyFont="1" applyFill="1" applyBorder="1" applyAlignment="1">
      <alignment horizontal="center" vertical="center" wrapText="1"/>
    </xf>
    <xf numFmtId="3" fontId="52" fillId="42" borderId="11" xfId="0" applyNumberFormat="1" applyFont="1" applyFill="1" applyBorder="1" applyAlignment="1">
      <alignment horizontal="center" vertical="center" wrapText="1"/>
    </xf>
    <xf numFmtId="9" fontId="55" fillId="0" borderId="11" xfId="1230" applyFont="1" applyFill="1" applyBorder="1" applyAlignment="1">
      <alignment horizontal="center" vertical="center"/>
    </xf>
    <xf numFmtId="9" fontId="52" fillId="41" borderId="11" xfId="1230" applyFont="1" applyFill="1" applyBorder="1" applyAlignment="1">
      <alignment horizontal="center" vertical="center" wrapText="1"/>
    </xf>
    <xf numFmtId="166" fontId="52" fillId="41" borderId="11" xfId="2" applyNumberFormat="1" applyFont="1" applyFill="1" applyBorder="1" applyAlignment="1">
      <alignment horizontal="center" vertical="center" wrapText="1"/>
    </xf>
    <xf numFmtId="0" fontId="52" fillId="2" borderId="0" xfId="1" applyFont="1" applyFill="1" applyAlignment="1">
      <alignment vertical="center"/>
    </xf>
    <xf numFmtId="3" fontId="61" fillId="41" borderId="11" xfId="1" applyNumberFormat="1" applyFont="1" applyFill="1" applyBorder="1" applyAlignment="1">
      <alignment horizontal="center" vertical="center" wrapText="1"/>
    </xf>
    <xf numFmtId="0" fontId="53" fillId="42" borderId="11" xfId="1227" applyFont="1" applyFill="1" applyBorder="1" applyAlignment="1">
      <alignment horizontal="center" vertical="center" wrapText="1"/>
    </xf>
    <xf numFmtId="0" fontId="53" fillId="41" borderId="11" xfId="1" applyNumberFormat="1" applyFont="1" applyFill="1" applyBorder="1" applyAlignment="1">
      <alignment horizontal="center" vertical="center" wrapText="1"/>
    </xf>
    <xf numFmtId="0" fontId="54" fillId="0" borderId="0" xfId="1" applyFont="1" applyFill="1" applyBorder="1" applyAlignment="1">
      <alignment horizontal="center" vertical="center" wrapText="1"/>
    </xf>
    <xf numFmtId="0" fontId="52" fillId="42" borderId="11" xfId="0" applyFont="1" applyFill="1" applyBorder="1" applyAlignment="1">
      <alignment horizontal="center" vertical="center" wrapText="1"/>
    </xf>
    <xf numFmtId="0" fontId="61" fillId="42" borderId="11" xfId="0" applyFont="1" applyFill="1" applyBorder="1" applyAlignment="1">
      <alignment horizontal="center" vertical="center" wrapText="1"/>
    </xf>
    <xf numFmtId="0" fontId="53" fillId="42" borderId="11" xfId="1227" applyFont="1" applyFill="1" applyBorder="1" applyAlignment="1">
      <alignment horizontal="center" vertical="center" wrapText="1"/>
    </xf>
    <xf numFmtId="0" fontId="62" fillId="42" borderId="11" xfId="0" applyFont="1" applyFill="1" applyBorder="1" applyAlignment="1">
      <alignment horizontal="center" vertical="center" wrapText="1"/>
    </xf>
  </cellXfs>
  <cellStyles count="1231">
    <cellStyle name="???????" xfId="3" xr:uid="{00000000-0005-0000-0000-000000000000}"/>
    <cellStyle name="????????" xfId="4" xr:uid="{00000000-0005-0000-0000-000001000000}"/>
    <cellStyle name="???????? [0]" xfId="5" xr:uid="{00000000-0005-0000-0000-000002000000}"/>
    <cellStyle name="??????????" xfId="6" xr:uid="{00000000-0005-0000-0000-000003000000}"/>
    <cellStyle name="?????????? [0]" xfId="7" xr:uid="{00000000-0005-0000-0000-000004000000}"/>
    <cellStyle name="???????????" xfId="8" xr:uid="{00000000-0005-0000-0000-000005000000}"/>
    <cellStyle name="????????????? ???????????" xfId="9" xr:uid="{00000000-0005-0000-0000-000006000000}"/>
    <cellStyle name="??????????_1" xfId="10" xr:uid="{00000000-0005-0000-0000-000007000000}"/>
    <cellStyle name="????????_ ?? 25 ???" xfId="11" xr:uid="{00000000-0005-0000-0000-000008000000}"/>
    <cellStyle name="???????_ ????.???" xfId="12" xr:uid="{00000000-0005-0000-0000-000009000000}"/>
    <cellStyle name="??????_ ?? 25 ???" xfId="13" xr:uid="{00000000-0005-0000-0000-00000A000000}"/>
    <cellStyle name="?’ћѓћ‚›‰" xfId="14" xr:uid="{00000000-0005-0000-0000-00000B000000}"/>
    <cellStyle name="_2.45 таблица ижтимоий" xfId="15" xr:uid="{00000000-0005-0000-0000-00000C000000}"/>
    <cellStyle name="_2.45 таблица ижтимоий_омонатлар 01.09.2011 йил" xfId="16" xr:uid="{00000000-0005-0000-0000-00000D000000}"/>
    <cellStyle name="_2.45 таблица ижтимоий_омонатлар 01.10.2011 йил" xfId="17" xr:uid="{00000000-0005-0000-0000-00000E000000}"/>
    <cellStyle name="_2.45 таблица ижтимоий_омонатлар 01.11.2011 йил" xfId="18" xr:uid="{00000000-0005-0000-0000-00000F000000}"/>
    <cellStyle name="_2.45 таблица ижтимоий_омонатлар 01.12.2011" xfId="19" xr:uid="{00000000-0005-0000-0000-000010000000}"/>
    <cellStyle name="_2.46 таблица ижтимоий" xfId="20" xr:uid="{00000000-0005-0000-0000-000011000000}"/>
    <cellStyle name="_2.46 таблица ижтимоий_омонатлар 01.09.2011 йил" xfId="21" xr:uid="{00000000-0005-0000-0000-000012000000}"/>
    <cellStyle name="_2.46 таблица ижтимоий_омонатлар 01.10.2011 йил" xfId="22" xr:uid="{00000000-0005-0000-0000-000013000000}"/>
    <cellStyle name="_2.46 таблица ижтимоий_омонатлар 01.11.2011 йил" xfId="23" xr:uid="{00000000-0005-0000-0000-000014000000}"/>
    <cellStyle name="_2.46 таблица ижтимоий_омонатлар 01.12.2011" xfId="24" xr:uid="{00000000-0005-0000-0000-000015000000}"/>
    <cellStyle name="_2.58 таблица ВЭС" xfId="25" xr:uid="{00000000-0005-0000-0000-000016000000}"/>
    <cellStyle name="_2.58 таблица ВЭС_омонатлар 01.09.2011 йил" xfId="26" xr:uid="{00000000-0005-0000-0000-000017000000}"/>
    <cellStyle name="_2.58 таблица ВЭС_омонатлар 01.10.2011 йил" xfId="27" xr:uid="{00000000-0005-0000-0000-000018000000}"/>
    <cellStyle name="_2.58 таблица ВЭС_омонатлар 01.11.2011 йил" xfId="28" xr:uid="{00000000-0005-0000-0000-000019000000}"/>
    <cellStyle name="_2.58 таблица ВЭС_омонатлар 01.12.2011" xfId="29" xr:uid="{00000000-0005-0000-0000-00001A000000}"/>
    <cellStyle name="_2.58 узгаргани" xfId="30" xr:uid="{00000000-0005-0000-0000-00001B000000}"/>
    <cellStyle name="_2.58 узгаргани_Нам дастур 2009-2012 (ўзбек)" xfId="31" xr:uid="{00000000-0005-0000-0000-00001C000000}"/>
    <cellStyle name="_2008 КХ ЯНГИ ДАСТУР" xfId="32" xr:uid="{00000000-0005-0000-0000-00001D000000}"/>
    <cellStyle name="_2008 КХ ЯНГИ ДАСТУР_Нам дастур 2009-2012 (ўзбек)" xfId="33" xr:uid="{00000000-0005-0000-0000-00001E000000}"/>
    <cellStyle name="_2008_9_ой_якун_маълумот" xfId="34" xr:uid="{00000000-0005-0000-0000-00001F000000}"/>
    <cellStyle name="_2008й прогноз ДАСТУР" xfId="35" xr:uid="{00000000-0005-0000-0000-000020000000}"/>
    <cellStyle name="_2008й прогноз ДАСТУР_омонатлар 01.09.2011 йил" xfId="36" xr:uid="{00000000-0005-0000-0000-000021000000}"/>
    <cellStyle name="_2008й прогноз ДАСТУР_омонатлар 01.10.2011 йил" xfId="37" xr:uid="{00000000-0005-0000-0000-000022000000}"/>
    <cellStyle name="_2008й прогноз ДАСТУР_омонатлар 01.11.2011 йил" xfId="38" xr:uid="{00000000-0005-0000-0000-000023000000}"/>
    <cellStyle name="_2008й прогноз ДАСТУР_омонатлар 01.12.2011" xfId="39" xr:uid="{00000000-0005-0000-0000-000024000000}"/>
    <cellStyle name="_21а жадваллар" xfId="40" xr:uid="{00000000-0005-0000-0000-000025000000}"/>
    <cellStyle name="_21а жадваллар_232 ижроси" xfId="41" xr:uid="{00000000-0005-0000-0000-000026000000}"/>
    <cellStyle name="_21а жадваллар_АХБОРОТ ТАХЛИЛГАга жадваллар (по туманам)" xfId="42" xr:uid="{00000000-0005-0000-0000-000027000000}"/>
    <cellStyle name="_21а жадваллар_АХБОРОТ ТАХЛИЛГАга жадваллар (по туманам)_омонатлар 01.09.2011 йил" xfId="43" xr:uid="{00000000-0005-0000-0000-000028000000}"/>
    <cellStyle name="_21а жадваллар_АХБОРОТ ТАХЛИЛГАга жадваллар (по туманам)_омонатлар 01.10.2011 йил" xfId="44" xr:uid="{00000000-0005-0000-0000-000029000000}"/>
    <cellStyle name="_21а жадваллар_АХБОРОТ ТАХЛИЛГАга жадваллар (по туманам)_омонатлар 01.11.2011 йил" xfId="45" xr:uid="{00000000-0005-0000-0000-00002A000000}"/>
    <cellStyle name="_21а жадваллар_АХБОРОТ ТАХЛИЛГАга жадваллар (по туманам)_омонатлар 01.12.2011" xfId="46" xr:uid="{00000000-0005-0000-0000-00002B000000}"/>
    <cellStyle name="_21а жадваллар_Жадвал саноат 2009 ОХИРИ" xfId="47" xr:uid="{00000000-0005-0000-0000-00002C000000}"/>
    <cellStyle name="_21а жадваллар_Жадвал саноат 2009 ОХИРИ_омонатлар 01.09.2011 йил" xfId="48" xr:uid="{00000000-0005-0000-0000-00002D000000}"/>
    <cellStyle name="_21а жадваллар_Жадвал саноат 2009 ОХИРИ_омонатлар 01.10.2011 йил" xfId="49" xr:uid="{00000000-0005-0000-0000-00002E000000}"/>
    <cellStyle name="_21а жадваллар_Жадвал саноат 2009 ОХИРИ_омонатлар 01.11.2011 йил" xfId="50" xr:uid="{00000000-0005-0000-0000-00002F000000}"/>
    <cellStyle name="_21а жадваллар_Жадвал саноат 2009 ОХИРИ_омонатлар 01.12.2011" xfId="51" xr:uid="{00000000-0005-0000-0000-000030000000}"/>
    <cellStyle name="_21а жадваллар_иктисодга" xfId="52" xr:uid="{00000000-0005-0000-0000-000031000000}"/>
    <cellStyle name="_21а жадваллар_иктисодга_омонатлар 01.09.2011 йил" xfId="53" xr:uid="{00000000-0005-0000-0000-000032000000}"/>
    <cellStyle name="_21а жадваллар_иктисодга_омонатлар 01.10.2011 йил" xfId="54" xr:uid="{00000000-0005-0000-0000-000033000000}"/>
    <cellStyle name="_21а жадваллар_иктисодга_омонатлар 01.11.2011 йил" xfId="55" xr:uid="{00000000-0005-0000-0000-000034000000}"/>
    <cellStyle name="_21а жадваллар_иктисодга_омонатлар 01.12.2011" xfId="56" xr:uid="{00000000-0005-0000-0000-000035000000}"/>
    <cellStyle name="_21а жадваллар_ОКИБ" xfId="57" xr:uid="{00000000-0005-0000-0000-000036000000}"/>
    <cellStyle name="_21а жадваллар_ОКИБ_омонатлар 01.09.2011 йил" xfId="58" xr:uid="{00000000-0005-0000-0000-000037000000}"/>
    <cellStyle name="_21а жадваллар_ОКИБ_омонатлар 01.10.2011 йил" xfId="59" xr:uid="{00000000-0005-0000-0000-000038000000}"/>
    <cellStyle name="_21а жадваллар_ОКИБ_омонатлар 01.11.2011 йил" xfId="60" xr:uid="{00000000-0005-0000-0000-000039000000}"/>
    <cellStyle name="_21а жадваллар_ОКИБ_омонатлар 01.12.2011" xfId="61" xr:uid="{00000000-0005-0000-0000-00003A000000}"/>
    <cellStyle name="_21а жадваллар_омонатлар 01.09.2011 йил" xfId="62" xr:uid="{00000000-0005-0000-0000-00003B000000}"/>
    <cellStyle name="_21а жадваллар_омонатлар 01.10.2011 йил" xfId="63" xr:uid="{00000000-0005-0000-0000-00003C000000}"/>
    <cellStyle name="_21а жадваллар_омонатлар 01.11.2011 йил" xfId="64" xr:uid="{00000000-0005-0000-0000-00003D000000}"/>
    <cellStyle name="_21а жадваллар_омонатлар 01.12.2011" xfId="65" xr:uid="{00000000-0005-0000-0000-00003E000000}"/>
    <cellStyle name="_21а жадваллар_ПРОМ 2010-1чорак-жадваллар 23.03" xfId="66" xr:uid="{00000000-0005-0000-0000-00003F000000}"/>
    <cellStyle name="_21а жадваллар_СВОД жадваллар-2009 6 ой" xfId="67" xr:uid="{00000000-0005-0000-0000-000040000000}"/>
    <cellStyle name="_21а жадваллар_СВОД жадваллар-2009 6 ой_омонатлар 01.09.2011 йил" xfId="68" xr:uid="{00000000-0005-0000-0000-000041000000}"/>
    <cellStyle name="_21а жадваллар_СВОД жадваллар-2009 6 ой_омонатлар 01.10.2011 йил" xfId="69" xr:uid="{00000000-0005-0000-0000-000042000000}"/>
    <cellStyle name="_21а жадваллар_СВОД жадваллар-2009 6 ой_омонатлар 01.11.2011 йил" xfId="70" xr:uid="{00000000-0005-0000-0000-000043000000}"/>
    <cellStyle name="_21а жадваллар_СВОД жадваллар-2009 6 ой_омонатлар 01.12.2011" xfId="71" xr:uid="{00000000-0005-0000-0000-000044000000}"/>
    <cellStyle name="_21а жадваллар_Сухроб Вилоят свод" xfId="72" xr:uid="{00000000-0005-0000-0000-000045000000}"/>
    <cellStyle name="_21а жадваллар_Сухроб Вилоят свод_омонатлар 01.09.2011 йил" xfId="73" xr:uid="{00000000-0005-0000-0000-000046000000}"/>
    <cellStyle name="_21а жадваллар_Сухроб Вилоят свод_омонатлар 01.10.2011 йил" xfId="74" xr:uid="{00000000-0005-0000-0000-000047000000}"/>
    <cellStyle name="_21а жадваллар_Сухроб Вилоят свод_омонатлар 01.11.2011 йил" xfId="75" xr:uid="{00000000-0005-0000-0000-000048000000}"/>
    <cellStyle name="_21а жадваллар_Сухроб Вилоят свод_омонатлар 01.12.2011" xfId="76" xr:uid="{00000000-0005-0000-0000-000049000000}"/>
    <cellStyle name="_308 форма" xfId="77" xr:uid="{00000000-0005-0000-0000-00004A000000}"/>
    <cellStyle name="_308 форма_232 ижроси" xfId="78" xr:uid="{00000000-0005-0000-0000-00004B000000}"/>
    <cellStyle name="_308 форма_АХБОРОТ ТАХЛИЛГАга жадваллар (по туманам)" xfId="79" xr:uid="{00000000-0005-0000-0000-00004C000000}"/>
    <cellStyle name="_308 форма_АХБОРОТ ТАХЛИЛГАга жадваллар (по туманам)_омонатлар 01.09.2011 йил" xfId="80" xr:uid="{00000000-0005-0000-0000-00004D000000}"/>
    <cellStyle name="_308 форма_АХБОРОТ ТАХЛИЛГАга жадваллар (по туманам)_омонатлар 01.10.2011 йил" xfId="81" xr:uid="{00000000-0005-0000-0000-00004E000000}"/>
    <cellStyle name="_308 форма_АХБОРОТ ТАХЛИЛГАга жадваллар (по туманам)_омонатлар 01.11.2011 йил" xfId="82" xr:uid="{00000000-0005-0000-0000-00004F000000}"/>
    <cellStyle name="_308 форма_АХБОРОТ ТАХЛИЛГАга жадваллар (по туманам)_омонатлар 01.12.2011" xfId="83" xr:uid="{00000000-0005-0000-0000-000050000000}"/>
    <cellStyle name="_308 форма_Жадвал саноат 2009 ОХИРИ" xfId="84" xr:uid="{00000000-0005-0000-0000-000051000000}"/>
    <cellStyle name="_308 форма_Жадвал саноат 2009 ОХИРИ_омонатлар 01.09.2011 йил" xfId="85" xr:uid="{00000000-0005-0000-0000-000052000000}"/>
    <cellStyle name="_308 форма_Жадвал саноат 2009 ОХИРИ_омонатлар 01.10.2011 йил" xfId="86" xr:uid="{00000000-0005-0000-0000-000053000000}"/>
    <cellStyle name="_308 форма_Жадвал саноат 2009 ОХИРИ_омонатлар 01.11.2011 йил" xfId="87" xr:uid="{00000000-0005-0000-0000-000054000000}"/>
    <cellStyle name="_308 форма_Жадвал саноат 2009 ОХИРИ_омонатлар 01.12.2011" xfId="88" xr:uid="{00000000-0005-0000-0000-000055000000}"/>
    <cellStyle name="_308 форма_иктисодга" xfId="89" xr:uid="{00000000-0005-0000-0000-000056000000}"/>
    <cellStyle name="_308 форма_иктисодга_омонатлар 01.09.2011 йил" xfId="90" xr:uid="{00000000-0005-0000-0000-000057000000}"/>
    <cellStyle name="_308 форма_иктисодга_омонатлар 01.10.2011 йил" xfId="91" xr:uid="{00000000-0005-0000-0000-000058000000}"/>
    <cellStyle name="_308 форма_иктисодга_омонатлар 01.11.2011 йил" xfId="92" xr:uid="{00000000-0005-0000-0000-000059000000}"/>
    <cellStyle name="_308 форма_иктисодга_омонатлар 01.12.2011" xfId="93" xr:uid="{00000000-0005-0000-0000-00005A000000}"/>
    <cellStyle name="_308 форма_ОКИБ" xfId="94" xr:uid="{00000000-0005-0000-0000-00005B000000}"/>
    <cellStyle name="_308 форма_ОКИБ_омонатлар 01.09.2011 йил" xfId="95" xr:uid="{00000000-0005-0000-0000-00005C000000}"/>
    <cellStyle name="_308 форма_ОКИБ_омонатлар 01.10.2011 йил" xfId="96" xr:uid="{00000000-0005-0000-0000-00005D000000}"/>
    <cellStyle name="_308 форма_ОКИБ_омонатлар 01.11.2011 йил" xfId="97" xr:uid="{00000000-0005-0000-0000-00005E000000}"/>
    <cellStyle name="_308 форма_ОКИБ_омонатлар 01.12.2011" xfId="98" xr:uid="{00000000-0005-0000-0000-00005F000000}"/>
    <cellStyle name="_308 форма_омонатлар 01.09.2011 йил" xfId="99" xr:uid="{00000000-0005-0000-0000-000060000000}"/>
    <cellStyle name="_308 форма_омонатлар 01.10.2011 йил" xfId="100" xr:uid="{00000000-0005-0000-0000-000061000000}"/>
    <cellStyle name="_308 форма_омонатлар 01.11.2011 йил" xfId="101" xr:uid="{00000000-0005-0000-0000-000062000000}"/>
    <cellStyle name="_308 форма_омонатлар 01.12.2011" xfId="102" xr:uid="{00000000-0005-0000-0000-000063000000}"/>
    <cellStyle name="_308 форма_ПРОМ 2010-1чорак-жадваллар 23.03" xfId="103" xr:uid="{00000000-0005-0000-0000-000064000000}"/>
    <cellStyle name="_308 форма_СВОД жадваллар-2009 6 ой" xfId="104" xr:uid="{00000000-0005-0000-0000-000065000000}"/>
    <cellStyle name="_308 форма_СВОД жадваллар-2009 6 ой_омонатлар 01.09.2011 йил" xfId="105" xr:uid="{00000000-0005-0000-0000-000066000000}"/>
    <cellStyle name="_308 форма_СВОД жадваллар-2009 6 ой_омонатлар 01.10.2011 йил" xfId="106" xr:uid="{00000000-0005-0000-0000-000067000000}"/>
    <cellStyle name="_308 форма_СВОД жадваллар-2009 6 ой_омонатлар 01.11.2011 йил" xfId="107" xr:uid="{00000000-0005-0000-0000-000068000000}"/>
    <cellStyle name="_308 форма_СВОД жадваллар-2009 6 ой_омонатлар 01.12.2011" xfId="108" xr:uid="{00000000-0005-0000-0000-000069000000}"/>
    <cellStyle name="_308 форма_Сухроб Вилоят свод" xfId="109" xr:uid="{00000000-0005-0000-0000-00006A000000}"/>
    <cellStyle name="_308 форма_Сухроб Вилоят свод_омонатлар 01.09.2011 йил" xfId="110" xr:uid="{00000000-0005-0000-0000-00006B000000}"/>
    <cellStyle name="_308 форма_Сухроб Вилоят свод_омонатлар 01.10.2011 йил" xfId="111" xr:uid="{00000000-0005-0000-0000-00006C000000}"/>
    <cellStyle name="_308 форма_Сухроб Вилоят свод_омонатлар 01.11.2011 йил" xfId="112" xr:uid="{00000000-0005-0000-0000-00006D000000}"/>
    <cellStyle name="_308 форма_Сухроб Вилоят свод_омонатлар 01.12.2011" xfId="113" xr:uid="{00000000-0005-0000-0000-00006E000000}"/>
    <cellStyle name="_5-илова кабмин" xfId="114" xr:uid="{00000000-0005-0000-0000-00006F000000}"/>
    <cellStyle name="_7- Банклар буйича Хоразм111" xfId="115" xr:uid="{00000000-0005-0000-0000-000070000000}"/>
    <cellStyle name="_№5-5а-5б-Озик-овкат-иссикхона-паррандачилик 2010 йил" xfId="116" xr:uid="{00000000-0005-0000-0000-000071000000}"/>
    <cellStyle name="_Акмал акага" xfId="117" xr:uid="{00000000-0005-0000-0000-000072000000}"/>
    <cellStyle name="_Андижон" xfId="118" xr:uid="{00000000-0005-0000-0000-000073000000}"/>
    <cellStyle name="_Вилоят касана12" xfId="119" xr:uid="{00000000-0005-0000-0000-000074000000}"/>
    <cellStyle name="_ДАСТУР макет" xfId="120" xr:uid="{00000000-0005-0000-0000-000075000000}"/>
    <cellStyle name="_ДАСТУР макет_232 ижроси" xfId="121" xr:uid="{00000000-0005-0000-0000-000076000000}"/>
    <cellStyle name="_ДАСТУР макет_АХБОРОТ ТАХЛИЛГАга жадваллар (по туманам)" xfId="122" xr:uid="{00000000-0005-0000-0000-000077000000}"/>
    <cellStyle name="_ДАСТУР макет_АХБОРОТ ТАХЛИЛГАга жадваллар (по туманам)_омонатлар 01.09.2011 йил" xfId="123" xr:uid="{00000000-0005-0000-0000-000078000000}"/>
    <cellStyle name="_ДАСТУР макет_АХБОРОТ ТАХЛИЛГАга жадваллар (по туманам)_омонатлар 01.10.2011 йил" xfId="124" xr:uid="{00000000-0005-0000-0000-000079000000}"/>
    <cellStyle name="_ДАСТУР макет_АХБОРОТ ТАХЛИЛГАга жадваллар (по туманам)_омонатлар 01.11.2011 йил" xfId="125" xr:uid="{00000000-0005-0000-0000-00007A000000}"/>
    <cellStyle name="_ДАСТУР макет_АХБОРОТ ТАХЛИЛГАга жадваллар (по туманам)_омонатлар 01.12.2011" xfId="126" xr:uid="{00000000-0005-0000-0000-00007B000000}"/>
    <cellStyle name="_ДАСТУР макет_Жадвал саноат 2009 ОХИРИ" xfId="127" xr:uid="{00000000-0005-0000-0000-00007C000000}"/>
    <cellStyle name="_ДАСТУР макет_Жадвал саноат 2009 ОХИРИ_омонатлар 01.09.2011 йил" xfId="128" xr:uid="{00000000-0005-0000-0000-00007D000000}"/>
    <cellStyle name="_ДАСТУР макет_Жадвал саноат 2009 ОХИРИ_омонатлар 01.10.2011 йил" xfId="129" xr:uid="{00000000-0005-0000-0000-00007E000000}"/>
    <cellStyle name="_ДАСТУР макет_Жадвал саноат 2009 ОХИРИ_омонатлар 01.11.2011 йил" xfId="130" xr:uid="{00000000-0005-0000-0000-00007F000000}"/>
    <cellStyle name="_ДАСТУР макет_Жадвал саноат 2009 ОХИРИ_омонатлар 01.12.2011" xfId="131" xr:uid="{00000000-0005-0000-0000-000080000000}"/>
    <cellStyle name="_ДАСТУР макет_иктисодга" xfId="132" xr:uid="{00000000-0005-0000-0000-000081000000}"/>
    <cellStyle name="_ДАСТУР макет_иктисодга_омонатлар 01.09.2011 йил" xfId="133" xr:uid="{00000000-0005-0000-0000-000082000000}"/>
    <cellStyle name="_ДАСТУР макет_иктисодга_омонатлар 01.10.2011 йил" xfId="134" xr:uid="{00000000-0005-0000-0000-000083000000}"/>
    <cellStyle name="_ДАСТУР макет_иктисодга_омонатлар 01.11.2011 йил" xfId="135" xr:uid="{00000000-0005-0000-0000-000084000000}"/>
    <cellStyle name="_ДАСТУР макет_иктисодга_омонатлар 01.12.2011" xfId="136" xr:uid="{00000000-0005-0000-0000-000085000000}"/>
    <cellStyle name="_ДАСТУР макет_ОКИБ" xfId="137" xr:uid="{00000000-0005-0000-0000-000086000000}"/>
    <cellStyle name="_ДАСТУР макет_ОКИБ_омонатлар 01.09.2011 йил" xfId="138" xr:uid="{00000000-0005-0000-0000-000087000000}"/>
    <cellStyle name="_ДАСТУР макет_ОКИБ_омонатлар 01.10.2011 йил" xfId="139" xr:uid="{00000000-0005-0000-0000-000088000000}"/>
    <cellStyle name="_ДАСТУР макет_ОКИБ_омонатлар 01.11.2011 йил" xfId="140" xr:uid="{00000000-0005-0000-0000-000089000000}"/>
    <cellStyle name="_ДАСТУР макет_ОКИБ_омонатлар 01.12.2011" xfId="141" xr:uid="{00000000-0005-0000-0000-00008A000000}"/>
    <cellStyle name="_ДАСТУР макет_омонатлар 01.09.2011 йил" xfId="142" xr:uid="{00000000-0005-0000-0000-00008B000000}"/>
    <cellStyle name="_ДАСТУР макет_омонатлар 01.10.2011 йил" xfId="143" xr:uid="{00000000-0005-0000-0000-00008C000000}"/>
    <cellStyle name="_ДАСТУР макет_омонатлар 01.11.2011 йил" xfId="144" xr:uid="{00000000-0005-0000-0000-00008D000000}"/>
    <cellStyle name="_ДАСТУР макет_омонатлар 01.12.2011" xfId="145" xr:uid="{00000000-0005-0000-0000-00008E000000}"/>
    <cellStyle name="_ДАСТУР макет_ПРОМ 2010-1чорак-жадваллар 23.03" xfId="146" xr:uid="{00000000-0005-0000-0000-00008F000000}"/>
    <cellStyle name="_ДАСТУР макет_СВОД жадваллар-2009 6 ой" xfId="147" xr:uid="{00000000-0005-0000-0000-000090000000}"/>
    <cellStyle name="_ДАСТУР макет_СВОД жадваллар-2009 6 ой_омонатлар 01.09.2011 йил" xfId="148" xr:uid="{00000000-0005-0000-0000-000091000000}"/>
    <cellStyle name="_ДАСТУР макет_СВОД жадваллар-2009 6 ой_омонатлар 01.10.2011 йил" xfId="149" xr:uid="{00000000-0005-0000-0000-000092000000}"/>
    <cellStyle name="_ДАСТУР макет_СВОД жадваллар-2009 6 ой_омонатлар 01.11.2011 йил" xfId="150" xr:uid="{00000000-0005-0000-0000-000093000000}"/>
    <cellStyle name="_ДАСТУР макет_СВОД жадваллар-2009 6 ой_омонатлар 01.12.2011" xfId="151" xr:uid="{00000000-0005-0000-0000-000094000000}"/>
    <cellStyle name="_ДАСТУР макет_Сухроб Вилоят свод" xfId="152" xr:uid="{00000000-0005-0000-0000-000095000000}"/>
    <cellStyle name="_ДАСТУР макет_Сухроб Вилоят свод_омонатлар 01.09.2011 йил" xfId="153" xr:uid="{00000000-0005-0000-0000-000096000000}"/>
    <cellStyle name="_ДАСТУР макет_Сухроб Вилоят свод_омонатлар 01.10.2011 йил" xfId="154" xr:uid="{00000000-0005-0000-0000-000097000000}"/>
    <cellStyle name="_ДАСТУР макет_Сухроб Вилоят свод_омонатлар 01.11.2011 йил" xfId="155" xr:uid="{00000000-0005-0000-0000-000098000000}"/>
    <cellStyle name="_ДАСТУР макет_Сухроб Вилоят свод_омонатлар 01.12.2011" xfId="156" xr:uid="{00000000-0005-0000-0000-000099000000}"/>
    <cellStyle name="_ДАСТУР обл план 2007-09" xfId="157" xr:uid="{00000000-0005-0000-0000-00009A000000}"/>
    <cellStyle name="_ДАСТУР обл план 2007-09_232 ижроси" xfId="158" xr:uid="{00000000-0005-0000-0000-00009B000000}"/>
    <cellStyle name="_ДАСТУР обл план 2007-09_АХБОРОТ ТАХЛИЛГАга жадваллар (по туманам)" xfId="159" xr:uid="{00000000-0005-0000-0000-00009C000000}"/>
    <cellStyle name="_ДАСТУР обл план 2007-09_АХБОРОТ ТАХЛИЛГАга жадваллар (по туманам)_омонатлар 01.09.2011 йил" xfId="160" xr:uid="{00000000-0005-0000-0000-00009D000000}"/>
    <cellStyle name="_ДАСТУР обл план 2007-09_АХБОРОТ ТАХЛИЛГАга жадваллар (по туманам)_омонатлар 01.10.2011 йил" xfId="161" xr:uid="{00000000-0005-0000-0000-00009E000000}"/>
    <cellStyle name="_ДАСТУР обл план 2007-09_АХБОРОТ ТАХЛИЛГАга жадваллар (по туманам)_омонатлар 01.11.2011 йил" xfId="162" xr:uid="{00000000-0005-0000-0000-00009F000000}"/>
    <cellStyle name="_ДАСТУР обл план 2007-09_АХБОРОТ ТАХЛИЛГАга жадваллар (по туманам)_омонатлар 01.12.2011" xfId="163" xr:uid="{00000000-0005-0000-0000-0000A0000000}"/>
    <cellStyle name="_ДАСТУР обл план 2007-09_Жадвал саноат 2009 ОХИРИ" xfId="164" xr:uid="{00000000-0005-0000-0000-0000A1000000}"/>
    <cellStyle name="_ДАСТУР обл план 2007-09_Жадвал саноат 2009 ОХИРИ_омонатлар 01.09.2011 йил" xfId="165" xr:uid="{00000000-0005-0000-0000-0000A2000000}"/>
    <cellStyle name="_ДАСТУР обл план 2007-09_Жадвал саноат 2009 ОХИРИ_омонатлар 01.10.2011 йил" xfId="166" xr:uid="{00000000-0005-0000-0000-0000A3000000}"/>
    <cellStyle name="_ДАСТУР обл план 2007-09_Жадвал саноат 2009 ОХИРИ_омонатлар 01.11.2011 йил" xfId="167" xr:uid="{00000000-0005-0000-0000-0000A4000000}"/>
    <cellStyle name="_ДАСТУР обл план 2007-09_Жадвал саноат 2009 ОХИРИ_омонатлар 01.12.2011" xfId="168" xr:uid="{00000000-0005-0000-0000-0000A5000000}"/>
    <cellStyle name="_ДАСТУР обл план 2007-09_иктисодга" xfId="169" xr:uid="{00000000-0005-0000-0000-0000A6000000}"/>
    <cellStyle name="_ДАСТУР обл план 2007-09_иктисодга_омонатлар 01.09.2011 йил" xfId="170" xr:uid="{00000000-0005-0000-0000-0000A7000000}"/>
    <cellStyle name="_ДАСТУР обл план 2007-09_иктисодга_омонатлар 01.10.2011 йил" xfId="171" xr:uid="{00000000-0005-0000-0000-0000A8000000}"/>
    <cellStyle name="_ДАСТУР обл план 2007-09_иктисодга_омонатлар 01.11.2011 йил" xfId="172" xr:uid="{00000000-0005-0000-0000-0000A9000000}"/>
    <cellStyle name="_ДАСТУР обл план 2007-09_иктисодга_омонатлар 01.12.2011" xfId="173" xr:uid="{00000000-0005-0000-0000-0000AA000000}"/>
    <cellStyle name="_ДАСТУР обл план 2007-09_ОКИБ" xfId="174" xr:uid="{00000000-0005-0000-0000-0000AB000000}"/>
    <cellStyle name="_ДАСТУР обл план 2007-09_ОКИБ_омонатлар 01.09.2011 йил" xfId="175" xr:uid="{00000000-0005-0000-0000-0000AC000000}"/>
    <cellStyle name="_ДАСТУР обл план 2007-09_ОКИБ_омонатлар 01.10.2011 йил" xfId="176" xr:uid="{00000000-0005-0000-0000-0000AD000000}"/>
    <cellStyle name="_ДАСТУР обл план 2007-09_ОКИБ_омонатлар 01.11.2011 йил" xfId="177" xr:uid="{00000000-0005-0000-0000-0000AE000000}"/>
    <cellStyle name="_ДАСТУР обл план 2007-09_ОКИБ_омонатлар 01.12.2011" xfId="178" xr:uid="{00000000-0005-0000-0000-0000AF000000}"/>
    <cellStyle name="_ДАСТУР обл план 2007-09_омонатлар 01.09.2011 йил" xfId="179" xr:uid="{00000000-0005-0000-0000-0000B0000000}"/>
    <cellStyle name="_ДАСТУР обл план 2007-09_омонатлар 01.10.2011 йил" xfId="180" xr:uid="{00000000-0005-0000-0000-0000B1000000}"/>
    <cellStyle name="_ДАСТУР обл план 2007-09_омонатлар 01.11.2011 йил" xfId="181" xr:uid="{00000000-0005-0000-0000-0000B2000000}"/>
    <cellStyle name="_ДАСТУР обл план 2007-09_омонатлар 01.12.2011" xfId="182" xr:uid="{00000000-0005-0000-0000-0000B3000000}"/>
    <cellStyle name="_ДАСТУР обл план 2007-09_ПРОМ 2010-1чорак-жадваллар 23.03" xfId="183" xr:uid="{00000000-0005-0000-0000-0000B4000000}"/>
    <cellStyle name="_ДАСТУР обл план 2007-09_СВОД жадваллар-2009 6 ой" xfId="184" xr:uid="{00000000-0005-0000-0000-0000B5000000}"/>
    <cellStyle name="_ДАСТУР обл план 2007-09_СВОД жадваллар-2009 6 ой_омонатлар 01.09.2011 йил" xfId="185" xr:uid="{00000000-0005-0000-0000-0000B6000000}"/>
    <cellStyle name="_ДАСТУР обл план 2007-09_СВОД жадваллар-2009 6 ой_омонатлар 01.10.2011 йил" xfId="186" xr:uid="{00000000-0005-0000-0000-0000B7000000}"/>
    <cellStyle name="_ДАСТУР обл план 2007-09_СВОД жадваллар-2009 6 ой_омонатлар 01.11.2011 йил" xfId="187" xr:uid="{00000000-0005-0000-0000-0000B8000000}"/>
    <cellStyle name="_ДАСТУР обл план 2007-09_СВОД жадваллар-2009 6 ой_омонатлар 01.12.2011" xfId="188" xr:uid="{00000000-0005-0000-0000-0000B9000000}"/>
    <cellStyle name="_ДАСТУР обл план 2007-09_Сухроб Вилоят свод" xfId="189" xr:uid="{00000000-0005-0000-0000-0000BA000000}"/>
    <cellStyle name="_ДАСТУР обл план 2007-09_Сухроб Вилоят свод_омонатлар 01.09.2011 йил" xfId="190" xr:uid="{00000000-0005-0000-0000-0000BB000000}"/>
    <cellStyle name="_ДАСТУР обл план 2007-09_Сухроб Вилоят свод_омонатлар 01.10.2011 йил" xfId="191" xr:uid="{00000000-0005-0000-0000-0000BC000000}"/>
    <cellStyle name="_ДАСТУР обл план 2007-09_Сухроб Вилоят свод_омонатлар 01.11.2011 йил" xfId="192" xr:uid="{00000000-0005-0000-0000-0000BD000000}"/>
    <cellStyle name="_ДАСТУР обл план 2007-09_Сухроб Вилоят свод_омонатлар 01.12.2011" xfId="193" xr:uid="{00000000-0005-0000-0000-0000BE000000}"/>
    <cellStyle name="_Жиззах" xfId="194" xr:uid="{00000000-0005-0000-0000-0000BF000000}"/>
    <cellStyle name="_Жиззах_232 ижроси" xfId="195" xr:uid="{00000000-0005-0000-0000-0000C0000000}"/>
    <cellStyle name="_Жиззах_АХБОРОТ ТАХЛИЛГАга жадваллар (по туманам)" xfId="196" xr:uid="{00000000-0005-0000-0000-0000C1000000}"/>
    <cellStyle name="_Жиззах_АХБОРОТ ТАХЛИЛГАга жадваллар (по туманам)_омонатлар 01.09.2011 йил" xfId="197" xr:uid="{00000000-0005-0000-0000-0000C2000000}"/>
    <cellStyle name="_Жиззах_АХБОРОТ ТАХЛИЛГАга жадваллар (по туманам)_омонатлар 01.10.2011 йил" xfId="198" xr:uid="{00000000-0005-0000-0000-0000C3000000}"/>
    <cellStyle name="_Жиззах_АХБОРОТ ТАХЛИЛГАга жадваллар (по туманам)_омонатлар 01.11.2011 йил" xfId="199" xr:uid="{00000000-0005-0000-0000-0000C4000000}"/>
    <cellStyle name="_Жиззах_АХБОРОТ ТАХЛИЛГАга жадваллар (по туманам)_омонатлар 01.12.2011" xfId="200" xr:uid="{00000000-0005-0000-0000-0000C5000000}"/>
    <cellStyle name="_Жиззах_Жадвал саноат 2009 ОХИРИ" xfId="201" xr:uid="{00000000-0005-0000-0000-0000C6000000}"/>
    <cellStyle name="_Жиззах_Жадвал саноат 2009 ОХИРИ_омонатлар 01.09.2011 йил" xfId="202" xr:uid="{00000000-0005-0000-0000-0000C7000000}"/>
    <cellStyle name="_Жиззах_Жадвал саноат 2009 ОХИРИ_омонатлар 01.10.2011 йил" xfId="203" xr:uid="{00000000-0005-0000-0000-0000C8000000}"/>
    <cellStyle name="_Жиззах_Жадвал саноат 2009 ОХИРИ_омонатлар 01.11.2011 йил" xfId="204" xr:uid="{00000000-0005-0000-0000-0000C9000000}"/>
    <cellStyle name="_Жиззах_Жадвал саноат 2009 ОХИРИ_омонатлар 01.12.2011" xfId="205" xr:uid="{00000000-0005-0000-0000-0000CA000000}"/>
    <cellStyle name="_Жиззах_иктисодга" xfId="206" xr:uid="{00000000-0005-0000-0000-0000CB000000}"/>
    <cellStyle name="_Жиззах_иктисодга_омонатлар 01.09.2011 йил" xfId="207" xr:uid="{00000000-0005-0000-0000-0000CC000000}"/>
    <cellStyle name="_Жиззах_иктисодга_омонатлар 01.10.2011 йил" xfId="208" xr:uid="{00000000-0005-0000-0000-0000CD000000}"/>
    <cellStyle name="_Жиззах_иктисодга_омонатлар 01.11.2011 йил" xfId="209" xr:uid="{00000000-0005-0000-0000-0000CE000000}"/>
    <cellStyle name="_Жиззах_иктисодга_омонатлар 01.12.2011" xfId="210" xr:uid="{00000000-0005-0000-0000-0000CF000000}"/>
    <cellStyle name="_Жиззах_ОКИБ" xfId="211" xr:uid="{00000000-0005-0000-0000-0000D0000000}"/>
    <cellStyle name="_Жиззах_ОКИБ_омонатлар 01.09.2011 йил" xfId="212" xr:uid="{00000000-0005-0000-0000-0000D1000000}"/>
    <cellStyle name="_Жиззах_ОКИБ_омонатлар 01.10.2011 йил" xfId="213" xr:uid="{00000000-0005-0000-0000-0000D2000000}"/>
    <cellStyle name="_Жиззах_ОКИБ_омонатлар 01.11.2011 йил" xfId="214" xr:uid="{00000000-0005-0000-0000-0000D3000000}"/>
    <cellStyle name="_Жиззах_ОКИБ_омонатлар 01.12.2011" xfId="215" xr:uid="{00000000-0005-0000-0000-0000D4000000}"/>
    <cellStyle name="_Жиззах_омонатлар 01.09.2011 йил" xfId="216" xr:uid="{00000000-0005-0000-0000-0000D5000000}"/>
    <cellStyle name="_Жиззах_омонатлар 01.10.2011 йил" xfId="217" xr:uid="{00000000-0005-0000-0000-0000D6000000}"/>
    <cellStyle name="_Жиззах_омонатлар 01.11.2011 йил" xfId="218" xr:uid="{00000000-0005-0000-0000-0000D7000000}"/>
    <cellStyle name="_Жиззах_омонатлар 01.12.2011" xfId="219" xr:uid="{00000000-0005-0000-0000-0000D8000000}"/>
    <cellStyle name="_Жиззах_ПРОМ 2010-1чорак-жадваллар 23.03" xfId="220" xr:uid="{00000000-0005-0000-0000-0000D9000000}"/>
    <cellStyle name="_Жиззах_СВОД жадваллар-2009 6 ой" xfId="221" xr:uid="{00000000-0005-0000-0000-0000DA000000}"/>
    <cellStyle name="_Жиззах_СВОД жадваллар-2009 6 ой_омонатлар 01.09.2011 йил" xfId="222" xr:uid="{00000000-0005-0000-0000-0000DB000000}"/>
    <cellStyle name="_Жиззах_СВОД жадваллар-2009 6 ой_омонатлар 01.10.2011 йил" xfId="223" xr:uid="{00000000-0005-0000-0000-0000DC000000}"/>
    <cellStyle name="_Жиззах_СВОД жадваллар-2009 6 ой_омонатлар 01.11.2011 йил" xfId="224" xr:uid="{00000000-0005-0000-0000-0000DD000000}"/>
    <cellStyle name="_Жиззах_СВОД жадваллар-2009 6 ой_омонатлар 01.12.2011" xfId="225" xr:uid="{00000000-0005-0000-0000-0000DE000000}"/>
    <cellStyle name="_Жиззах_Сухроб Вилоят свод" xfId="226" xr:uid="{00000000-0005-0000-0000-0000DF000000}"/>
    <cellStyle name="_Жиззах_Сухроб Вилоят свод_омонатлар 01.09.2011 йил" xfId="227" xr:uid="{00000000-0005-0000-0000-0000E0000000}"/>
    <cellStyle name="_Жиззах_Сухроб Вилоят свод_омонатлар 01.10.2011 йил" xfId="228" xr:uid="{00000000-0005-0000-0000-0000E1000000}"/>
    <cellStyle name="_Жиззах_Сухроб Вилоят свод_омонатлар 01.11.2011 йил" xfId="229" xr:uid="{00000000-0005-0000-0000-0000E2000000}"/>
    <cellStyle name="_Жиззах_Сухроб Вилоят свод_омонатлар 01.12.2011" xfId="230" xr:uid="{00000000-0005-0000-0000-0000E3000000}"/>
    <cellStyle name="_иктисодга" xfId="231" xr:uid="{00000000-0005-0000-0000-0000E4000000}"/>
    <cellStyle name="_индикатор" xfId="232" xr:uid="{00000000-0005-0000-0000-0000E5000000}"/>
    <cellStyle name="_индикатор_омонатлар 01.09.2011 йил" xfId="233" xr:uid="{00000000-0005-0000-0000-0000E6000000}"/>
    <cellStyle name="_индикатор_омонатлар 01.10.2011 йил" xfId="234" xr:uid="{00000000-0005-0000-0000-0000E7000000}"/>
    <cellStyle name="_индикатор_омонатлар 01.11.2011 йил" xfId="235" xr:uid="{00000000-0005-0000-0000-0000E8000000}"/>
    <cellStyle name="_индикатор_омонатлар 01.12.2011" xfId="236" xr:uid="{00000000-0005-0000-0000-0000E9000000}"/>
    <cellStyle name="_Касаначи 4 ой" xfId="237" xr:uid="{00000000-0005-0000-0000-0000EA000000}"/>
    <cellStyle name="_Кашкадарё" xfId="238" xr:uid="{00000000-0005-0000-0000-0000EB000000}"/>
    <cellStyle name="_Кашкадарё_232 ижроси" xfId="239" xr:uid="{00000000-0005-0000-0000-0000EC000000}"/>
    <cellStyle name="_Кашкадарё_АХБОРОТ ТАХЛИЛГАга жадваллар (по туманам)" xfId="240" xr:uid="{00000000-0005-0000-0000-0000ED000000}"/>
    <cellStyle name="_Кашкадарё_АХБОРОТ ТАХЛИЛГАга жадваллар (по туманам)_омонатлар 01.09.2011 йил" xfId="241" xr:uid="{00000000-0005-0000-0000-0000EE000000}"/>
    <cellStyle name="_Кашкадарё_АХБОРОТ ТАХЛИЛГАга жадваллар (по туманам)_омонатлар 01.10.2011 йил" xfId="242" xr:uid="{00000000-0005-0000-0000-0000EF000000}"/>
    <cellStyle name="_Кашкадарё_АХБОРОТ ТАХЛИЛГАга жадваллар (по туманам)_омонатлар 01.11.2011 йил" xfId="243" xr:uid="{00000000-0005-0000-0000-0000F0000000}"/>
    <cellStyle name="_Кашкадарё_АХБОРОТ ТАХЛИЛГАга жадваллар (по туманам)_омонатлар 01.12.2011" xfId="244" xr:uid="{00000000-0005-0000-0000-0000F1000000}"/>
    <cellStyle name="_Кашкадарё_Жадвал саноат 2009 ОХИРИ" xfId="245" xr:uid="{00000000-0005-0000-0000-0000F2000000}"/>
    <cellStyle name="_Кашкадарё_Жадвал саноат 2009 ОХИРИ_омонатлар 01.09.2011 йил" xfId="246" xr:uid="{00000000-0005-0000-0000-0000F3000000}"/>
    <cellStyle name="_Кашкадарё_Жадвал саноат 2009 ОХИРИ_омонатлар 01.10.2011 йил" xfId="247" xr:uid="{00000000-0005-0000-0000-0000F4000000}"/>
    <cellStyle name="_Кашкадарё_Жадвал саноат 2009 ОХИРИ_омонатлар 01.11.2011 йил" xfId="248" xr:uid="{00000000-0005-0000-0000-0000F5000000}"/>
    <cellStyle name="_Кашкадарё_Жадвал саноат 2009 ОХИРИ_омонатлар 01.12.2011" xfId="249" xr:uid="{00000000-0005-0000-0000-0000F6000000}"/>
    <cellStyle name="_Кашкадарё_иктисодга" xfId="250" xr:uid="{00000000-0005-0000-0000-0000F7000000}"/>
    <cellStyle name="_Кашкадарё_иктисодга_омонатлар 01.09.2011 йил" xfId="251" xr:uid="{00000000-0005-0000-0000-0000F8000000}"/>
    <cellStyle name="_Кашкадарё_иктисодга_омонатлар 01.10.2011 йил" xfId="252" xr:uid="{00000000-0005-0000-0000-0000F9000000}"/>
    <cellStyle name="_Кашкадарё_иктисодга_омонатлар 01.11.2011 йил" xfId="253" xr:uid="{00000000-0005-0000-0000-0000FA000000}"/>
    <cellStyle name="_Кашкадарё_иктисодга_омонатлар 01.12.2011" xfId="254" xr:uid="{00000000-0005-0000-0000-0000FB000000}"/>
    <cellStyle name="_Кашкадарё_ОКИБ" xfId="255" xr:uid="{00000000-0005-0000-0000-0000FC000000}"/>
    <cellStyle name="_Кашкадарё_ОКИБ_омонатлар 01.09.2011 йил" xfId="256" xr:uid="{00000000-0005-0000-0000-0000FD000000}"/>
    <cellStyle name="_Кашкадарё_ОКИБ_омонатлар 01.10.2011 йил" xfId="257" xr:uid="{00000000-0005-0000-0000-0000FE000000}"/>
    <cellStyle name="_Кашкадарё_ОКИБ_омонатлар 01.11.2011 йил" xfId="258" xr:uid="{00000000-0005-0000-0000-0000FF000000}"/>
    <cellStyle name="_Кашкадарё_ОКИБ_омонатлар 01.12.2011" xfId="259" xr:uid="{00000000-0005-0000-0000-000000010000}"/>
    <cellStyle name="_Кашкадарё_омонатлар 01.09.2011 йил" xfId="260" xr:uid="{00000000-0005-0000-0000-000001010000}"/>
    <cellStyle name="_Кашкадарё_омонатлар 01.10.2011 йил" xfId="261" xr:uid="{00000000-0005-0000-0000-000002010000}"/>
    <cellStyle name="_Кашкадарё_омонатлар 01.11.2011 йил" xfId="262" xr:uid="{00000000-0005-0000-0000-000003010000}"/>
    <cellStyle name="_Кашкадарё_омонатлар 01.12.2011" xfId="263" xr:uid="{00000000-0005-0000-0000-000004010000}"/>
    <cellStyle name="_Кашкадарё_ПРОМ 2010-1чорак-жадваллар 23.03" xfId="264" xr:uid="{00000000-0005-0000-0000-000005010000}"/>
    <cellStyle name="_Кашкадарё_СВОД жадваллар-2009 6 ой" xfId="265" xr:uid="{00000000-0005-0000-0000-000006010000}"/>
    <cellStyle name="_Кашкадарё_СВОД жадваллар-2009 6 ой_омонатлар 01.09.2011 йил" xfId="266" xr:uid="{00000000-0005-0000-0000-000007010000}"/>
    <cellStyle name="_Кашкадарё_СВОД жадваллар-2009 6 ой_омонатлар 01.10.2011 йил" xfId="267" xr:uid="{00000000-0005-0000-0000-000008010000}"/>
    <cellStyle name="_Кашкадарё_СВОД жадваллар-2009 6 ой_омонатлар 01.11.2011 йил" xfId="268" xr:uid="{00000000-0005-0000-0000-000009010000}"/>
    <cellStyle name="_Кашкадарё_СВОД жадваллар-2009 6 ой_омонатлар 01.12.2011" xfId="269" xr:uid="{00000000-0005-0000-0000-00000A010000}"/>
    <cellStyle name="_Кашкадарё_Сухроб Вилоят свод" xfId="270" xr:uid="{00000000-0005-0000-0000-00000B010000}"/>
    <cellStyle name="_Кашкадарё_Сухроб Вилоят свод_омонатлар 01.09.2011 йил" xfId="271" xr:uid="{00000000-0005-0000-0000-00000C010000}"/>
    <cellStyle name="_Кашкадарё_Сухроб Вилоят свод_омонатлар 01.10.2011 йил" xfId="272" xr:uid="{00000000-0005-0000-0000-00000D010000}"/>
    <cellStyle name="_Кашкадарё_Сухроб Вилоят свод_омонатлар 01.11.2011 йил" xfId="273" xr:uid="{00000000-0005-0000-0000-00000E010000}"/>
    <cellStyle name="_Кашкадарё_Сухроб Вилоят свод_омонатлар 01.12.2011" xfId="274" xr:uid="{00000000-0005-0000-0000-00000F010000}"/>
    <cellStyle name="_кварталиктисод+" xfId="275" xr:uid="{00000000-0005-0000-0000-000010010000}"/>
    <cellStyle name="_Книга1" xfId="276" xr:uid="{00000000-0005-0000-0000-000011010000}"/>
    <cellStyle name="_Книга3" xfId="277" xr:uid="{00000000-0005-0000-0000-000012010000}"/>
    <cellStyle name="_Комплекс Дастури (24-38)" xfId="278" xr:uid="{00000000-0005-0000-0000-000013010000}"/>
    <cellStyle name="_Копия Иктисод формалари о" xfId="279" xr:uid="{00000000-0005-0000-0000-000014010000}"/>
    <cellStyle name="_Копия Иктисод формалари о_Нам дастур 2009-2012 (ўзбек)" xfId="280" xr:uid="{00000000-0005-0000-0000-000015010000}"/>
    <cellStyle name="_Лойихалар бўйича маълумот " xfId="281" xr:uid="{00000000-0005-0000-0000-000016010000}"/>
    <cellStyle name="_МОЛИЯ даромад-харажат" xfId="282" xr:uid="{00000000-0005-0000-0000-000017010000}"/>
    <cellStyle name="_МОЛИЯ даромад-харажат_омонатлар 01.09.2011 йил" xfId="283" xr:uid="{00000000-0005-0000-0000-000018010000}"/>
    <cellStyle name="_МОЛИЯ даромад-харажат_омонатлар 01.10.2011 йил" xfId="284" xr:uid="{00000000-0005-0000-0000-000019010000}"/>
    <cellStyle name="_МОЛИЯ даромад-харажат_омонатлар 01.11.2011 йил" xfId="285" xr:uid="{00000000-0005-0000-0000-00001A010000}"/>
    <cellStyle name="_МОЛИЯ даромад-харажат_омонатлар 01.12.2011" xfId="286" xr:uid="{00000000-0005-0000-0000-00001B010000}"/>
    <cellStyle name="_Наманган-1" xfId="287" xr:uid="{00000000-0005-0000-0000-00001C010000}"/>
    <cellStyle name="_Наманган-1_232 ижроси" xfId="288" xr:uid="{00000000-0005-0000-0000-00001D010000}"/>
    <cellStyle name="_Наманган-1_АХБОРОТ ТАХЛИЛГАга жадваллар (по туманам)" xfId="289" xr:uid="{00000000-0005-0000-0000-00001E010000}"/>
    <cellStyle name="_Наманган-1_АХБОРОТ ТАХЛИЛГАга жадваллар (по туманам)_омонатлар 01.09.2011 йил" xfId="290" xr:uid="{00000000-0005-0000-0000-00001F010000}"/>
    <cellStyle name="_Наманган-1_АХБОРОТ ТАХЛИЛГАга жадваллар (по туманам)_омонатлар 01.10.2011 йил" xfId="291" xr:uid="{00000000-0005-0000-0000-000020010000}"/>
    <cellStyle name="_Наманган-1_АХБОРОТ ТАХЛИЛГАга жадваллар (по туманам)_омонатлар 01.11.2011 йил" xfId="292" xr:uid="{00000000-0005-0000-0000-000021010000}"/>
    <cellStyle name="_Наманган-1_АХБОРОТ ТАХЛИЛГАга жадваллар (по туманам)_омонатлар 01.12.2011" xfId="293" xr:uid="{00000000-0005-0000-0000-000022010000}"/>
    <cellStyle name="_Наманган-1_Жадвал саноат 2009 ОХИРИ" xfId="294" xr:uid="{00000000-0005-0000-0000-000023010000}"/>
    <cellStyle name="_Наманган-1_Жадвал саноат 2009 ОХИРИ_омонатлар 01.09.2011 йил" xfId="295" xr:uid="{00000000-0005-0000-0000-000024010000}"/>
    <cellStyle name="_Наманган-1_Жадвал саноат 2009 ОХИРИ_омонатлар 01.10.2011 йил" xfId="296" xr:uid="{00000000-0005-0000-0000-000025010000}"/>
    <cellStyle name="_Наманган-1_Жадвал саноат 2009 ОХИРИ_омонатлар 01.11.2011 йил" xfId="297" xr:uid="{00000000-0005-0000-0000-000026010000}"/>
    <cellStyle name="_Наманган-1_Жадвал саноат 2009 ОХИРИ_омонатлар 01.12.2011" xfId="298" xr:uid="{00000000-0005-0000-0000-000027010000}"/>
    <cellStyle name="_Наманган-1_иктисодга" xfId="299" xr:uid="{00000000-0005-0000-0000-000028010000}"/>
    <cellStyle name="_Наманган-1_иктисодга_омонатлар 01.09.2011 йил" xfId="300" xr:uid="{00000000-0005-0000-0000-000029010000}"/>
    <cellStyle name="_Наманган-1_иктисодга_омонатлар 01.10.2011 йил" xfId="301" xr:uid="{00000000-0005-0000-0000-00002A010000}"/>
    <cellStyle name="_Наманган-1_иктисодга_омонатлар 01.11.2011 йил" xfId="302" xr:uid="{00000000-0005-0000-0000-00002B010000}"/>
    <cellStyle name="_Наманган-1_иктисодга_омонатлар 01.12.2011" xfId="303" xr:uid="{00000000-0005-0000-0000-00002C010000}"/>
    <cellStyle name="_Наманган-1_ОКИБ" xfId="304" xr:uid="{00000000-0005-0000-0000-00002D010000}"/>
    <cellStyle name="_Наманган-1_ОКИБ_омонатлар 01.09.2011 йил" xfId="305" xr:uid="{00000000-0005-0000-0000-00002E010000}"/>
    <cellStyle name="_Наманган-1_ОКИБ_омонатлар 01.10.2011 йил" xfId="306" xr:uid="{00000000-0005-0000-0000-00002F010000}"/>
    <cellStyle name="_Наманган-1_ОКИБ_омонатлар 01.11.2011 йил" xfId="307" xr:uid="{00000000-0005-0000-0000-000030010000}"/>
    <cellStyle name="_Наманган-1_ОКИБ_омонатлар 01.12.2011" xfId="308" xr:uid="{00000000-0005-0000-0000-000031010000}"/>
    <cellStyle name="_Наманган-1_омонатлар 01.09.2011 йил" xfId="309" xr:uid="{00000000-0005-0000-0000-000032010000}"/>
    <cellStyle name="_Наманган-1_омонатлар 01.10.2011 йил" xfId="310" xr:uid="{00000000-0005-0000-0000-000033010000}"/>
    <cellStyle name="_Наманган-1_омонатлар 01.11.2011 йил" xfId="311" xr:uid="{00000000-0005-0000-0000-000034010000}"/>
    <cellStyle name="_Наманган-1_омонатлар 01.12.2011" xfId="312" xr:uid="{00000000-0005-0000-0000-000035010000}"/>
    <cellStyle name="_Наманган-1_ПРОМ 2010-1чорак-жадваллар 23.03" xfId="313" xr:uid="{00000000-0005-0000-0000-000036010000}"/>
    <cellStyle name="_Наманган-1_СВОД жадваллар-2009 6 ой" xfId="314" xr:uid="{00000000-0005-0000-0000-000037010000}"/>
    <cellStyle name="_Наманган-1_СВОД жадваллар-2009 6 ой_омонатлар 01.09.2011 йил" xfId="315" xr:uid="{00000000-0005-0000-0000-000038010000}"/>
    <cellStyle name="_Наманган-1_СВОД жадваллар-2009 6 ой_омонатлар 01.10.2011 йил" xfId="316" xr:uid="{00000000-0005-0000-0000-000039010000}"/>
    <cellStyle name="_Наманган-1_СВОД жадваллар-2009 6 ой_омонатлар 01.11.2011 йил" xfId="317" xr:uid="{00000000-0005-0000-0000-00003A010000}"/>
    <cellStyle name="_Наманган-1_СВОД жадваллар-2009 6 ой_омонатлар 01.12.2011" xfId="318" xr:uid="{00000000-0005-0000-0000-00003B010000}"/>
    <cellStyle name="_Наманган-1_Сухроб Вилоят свод" xfId="319" xr:uid="{00000000-0005-0000-0000-00003C010000}"/>
    <cellStyle name="_Наманган-1_Сухроб Вилоят свод_омонатлар 01.09.2011 йил" xfId="320" xr:uid="{00000000-0005-0000-0000-00003D010000}"/>
    <cellStyle name="_Наманган-1_Сухроб Вилоят свод_омонатлар 01.10.2011 йил" xfId="321" xr:uid="{00000000-0005-0000-0000-00003E010000}"/>
    <cellStyle name="_Наманган-1_Сухроб Вилоят свод_омонатлар 01.11.2011 йил" xfId="322" xr:uid="{00000000-0005-0000-0000-00003F010000}"/>
    <cellStyle name="_Наманган-1_Сухроб Вилоят свод_омонатлар 01.12.2011" xfId="323" xr:uid="{00000000-0005-0000-0000-000040010000}"/>
    <cellStyle name="_ПП-1050 формы" xfId="324" xr:uid="{00000000-0005-0000-0000-000041010000}"/>
    <cellStyle name="_Самар_анд" xfId="325" xr:uid="{00000000-0005-0000-0000-000042010000}"/>
    <cellStyle name="_Самар_анд_232 ижроси" xfId="326" xr:uid="{00000000-0005-0000-0000-000043010000}"/>
    <cellStyle name="_Самар_анд_АХБОРОТ ТАХЛИЛГАга жадваллар (по туманам)" xfId="327" xr:uid="{00000000-0005-0000-0000-000044010000}"/>
    <cellStyle name="_Самар_анд_АХБОРОТ ТАХЛИЛГАга жадваллар (по туманам)_омонатлар 01.09.2011 йил" xfId="328" xr:uid="{00000000-0005-0000-0000-000045010000}"/>
    <cellStyle name="_Самар_анд_АХБОРОТ ТАХЛИЛГАга жадваллар (по туманам)_омонатлар 01.10.2011 йил" xfId="329" xr:uid="{00000000-0005-0000-0000-000046010000}"/>
    <cellStyle name="_Самар_анд_АХБОРОТ ТАХЛИЛГАга жадваллар (по туманам)_омонатлар 01.11.2011 йил" xfId="330" xr:uid="{00000000-0005-0000-0000-000047010000}"/>
    <cellStyle name="_Самар_анд_АХБОРОТ ТАХЛИЛГАга жадваллар (по туманам)_омонатлар 01.12.2011" xfId="331" xr:uid="{00000000-0005-0000-0000-000048010000}"/>
    <cellStyle name="_Самар_анд_Жадвал саноат 2009 ОХИРИ" xfId="332" xr:uid="{00000000-0005-0000-0000-000049010000}"/>
    <cellStyle name="_Самар_анд_Жадвал саноат 2009 ОХИРИ_омонатлар 01.09.2011 йил" xfId="333" xr:uid="{00000000-0005-0000-0000-00004A010000}"/>
    <cellStyle name="_Самар_анд_Жадвал саноат 2009 ОХИРИ_омонатлар 01.10.2011 йил" xfId="334" xr:uid="{00000000-0005-0000-0000-00004B010000}"/>
    <cellStyle name="_Самар_анд_Жадвал саноат 2009 ОХИРИ_омонатлар 01.11.2011 йил" xfId="335" xr:uid="{00000000-0005-0000-0000-00004C010000}"/>
    <cellStyle name="_Самар_анд_Жадвал саноат 2009 ОХИРИ_омонатлар 01.12.2011" xfId="336" xr:uid="{00000000-0005-0000-0000-00004D010000}"/>
    <cellStyle name="_Самар_анд_иктисодга" xfId="337" xr:uid="{00000000-0005-0000-0000-00004E010000}"/>
    <cellStyle name="_Самар_анд_иктисодга_омонатлар 01.09.2011 йил" xfId="338" xr:uid="{00000000-0005-0000-0000-00004F010000}"/>
    <cellStyle name="_Самар_анд_иктисодга_омонатлар 01.10.2011 йил" xfId="339" xr:uid="{00000000-0005-0000-0000-000050010000}"/>
    <cellStyle name="_Самар_анд_иктисодга_омонатлар 01.11.2011 йил" xfId="340" xr:uid="{00000000-0005-0000-0000-000051010000}"/>
    <cellStyle name="_Самар_анд_иктисодга_омонатлар 01.12.2011" xfId="341" xr:uid="{00000000-0005-0000-0000-000052010000}"/>
    <cellStyle name="_Самар_анд_ОКИБ" xfId="342" xr:uid="{00000000-0005-0000-0000-000053010000}"/>
    <cellStyle name="_Самар_анд_ОКИБ_омонатлар 01.09.2011 йил" xfId="343" xr:uid="{00000000-0005-0000-0000-000054010000}"/>
    <cellStyle name="_Самар_анд_ОКИБ_омонатлар 01.10.2011 йил" xfId="344" xr:uid="{00000000-0005-0000-0000-000055010000}"/>
    <cellStyle name="_Самар_анд_ОКИБ_омонатлар 01.11.2011 йил" xfId="345" xr:uid="{00000000-0005-0000-0000-000056010000}"/>
    <cellStyle name="_Самар_анд_ОКИБ_омонатлар 01.12.2011" xfId="346" xr:uid="{00000000-0005-0000-0000-000057010000}"/>
    <cellStyle name="_Самар_анд_омонатлар 01.09.2011 йил" xfId="347" xr:uid="{00000000-0005-0000-0000-000058010000}"/>
    <cellStyle name="_Самар_анд_омонатлар 01.10.2011 йил" xfId="348" xr:uid="{00000000-0005-0000-0000-000059010000}"/>
    <cellStyle name="_Самар_анд_омонатлар 01.11.2011 йил" xfId="349" xr:uid="{00000000-0005-0000-0000-00005A010000}"/>
    <cellStyle name="_Самар_анд_омонатлар 01.12.2011" xfId="350" xr:uid="{00000000-0005-0000-0000-00005B010000}"/>
    <cellStyle name="_Самар_анд_ПРОМ 2010-1чорак-жадваллар 23.03" xfId="351" xr:uid="{00000000-0005-0000-0000-00005C010000}"/>
    <cellStyle name="_Самар_анд_СВОД жадваллар-2009 6 ой" xfId="352" xr:uid="{00000000-0005-0000-0000-00005D010000}"/>
    <cellStyle name="_Самар_анд_СВОД жадваллар-2009 6 ой_омонатлар 01.09.2011 йил" xfId="353" xr:uid="{00000000-0005-0000-0000-00005E010000}"/>
    <cellStyle name="_Самар_анд_СВОД жадваллар-2009 6 ой_омонатлар 01.10.2011 йил" xfId="354" xr:uid="{00000000-0005-0000-0000-00005F010000}"/>
    <cellStyle name="_Самар_анд_СВОД жадваллар-2009 6 ой_омонатлар 01.11.2011 йил" xfId="355" xr:uid="{00000000-0005-0000-0000-000060010000}"/>
    <cellStyle name="_Самар_анд_СВОД жадваллар-2009 6 ой_омонатлар 01.12.2011" xfId="356" xr:uid="{00000000-0005-0000-0000-000061010000}"/>
    <cellStyle name="_Самар_анд_Сухроб Вилоят свод" xfId="357" xr:uid="{00000000-0005-0000-0000-000062010000}"/>
    <cellStyle name="_Самар_анд_Сухроб Вилоят свод_омонатлар 01.09.2011 йил" xfId="358" xr:uid="{00000000-0005-0000-0000-000063010000}"/>
    <cellStyle name="_Самар_анд_Сухроб Вилоят свод_омонатлар 01.10.2011 йил" xfId="359" xr:uid="{00000000-0005-0000-0000-000064010000}"/>
    <cellStyle name="_Самар_анд_Сухроб Вилоят свод_омонатлар 01.11.2011 йил" xfId="360" xr:uid="{00000000-0005-0000-0000-000065010000}"/>
    <cellStyle name="_Самар_анд_Сухроб Вилоят свод_омонатлар 01.12.2011" xfId="361" xr:uid="{00000000-0005-0000-0000-000066010000}"/>
    <cellStyle name="_Сирдарё" xfId="362" xr:uid="{00000000-0005-0000-0000-000067010000}"/>
    <cellStyle name="_Сирдарё_232 ижроси" xfId="363" xr:uid="{00000000-0005-0000-0000-000068010000}"/>
    <cellStyle name="_Сирдарё_АХБОРОТ ТАХЛИЛГАга жадваллар (по туманам)" xfId="364" xr:uid="{00000000-0005-0000-0000-000069010000}"/>
    <cellStyle name="_Сирдарё_АХБОРОТ ТАХЛИЛГАга жадваллар (по туманам)_омонатлар 01.09.2011 йил" xfId="365" xr:uid="{00000000-0005-0000-0000-00006A010000}"/>
    <cellStyle name="_Сирдарё_АХБОРОТ ТАХЛИЛГАга жадваллар (по туманам)_омонатлар 01.10.2011 йил" xfId="366" xr:uid="{00000000-0005-0000-0000-00006B010000}"/>
    <cellStyle name="_Сирдарё_АХБОРОТ ТАХЛИЛГАга жадваллар (по туманам)_омонатлар 01.11.2011 йил" xfId="367" xr:uid="{00000000-0005-0000-0000-00006C010000}"/>
    <cellStyle name="_Сирдарё_АХБОРОТ ТАХЛИЛГАга жадваллар (по туманам)_омонатлар 01.12.2011" xfId="368" xr:uid="{00000000-0005-0000-0000-00006D010000}"/>
    <cellStyle name="_Сирдарё_Жадвал саноат 2009 ОХИРИ" xfId="369" xr:uid="{00000000-0005-0000-0000-00006E010000}"/>
    <cellStyle name="_Сирдарё_Жадвал саноат 2009 ОХИРИ_омонатлар 01.09.2011 йил" xfId="370" xr:uid="{00000000-0005-0000-0000-00006F010000}"/>
    <cellStyle name="_Сирдарё_Жадвал саноат 2009 ОХИРИ_омонатлар 01.10.2011 йил" xfId="371" xr:uid="{00000000-0005-0000-0000-000070010000}"/>
    <cellStyle name="_Сирдарё_Жадвал саноат 2009 ОХИРИ_омонатлар 01.11.2011 йил" xfId="372" xr:uid="{00000000-0005-0000-0000-000071010000}"/>
    <cellStyle name="_Сирдарё_Жадвал саноат 2009 ОХИРИ_омонатлар 01.12.2011" xfId="373" xr:uid="{00000000-0005-0000-0000-000072010000}"/>
    <cellStyle name="_Сирдарё_иктисодга" xfId="374" xr:uid="{00000000-0005-0000-0000-000073010000}"/>
    <cellStyle name="_Сирдарё_иктисодга_омонатлар 01.09.2011 йил" xfId="375" xr:uid="{00000000-0005-0000-0000-000074010000}"/>
    <cellStyle name="_Сирдарё_иктисодга_омонатлар 01.10.2011 йил" xfId="376" xr:uid="{00000000-0005-0000-0000-000075010000}"/>
    <cellStyle name="_Сирдарё_иктисодга_омонатлар 01.11.2011 йил" xfId="377" xr:uid="{00000000-0005-0000-0000-000076010000}"/>
    <cellStyle name="_Сирдарё_иктисодга_омонатлар 01.12.2011" xfId="378" xr:uid="{00000000-0005-0000-0000-000077010000}"/>
    <cellStyle name="_Сирдарё_ОКИБ" xfId="379" xr:uid="{00000000-0005-0000-0000-000078010000}"/>
    <cellStyle name="_Сирдарё_ОКИБ_омонатлар 01.09.2011 йил" xfId="380" xr:uid="{00000000-0005-0000-0000-000079010000}"/>
    <cellStyle name="_Сирдарё_ОКИБ_омонатлар 01.10.2011 йил" xfId="381" xr:uid="{00000000-0005-0000-0000-00007A010000}"/>
    <cellStyle name="_Сирдарё_ОКИБ_омонатлар 01.11.2011 йил" xfId="382" xr:uid="{00000000-0005-0000-0000-00007B010000}"/>
    <cellStyle name="_Сирдарё_ОКИБ_омонатлар 01.12.2011" xfId="383" xr:uid="{00000000-0005-0000-0000-00007C010000}"/>
    <cellStyle name="_Сирдарё_омонатлар 01.09.2011 йил" xfId="384" xr:uid="{00000000-0005-0000-0000-00007D010000}"/>
    <cellStyle name="_Сирдарё_омонатлар 01.10.2011 йил" xfId="385" xr:uid="{00000000-0005-0000-0000-00007E010000}"/>
    <cellStyle name="_Сирдарё_омонатлар 01.11.2011 йил" xfId="386" xr:uid="{00000000-0005-0000-0000-00007F010000}"/>
    <cellStyle name="_Сирдарё_омонатлар 01.12.2011" xfId="387" xr:uid="{00000000-0005-0000-0000-000080010000}"/>
    <cellStyle name="_Сирдарё_ПРОМ 2010-1чорак-жадваллар 23.03" xfId="388" xr:uid="{00000000-0005-0000-0000-000081010000}"/>
    <cellStyle name="_Сирдарё_СВОД жадваллар-2009 6 ой" xfId="389" xr:uid="{00000000-0005-0000-0000-000082010000}"/>
    <cellStyle name="_Сирдарё_СВОД жадваллар-2009 6 ой_омонатлар 01.09.2011 йил" xfId="390" xr:uid="{00000000-0005-0000-0000-000083010000}"/>
    <cellStyle name="_Сирдарё_СВОД жадваллар-2009 6 ой_омонатлар 01.10.2011 йил" xfId="391" xr:uid="{00000000-0005-0000-0000-000084010000}"/>
    <cellStyle name="_Сирдарё_СВОД жадваллар-2009 6 ой_омонатлар 01.11.2011 йил" xfId="392" xr:uid="{00000000-0005-0000-0000-000085010000}"/>
    <cellStyle name="_Сирдарё_СВОД жадваллар-2009 6 ой_омонатлар 01.12.2011" xfId="393" xr:uid="{00000000-0005-0000-0000-000086010000}"/>
    <cellStyle name="_Сирдарё_Сухроб Вилоят свод" xfId="394" xr:uid="{00000000-0005-0000-0000-000087010000}"/>
    <cellStyle name="_Сирдарё_Сухроб Вилоят свод_омонатлар 01.09.2011 йил" xfId="395" xr:uid="{00000000-0005-0000-0000-000088010000}"/>
    <cellStyle name="_Сирдарё_Сухроб Вилоят свод_омонатлар 01.10.2011 йил" xfId="396" xr:uid="{00000000-0005-0000-0000-000089010000}"/>
    <cellStyle name="_Сирдарё_Сухроб Вилоят свод_омонатлар 01.11.2011 йил" xfId="397" xr:uid="{00000000-0005-0000-0000-00008A010000}"/>
    <cellStyle name="_Сирдарё_Сухроб Вилоят свод_омонатлар 01.12.2011" xfId="398" xr:uid="{00000000-0005-0000-0000-00008B010000}"/>
    <cellStyle name="_Сурхондарё " xfId="399" xr:uid="{00000000-0005-0000-0000-00008C010000}"/>
    <cellStyle name="_Сурхондарё _232 ижроси" xfId="400" xr:uid="{00000000-0005-0000-0000-00008D010000}"/>
    <cellStyle name="_Сурхондарё _АХБОРОТ ТАХЛИЛГАга жадваллар (по туманам)" xfId="401" xr:uid="{00000000-0005-0000-0000-00008E010000}"/>
    <cellStyle name="_Сурхондарё _АХБОРОТ ТАХЛИЛГАга жадваллар (по туманам)_омонатлар 01.09.2011 йил" xfId="402" xr:uid="{00000000-0005-0000-0000-00008F010000}"/>
    <cellStyle name="_Сурхондарё _АХБОРОТ ТАХЛИЛГАга жадваллар (по туманам)_омонатлар 01.10.2011 йил" xfId="403" xr:uid="{00000000-0005-0000-0000-000090010000}"/>
    <cellStyle name="_Сурхондарё _АХБОРОТ ТАХЛИЛГАга жадваллар (по туманам)_омонатлар 01.11.2011 йил" xfId="404" xr:uid="{00000000-0005-0000-0000-000091010000}"/>
    <cellStyle name="_Сурхондарё _АХБОРОТ ТАХЛИЛГАга жадваллар (по туманам)_омонатлар 01.12.2011" xfId="405" xr:uid="{00000000-0005-0000-0000-000092010000}"/>
    <cellStyle name="_Сурхондарё _Жадвал саноат 2009 ОХИРИ" xfId="406" xr:uid="{00000000-0005-0000-0000-000093010000}"/>
    <cellStyle name="_Сурхондарё _Жадвал саноат 2009 ОХИРИ_омонатлар 01.09.2011 йил" xfId="407" xr:uid="{00000000-0005-0000-0000-000094010000}"/>
    <cellStyle name="_Сурхондарё _Жадвал саноат 2009 ОХИРИ_омонатлар 01.10.2011 йил" xfId="408" xr:uid="{00000000-0005-0000-0000-000095010000}"/>
    <cellStyle name="_Сурхондарё _Жадвал саноат 2009 ОХИРИ_омонатлар 01.11.2011 йил" xfId="409" xr:uid="{00000000-0005-0000-0000-000096010000}"/>
    <cellStyle name="_Сурхондарё _Жадвал саноат 2009 ОХИРИ_омонатлар 01.12.2011" xfId="410" xr:uid="{00000000-0005-0000-0000-000097010000}"/>
    <cellStyle name="_Сурхондарё _иктисодга" xfId="411" xr:uid="{00000000-0005-0000-0000-000098010000}"/>
    <cellStyle name="_Сурхондарё _иктисодга_омонатлар 01.09.2011 йил" xfId="412" xr:uid="{00000000-0005-0000-0000-000099010000}"/>
    <cellStyle name="_Сурхондарё _иктисодга_омонатлар 01.10.2011 йил" xfId="413" xr:uid="{00000000-0005-0000-0000-00009A010000}"/>
    <cellStyle name="_Сурхондарё _иктисодга_омонатлар 01.11.2011 йил" xfId="414" xr:uid="{00000000-0005-0000-0000-00009B010000}"/>
    <cellStyle name="_Сурхондарё _иктисодга_омонатлар 01.12.2011" xfId="415" xr:uid="{00000000-0005-0000-0000-00009C010000}"/>
    <cellStyle name="_Сурхондарё _ОКИБ" xfId="416" xr:uid="{00000000-0005-0000-0000-00009D010000}"/>
    <cellStyle name="_Сурхондарё _ОКИБ_омонатлар 01.09.2011 йил" xfId="417" xr:uid="{00000000-0005-0000-0000-00009E010000}"/>
    <cellStyle name="_Сурхондарё _ОКИБ_омонатлар 01.10.2011 йил" xfId="418" xr:uid="{00000000-0005-0000-0000-00009F010000}"/>
    <cellStyle name="_Сурхондарё _ОКИБ_омонатлар 01.11.2011 йил" xfId="419" xr:uid="{00000000-0005-0000-0000-0000A0010000}"/>
    <cellStyle name="_Сурхондарё _ОКИБ_омонатлар 01.12.2011" xfId="420" xr:uid="{00000000-0005-0000-0000-0000A1010000}"/>
    <cellStyle name="_Сурхондарё _омонатлар 01.09.2011 йил" xfId="421" xr:uid="{00000000-0005-0000-0000-0000A2010000}"/>
    <cellStyle name="_Сурхондарё _омонатлар 01.10.2011 йил" xfId="422" xr:uid="{00000000-0005-0000-0000-0000A3010000}"/>
    <cellStyle name="_Сурхондарё _омонатлар 01.11.2011 йил" xfId="423" xr:uid="{00000000-0005-0000-0000-0000A4010000}"/>
    <cellStyle name="_Сурхондарё _омонатлар 01.12.2011" xfId="424" xr:uid="{00000000-0005-0000-0000-0000A5010000}"/>
    <cellStyle name="_Сурхондарё _ПРОМ 2010-1чорак-жадваллар 23.03" xfId="425" xr:uid="{00000000-0005-0000-0000-0000A6010000}"/>
    <cellStyle name="_Сурхондарё _СВОД жадваллар-2009 6 ой" xfId="426" xr:uid="{00000000-0005-0000-0000-0000A7010000}"/>
    <cellStyle name="_Сурхондарё _СВОД жадваллар-2009 6 ой_омонатлар 01.09.2011 йил" xfId="427" xr:uid="{00000000-0005-0000-0000-0000A8010000}"/>
    <cellStyle name="_Сурхондарё _СВОД жадваллар-2009 6 ой_омонатлар 01.10.2011 йил" xfId="428" xr:uid="{00000000-0005-0000-0000-0000A9010000}"/>
    <cellStyle name="_Сурхондарё _СВОД жадваллар-2009 6 ой_омонатлар 01.11.2011 йил" xfId="429" xr:uid="{00000000-0005-0000-0000-0000AA010000}"/>
    <cellStyle name="_Сурхондарё _СВОД жадваллар-2009 6 ой_омонатлар 01.12.2011" xfId="430" xr:uid="{00000000-0005-0000-0000-0000AB010000}"/>
    <cellStyle name="_Сурхондарё _Сухроб Вилоят свод" xfId="431" xr:uid="{00000000-0005-0000-0000-0000AC010000}"/>
    <cellStyle name="_Сурхондарё _Сухроб Вилоят свод_омонатлар 01.09.2011 йил" xfId="432" xr:uid="{00000000-0005-0000-0000-0000AD010000}"/>
    <cellStyle name="_Сурхондарё _Сухроб Вилоят свод_омонатлар 01.10.2011 йил" xfId="433" xr:uid="{00000000-0005-0000-0000-0000AE010000}"/>
    <cellStyle name="_Сурхондарё _Сухроб Вилоят свод_омонатлар 01.11.2011 йил" xfId="434" xr:uid="{00000000-0005-0000-0000-0000AF010000}"/>
    <cellStyle name="_Сурхондарё _Сухроб Вилоят свод_омонатлар 01.12.2011" xfId="435" xr:uid="{00000000-0005-0000-0000-0000B0010000}"/>
    <cellStyle name="_Сухроб Вилоят свод" xfId="436" xr:uid="{00000000-0005-0000-0000-0000B1010000}"/>
    <cellStyle name="_Таблица 6 (Локализация)" xfId="437" xr:uid="{00000000-0005-0000-0000-0000B2010000}"/>
    <cellStyle name="_Тошкент в." xfId="438" xr:uid="{00000000-0005-0000-0000-0000B3010000}"/>
    <cellStyle name="_Тошкент в._омонатлар 01.09.2011 йил" xfId="439" xr:uid="{00000000-0005-0000-0000-0000B4010000}"/>
    <cellStyle name="_Тошкент в._омонатлар 01.10.2011 йил" xfId="440" xr:uid="{00000000-0005-0000-0000-0000B5010000}"/>
    <cellStyle name="_Тошкент в._омонатлар 01.11.2011 йил" xfId="441" xr:uid="{00000000-0005-0000-0000-0000B6010000}"/>
    <cellStyle name="_Тошкент в._омонатлар 01.12.2011" xfId="442" xr:uid="{00000000-0005-0000-0000-0000B7010000}"/>
    <cellStyle name="_Тошкент в._СВОД - 2011 туман (шахар) дастури" xfId="443" xr:uid="{00000000-0005-0000-0000-0000B8010000}"/>
    <cellStyle name="_учта туман буйича касана" xfId="444" xr:uid="{00000000-0005-0000-0000-0000B9010000}"/>
    <cellStyle name="_Фаолият" xfId="445" xr:uid="{00000000-0005-0000-0000-0000BA010000}"/>
    <cellStyle name="_Фаолият_67 та жадвал №2" xfId="446" xr:uid="{00000000-0005-0000-0000-0000BB010000}"/>
    <cellStyle name="_Фаолият_67 талик жадвал-Иктисод №1" xfId="447" xr:uid="{00000000-0005-0000-0000-0000BC010000}"/>
    <cellStyle name="_Фаолият_БАЖАРИЛИШИ 1-май" xfId="448" xr:uid="{00000000-0005-0000-0000-0000BD010000}"/>
    <cellStyle name="_Фаолият_БАЖАРИЛИШИ 1-май_омонатлар 01.09.2011 йил" xfId="449" xr:uid="{00000000-0005-0000-0000-0000BE010000}"/>
    <cellStyle name="_Фаолият_БАЖАРИЛИШИ 1-май_омонатлар 01.10.2011 йил" xfId="450" xr:uid="{00000000-0005-0000-0000-0000BF010000}"/>
    <cellStyle name="_Фаолият_БАЖАРИЛИШИ 1-май_омонатлар 01.11.2011 йил" xfId="451" xr:uid="{00000000-0005-0000-0000-0000C0010000}"/>
    <cellStyle name="_Фаолият_БАЖАРИЛИШИ 1-май_омонатлар 01.12.2011" xfId="452" xr:uid="{00000000-0005-0000-0000-0000C1010000}"/>
    <cellStyle name="_Фаолият_Бобир учун 67 талик жадвал-Иктисод" xfId="453" xr:uid="{00000000-0005-0000-0000-0000C2010000}"/>
    <cellStyle name="_Фаолият_иктисодга" xfId="454" xr:uid="{00000000-0005-0000-0000-0000C3010000}"/>
    <cellStyle name="_Фаолият_иктисодга_омонатлар 01.09.2011 йил" xfId="455" xr:uid="{00000000-0005-0000-0000-0000C4010000}"/>
    <cellStyle name="_Фаолият_иктисодга_омонатлар 01.10.2011 йил" xfId="456" xr:uid="{00000000-0005-0000-0000-0000C5010000}"/>
    <cellStyle name="_Фаолият_иктисодга_омонатлар 01.11.2011 йил" xfId="457" xr:uid="{00000000-0005-0000-0000-0000C6010000}"/>
    <cellStyle name="_Фаолият_иктисодга_омонатлар 01.12.2011" xfId="458" xr:uid="{00000000-0005-0000-0000-0000C7010000}"/>
    <cellStyle name="_Фаолият_Касаначи 4 ой" xfId="459" xr:uid="{00000000-0005-0000-0000-0000C8010000}"/>
    <cellStyle name="_Фаолият_қишлоқ таррақиёти 82 банд тўлиқ" xfId="460" xr:uid="{00000000-0005-0000-0000-0000C9010000}"/>
    <cellStyle name="_Фаолият_қишлоқ таррақиёти 82 банд тўлиқ_омонатлар 01.09.2011 йил" xfId="461" xr:uid="{00000000-0005-0000-0000-0000CA010000}"/>
    <cellStyle name="_Фаолият_қишлоқ таррақиёти 82 банд тўлиқ_омонатлар 01.10.2011 йил" xfId="462" xr:uid="{00000000-0005-0000-0000-0000CB010000}"/>
    <cellStyle name="_Фаолият_қишлоқ таррақиёти 82 банд тўлиқ_омонатлар 01.11.2011 йил" xfId="463" xr:uid="{00000000-0005-0000-0000-0000CC010000}"/>
    <cellStyle name="_Фаолият_қишлоқ таррақиёти 82 банд тўлиқ_омонатлар 01.12.2011" xfId="464" xr:uid="{00000000-0005-0000-0000-0000CD010000}"/>
    <cellStyle name="_Фаолият_омонатлар 01.09.2011 йил" xfId="465" xr:uid="{00000000-0005-0000-0000-0000CE010000}"/>
    <cellStyle name="_Фаолият_омонатлар 01.10.2011 йил" xfId="466" xr:uid="{00000000-0005-0000-0000-0000CF010000}"/>
    <cellStyle name="_Фаолият_омонатлар 01.11.2011 йил" xfId="467" xr:uid="{00000000-0005-0000-0000-0000D0010000}"/>
    <cellStyle name="_Фаолият_омонатлар 01.12.2011" xfId="468" xr:uid="{00000000-0005-0000-0000-0000D1010000}"/>
    <cellStyle name="_Фаолият_СВОД жадваллар-2009 6 ой" xfId="469" xr:uid="{00000000-0005-0000-0000-0000D2010000}"/>
    <cellStyle name="_Фаолият_СВОД жадваллар-2009 6 ой_омонатлар 01.09.2011 йил" xfId="470" xr:uid="{00000000-0005-0000-0000-0000D3010000}"/>
    <cellStyle name="_Фаолият_СВОД жадваллар-2009 6 ой_омонатлар 01.10.2011 йил" xfId="471" xr:uid="{00000000-0005-0000-0000-0000D4010000}"/>
    <cellStyle name="_Фаолият_СВОД жадваллар-2009 6 ой_омонатлар 01.11.2011 йил" xfId="472" xr:uid="{00000000-0005-0000-0000-0000D5010000}"/>
    <cellStyle name="_Фаолият_СВОД жадваллар-2009 6 ой_омонатлар 01.12.2011" xfId="473" xr:uid="{00000000-0005-0000-0000-0000D6010000}"/>
    <cellStyle name="_Фаолият_Сухроб Вилоят свод" xfId="474" xr:uid="{00000000-0005-0000-0000-0000D7010000}"/>
    <cellStyle name="_Фаолият_Сухроб Вилоят свод_омонатлар 01.09.2011 йил" xfId="475" xr:uid="{00000000-0005-0000-0000-0000D8010000}"/>
    <cellStyle name="_Фаолият_Сухроб Вилоят свод_омонатлар 01.10.2011 йил" xfId="476" xr:uid="{00000000-0005-0000-0000-0000D9010000}"/>
    <cellStyle name="_Фаолият_Сухроб Вилоят свод_омонатлар 01.11.2011 йил" xfId="477" xr:uid="{00000000-0005-0000-0000-0000DA010000}"/>
    <cellStyle name="_Фаолият_Сухроб Вилоят свод_омонатлар 01.12.2011" xfId="478" xr:uid="{00000000-0005-0000-0000-0000DB010000}"/>
    <cellStyle name="_Фаолият_учта туман буйича касана" xfId="479" xr:uid="{00000000-0005-0000-0000-0000DC010000}"/>
    <cellStyle name="_Фаолият_ЯИЎ-сервис" xfId="480" xr:uid="{00000000-0005-0000-0000-0000DD010000}"/>
    <cellStyle name="_Фаолият_ЯИЎ-сервис_омонатлар 01.09.2011 йил" xfId="481" xr:uid="{00000000-0005-0000-0000-0000DE010000}"/>
    <cellStyle name="_Фаолият_ЯИЎ-сервис_омонатлар 01.10.2011 йил" xfId="482" xr:uid="{00000000-0005-0000-0000-0000DF010000}"/>
    <cellStyle name="_Фаолият_ЯИЎ-сервис_омонатлар 01.11.2011 йил" xfId="483" xr:uid="{00000000-0005-0000-0000-0000E0010000}"/>
    <cellStyle name="_Фаолият_ЯИЎ-сервис_омонатлар 01.12.2011" xfId="484" xr:uid="{00000000-0005-0000-0000-0000E1010000}"/>
    <cellStyle name="_Фарғона" xfId="485" xr:uid="{00000000-0005-0000-0000-0000E2010000}"/>
    <cellStyle name="_Фарғона_омонатлар 01.09.2011 йил" xfId="486" xr:uid="{00000000-0005-0000-0000-0000E3010000}"/>
    <cellStyle name="_Фарғона_омонатлар 01.10.2011 йил" xfId="487" xr:uid="{00000000-0005-0000-0000-0000E4010000}"/>
    <cellStyle name="_Фарғона_омонатлар 01.11.2011 йил" xfId="488" xr:uid="{00000000-0005-0000-0000-0000E5010000}"/>
    <cellStyle name="_Фарғона_омонатлар 01.12.2011" xfId="489" xr:uid="{00000000-0005-0000-0000-0000E6010000}"/>
    <cellStyle name="_Фарғона_СВОД - 2011 туман (шахар) дастури" xfId="490" xr:uid="{00000000-0005-0000-0000-0000E7010000}"/>
    <cellStyle name="_Хокимиятга 01.03.2009й" xfId="491" xr:uid="{00000000-0005-0000-0000-0000E8010000}"/>
    <cellStyle name="_Хоразм" xfId="492" xr:uid="{00000000-0005-0000-0000-0000E9010000}"/>
    <cellStyle name="_Хоразм_232 ижроси" xfId="493" xr:uid="{00000000-0005-0000-0000-0000EA010000}"/>
    <cellStyle name="_Хоразм_АХБОРОТ ТАХЛИЛГАга жадваллар (по туманам)" xfId="494" xr:uid="{00000000-0005-0000-0000-0000EB010000}"/>
    <cellStyle name="_Хоразм_АХБОРОТ ТАХЛИЛГАга жадваллар (по туманам)_омонатлар 01.09.2011 йил" xfId="495" xr:uid="{00000000-0005-0000-0000-0000EC010000}"/>
    <cellStyle name="_Хоразм_АХБОРОТ ТАХЛИЛГАга жадваллар (по туманам)_омонатлар 01.10.2011 йил" xfId="496" xr:uid="{00000000-0005-0000-0000-0000ED010000}"/>
    <cellStyle name="_Хоразм_АХБОРОТ ТАХЛИЛГАга жадваллар (по туманам)_омонатлар 01.11.2011 йил" xfId="497" xr:uid="{00000000-0005-0000-0000-0000EE010000}"/>
    <cellStyle name="_Хоразм_АХБОРОТ ТАХЛИЛГАга жадваллар (по туманам)_омонатлар 01.12.2011" xfId="498" xr:uid="{00000000-0005-0000-0000-0000EF010000}"/>
    <cellStyle name="_Хоразм_Жадвал саноат 2009 ОХИРИ" xfId="499" xr:uid="{00000000-0005-0000-0000-0000F0010000}"/>
    <cellStyle name="_Хоразм_Жадвал саноат 2009 ОХИРИ_омонатлар 01.09.2011 йил" xfId="500" xr:uid="{00000000-0005-0000-0000-0000F1010000}"/>
    <cellStyle name="_Хоразм_Жадвал саноат 2009 ОХИРИ_омонатлар 01.10.2011 йил" xfId="501" xr:uid="{00000000-0005-0000-0000-0000F2010000}"/>
    <cellStyle name="_Хоразм_Жадвал саноат 2009 ОХИРИ_омонатлар 01.11.2011 йил" xfId="502" xr:uid="{00000000-0005-0000-0000-0000F3010000}"/>
    <cellStyle name="_Хоразм_Жадвал саноат 2009 ОХИРИ_омонатлар 01.12.2011" xfId="503" xr:uid="{00000000-0005-0000-0000-0000F4010000}"/>
    <cellStyle name="_Хоразм_иктисодга" xfId="504" xr:uid="{00000000-0005-0000-0000-0000F5010000}"/>
    <cellStyle name="_Хоразм_иктисодга_омонатлар 01.09.2011 йил" xfId="505" xr:uid="{00000000-0005-0000-0000-0000F6010000}"/>
    <cellStyle name="_Хоразм_иктисодга_омонатлар 01.10.2011 йил" xfId="506" xr:uid="{00000000-0005-0000-0000-0000F7010000}"/>
    <cellStyle name="_Хоразм_иктисодга_омонатлар 01.11.2011 йил" xfId="507" xr:uid="{00000000-0005-0000-0000-0000F8010000}"/>
    <cellStyle name="_Хоразм_иктисодга_омонатлар 01.12.2011" xfId="508" xr:uid="{00000000-0005-0000-0000-0000F9010000}"/>
    <cellStyle name="_Хоразм_ОКИБ" xfId="509" xr:uid="{00000000-0005-0000-0000-0000FA010000}"/>
    <cellStyle name="_Хоразм_ОКИБ_омонатлар 01.09.2011 йил" xfId="510" xr:uid="{00000000-0005-0000-0000-0000FB010000}"/>
    <cellStyle name="_Хоразм_ОКИБ_омонатлар 01.10.2011 йил" xfId="511" xr:uid="{00000000-0005-0000-0000-0000FC010000}"/>
    <cellStyle name="_Хоразм_ОКИБ_омонатлар 01.11.2011 йил" xfId="512" xr:uid="{00000000-0005-0000-0000-0000FD010000}"/>
    <cellStyle name="_Хоразм_ОКИБ_омонатлар 01.12.2011" xfId="513" xr:uid="{00000000-0005-0000-0000-0000FE010000}"/>
    <cellStyle name="_Хоразм_омонатлар 01.09.2011 йил" xfId="514" xr:uid="{00000000-0005-0000-0000-0000FF010000}"/>
    <cellStyle name="_Хоразм_омонатлар 01.10.2011 йил" xfId="515" xr:uid="{00000000-0005-0000-0000-000000020000}"/>
    <cellStyle name="_Хоразм_омонатлар 01.11.2011 йил" xfId="516" xr:uid="{00000000-0005-0000-0000-000001020000}"/>
    <cellStyle name="_Хоразм_омонатлар 01.12.2011" xfId="517" xr:uid="{00000000-0005-0000-0000-000002020000}"/>
    <cellStyle name="_Хоразм_ПРОМ 2010-1чорак-жадваллар 23.03" xfId="518" xr:uid="{00000000-0005-0000-0000-000003020000}"/>
    <cellStyle name="_Хоразм_СВОД жадваллар-2009 6 ой" xfId="519" xr:uid="{00000000-0005-0000-0000-000004020000}"/>
    <cellStyle name="_Хоразм_СВОД жадваллар-2009 6 ой_омонатлар 01.09.2011 йил" xfId="520" xr:uid="{00000000-0005-0000-0000-000005020000}"/>
    <cellStyle name="_Хоразм_СВОД жадваллар-2009 6 ой_омонатлар 01.10.2011 йил" xfId="521" xr:uid="{00000000-0005-0000-0000-000006020000}"/>
    <cellStyle name="_Хоразм_СВОД жадваллар-2009 6 ой_омонатлар 01.11.2011 йил" xfId="522" xr:uid="{00000000-0005-0000-0000-000007020000}"/>
    <cellStyle name="_Хоразм_СВОД жадваллар-2009 6 ой_омонатлар 01.12.2011" xfId="523" xr:uid="{00000000-0005-0000-0000-000008020000}"/>
    <cellStyle name="_Хоразм_Сухроб Вилоят свод" xfId="524" xr:uid="{00000000-0005-0000-0000-000009020000}"/>
    <cellStyle name="_Хоразм_Сухроб Вилоят свод_омонатлар 01.09.2011 йил" xfId="525" xr:uid="{00000000-0005-0000-0000-00000A020000}"/>
    <cellStyle name="_Хоразм_Сухроб Вилоят свод_омонатлар 01.10.2011 йил" xfId="526" xr:uid="{00000000-0005-0000-0000-00000B020000}"/>
    <cellStyle name="_Хоразм_Сухроб Вилоят свод_омонатлар 01.11.2011 йил" xfId="527" xr:uid="{00000000-0005-0000-0000-00000C020000}"/>
    <cellStyle name="_Хоразм_Сухроб Вилоят свод_омонатлар 01.12.2011" xfId="528" xr:uid="{00000000-0005-0000-0000-00000D020000}"/>
    <cellStyle name="_чора-тадбир свод" xfId="529" xr:uid="{00000000-0005-0000-0000-00000E020000}"/>
    <cellStyle name="_чора-тадбир свод_67 та жадвал №2" xfId="530" xr:uid="{00000000-0005-0000-0000-00000F020000}"/>
    <cellStyle name="_чора-тадбир свод_67 талик жадвал-Иктисод №1" xfId="531" xr:uid="{00000000-0005-0000-0000-000010020000}"/>
    <cellStyle name="_чора-тадбир свод_БАЖАРИЛИШИ 1-май" xfId="532" xr:uid="{00000000-0005-0000-0000-000011020000}"/>
    <cellStyle name="_чора-тадбир свод_БАЖАРИЛИШИ 1-май_омонатлар 01.09.2011 йил" xfId="533" xr:uid="{00000000-0005-0000-0000-000012020000}"/>
    <cellStyle name="_чора-тадбир свод_БАЖАРИЛИШИ 1-май_омонатлар 01.10.2011 йил" xfId="534" xr:uid="{00000000-0005-0000-0000-000013020000}"/>
    <cellStyle name="_чора-тадбир свод_БАЖАРИЛИШИ 1-май_омонатлар 01.11.2011 йил" xfId="535" xr:uid="{00000000-0005-0000-0000-000014020000}"/>
    <cellStyle name="_чора-тадбир свод_БАЖАРИЛИШИ 1-май_омонатлар 01.12.2011" xfId="536" xr:uid="{00000000-0005-0000-0000-000015020000}"/>
    <cellStyle name="_чора-тадбир свод_Бобир учун 67 талик жадвал-Иктисод" xfId="537" xr:uid="{00000000-0005-0000-0000-000016020000}"/>
    <cellStyle name="_чора-тадбир свод_иктисодга" xfId="538" xr:uid="{00000000-0005-0000-0000-000017020000}"/>
    <cellStyle name="_чора-тадбир свод_иктисодга_омонатлар 01.09.2011 йил" xfId="539" xr:uid="{00000000-0005-0000-0000-000018020000}"/>
    <cellStyle name="_чора-тадбир свод_иктисодга_омонатлар 01.10.2011 йил" xfId="540" xr:uid="{00000000-0005-0000-0000-000019020000}"/>
    <cellStyle name="_чора-тадбир свод_иктисодга_омонатлар 01.11.2011 йил" xfId="541" xr:uid="{00000000-0005-0000-0000-00001A020000}"/>
    <cellStyle name="_чора-тадбир свод_иктисодга_омонатлар 01.12.2011" xfId="542" xr:uid="{00000000-0005-0000-0000-00001B020000}"/>
    <cellStyle name="_чора-тадбир свод_Касаначи 4 ой" xfId="543" xr:uid="{00000000-0005-0000-0000-00001C020000}"/>
    <cellStyle name="_чора-тадбир свод_қишлоқ таррақиёти 82 банд тўлиқ" xfId="544" xr:uid="{00000000-0005-0000-0000-00001D020000}"/>
    <cellStyle name="_чора-тадбир свод_қишлоқ таррақиёти 82 банд тўлиқ_омонатлар 01.09.2011 йил" xfId="545" xr:uid="{00000000-0005-0000-0000-00001E020000}"/>
    <cellStyle name="_чора-тадбир свод_қишлоқ таррақиёти 82 банд тўлиқ_омонатлар 01.10.2011 йил" xfId="546" xr:uid="{00000000-0005-0000-0000-00001F020000}"/>
    <cellStyle name="_чора-тадбир свод_қишлоқ таррақиёти 82 банд тўлиқ_омонатлар 01.11.2011 йил" xfId="547" xr:uid="{00000000-0005-0000-0000-000020020000}"/>
    <cellStyle name="_чора-тадбир свод_қишлоқ таррақиёти 82 банд тўлиқ_омонатлар 01.12.2011" xfId="548" xr:uid="{00000000-0005-0000-0000-000021020000}"/>
    <cellStyle name="_чора-тадбир свод_омонатлар 01.09.2011 йил" xfId="549" xr:uid="{00000000-0005-0000-0000-000022020000}"/>
    <cellStyle name="_чора-тадбир свод_омонатлар 01.10.2011 йил" xfId="550" xr:uid="{00000000-0005-0000-0000-000023020000}"/>
    <cellStyle name="_чора-тадбир свод_омонатлар 01.11.2011 йил" xfId="551" xr:uid="{00000000-0005-0000-0000-000024020000}"/>
    <cellStyle name="_чора-тадбир свод_омонатлар 01.12.2011" xfId="552" xr:uid="{00000000-0005-0000-0000-000025020000}"/>
    <cellStyle name="_чора-тадбир свод_СВОД жадваллар-2009 6 ой" xfId="553" xr:uid="{00000000-0005-0000-0000-000026020000}"/>
    <cellStyle name="_чора-тадбир свод_СВОД жадваллар-2009 6 ой_омонатлар 01.09.2011 йил" xfId="554" xr:uid="{00000000-0005-0000-0000-000027020000}"/>
    <cellStyle name="_чора-тадбир свод_СВОД жадваллар-2009 6 ой_омонатлар 01.10.2011 йил" xfId="555" xr:uid="{00000000-0005-0000-0000-000028020000}"/>
    <cellStyle name="_чора-тадбир свод_СВОД жадваллар-2009 6 ой_омонатлар 01.11.2011 йил" xfId="556" xr:uid="{00000000-0005-0000-0000-000029020000}"/>
    <cellStyle name="_чора-тадбир свод_СВОД жадваллар-2009 6 ой_омонатлар 01.12.2011" xfId="557" xr:uid="{00000000-0005-0000-0000-00002A020000}"/>
    <cellStyle name="_чора-тадбир свод_Сухроб Вилоят свод" xfId="558" xr:uid="{00000000-0005-0000-0000-00002B020000}"/>
    <cellStyle name="_чора-тадбир свод_Сухроб Вилоят свод_омонатлар 01.09.2011 йил" xfId="559" xr:uid="{00000000-0005-0000-0000-00002C020000}"/>
    <cellStyle name="_чора-тадбир свод_Сухроб Вилоят свод_омонатлар 01.10.2011 йил" xfId="560" xr:uid="{00000000-0005-0000-0000-00002D020000}"/>
    <cellStyle name="_чора-тадбир свод_Сухроб Вилоят свод_омонатлар 01.11.2011 йил" xfId="561" xr:uid="{00000000-0005-0000-0000-00002E020000}"/>
    <cellStyle name="_чора-тадбир свод_Сухроб Вилоят свод_омонатлар 01.12.2011" xfId="562" xr:uid="{00000000-0005-0000-0000-00002F020000}"/>
    <cellStyle name="_чора-тадбир свод_учта туман буйича касана" xfId="563" xr:uid="{00000000-0005-0000-0000-000030020000}"/>
    <cellStyle name="_чора-тадбир свод_ЯИЎ-сервис" xfId="564" xr:uid="{00000000-0005-0000-0000-000031020000}"/>
    <cellStyle name="_чора-тадбир свод_ЯИЎ-сервис_омонатлар 01.09.2011 йил" xfId="565" xr:uid="{00000000-0005-0000-0000-000032020000}"/>
    <cellStyle name="_чора-тадбир свод_ЯИЎ-сервис_омонатлар 01.10.2011 йил" xfId="566" xr:uid="{00000000-0005-0000-0000-000033020000}"/>
    <cellStyle name="_чора-тадбир свод_ЯИЎ-сервис_омонатлар 01.11.2011 йил" xfId="567" xr:uid="{00000000-0005-0000-0000-000034020000}"/>
    <cellStyle name="_чора-тадбир свод_ЯИЎ-сервис_омонатлар 01.12.2011" xfId="568" xr:uid="{00000000-0005-0000-0000-000035020000}"/>
    <cellStyle name="”?ќђќ‘ћ‚›‰" xfId="569" xr:uid="{00000000-0005-0000-0000-000036020000}"/>
    <cellStyle name="”?љ‘?ђћ‚ђќќ›‰" xfId="570" xr:uid="{00000000-0005-0000-0000-000037020000}"/>
    <cellStyle name="”€ќђќ‘ћ‚›‰" xfId="571" xr:uid="{00000000-0005-0000-0000-000038020000}"/>
    <cellStyle name="”€љ‘€ђћ‚ђќќ›‰" xfId="572" xr:uid="{00000000-0005-0000-0000-000039020000}"/>
    <cellStyle name="”ќђќ‘ћ‚›‰" xfId="573" xr:uid="{00000000-0005-0000-0000-00003A020000}"/>
    <cellStyle name="”љ‘ђћ‚ђќќ›‰" xfId="574" xr:uid="{00000000-0005-0000-0000-00003B020000}"/>
    <cellStyle name="„…ќ…†ќ›‰" xfId="575" xr:uid="{00000000-0005-0000-0000-00003C020000}"/>
    <cellStyle name="„ђ’ђ" xfId="576" xr:uid="{00000000-0005-0000-0000-00003D020000}"/>
    <cellStyle name="€’ћѓћ‚›‰" xfId="577" xr:uid="{00000000-0005-0000-0000-00003E020000}"/>
    <cellStyle name="‡ђѓћ‹ћ‚ћљ1" xfId="578" xr:uid="{00000000-0005-0000-0000-00003F020000}"/>
    <cellStyle name="‡ђѓћ‹ћ‚ћљ2" xfId="579" xr:uid="{00000000-0005-0000-0000-000040020000}"/>
    <cellStyle name="’ћѓћ‚›‰" xfId="580" xr:uid="{00000000-0005-0000-0000-000041020000}"/>
    <cellStyle name="" xfId="581" xr:uid="{00000000-0005-0000-0000-000042020000}"/>
    <cellStyle name="" xfId="582" xr:uid="{00000000-0005-0000-0000-000043020000}"/>
    <cellStyle name="_1-кисм 1-свод" xfId="583" xr:uid="{00000000-0005-0000-0000-000044020000}"/>
    <cellStyle name="_1-кисм 1-свод" xfId="584" xr:uid="{00000000-0005-0000-0000-000045020000}"/>
    <cellStyle name="_2010 йил 1-ярим йиллик лойихалар" xfId="585" xr:uid="{00000000-0005-0000-0000-000046020000}"/>
    <cellStyle name="_2010 йил 1-ярим йиллик лойихалар" xfId="586" xr:uid="{00000000-0005-0000-0000-000047020000}"/>
    <cellStyle name="_232 ижроси" xfId="587" xr:uid="{00000000-0005-0000-0000-000048020000}"/>
    <cellStyle name="_232 ижроси" xfId="588" xr:uid="{00000000-0005-0000-0000-000049020000}"/>
    <cellStyle name="_232 ижроси_омонатлар 01.09.2011 йил" xfId="589" xr:uid="{00000000-0005-0000-0000-00004A020000}"/>
    <cellStyle name="_232 ижроси_омонатлар 01.09.2011 йил" xfId="590" xr:uid="{00000000-0005-0000-0000-00004B020000}"/>
    <cellStyle name="_232 ижроси_омонатлар 01.10.2011 йил" xfId="591" xr:uid="{00000000-0005-0000-0000-00004C020000}"/>
    <cellStyle name="_232 ижроси_омонатлар 01.10.2011 йил" xfId="592" xr:uid="{00000000-0005-0000-0000-00004D020000}"/>
    <cellStyle name="_232 ижроси_омонатлар 01.11.2011 йил" xfId="593" xr:uid="{00000000-0005-0000-0000-00004E020000}"/>
    <cellStyle name="_232 ижроси_омонатлар 01.11.2011 йил" xfId="594" xr:uid="{00000000-0005-0000-0000-00004F020000}"/>
    <cellStyle name="_232 ижроси_омонатлар 01.12.2011" xfId="595" xr:uid="{00000000-0005-0000-0000-000050020000}"/>
    <cellStyle name="_232 ижроси_омонатлар 01.12.2011" xfId="596" xr:uid="{00000000-0005-0000-0000-000051020000}"/>
    <cellStyle name="_АХБОРОТ ТАХЛИЛГАга жадваллар (по туманам)" xfId="597" xr:uid="{00000000-0005-0000-0000-000052020000}"/>
    <cellStyle name="_АХБОРОТ ТАХЛИЛГАга жадваллар (по туманам)" xfId="598" xr:uid="{00000000-0005-0000-0000-000053020000}"/>
    <cellStyle name="_Жадвал саноат 2009 ОХИРИ" xfId="599" xr:uid="{00000000-0005-0000-0000-000054020000}"/>
    <cellStyle name="_Жадвал саноат 2009 ОХИРИ" xfId="600" xr:uid="{00000000-0005-0000-0000-000055020000}"/>
    <cellStyle name="_иктисодга" xfId="601" xr:uid="{00000000-0005-0000-0000-000056020000}"/>
    <cellStyle name="_иктисодга" xfId="602" xr:uid="{00000000-0005-0000-0000-000057020000}"/>
    <cellStyle name="_МВЭС Хусанбой" xfId="603" xr:uid="{00000000-0005-0000-0000-000058020000}"/>
    <cellStyle name="_МВЭС Хусанбой" xfId="604" xr:uid="{00000000-0005-0000-0000-000059020000}"/>
    <cellStyle name="_МВЭС2" xfId="605" xr:uid="{00000000-0005-0000-0000-00005A020000}"/>
    <cellStyle name="_МВЭС2" xfId="606" xr:uid="{00000000-0005-0000-0000-00005B020000}"/>
    <cellStyle name="_ОКИБ" xfId="607" xr:uid="{00000000-0005-0000-0000-00005C020000}"/>
    <cellStyle name="_ОКИБ" xfId="608" xr:uid="{00000000-0005-0000-0000-00005D020000}"/>
    <cellStyle name="_ПРОМ 2010-1чорак-жадваллар 23.03" xfId="609" xr:uid="{00000000-0005-0000-0000-00005E020000}"/>
    <cellStyle name="_ПРОМ 2010-1чорак-жадваллар 23.03" xfId="610" xr:uid="{00000000-0005-0000-0000-00005F020000}"/>
    <cellStyle name="_ПРОМ 2010-1чорак-жадваллар 23.03_11-жадвал Акбарга" xfId="611" xr:uid="{00000000-0005-0000-0000-000060020000}"/>
    <cellStyle name="_ПРОМ 2010-1чорак-жадваллар 23.03_11-жадвал Акбарга" xfId="612" xr:uid="{00000000-0005-0000-0000-000061020000}"/>
    <cellStyle name="_ПРОМ 2010-1чорак-жадваллар 23.03_11-жадвал Акбарга_омонатлар 01.09.2011 йил" xfId="613" xr:uid="{00000000-0005-0000-0000-000062020000}"/>
    <cellStyle name="_ПРОМ 2010-1чорак-жадваллар 23.03_11-жадвал Акбарга_омонатлар 01.09.2011 йил" xfId="614" xr:uid="{00000000-0005-0000-0000-000063020000}"/>
    <cellStyle name="_ПРОМ 2010-1чорак-жадваллар 23.03_11-жадвал Акбарга_омонатлар 01.10.2011 йил" xfId="615" xr:uid="{00000000-0005-0000-0000-000064020000}"/>
    <cellStyle name="_ПРОМ 2010-1чорак-жадваллар 23.03_11-жадвал Акбарга_омонатлар 01.10.2011 йил" xfId="616" xr:uid="{00000000-0005-0000-0000-000065020000}"/>
    <cellStyle name="_ПРОМ 2010-1чорак-жадваллар 23.03_11-жадвал Акбарга_омонатлар 01.11.2011 йил" xfId="617" xr:uid="{00000000-0005-0000-0000-000066020000}"/>
    <cellStyle name="_ПРОМ 2010-1чорак-жадваллар 23.03_11-жадвал Акбарга_омонатлар 01.11.2011 йил" xfId="618" xr:uid="{00000000-0005-0000-0000-000067020000}"/>
    <cellStyle name="_ПРОМ 2010-1чорак-жадваллар 23.03_11-жадвал Акбарга_омонатлар 01.12.2011" xfId="619" xr:uid="{00000000-0005-0000-0000-000068020000}"/>
    <cellStyle name="_ПРОМ 2010-1чорак-жадваллар 23.03_11-жадвал Акбарга_омонатлар 01.12.2011" xfId="620" xr:uid="{00000000-0005-0000-0000-000069020000}"/>
    <cellStyle name="_ПРОМ 2010-1чорак-жадваллар 23.03_озиқ-овқат" xfId="621" xr:uid="{00000000-0005-0000-0000-00006A020000}"/>
    <cellStyle name="_ПРОМ 2010-1чорак-жадваллар 23.03_озиқ-овқат" xfId="622" xr:uid="{00000000-0005-0000-0000-00006B020000}"/>
    <cellStyle name="_ПРОМ 2010-1чорак-жадваллар 23.03_озиқ-овқат_омонатлар 01.09.2011 йил" xfId="623" xr:uid="{00000000-0005-0000-0000-00006C020000}"/>
    <cellStyle name="_ПРОМ 2010-1чорак-жадваллар 23.03_озиқ-овқат_омонатлар 01.09.2011 йил" xfId="624" xr:uid="{00000000-0005-0000-0000-00006D020000}"/>
    <cellStyle name="_ПРОМ 2010-1чорак-жадваллар 23.03_озиқ-овқат_омонатлар 01.10.2011 йил" xfId="625" xr:uid="{00000000-0005-0000-0000-00006E020000}"/>
    <cellStyle name="_ПРОМ 2010-1чорак-жадваллар 23.03_озиқ-овқат_омонатлар 01.10.2011 йил" xfId="626" xr:uid="{00000000-0005-0000-0000-00006F020000}"/>
    <cellStyle name="_ПРОМ 2010-1чорак-жадваллар 23.03_озиқ-овқат_омонатлар 01.11.2011 йил" xfId="627" xr:uid="{00000000-0005-0000-0000-000070020000}"/>
    <cellStyle name="_ПРОМ 2010-1чорак-жадваллар 23.03_озиқ-овқат_омонатлар 01.11.2011 йил" xfId="628" xr:uid="{00000000-0005-0000-0000-000071020000}"/>
    <cellStyle name="_ПРОМ 2010-1чорак-жадваллар 23.03_озиқ-овқат_омонатлар 01.12.2011" xfId="629" xr:uid="{00000000-0005-0000-0000-000072020000}"/>
    <cellStyle name="_ПРОМ 2010-1чорак-жадваллар 23.03_озиқ-овқат_омонатлар 01.12.2011" xfId="630" xr:uid="{00000000-0005-0000-0000-000073020000}"/>
    <cellStyle name="_ПРОМ 2010-1чорак-жадваллар 23.03_омонатлар 01.09.2011 йил" xfId="631" xr:uid="{00000000-0005-0000-0000-000074020000}"/>
    <cellStyle name="_ПРОМ 2010-1чорак-жадваллар 23.03_омонатлар 01.09.2011 йил" xfId="632" xr:uid="{00000000-0005-0000-0000-000075020000}"/>
    <cellStyle name="_ПРОМ 2010-1чорак-жадваллар 23.03_омонатлар 01.10.2011 йил" xfId="633" xr:uid="{00000000-0005-0000-0000-000076020000}"/>
    <cellStyle name="_ПРОМ 2010-1чорак-жадваллар 23.03_омонатлар 01.10.2011 йил" xfId="634" xr:uid="{00000000-0005-0000-0000-000077020000}"/>
    <cellStyle name="_ПРОМ 2010-1чорак-жадваллар 23.03_омонатлар 01.11.2011 йил" xfId="635" xr:uid="{00000000-0005-0000-0000-000078020000}"/>
    <cellStyle name="_ПРОМ 2010-1чорак-жадваллар 23.03_омонатлар 01.11.2011 йил" xfId="636" xr:uid="{00000000-0005-0000-0000-000079020000}"/>
    <cellStyle name="_ПРОМ 2010-1чорак-жадваллар 23.03_омонатлар 01.12.2011" xfId="637" xr:uid="{00000000-0005-0000-0000-00007A020000}"/>
    <cellStyle name="_ПРОМ 2010-1чорак-жадваллар 23.03_омонатлар 01.12.2011" xfId="638" xr:uid="{00000000-0005-0000-0000-00007B020000}"/>
    <cellStyle name="_СВОД Жадваллар 2008-2012й" xfId="639" xr:uid="{00000000-0005-0000-0000-00007C020000}"/>
    <cellStyle name="_СВОД Жадваллар 2008-2012й" xfId="640" xr:uid="{00000000-0005-0000-0000-00007D020000}"/>
    <cellStyle name="_СВОД Жадваллар 2008-2012й_СВОД Прогноз 2008-2012й" xfId="641" xr:uid="{00000000-0005-0000-0000-00007E020000}"/>
    <cellStyle name="_СВОД Жадваллар 2008-2012й_СВОД Прогноз 2008-2012й" xfId="642" xr:uid="{00000000-0005-0000-0000-00007F020000}"/>
    <cellStyle name="_СВОД жадваллар-2009 6 ой" xfId="643" xr:uid="{00000000-0005-0000-0000-000080020000}"/>
    <cellStyle name="_СВОД жадваллар-2009 6 ой" xfId="644" xr:uid="{00000000-0005-0000-0000-000081020000}"/>
    <cellStyle name="_СВОД Прогноз 2008-2012й" xfId="645" xr:uid="{00000000-0005-0000-0000-000082020000}"/>
    <cellStyle name="_СВОД Прогноз 2008-2012й" xfId="646" xr:uid="{00000000-0005-0000-0000-000083020000}"/>
    <cellStyle name="_Сухроб Вилоят свод" xfId="647" xr:uid="{00000000-0005-0000-0000-000084020000}"/>
    <cellStyle name="_Сухроб Вилоят свод" xfId="648" xr:uid="{00000000-0005-0000-0000-000085020000}"/>
    <cellStyle name="_Фарғона" xfId="649" xr:uid="{00000000-0005-0000-0000-000086020000}"/>
    <cellStyle name="_Фарғона" xfId="650" xr:uid="{00000000-0005-0000-0000-000087020000}"/>
    <cellStyle name="_Фарғона_11-жадвал Акбарга" xfId="651" xr:uid="{00000000-0005-0000-0000-000088020000}"/>
    <cellStyle name="_Фарғона_11-жадвал Акбарга" xfId="652" xr:uid="{00000000-0005-0000-0000-000089020000}"/>
    <cellStyle name="_Фарғона_11-жадвал Акбарга_Омонат 1.12.2010" xfId="653" xr:uid="{00000000-0005-0000-0000-00008A020000}"/>
    <cellStyle name="_Фарғона_11-жадвал Акбарга_Омонат 1.12.2010" xfId="654" xr:uid="{00000000-0005-0000-0000-00008B020000}"/>
    <cellStyle name="_Фарғона_11-жадвал Акбарга_Омонат 1.12.2010_омонатлар 01.09.2011 йил" xfId="655" xr:uid="{00000000-0005-0000-0000-00008C020000}"/>
    <cellStyle name="_Фарғона_11-жадвал Акбарга_Омонат 1.12.2010_омонатлар 01.09.2011 йил" xfId="656" xr:uid="{00000000-0005-0000-0000-00008D020000}"/>
    <cellStyle name="_Фарғона_11-жадвал Акбарга_Омонат 1.12.2010_омонатлар 01.10.2011 йил" xfId="657" xr:uid="{00000000-0005-0000-0000-00008E020000}"/>
    <cellStyle name="_Фарғона_11-жадвал Акбарга_Омонат 1.12.2010_омонатлар 01.10.2011 йил" xfId="658" xr:uid="{00000000-0005-0000-0000-00008F020000}"/>
    <cellStyle name="_Фарғона_11-жадвал Акбарга_Омонат 1.12.2010_омонатлар 01.11.2011 йил" xfId="659" xr:uid="{00000000-0005-0000-0000-000090020000}"/>
    <cellStyle name="_Фарғона_11-жадвал Акбарга_Омонат 1.12.2010_омонатлар 01.11.2011 йил" xfId="660" xr:uid="{00000000-0005-0000-0000-000091020000}"/>
    <cellStyle name="_Фарғона_11-жадвал Акбарга_Омонат 1.12.2010_омонатлар 01.12.2011" xfId="661" xr:uid="{00000000-0005-0000-0000-000092020000}"/>
    <cellStyle name="_Фарғона_11-жадвал Акбарга_Омонат 1.12.2010_омонатлар 01.12.2011" xfId="662" xr:uid="{00000000-0005-0000-0000-000093020000}"/>
    <cellStyle name="_Фарғона_11-жадвал Акбарга_омонатлар 01.09.2011 йил" xfId="663" xr:uid="{00000000-0005-0000-0000-000094020000}"/>
    <cellStyle name="_Фарғона_11-жадвал Акбарга_омонатлар 01.09.2011 йил" xfId="664" xr:uid="{00000000-0005-0000-0000-000095020000}"/>
    <cellStyle name="_Фарғона_11-жадвал Акбарга_омонатлар 01.10.2011 йил" xfId="665" xr:uid="{00000000-0005-0000-0000-000096020000}"/>
    <cellStyle name="_Фарғона_11-жадвал Акбарга_омонатлар 01.10.2011 йил" xfId="666" xr:uid="{00000000-0005-0000-0000-000097020000}"/>
    <cellStyle name="_Фарғона_11-жадвал Акбарга_омонатлар 01.11.2011 йил" xfId="667" xr:uid="{00000000-0005-0000-0000-000098020000}"/>
    <cellStyle name="_Фарғона_11-жадвал Акбарга_омонатлар 01.11.2011 йил" xfId="668" xr:uid="{00000000-0005-0000-0000-000099020000}"/>
    <cellStyle name="_Фарғона_11-жадвал Акбарга_омонатлар 01.12.2011" xfId="669" xr:uid="{00000000-0005-0000-0000-00009A020000}"/>
    <cellStyle name="_Фарғона_11-жадвал Акбарга_омонатлар 01.12.2011" xfId="670" xr:uid="{00000000-0005-0000-0000-00009B020000}"/>
    <cellStyle name="_Фарғона_1-кисм 1-свод" xfId="671" xr:uid="{00000000-0005-0000-0000-00009C020000}"/>
    <cellStyle name="_Фарғона_1-кисм 1-свод" xfId="672" xr:uid="{00000000-0005-0000-0000-00009D020000}"/>
    <cellStyle name="_Фарғона_озиқ-овқат" xfId="673" xr:uid="{00000000-0005-0000-0000-00009E020000}"/>
    <cellStyle name="_Фарғона_озиқ-овқат" xfId="674" xr:uid="{00000000-0005-0000-0000-00009F020000}"/>
    <cellStyle name="_Фарғона_озиқ-овқат_Омонат 1.12.2010" xfId="675" xr:uid="{00000000-0005-0000-0000-0000A0020000}"/>
    <cellStyle name="_Фарғона_озиқ-овқат_Омонат 1.12.2010" xfId="676" xr:uid="{00000000-0005-0000-0000-0000A1020000}"/>
    <cellStyle name="_Фарғона_озиқ-овқат_Омонат 1.12.2010_омонатлар 01.09.2011 йил" xfId="677" xr:uid="{00000000-0005-0000-0000-0000A2020000}"/>
    <cellStyle name="_Фарғона_озиқ-овқат_Омонат 1.12.2010_омонатлар 01.09.2011 йил" xfId="678" xr:uid="{00000000-0005-0000-0000-0000A3020000}"/>
    <cellStyle name="_Фарғона_озиқ-овқат_Омонат 1.12.2010_омонатлар 01.10.2011 йил" xfId="679" xr:uid="{00000000-0005-0000-0000-0000A4020000}"/>
    <cellStyle name="_Фарғона_озиқ-овқат_Омонат 1.12.2010_омонатлар 01.10.2011 йил" xfId="680" xr:uid="{00000000-0005-0000-0000-0000A5020000}"/>
    <cellStyle name="_Фарғона_озиқ-овқат_Омонат 1.12.2010_омонатлар 01.11.2011 йил" xfId="681" xr:uid="{00000000-0005-0000-0000-0000A6020000}"/>
    <cellStyle name="_Фарғона_озиқ-овқат_Омонат 1.12.2010_омонатлар 01.11.2011 йил" xfId="682" xr:uid="{00000000-0005-0000-0000-0000A7020000}"/>
    <cellStyle name="_Фарғона_озиқ-овқат_Омонат 1.12.2010_омонатлар 01.12.2011" xfId="683" xr:uid="{00000000-0005-0000-0000-0000A8020000}"/>
    <cellStyle name="_Фарғона_озиқ-овқат_Омонат 1.12.2010_омонатлар 01.12.2011" xfId="684" xr:uid="{00000000-0005-0000-0000-0000A9020000}"/>
    <cellStyle name="_Фарғона_озиқ-овқат_омонатлар 01.09.2011 йил" xfId="685" xr:uid="{00000000-0005-0000-0000-0000AA020000}"/>
    <cellStyle name="_Фарғона_озиқ-овқат_омонатлар 01.09.2011 йил" xfId="686" xr:uid="{00000000-0005-0000-0000-0000AB020000}"/>
    <cellStyle name="_Фарғона_озиқ-овқат_омонатлар 01.10.2011 йил" xfId="687" xr:uid="{00000000-0005-0000-0000-0000AC020000}"/>
    <cellStyle name="_Фарғона_озиқ-овқат_омонатлар 01.10.2011 йил" xfId="688" xr:uid="{00000000-0005-0000-0000-0000AD020000}"/>
    <cellStyle name="_Фарғона_озиқ-овқат_омонатлар 01.11.2011 йил" xfId="689" xr:uid="{00000000-0005-0000-0000-0000AE020000}"/>
    <cellStyle name="_Фарғона_озиқ-овқат_омонатлар 01.11.2011 йил" xfId="690" xr:uid="{00000000-0005-0000-0000-0000AF020000}"/>
    <cellStyle name="_Фарғона_озиқ-овқат_омонатлар 01.12.2011" xfId="691" xr:uid="{00000000-0005-0000-0000-0000B0020000}"/>
    <cellStyle name="_Фарғона_озиқ-овқат_омонатлар 01.12.2011" xfId="692" xr:uid="{00000000-0005-0000-0000-0000B1020000}"/>
    <cellStyle name="_Фарғона_СВОД - 2011 туман (шахар) дастури" xfId="693" xr:uid="{00000000-0005-0000-0000-0000B2020000}"/>
    <cellStyle name="_Фарғона_СВОД - 2011 туман (шахар) дастури" xfId="694" xr:uid="{00000000-0005-0000-0000-0000B3020000}"/>
    <cellStyle name="_Фарғона_СВОД - 2011 туман (шахар) дастури_омонатлар 01.09.2011 йил" xfId="695" xr:uid="{00000000-0005-0000-0000-0000B4020000}"/>
    <cellStyle name="_Фарғона_СВОД - 2011 туман (шахар) дастури_омонатлар 01.09.2011 йил" xfId="696" xr:uid="{00000000-0005-0000-0000-0000B5020000}"/>
    <cellStyle name="_Фарғона_СВОД - 2011 туман (шахар) дастури_омонатлар 01.10.2011 йил" xfId="697" xr:uid="{00000000-0005-0000-0000-0000B6020000}"/>
    <cellStyle name="_Фарғона_СВОД - 2011 туман (шахар) дастури_омонатлар 01.10.2011 йил" xfId="698" xr:uid="{00000000-0005-0000-0000-0000B7020000}"/>
    <cellStyle name="_Фарғона_СВОД - 2011 туман (шахар) дастури_омонатлар 01.11.2011 йил" xfId="699" xr:uid="{00000000-0005-0000-0000-0000B8020000}"/>
    <cellStyle name="_Фарғона_СВОД - 2011 туман (шахар) дастури_омонатлар 01.11.2011 йил" xfId="700" xr:uid="{00000000-0005-0000-0000-0000B9020000}"/>
    <cellStyle name="_Фарғона_СВОД - 2011 туман (шахар) дастури_омонатлар 01.12.2011" xfId="701" xr:uid="{00000000-0005-0000-0000-0000BA020000}"/>
    <cellStyle name="_Фарғона_СВОД - 2011 туман (шахар) дастури_омонатлар 01.12.2011" xfId="702" xr:uid="{00000000-0005-0000-0000-0000BB020000}"/>
    <cellStyle name="" xfId="703" xr:uid="{00000000-0005-0000-0000-0000BC020000}"/>
    <cellStyle name="" xfId="704" xr:uid="{00000000-0005-0000-0000-0000BD020000}"/>
    <cellStyle name="_1-кисм 1-свод" xfId="705" xr:uid="{00000000-0005-0000-0000-0000BE020000}"/>
    <cellStyle name="_1-кисм 1-свод" xfId="706" xr:uid="{00000000-0005-0000-0000-0000BF020000}"/>
    <cellStyle name="_2010 йил 1-ярим йиллик лойихалар" xfId="707" xr:uid="{00000000-0005-0000-0000-0000C0020000}"/>
    <cellStyle name="_2010 йил 1-ярим йиллик лойихалар" xfId="708" xr:uid="{00000000-0005-0000-0000-0000C1020000}"/>
    <cellStyle name="_232 ижроси" xfId="709" xr:uid="{00000000-0005-0000-0000-0000C2020000}"/>
    <cellStyle name="_232 ижроси" xfId="710" xr:uid="{00000000-0005-0000-0000-0000C3020000}"/>
    <cellStyle name="_232 ижроси_омонатлар 01.09.2011 йил" xfId="711" xr:uid="{00000000-0005-0000-0000-0000C4020000}"/>
    <cellStyle name="_232 ижроси_омонатлар 01.09.2011 йил" xfId="712" xr:uid="{00000000-0005-0000-0000-0000C5020000}"/>
    <cellStyle name="_232 ижроси_омонатлар 01.10.2011 йил" xfId="713" xr:uid="{00000000-0005-0000-0000-0000C6020000}"/>
    <cellStyle name="_232 ижроси_омонатлар 01.10.2011 йил" xfId="714" xr:uid="{00000000-0005-0000-0000-0000C7020000}"/>
    <cellStyle name="_232 ижроси_омонатлар 01.11.2011 йил" xfId="715" xr:uid="{00000000-0005-0000-0000-0000C8020000}"/>
    <cellStyle name="_232 ижроси_омонатлар 01.11.2011 йил" xfId="716" xr:uid="{00000000-0005-0000-0000-0000C9020000}"/>
    <cellStyle name="_232 ижроси_омонатлар 01.12.2011" xfId="717" xr:uid="{00000000-0005-0000-0000-0000CA020000}"/>
    <cellStyle name="_232 ижроси_омонатлар 01.12.2011" xfId="718" xr:uid="{00000000-0005-0000-0000-0000CB020000}"/>
    <cellStyle name="_АХБОРОТ ТАХЛИЛГАга жадваллар (по туманам)" xfId="719" xr:uid="{00000000-0005-0000-0000-0000CC020000}"/>
    <cellStyle name="_АХБОРОТ ТАХЛИЛГАга жадваллар (по туманам)" xfId="720" xr:uid="{00000000-0005-0000-0000-0000CD020000}"/>
    <cellStyle name="_Жадвал саноат 2009 ОХИРИ" xfId="721" xr:uid="{00000000-0005-0000-0000-0000CE020000}"/>
    <cellStyle name="_Жадвал саноат 2009 ОХИРИ" xfId="722" xr:uid="{00000000-0005-0000-0000-0000CF020000}"/>
    <cellStyle name="_иктисодга" xfId="723" xr:uid="{00000000-0005-0000-0000-0000D0020000}"/>
    <cellStyle name="_иктисодга" xfId="724" xr:uid="{00000000-0005-0000-0000-0000D1020000}"/>
    <cellStyle name="_МВЭС Хусанбой" xfId="725" xr:uid="{00000000-0005-0000-0000-0000D2020000}"/>
    <cellStyle name="_МВЭС Хусанбой" xfId="726" xr:uid="{00000000-0005-0000-0000-0000D3020000}"/>
    <cellStyle name="_МВЭС2" xfId="727" xr:uid="{00000000-0005-0000-0000-0000D4020000}"/>
    <cellStyle name="_МВЭС2" xfId="728" xr:uid="{00000000-0005-0000-0000-0000D5020000}"/>
    <cellStyle name="_ОКИБ" xfId="729" xr:uid="{00000000-0005-0000-0000-0000D6020000}"/>
    <cellStyle name="_ОКИБ" xfId="730" xr:uid="{00000000-0005-0000-0000-0000D7020000}"/>
    <cellStyle name="_ПРОМ 2010-1чорак-жадваллар 23.03" xfId="731" xr:uid="{00000000-0005-0000-0000-0000D8020000}"/>
    <cellStyle name="_ПРОМ 2010-1чорак-жадваллар 23.03" xfId="732" xr:uid="{00000000-0005-0000-0000-0000D9020000}"/>
    <cellStyle name="_ПРОМ 2010-1чорак-жадваллар 23.03_11-жадвал Акбарга" xfId="733" xr:uid="{00000000-0005-0000-0000-0000DA020000}"/>
    <cellStyle name="_ПРОМ 2010-1чорак-жадваллар 23.03_11-жадвал Акбарга" xfId="734" xr:uid="{00000000-0005-0000-0000-0000DB020000}"/>
    <cellStyle name="_ПРОМ 2010-1чорак-жадваллар 23.03_11-жадвал Акбарга_омонатлар 01.09.2011 йил" xfId="735" xr:uid="{00000000-0005-0000-0000-0000DC020000}"/>
    <cellStyle name="_ПРОМ 2010-1чорак-жадваллар 23.03_11-жадвал Акбарга_омонатлар 01.09.2011 йил" xfId="736" xr:uid="{00000000-0005-0000-0000-0000DD020000}"/>
    <cellStyle name="_ПРОМ 2010-1чорак-жадваллар 23.03_11-жадвал Акбарга_омонатлар 01.10.2011 йил" xfId="737" xr:uid="{00000000-0005-0000-0000-0000DE020000}"/>
    <cellStyle name="_ПРОМ 2010-1чорак-жадваллар 23.03_11-жадвал Акбарга_омонатлар 01.10.2011 йил" xfId="738" xr:uid="{00000000-0005-0000-0000-0000DF020000}"/>
    <cellStyle name="_ПРОМ 2010-1чорак-жадваллар 23.03_11-жадвал Акбарга_омонатлар 01.11.2011 йил" xfId="739" xr:uid="{00000000-0005-0000-0000-0000E0020000}"/>
    <cellStyle name="_ПРОМ 2010-1чорак-жадваллар 23.03_11-жадвал Акбарга_омонатлар 01.11.2011 йил" xfId="740" xr:uid="{00000000-0005-0000-0000-0000E1020000}"/>
    <cellStyle name="_ПРОМ 2010-1чорак-жадваллар 23.03_11-жадвал Акбарга_омонатлар 01.12.2011" xfId="741" xr:uid="{00000000-0005-0000-0000-0000E2020000}"/>
    <cellStyle name="_ПРОМ 2010-1чорак-жадваллар 23.03_11-жадвал Акбарга_омонатлар 01.12.2011" xfId="742" xr:uid="{00000000-0005-0000-0000-0000E3020000}"/>
    <cellStyle name="_ПРОМ 2010-1чорак-жадваллар 23.03_озиқ-овқат" xfId="743" xr:uid="{00000000-0005-0000-0000-0000E4020000}"/>
    <cellStyle name="_ПРОМ 2010-1чорак-жадваллар 23.03_озиқ-овқат" xfId="744" xr:uid="{00000000-0005-0000-0000-0000E5020000}"/>
    <cellStyle name="_ПРОМ 2010-1чорак-жадваллар 23.03_озиқ-овқат_омонатлар 01.09.2011 йил" xfId="745" xr:uid="{00000000-0005-0000-0000-0000E6020000}"/>
    <cellStyle name="_ПРОМ 2010-1чорак-жадваллар 23.03_озиқ-овқат_омонатлар 01.09.2011 йил" xfId="746" xr:uid="{00000000-0005-0000-0000-0000E7020000}"/>
    <cellStyle name="_ПРОМ 2010-1чорак-жадваллар 23.03_озиқ-овқат_омонатлар 01.10.2011 йил" xfId="747" xr:uid="{00000000-0005-0000-0000-0000E8020000}"/>
    <cellStyle name="_ПРОМ 2010-1чорак-жадваллар 23.03_озиқ-овқат_омонатлар 01.10.2011 йил" xfId="748" xr:uid="{00000000-0005-0000-0000-0000E9020000}"/>
    <cellStyle name="_ПРОМ 2010-1чорак-жадваллар 23.03_озиқ-овқат_омонатлар 01.11.2011 йил" xfId="749" xr:uid="{00000000-0005-0000-0000-0000EA020000}"/>
    <cellStyle name="_ПРОМ 2010-1чорак-жадваллар 23.03_озиқ-овқат_омонатлар 01.11.2011 йил" xfId="750" xr:uid="{00000000-0005-0000-0000-0000EB020000}"/>
    <cellStyle name="_ПРОМ 2010-1чорак-жадваллар 23.03_озиқ-овқат_омонатлар 01.12.2011" xfId="751" xr:uid="{00000000-0005-0000-0000-0000EC020000}"/>
    <cellStyle name="_ПРОМ 2010-1чорак-жадваллар 23.03_озиқ-овқат_омонатлар 01.12.2011" xfId="752" xr:uid="{00000000-0005-0000-0000-0000ED020000}"/>
    <cellStyle name="_ПРОМ 2010-1чорак-жадваллар 23.03_омонатлар 01.09.2011 йил" xfId="753" xr:uid="{00000000-0005-0000-0000-0000EE020000}"/>
    <cellStyle name="_ПРОМ 2010-1чорак-жадваллар 23.03_омонатлар 01.09.2011 йил" xfId="754" xr:uid="{00000000-0005-0000-0000-0000EF020000}"/>
    <cellStyle name="_ПРОМ 2010-1чорак-жадваллар 23.03_омонатлар 01.10.2011 йил" xfId="755" xr:uid="{00000000-0005-0000-0000-0000F0020000}"/>
    <cellStyle name="_ПРОМ 2010-1чорак-жадваллар 23.03_омонатлар 01.10.2011 йил" xfId="756" xr:uid="{00000000-0005-0000-0000-0000F1020000}"/>
    <cellStyle name="_ПРОМ 2010-1чорак-жадваллар 23.03_омонатлар 01.11.2011 йил" xfId="757" xr:uid="{00000000-0005-0000-0000-0000F2020000}"/>
    <cellStyle name="_ПРОМ 2010-1чорак-жадваллар 23.03_омонатлар 01.11.2011 йил" xfId="758" xr:uid="{00000000-0005-0000-0000-0000F3020000}"/>
    <cellStyle name="_ПРОМ 2010-1чорак-жадваллар 23.03_омонатлар 01.12.2011" xfId="759" xr:uid="{00000000-0005-0000-0000-0000F4020000}"/>
    <cellStyle name="_ПРОМ 2010-1чорак-жадваллар 23.03_омонатлар 01.12.2011" xfId="760" xr:uid="{00000000-0005-0000-0000-0000F5020000}"/>
    <cellStyle name="_СВОД Жадваллар 2008-2012й" xfId="761" xr:uid="{00000000-0005-0000-0000-0000F6020000}"/>
    <cellStyle name="_СВОД Жадваллар 2008-2012й" xfId="762" xr:uid="{00000000-0005-0000-0000-0000F7020000}"/>
    <cellStyle name="_СВОД Жадваллар 2008-2012й_СВОД Прогноз 2008-2012й" xfId="763" xr:uid="{00000000-0005-0000-0000-0000F8020000}"/>
    <cellStyle name="_СВОД Жадваллар 2008-2012й_СВОД Прогноз 2008-2012й" xfId="764" xr:uid="{00000000-0005-0000-0000-0000F9020000}"/>
    <cellStyle name="_СВОД жадваллар-2009 6 ой" xfId="765" xr:uid="{00000000-0005-0000-0000-0000FA020000}"/>
    <cellStyle name="_СВОД жадваллар-2009 6 ой" xfId="766" xr:uid="{00000000-0005-0000-0000-0000FB020000}"/>
    <cellStyle name="_СВОД Прогноз 2008-2012й" xfId="767" xr:uid="{00000000-0005-0000-0000-0000FC020000}"/>
    <cellStyle name="_СВОД Прогноз 2008-2012й" xfId="768" xr:uid="{00000000-0005-0000-0000-0000FD020000}"/>
    <cellStyle name="_Сухроб Вилоят свод" xfId="769" xr:uid="{00000000-0005-0000-0000-0000FE020000}"/>
    <cellStyle name="_Сухроб Вилоят свод" xfId="770" xr:uid="{00000000-0005-0000-0000-0000FF020000}"/>
    <cellStyle name="_Фарғона" xfId="771" xr:uid="{00000000-0005-0000-0000-000000030000}"/>
    <cellStyle name="_Фарғона" xfId="772" xr:uid="{00000000-0005-0000-0000-000001030000}"/>
    <cellStyle name="_Фарғона_11-жадвал Акбарга" xfId="773" xr:uid="{00000000-0005-0000-0000-000002030000}"/>
    <cellStyle name="_Фарғона_11-жадвал Акбарга" xfId="774" xr:uid="{00000000-0005-0000-0000-000003030000}"/>
    <cellStyle name="_Фарғона_11-жадвал Акбарга_Омонат 1.12.2010" xfId="775" xr:uid="{00000000-0005-0000-0000-000004030000}"/>
    <cellStyle name="_Фарғона_11-жадвал Акбарга_Омонат 1.12.2010" xfId="776" xr:uid="{00000000-0005-0000-0000-000005030000}"/>
    <cellStyle name="_Фарғона_11-жадвал Акбарга_Омонат 1.12.2010_омонатлар 01.09.2011 йил" xfId="777" xr:uid="{00000000-0005-0000-0000-000006030000}"/>
    <cellStyle name="_Фарғона_11-жадвал Акбарга_Омонат 1.12.2010_омонатлар 01.09.2011 йил" xfId="778" xr:uid="{00000000-0005-0000-0000-000007030000}"/>
    <cellStyle name="_Фарғона_11-жадвал Акбарга_Омонат 1.12.2010_омонатлар 01.10.2011 йил" xfId="779" xr:uid="{00000000-0005-0000-0000-000008030000}"/>
    <cellStyle name="_Фарғона_11-жадвал Акбарга_Омонат 1.12.2010_омонатлар 01.10.2011 йил" xfId="780" xr:uid="{00000000-0005-0000-0000-000009030000}"/>
    <cellStyle name="_Фарғона_11-жадвал Акбарга_Омонат 1.12.2010_омонатлар 01.11.2011 йил" xfId="781" xr:uid="{00000000-0005-0000-0000-00000A030000}"/>
    <cellStyle name="_Фарғона_11-жадвал Акбарга_Омонат 1.12.2010_омонатлар 01.11.2011 йил" xfId="782" xr:uid="{00000000-0005-0000-0000-00000B030000}"/>
    <cellStyle name="_Фарғона_11-жадвал Акбарга_Омонат 1.12.2010_омонатлар 01.12.2011" xfId="783" xr:uid="{00000000-0005-0000-0000-00000C030000}"/>
    <cellStyle name="_Фарғона_11-жадвал Акбарга_Омонат 1.12.2010_омонатлар 01.12.2011" xfId="784" xr:uid="{00000000-0005-0000-0000-00000D030000}"/>
    <cellStyle name="_Фарғона_11-жадвал Акбарга_омонатлар 01.09.2011 йил" xfId="785" xr:uid="{00000000-0005-0000-0000-00000E030000}"/>
    <cellStyle name="_Фарғона_11-жадвал Акбарга_омонатлар 01.09.2011 йил" xfId="786" xr:uid="{00000000-0005-0000-0000-00000F030000}"/>
    <cellStyle name="_Фарғона_11-жадвал Акбарга_омонатлар 01.10.2011 йил" xfId="787" xr:uid="{00000000-0005-0000-0000-000010030000}"/>
    <cellStyle name="_Фарғона_11-жадвал Акбарга_омонатлар 01.10.2011 йил" xfId="788" xr:uid="{00000000-0005-0000-0000-000011030000}"/>
    <cellStyle name="_Фарғона_11-жадвал Акбарга_омонатлар 01.11.2011 йил" xfId="789" xr:uid="{00000000-0005-0000-0000-000012030000}"/>
    <cellStyle name="_Фарғона_11-жадвал Акбарга_омонатлар 01.11.2011 йил" xfId="790" xr:uid="{00000000-0005-0000-0000-000013030000}"/>
    <cellStyle name="_Фарғона_11-жадвал Акбарга_омонатлар 01.12.2011" xfId="791" xr:uid="{00000000-0005-0000-0000-000014030000}"/>
    <cellStyle name="_Фарғона_11-жадвал Акбарга_омонатлар 01.12.2011" xfId="792" xr:uid="{00000000-0005-0000-0000-000015030000}"/>
    <cellStyle name="_Фарғона_1-кисм 1-свод" xfId="793" xr:uid="{00000000-0005-0000-0000-000016030000}"/>
    <cellStyle name="_Фарғона_1-кисм 1-свод" xfId="794" xr:uid="{00000000-0005-0000-0000-000017030000}"/>
    <cellStyle name="_Фарғона_озиқ-овқат" xfId="795" xr:uid="{00000000-0005-0000-0000-000018030000}"/>
    <cellStyle name="_Фарғона_озиқ-овқат" xfId="796" xr:uid="{00000000-0005-0000-0000-000019030000}"/>
    <cellStyle name="_Фарғона_озиқ-овқат_Омонат 1.12.2010" xfId="797" xr:uid="{00000000-0005-0000-0000-00001A030000}"/>
    <cellStyle name="_Фарғона_озиқ-овқат_Омонат 1.12.2010" xfId="798" xr:uid="{00000000-0005-0000-0000-00001B030000}"/>
    <cellStyle name="_Фарғона_озиқ-овқат_Омонат 1.12.2010_омонатлар 01.09.2011 йил" xfId="799" xr:uid="{00000000-0005-0000-0000-00001C030000}"/>
    <cellStyle name="_Фарғона_озиқ-овқат_Омонат 1.12.2010_омонатлар 01.09.2011 йил" xfId="800" xr:uid="{00000000-0005-0000-0000-00001D030000}"/>
    <cellStyle name="_Фарғона_озиқ-овқат_Омонат 1.12.2010_омонатлар 01.10.2011 йил" xfId="801" xr:uid="{00000000-0005-0000-0000-00001E030000}"/>
    <cellStyle name="_Фарғона_озиқ-овқат_Омонат 1.12.2010_омонатлар 01.10.2011 йил" xfId="802" xr:uid="{00000000-0005-0000-0000-00001F030000}"/>
    <cellStyle name="_Фарғона_озиқ-овқат_Омонат 1.12.2010_омонатлар 01.11.2011 йил" xfId="803" xr:uid="{00000000-0005-0000-0000-000020030000}"/>
    <cellStyle name="_Фарғона_озиқ-овқат_Омонат 1.12.2010_омонатлар 01.11.2011 йил" xfId="804" xr:uid="{00000000-0005-0000-0000-000021030000}"/>
    <cellStyle name="_Фарғона_озиқ-овқат_Омонат 1.12.2010_омонатлар 01.12.2011" xfId="805" xr:uid="{00000000-0005-0000-0000-000022030000}"/>
    <cellStyle name="_Фарғона_озиқ-овқат_Омонат 1.12.2010_омонатлар 01.12.2011" xfId="806" xr:uid="{00000000-0005-0000-0000-000023030000}"/>
    <cellStyle name="_Фарғона_озиқ-овқат_омонатлар 01.09.2011 йил" xfId="807" xr:uid="{00000000-0005-0000-0000-000024030000}"/>
    <cellStyle name="_Фарғона_озиқ-овқат_омонатлар 01.09.2011 йил" xfId="808" xr:uid="{00000000-0005-0000-0000-000025030000}"/>
    <cellStyle name="_Фарғона_озиқ-овқат_омонатлар 01.10.2011 йил" xfId="809" xr:uid="{00000000-0005-0000-0000-000026030000}"/>
    <cellStyle name="_Фарғона_озиқ-овқат_омонатлар 01.10.2011 йил" xfId="810" xr:uid="{00000000-0005-0000-0000-000027030000}"/>
    <cellStyle name="_Фарғона_озиқ-овқат_омонатлар 01.11.2011 йил" xfId="811" xr:uid="{00000000-0005-0000-0000-000028030000}"/>
    <cellStyle name="_Фарғона_озиқ-овқат_омонатлар 01.11.2011 йил" xfId="812" xr:uid="{00000000-0005-0000-0000-000029030000}"/>
    <cellStyle name="_Фарғона_озиқ-овқат_омонатлар 01.12.2011" xfId="813" xr:uid="{00000000-0005-0000-0000-00002A030000}"/>
    <cellStyle name="_Фарғона_озиқ-овқат_омонатлар 01.12.2011" xfId="814" xr:uid="{00000000-0005-0000-0000-00002B030000}"/>
    <cellStyle name="_Фарғона_СВОД - 2011 туман (шахар) дастури" xfId="815" xr:uid="{00000000-0005-0000-0000-00002C030000}"/>
    <cellStyle name="_Фарғона_СВОД - 2011 туман (шахар) дастури" xfId="816" xr:uid="{00000000-0005-0000-0000-00002D030000}"/>
    <cellStyle name="_Фарғона_СВОД - 2011 туман (шахар) дастури_омонатлар 01.09.2011 йил" xfId="817" xr:uid="{00000000-0005-0000-0000-00002E030000}"/>
    <cellStyle name="_Фарғона_СВОД - 2011 туман (шахар) дастури_омонатлар 01.09.2011 йил" xfId="818" xr:uid="{00000000-0005-0000-0000-00002F030000}"/>
    <cellStyle name="_Фарғона_СВОД - 2011 туман (шахар) дастури_омонатлар 01.10.2011 йил" xfId="819" xr:uid="{00000000-0005-0000-0000-000030030000}"/>
    <cellStyle name="_Фарғона_СВОД - 2011 туман (шахар) дастури_омонатлар 01.10.2011 йил" xfId="820" xr:uid="{00000000-0005-0000-0000-000031030000}"/>
    <cellStyle name="_Фарғона_СВОД - 2011 туман (шахар) дастури_омонатлар 01.11.2011 йил" xfId="821" xr:uid="{00000000-0005-0000-0000-000032030000}"/>
    <cellStyle name="_Фарғона_СВОД - 2011 туман (шахар) дастури_омонатлар 01.11.2011 йил" xfId="822" xr:uid="{00000000-0005-0000-0000-000033030000}"/>
    <cellStyle name="_Фарғона_СВОД - 2011 туман (шахар) дастури_омонатлар 01.12.2011" xfId="823" xr:uid="{00000000-0005-0000-0000-000034030000}"/>
    <cellStyle name="_Фарғона_СВОД - 2011 туман (шахар) дастури_омонатлар 01.12.2011" xfId="824" xr:uid="{00000000-0005-0000-0000-000035030000}"/>
    <cellStyle name="" xfId="825" xr:uid="{00000000-0005-0000-0000-000036030000}"/>
    <cellStyle name="1" xfId="826" xr:uid="{00000000-0005-0000-0000-000037030000}"/>
    <cellStyle name="2" xfId="827" xr:uid="{00000000-0005-0000-0000-000038030000}"/>
    <cellStyle name="20% - Accent1" xfId="828" xr:uid="{00000000-0005-0000-0000-000039030000}"/>
    <cellStyle name="20% - Accent2" xfId="829" xr:uid="{00000000-0005-0000-0000-00003A030000}"/>
    <cellStyle name="20% - Accent3" xfId="830" xr:uid="{00000000-0005-0000-0000-00003B030000}"/>
    <cellStyle name="20% - Accent4" xfId="831" xr:uid="{00000000-0005-0000-0000-00003C030000}"/>
    <cellStyle name="20% - Accent5" xfId="832" xr:uid="{00000000-0005-0000-0000-00003D030000}"/>
    <cellStyle name="20% - Accent6" xfId="833" xr:uid="{00000000-0005-0000-0000-00003E030000}"/>
    <cellStyle name="40% - Accent1" xfId="834" xr:uid="{00000000-0005-0000-0000-00003F030000}"/>
    <cellStyle name="40% - Accent2" xfId="835" xr:uid="{00000000-0005-0000-0000-000040030000}"/>
    <cellStyle name="40% - Accent3" xfId="836" xr:uid="{00000000-0005-0000-0000-000041030000}"/>
    <cellStyle name="40% - Accent4" xfId="837" xr:uid="{00000000-0005-0000-0000-000042030000}"/>
    <cellStyle name="40% - Accent5" xfId="838" xr:uid="{00000000-0005-0000-0000-000043030000}"/>
    <cellStyle name="40% - Accent6" xfId="839" xr:uid="{00000000-0005-0000-0000-000044030000}"/>
    <cellStyle name="60% - Accent1" xfId="840" xr:uid="{00000000-0005-0000-0000-000045030000}"/>
    <cellStyle name="60% - Accent2" xfId="841" xr:uid="{00000000-0005-0000-0000-000046030000}"/>
    <cellStyle name="60% - Accent3" xfId="842" xr:uid="{00000000-0005-0000-0000-000047030000}"/>
    <cellStyle name="60% - Accent4" xfId="843" xr:uid="{00000000-0005-0000-0000-000048030000}"/>
    <cellStyle name="60% - Accent5" xfId="844" xr:uid="{00000000-0005-0000-0000-000049030000}"/>
    <cellStyle name="60% - Accent6" xfId="845" xr:uid="{00000000-0005-0000-0000-00004A030000}"/>
    <cellStyle name="Aaia?iue" xfId="846" xr:uid="{00000000-0005-0000-0000-00004B030000}"/>
    <cellStyle name="Aaia?iue [0]" xfId="847" xr:uid="{00000000-0005-0000-0000-00004C030000}"/>
    <cellStyle name="Aaia?iue_,, 255 якуни" xfId="848" xr:uid="{00000000-0005-0000-0000-00004D030000}"/>
    <cellStyle name="Accent1" xfId="849" xr:uid="{00000000-0005-0000-0000-00004E030000}"/>
    <cellStyle name="Accent1 - 20%" xfId="850" xr:uid="{00000000-0005-0000-0000-00004F030000}"/>
    <cellStyle name="Accent1 - 40%" xfId="851" xr:uid="{00000000-0005-0000-0000-000050030000}"/>
    <cellStyle name="Accent1 - 60%" xfId="852" xr:uid="{00000000-0005-0000-0000-000051030000}"/>
    <cellStyle name="Accent1_СВОД - 2011 туман (шахар) дастури" xfId="853" xr:uid="{00000000-0005-0000-0000-000052030000}"/>
    <cellStyle name="Accent2" xfId="854" xr:uid="{00000000-0005-0000-0000-000053030000}"/>
    <cellStyle name="Accent2 - 20%" xfId="855" xr:uid="{00000000-0005-0000-0000-000054030000}"/>
    <cellStyle name="Accent2 - 40%" xfId="856" xr:uid="{00000000-0005-0000-0000-000055030000}"/>
    <cellStyle name="Accent2 - 60%" xfId="857" xr:uid="{00000000-0005-0000-0000-000056030000}"/>
    <cellStyle name="Accent2_СВОД - 2011 туман (шахар) дастури" xfId="858" xr:uid="{00000000-0005-0000-0000-000057030000}"/>
    <cellStyle name="Accent3" xfId="859" xr:uid="{00000000-0005-0000-0000-000058030000}"/>
    <cellStyle name="Accent3 - 20%" xfId="860" xr:uid="{00000000-0005-0000-0000-000059030000}"/>
    <cellStyle name="Accent3 - 40%" xfId="861" xr:uid="{00000000-0005-0000-0000-00005A030000}"/>
    <cellStyle name="Accent3 - 60%" xfId="862" xr:uid="{00000000-0005-0000-0000-00005B030000}"/>
    <cellStyle name="Accent3_СВОД - 2011 туман (шахар) дастури" xfId="863" xr:uid="{00000000-0005-0000-0000-00005C030000}"/>
    <cellStyle name="Accent4" xfId="864" xr:uid="{00000000-0005-0000-0000-00005D030000}"/>
    <cellStyle name="Accent4 - 20%" xfId="865" xr:uid="{00000000-0005-0000-0000-00005E030000}"/>
    <cellStyle name="Accent4 - 40%" xfId="866" xr:uid="{00000000-0005-0000-0000-00005F030000}"/>
    <cellStyle name="Accent4 - 60%" xfId="867" xr:uid="{00000000-0005-0000-0000-000060030000}"/>
    <cellStyle name="Accent4_СВОД - 2011 туман (шахар) дастури" xfId="868" xr:uid="{00000000-0005-0000-0000-000061030000}"/>
    <cellStyle name="Accent5" xfId="869" xr:uid="{00000000-0005-0000-0000-000062030000}"/>
    <cellStyle name="Accent5 - 20%" xfId="870" xr:uid="{00000000-0005-0000-0000-000063030000}"/>
    <cellStyle name="Accent5 - 40%" xfId="871" xr:uid="{00000000-0005-0000-0000-000064030000}"/>
    <cellStyle name="Accent5 - 60%" xfId="872" xr:uid="{00000000-0005-0000-0000-000065030000}"/>
    <cellStyle name="Accent5_СВОД - 2011 туман (шахар) дастури" xfId="873" xr:uid="{00000000-0005-0000-0000-000066030000}"/>
    <cellStyle name="Accent6" xfId="874" xr:uid="{00000000-0005-0000-0000-000067030000}"/>
    <cellStyle name="Accent6 - 20%" xfId="875" xr:uid="{00000000-0005-0000-0000-000068030000}"/>
    <cellStyle name="Accent6 - 40%" xfId="876" xr:uid="{00000000-0005-0000-0000-000069030000}"/>
    <cellStyle name="Accent6 - 60%" xfId="877" xr:uid="{00000000-0005-0000-0000-00006A030000}"/>
    <cellStyle name="Accent6_СВОД - 2011 туман (шахар) дастури" xfId="878" xr:uid="{00000000-0005-0000-0000-00006B030000}"/>
    <cellStyle name="Acdldnnueer" xfId="879" xr:uid="{00000000-0005-0000-0000-00006C030000}"/>
    <cellStyle name="Alilciue [0]_ 2003 aia" xfId="880" xr:uid="{00000000-0005-0000-0000-00006D030000}"/>
    <cellStyle name="Alilciue_ 2003 aia" xfId="881" xr:uid="{00000000-0005-0000-0000-00006E030000}"/>
    <cellStyle name="Bad" xfId="882" xr:uid="{00000000-0005-0000-0000-00006F030000}"/>
    <cellStyle name="Calculation" xfId="883" xr:uid="{00000000-0005-0000-0000-000070030000}"/>
    <cellStyle name="Check Cell" xfId="884" xr:uid="{00000000-0005-0000-0000-000071030000}"/>
    <cellStyle name="Comma [0]_Sheet1 (2)" xfId="885" xr:uid="{00000000-0005-0000-0000-000072030000}"/>
    <cellStyle name="Comma_DSPLIST" xfId="886" xr:uid="{00000000-0005-0000-0000-000073030000}"/>
    <cellStyle name="Comma0" xfId="887" xr:uid="{00000000-0005-0000-0000-000074030000}"/>
    <cellStyle name="Currency [0]_DSPLIST" xfId="888" xr:uid="{00000000-0005-0000-0000-000075030000}"/>
    <cellStyle name="Currency_DSPLIST" xfId="889" xr:uid="{00000000-0005-0000-0000-000076030000}"/>
    <cellStyle name="Currency0" xfId="890" xr:uid="{00000000-0005-0000-0000-000077030000}"/>
    <cellStyle name="Emphasis 1" xfId="891" xr:uid="{00000000-0005-0000-0000-000078030000}"/>
    <cellStyle name="Emphasis 2" xfId="892" xr:uid="{00000000-0005-0000-0000-000079030000}"/>
    <cellStyle name="Emphasis 3" xfId="893" xr:uid="{00000000-0005-0000-0000-00007A030000}"/>
    <cellStyle name="Euro" xfId="894" xr:uid="{00000000-0005-0000-0000-00007B030000}"/>
    <cellStyle name="Explanatory Text" xfId="895" xr:uid="{00000000-0005-0000-0000-00007C030000}"/>
    <cellStyle name="F2" xfId="896" xr:uid="{00000000-0005-0000-0000-00007D030000}"/>
    <cellStyle name="F3" xfId="897" xr:uid="{00000000-0005-0000-0000-00007E030000}"/>
    <cellStyle name="F4" xfId="898" xr:uid="{00000000-0005-0000-0000-00007F030000}"/>
    <cellStyle name="F5" xfId="899" xr:uid="{00000000-0005-0000-0000-000080030000}"/>
    <cellStyle name="F6" xfId="900" xr:uid="{00000000-0005-0000-0000-000081030000}"/>
    <cellStyle name="F7" xfId="901" xr:uid="{00000000-0005-0000-0000-000082030000}"/>
    <cellStyle name="F8" xfId="902" xr:uid="{00000000-0005-0000-0000-000083030000}"/>
    <cellStyle name="Good" xfId="903" xr:uid="{00000000-0005-0000-0000-000084030000}"/>
    <cellStyle name="Heading 1" xfId="904" xr:uid="{00000000-0005-0000-0000-000085030000}"/>
    <cellStyle name="Heading 2" xfId="905" xr:uid="{00000000-0005-0000-0000-000086030000}"/>
    <cellStyle name="Heading 3" xfId="906" xr:uid="{00000000-0005-0000-0000-000087030000}"/>
    <cellStyle name="Heading 4" xfId="907" xr:uid="{00000000-0005-0000-0000-000088030000}"/>
    <cellStyle name="I?ioaioiue" xfId="908" xr:uid="{00000000-0005-0000-0000-000089030000}"/>
    <cellStyle name="I`u?iue_Deri98_D" xfId="909" xr:uid="{00000000-0005-0000-0000-00008A030000}"/>
    <cellStyle name="Iau?iue" xfId="910" xr:uid="{00000000-0005-0000-0000-00008B030000}"/>
    <cellStyle name="Ineduararr?n? acdldnnueer" xfId="911" xr:uid="{00000000-0005-0000-0000-00008C030000}"/>
    <cellStyle name="Input" xfId="912" xr:uid="{00000000-0005-0000-0000-00008D030000}"/>
    <cellStyle name="Linked Cell" xfId="913" xr:uid="{00000000-0005-0000-0000-00008E030000}"/>
    <cellStyle name="Milliers [0]_Conversion Summary" xfId="914" xr:uid="{00000000-0005-0000-0000-00008F030000}"/>
    <cellStyle name="Milliers_Conversion Summary" xfId="915" xr:uid="{00000000-0005-0000-0000-000090030000}"/>
    <cellStyle name="Monйtaire [0]_Conversion Summary" xfId="916" xr:uid="{00000000-0005-0000-0000-000091030000}"/>
    <cellStyle name="Monйtaire_Conversion Summary" xfId="917" xr:uid="{00000000-0005-0000-0000-000092030000}"/>
    <cellStyle name="Neutral" xfId="918" xr:uid="{00000000-0005-0000-0000-000093030000}"/>
    <cellStyle name="Normal_08026-9" xfId="919" xr:uid="{00000000-0005-0000-0000-000094030000}"/>
    <cellStyle name="Note" xfId="920" xr:uid="{00000000-0005-0000-0000-000095030000}"/>
    <cellStyle name="Nun??c [0]_ 2003 aia" xfId="921" xr:uid="{00000000-0005-0000-0000-000096030000}"/>
    <cellStyle name="Nun??c_ 2003 aia" xfId="922" xr:uid="{00000000-0005-0000-0000-000097030000}"/>
    <cellStyle name="Ociriniaue [0]_1" xfId="923" xr:uid="{00000000-0005-0000-0000-000098030000}"/>
    <cellStyle name="Ociriniaue_1" xfId="924" xr:uid="{00000000-0005-0000-0000-000099030000}"/>
    <cellStyle name="Oeiainiaue" xfId="925" xr:uid="{00000000-0005-0000-0000-00009A030000}"/>
    <cellStyle name="Oeiainiaue [0]" xfId="926" xr:uid="{00000000-0005-0000-0000-00009B030000}"/>
    <cellStyle name="Oeiainiaue_,, 255 якуни" xfId="927" xr:uid="{00000000-0005-0000-0000-00009C030000}"/>
    <cellStyle name="Output" xfId="928" xr:uid="{00000000-0005-0000-0000-00009D030000}"/>
    <cellStyle name="s]_x000d__x000a_;load=rrtsklst.exe_x000d__x000a_Beep=yes_x000d__x000a_NullPort=None_x000d__x000a_BorderWidth=3_x000d__x000a_CursorBlinkRate=530_x000d__x000a_DoubleClickSpeed=452_x000d__x000a_Programs=com" xfId="929" xr:uid="{00000000-0005-0000-0000-00009E030000}"/>
    <cellStyle name="s]_x000d__x000a_load=_x000d__x000a_run=_x000d__x000a_NullPort=None_x000d__x000a_device=Epson FX-1170,EPSON9,LPT1:_x000d__x000a__x000d__x000a_[Desktop]_x000d__x000a_Wallpaper=C:\WIN95\SKY.BMP_x000d__x000a_TileWallpap" xfId="930" xr:uid="{00000000-0005-0000-0000-00009F030000}"/>
    <cellStyle name="S0" xfId="931" xr:uid="{00000000-0005-0000-0000-0000A0030000}"/>
    <cellStyle name="S1" xfId="932" xr:uid="{00000000-0005-0000-0000-0000A1030000}"/>
    <cellStyle name="S2" xfId="933" xr:uid="{00000000-0005-0000-0000-0000A2030000}"/>
    <cellStyle name="S3" xfId="934" xr:uid="{00000000-0005-0000-0000-0000A3030000}"/>
    <cellStyle name="S4" xfId="935" xr:uid="{00000000-0005-0000-0000-0000A4030000}"/>
    <cellStyle name="S5" xfId="936" xr:uid="{00000000-0005-0000-0000-0000A5030000}"/>
    <cellStyle name="S6" xfId="937" xr:uid="{00000000-0005-0000-0000-0000A6030000}"/>
    <cellStyle name="S7" xfId="938" xr:uid="{00000000-0005-0000-0000-0000A7030000}"/>
    <cellStyle name="S8" xfId="939" xr:uid="{00000000-0005-0000-0000-0000A8030000}"/>
    <cellStyle name="S9" xfId="940" xr:uid="{00000000-0005-0000-0000-0000A9030000}"/>
    <cellStyle name="Sheet Title" xfId="941" xr:uid="{00000000-0005-0000-0000-0000AA030000}"/>
    <cellStyle name="Style 1" xfId="942" xr:uid="{00000000-0005-0000-0000-0000AB030000}"/>
    <cellStyle name="Title" xfId="943" xr:uid="{00000000-0005-0000-0000-0000AC030000}"/>
    <cellStyle name="Total" xfId="944" xr:uid="{00000000-0005-0000-0000-0000AD030000}"/>
    <cellStyle name="Warning Text" xfId="945" xr:uid="{00000000-0005-0000-0000-0000AE030000}"/>
    <cellStyle name="Денежный 2" xfId="946" xr:uid="{00000000-0005-0000-0000-0000AF030000}"/>
    <cellStyle name="Денежный 3" xfId="947" xr:uid="{00000000-0005-0000-0000-0000B0030000}"/>
    <cellStyle name="ельводхоз" xfId="948" xr:uid="{00000000-0005-0000-0000-0000B1030000}"/>
    <cellStyle name="Обычный" xfId="0" builtinId="0"/>
    <cellStyle name="Обычный 10" xfId="949" xr:uid="{00000000-0005-0000-0000-0000B3030000}"/>
    <cellStyle name="Обычный 100" xfId="950" xr:uid="{00000000-0005-0000-0000-0000B4030000}"/>
    <cellStyle name="Обычный 101" xfId="951" xr:uid="{00000000-0005-0000-0000-0000B5030000}"/>
    <cellStyle name="Обычный 102" xfId="952" xr:uid="{00000000-0005-0000-0000-0000B6030000}"/>
    <cellStyle name="Обычный 103" xfId="953" xr:uid="{00000000-0005-0000-0000-0000B7030000}"/>
    <cellStyle name="Обычный 104" xfId="954" xr:uid="{00000000-0005-0000-0000-0000B8030000}"/>
    <cellStyle name="Обычный 105" xfId="955" xr:uid="{00000000-0005-0000-0000-0000B9030000}"/>
    <cellStyle name="Обычный 106" xfId="956" xr:uid="{00000000-0005-0000-0000-0000BA030000}"/>
    <cellStyle name="Обычный 107" xfId="957" xr:uid="{00000000-0005-0000-0000-0000BB030000}"/>
    <cellStyle name="Обычный 108" xfId="958" xr:uid="{00000000-0005-0000-0000-0000BC030000}"/>
    <cellStyle name="Обычный 109" xfId="959" xr:uid="{00000000-0005-0000-0000-0000BD030000}"/>
    <cellStyle name="Обычный 11" xfId="960" xr:uid="{00000000-0005-0000-0000-0000BE030000}"/>
    <cellStyle name="Обычный 110" xfId="961" xr:uid="{00000000-0005-0000-0000-0000BF030000}"/>
    <cellStyle name="Обычный 111" xfId="962" xr:uid="{00000000-0005-0000-0000-0000C0030000}"/>
    <cellStyle name="Обычный 112" xfId="963" xr:uid="{00000000-0005-0000-0000-0000C1030000}"/>
    <cellStyle name="Обычный 113" xfId="964" xr:uid="{00000000-0005-0000-0000-0000C2030000}"/>
    <cellStyle name="Обычный 114" xfId="965" xr:uid="{00000000-0005-0000-0000-0000C3030000}"/>
    <cellStyle name="Обычный 115" xfId="966" xr:uid="{00000000-0005-0000-0000-0000C4030000}"/>
    <cellStyle name="Обычный 116" xfId="967" xr:uid="{00000000-0005-0000-0000-0000C5030000}"/>
    <cellStyle name="Обычный 117" xfId="968" xr:uid="{00000000-0005-0000-0000-0000C6030000}"/>
    <cellStyle name="Обычный 118" xfId="969" xr:uid="{00000000-0005-0000-0000-0000C7030000}"/>
    <cellStyle name="Обычный 12" xfId="970" xr:uid="{00000000-0005-0000-0000-0000C8030000}"/>
    <cellStyle name="Обычный 13" xfId="971" xr:uid="{00000000-0005-0000-0000-0000C9030000}"/>
    <cellStyle name="Обычный 14" xfId="972" xr:uid="{00000000-0005-0000-0000-0000CA030000}"/>
    <cellStyle name="Обычный 15" xfId="973" xr:uid="{00000000-0005-0000-0000-0000CB030000}"/>
    <cellStyle name="Обычный 16" xfId="974" xr:uid="{00000000-0005-0000-0000-0000CC030000}"/>
    <cellStyle name="Обычный 17" xfId="975" xr:uid="{00000000-0005-0000-0000-0000CD030000}"/>
    <cellStyle name="Обычный 18" xfId="976" xr:uid="{00000000-0005-0000-0000-0000CE030000}"/>
    <cellStyle name="Обычный 19" xfId="977" xr:uid="{00000000-0005-0000-0000-0000CF030000}"/>
    <cellStyle name="Обычный 2" xfId="1" xr:uid="{00000000-0005-0000-0000-0000D0030000}"/>
    <cellStyle name="Обычный 2 10" xfId="978" xr:uid="{00000000-0005-0000-0000-0000D1030000}"/>
    <cellStyle name="Обычный 2 11" xfId="979" xr:uid="{00000000-0005-0000-0000-0000D2030000}"/>
    <cellStyle name="Обычный 2 12" xfId="980" xr:uid="{00000000-0005-0000-0000-0000D3030000}"/>
    <cellStyle name="Обычный 2 2" xfId="981" xr:uid="{00000000-0005-0000-0000-0000D4030000}"/>
    <cellStyle name="Обычный 2 2 10" xfId="982" xr:uid="{00000000-0005-0000-0000-0000D5030000}"/>
    <cellStyle name="Обычный 2 2 11" xfId="983" xr:uid="{00000000-0005-0000-0000-0000D6030000}"/>
    <cellStyle name="Обычный 2 2 12" xfId="984" xr:uid="{00000000-0005-0000-0000-0000D7030000}"/>
    <cellStyle name="Обычный 2 2 2" xfId="985" xr:uid="{00000000-0005-0000-0000-0000D8030000}"/>
    <cellStyle name="Обычный 2 2 2 2" xfId="986" xr:uid="{00000000-0005-0000-0000-0000D9030000}"/>
    <cellStyle name="Обычный 2 2 2 2 2" xfId="987" xr:uid="{00000000-0005-0000-0000-0000DA030000}"/>
    <cellStyle name="Обычный 2 2 2 2 2 2" xfId="988" xr:uid="{00000000-0005-0000-0000-0000DB030000}"/>
    <cellStyle name="Обычный 2 2 2 2 2 3" xfId="989" xr:uid="{00000000-0005-0000-0000-0000DC030000}"/>
    <cellStyle name="Обычный 2 2 2 2 2 4" xfId="990" xr:uid="{00000000-0005-0000-0000-0000DD030000}"/>
    <cellStyle name="Обычный 2 2 2 2 3" xfId="991" xr:uid="{00000000-0005-0000-0000-0000DE030000}"/>
    <cellStyle name="Обычный 2 2 2 2 4" xfId="992" xr:uid="{00000000-0005-0000-0000-0000DF030000}"/>
    <cellStyle name="Обычный 2 2 2 2 5" xfId="993" xr:uid="{00000000-0005-0000-0000-0000E0030000}"/>
    <cellStyle name="Обычный 2 2 2 2 6" xfId="994" xr:uid="{00000000-0005-0000-0000-0000E1030000}"/>
    <cellStyle name="Обычный 2 2 2 2 7" xfId="995" xr:uid="{00000000-0005-0000-0000-0000E2030000}"/>
    <cellStyle name="Обычный 2 2 2 3" xfId="996" xr:uid="{00000000-0005-0000-0000-0000E3030000}"/>
    <cellStyle name="Обычный 2 2 2 4" xfId="997" xr:uid="{00000000-0005-0000-0000-0000E4030000}"/>
    <cellStyle name="Обычный 2 2 2 5" xfId="998" xr:uid="{00000000-0005-0000-0000-0000E5030000}"/>
    <cellStyle name="Обычный 2 2 2 5 2" xfId="999" xr:uid="{00000000-0005-0000-0000-0000E6030000}"/>
    <cellStyle name="Обычный 2 2 2 5 3" xfId="1000" xr:uid="{00000000-0005-0000-0000-0000E7030000}"/>
    <cellStyle name="Обычный 2 2 2 5 4" xfId="1001" xr:uid="{00000000-0005-0000-0000-0000E8030000}"/>
    <cellStyle name="Обычный 2 2 2 6" xfId="1002" xr:uid="{00000000-0005-0000-0000-0000E9030000}"/>
    <cellStyle name="Обычный 2 2 2 7" xfId="1003" xr:uid="{00000000-0005-0000-0000-0000EA030000}"/>
    <cellStyle name="Обычный 2 2 2 8" xfId="1004" xr:uid="{00000000-0005-0000-0000-0000EB030000}"/>
    <cellStyle name="Обычный 2 2 2 9" xfId="1005" xr:uid="{00000000-0005-0000-0000-0000EC030000}"/>
    <cellStyle name="Обычный 2 2 2_Омонат 01.02.14" xfId="1006" xr:uid="{00000000-0005-0000-0000-0000ED030000}"/>
    <cellStyle name="Обычный 2 2 3" xfId="1007" xr:uid="{00000000-0005-0000-0000-0000EE030000}"/>
    <cellStyle name="Обычный 2 2 4" xfId="1008" xr:uid="{00000000-0005-0000-0000-0000EF030000}"/>
    <cellStyle name="Обычный 2 2 5" xfId="1009" xr:uid="{00000000-0005-0000-0000-0000F0030000}"/>
    <cellStyle name="Обычный 2 2 6" xfId="1010" xr:uid="{00000000-0005-0000-0000-0000F1030000}"/>
    <cellStyle name="Обычный 2 2 7" xfId="1011" xr:uid="{00000000-0005-0000-0000-0000F2030000}"/>
    <cellStyle name="Обычный 2 2 8" xfId="1012" xr:uid="{00000000-0005-0000-0000-0000F3030000}"/>
    <cellStyle name="Обычный 2 2 8 2" xfId="1013" xr:uid="{00000000-0005-0000-0000-0000F4030000}"/>
    <cellStyle name="Обычный 2 2 8 3" xfId="1014" xr:uid="{00000000-0005-0000-0000-0000F5030000}"/>
    <cellStyle name="Обычный 2 2 8 4" xfId="1015" xr:uid="{00000000-0005-0000-0000-0000F6030000}"/>
    <cellStyle name="Обычный 2 2 9" xfId="1016" xr:uid="{00000000-0005-0000-0000-0000F7030000}"/>
    <cellStyle name="Обычный 2 2_1-ЯИУ жадвал май якуни-свод-КМ" xfId="1017" xr:uid="{00000000-0005-0000-0000-0000F8030000}"/>
    <cellStyle name="Обычный 2 3" xfId="1018" xr:uid="{00000000-0005-0000-0000-0000F9030000}"/>
    <cellStyle name="Обычный 2 3 2" xfId="1019" xr:uid="{00000000-0005-0000-0000-0000FA030000}"/>
    <cellStyle name="Обычный 2 3_232 ижроси" xfId="1020" xr:uid="{00000000-0005-0000-0000-0000FB030000}"/>
    <cellStyle name="Обычный 2 4" xfId="1021" xr:uid="{00000000-0005-0000-0000-0000FC030000}"/>
    <cellStyle name="Обычный 2 4 2" xfId="1228" xr:uid="{00000000-0005-0000-0000-0000FD030000}"/>
    <cellStyle name="Обычный 2 5" xfId="1022" xr:uid="{00000000-0005-0000-0000-0000FE030000}"/>
    <cellStyle name="Обычный 2 6" xfId="1023" xr:uid="{00000000-0005-0000-0000-0000FF030000}"/>
    <cellStyle name="Обычный 2 7" xfId="1024" xr:uid="{00000000-0005-0000-0000-000000040000}"/>
    <cellStyle name="Обычный 2 8" xfId="1025" xr:uid="{00000000-0005-0000-0000-000001040000}"/>
    <cellStyle name="Обычный 2 8 2" xfId="1026" xr:uid="{00000000-0005-0000-0000-000002040000}"/>
    <cellStyle name="Обычный 2 8 3" xfId="1027" xr:uid="{00000000-0005-0000-0000-000003040000}"/>
    <cellStyle name="Обычный 2 8 4" xfId="1028" xr:uid="{00000000-0005-0000-0000-000004040000}"/>
    <cellStyle name="Обычный 2 8_Омонат 01.02.14" xfId="1029" xr:uid="{00000000-0005-0000-0000-000005040000}"/>
    <cellStyle name="Обычный 2 9" xfId="1030" xr:uid="{00000000-0005-0000-0000-000006040000}"/>
    <cellStyle name="Обычный 2 9 2" xfId="1229" xr:uid="{00000000-0005-0000-0000-000007040000}"/>
    <cellStyle name="Обычный 2_67 талик жадвал-Иктисод №1" xfId="1031" xr:uid="{00000000-0005-0000-0000-000008040000}"/>
    <cellStyle name="Обычный 20" xfId="1032" xr:uid="{00000000-0005-0000-0000-000009040000}"/>
    <cellStyle name="Обычный 21" xfId="1033" xr:uid="{00000000-0005-0000-0000-00000A040000}"/>
    <cellStyle name="Обычный 22" xfId="1034" xr:uid="{00000000-0005-0000-0000-00000B040000}"/>
    <cellStyle name="Обычный 23" xfId="1035" xr:uid="{00000000-0005-0000-0000-00000C040000}"/>
    <cellStyle name="Обычный 24" xfId="1036" xr:uid="{00000000-0005-0000-0000-00000D040000}"/>
    <cellStyle name="Обычный 25" xfId="1037" xr:uid="{00000000-0005-0000-0000-00000E040000}"/>
    <cellStyle name="Обычный 26" xfId="1038" xr:uid="{00000000-0005-0000-0000-00000F040000}"/>
    <cellStyle name="Обычный 27" xfId="1039" xr:uid="{00000000-0005-0000-0000-000010040000}"/>
    <cellStyle name="Обычный 28" xfId="1040" xr:uid="{00000000-0005-0000-0000-000011040000}"/>
    <cellStyle name="Обычный 29" xfId="1041" xr:uid="{00000000-0005-0000-0000-000012040000}"/>
    <cellStyle name="Обычный 3" xfId="1042" xr:uid="{00000000-0005-0000-0000-000013040000}"/>
    <cellStyle name="Обычный 3 10" xfId="1043" xr:uid="{00000000-0005-0000-0000-000014040000}"/>
    <cellStyle name="Обычный 3 11" xfId="1226" xr:uid="{00000000-0005-0000-0000-000015040000}"/>
    <cellStyle name="Обычный 3 2" xfId="1044" xr:uid="{00000000-0005-0000-0000-000016040000}"/>
    <cellStyle name="Обычный 3 3" xfId="1045" xr:uid="{00000000-0005-0000-0000-000017040000}"/>
    <cellStyle name="Обычный 3 4" xfId="1046" xr:uid="{00000000-0005-0000-0000-000018040000}"/>
    <cellStyle name="Обычный 3 5" xfId="1047" xr:uid="{00000000-0005-0000-0000-000019040000}"/>
    <cellStyle name="Обычный 3 6" xfId="1048" xr:uid="{00000000-0005-0000-0000-00001A040000}"/>
    <cellStyle name="Обычный 3 7" xfId="1049" xr:uid="{00000000-0005-0000-0000-00001B040000}"/>
    <cellStyle name="Обычный 3 8" xfId="1050" xr:uid="{00000000-0005-0000-0000-00001C040000}"/>
    <cellStyle name="Обычный 3 9" xfId="1051" xr:uid="{00000000-0005-0000-0000-00001D040000}"/>
    <cellStyle name="Обычный 30" xfId="1052" xr:uid="{00000000-0005-0000-0000-00001E040000}"/>
    <cellStyle name="Обычный 31" xfId="1053" xr:uid="{00000000-0005-0000-0000-00001F040000}"/>
    <cellStyle name="Обычный 32" xfId="1054" xr:uid="{00000000-0005-0000-0000-000020040000}"/>
    <cellStyle name="Обычный 33" xfId="1055" xr:uid="{00000000-0005-0000-0000-000021040000}"/>
    <cellStyle name="Обычный 34" xfId="1056" xr:uid="{00000000-0005-0000-0000-000022040000}"/>
    <cellStyle name="Обычный 35" xfId="1057" xr:uid="{00000000-0005-0000-0000-000023040000}"/>
    <cellStyle name="Обычный 36" xfId="1058" xr:uid="{00000000-0005-0000-0000-000024040000}"/>
    <cellStyle name="Обычный 37" xfId="1059" xr:uid="{00000000-0005-0000-0000-000025040000}"/>
    <cellStyle name="Обычный 38" xfId="1060" xr:uid="{00000000-0005-0000-0000-000026040000}"/>
    <cellStyle name="Обычный 39" xfId="1061" xr:uid="{00000000-0005-0000-0000-000027040000}"/>
    <cellStyle name="Обычный 4" xfId="1062" xr:uid="{00000000-0005-0000-0000-000028040000}"/>
    <cellStyle name="Обычный 4 2" xfId="1063" xr:uid="{00000000-0005-0000-0000-000029040000}"/>
    <cellStyle name="Обычный 4 3" xfId="1064" xr:uid="{00000000-0005-0000-0000-00002A040000}"/>
    <cellStyle name="Обычный 4 4" xfId="1065" xr:uid="{00000000-0005-0000-0000-00002B040000}"/>
    <cellStyle name="Обычный 4 5" xfId="1066" xr:uid="{00000000-0005-0000-0000-00002C040000}"/>
    <cellStyle name="Обычный 4_Тош вил. депозитлар" xfId="1067" xr:uid="{00000000-0005-0000-0000-00002D040000}"/>
    <cellStyle name="Обычный 40" xfId="1068" xr:uid="{00000000-0005-0000-0000-00002E040000}"/>
    <cellStyle name="Обычный 41" xfId="1069" xr:uid="{00000000-0005-0000-0000-00002F040000}"/>
    <cellStyle name="Обычный 42" xfId="1070" xr:uid="{00000000-0005-0000-0000-000030040000}"/>
    <cellStyle name="Обычный 43" xfId="1071" xr:uid="{00000000-0005-0000-0000-000031040000}"/>
    <cellStyle name="Обычный 44" xfId="1072" xr:uid="{00000000-0005-0000-0000-000032040000}"/>
    <cellStyle name="Обычный 45" xfId="1073" xr:uid="{00000000-0005-0000-0000-000033040000}"/>
    <cellStyle name="Обычный 46" xfId="1074" xr:uid="{00000000-0005-0000-0000-000034040000}"/>
    <cellStyle name="Обычный 47" xfId="1075" xr:uid="{00000000-0005-0000-0000-000035040000}"/>
    <cellStyle name="Обычный 48" xfId="1076" xr:uid="{00000000-0005-0000-0000-000036040000}"/>
    <cellStyle name="Обычный 49" xfId="1077" xr:uid="{00000000-0005-0000-0000-000037040000}"/>
    <cellStyle name="Обычный 5" xfId="1078" xr:uid="{00000000-0005-0000-0000-000038040000}"/>
    <cellStyle name="Обычный 5 2" xfId="1079" xr:uid="{00000000-0005-0000-0000-000039040000}"/>
    <cellStyle name="Обычный 5 3" xfId="1080" xr:uid="{00000000-0005-0000-0000-00003A040000}"/>
    <cellStyle name="Обычный 5 4" xfId="1081" xr:uid="{00000000-0005-0000-0000-00003B040000}"/>
    <cellStyle name="Обычный 5 5" xfId="1082" xr:uid="{00000000-0005-0000-0000-00003C040000}"/>
    <cellStyle name="Обычный 5_Тош вил. депозитлар" xfId="1083" xr:uid="{00000000-0005-0000-0000-00003D040000}"/>
    <cellStyle name="Обычный 50" xfId="1084" xr:uid="{00000000-0005-0000-0000-00003E040000}"/>
    <cellStyle name="Обычный 51" xfId="1085" xr:uid="{00000000-0005-0000-0000-00003F040000}"/>
    <cellStyle name="Обычный 52" xfId="1086" xr:uid="{00000000-0005-0000-0000-000040040000}"/>
    <cellStyle name="Обычный 53" xfId="1087" xr:uid="{00000000-0005-0000-0000-000041040000}"/>
    <cellStyle name="Обычный 54" xfId="1088" xr:uid="{00000000-0005-0000-0000-000042040000}"/>
    <cellStyle name="Обычный 55" xfId="1089" xr:uid="{00000000-0005-0000-0000-000043040000}"/>
    <cellStyle name="Обычный 56" xfId="1090" xr:uid="{00000000-0005-0000-0000-000044040000}"/>
    <cellStyle name="Обычный 57" xfId="1091" xr:uid="{00000000-0005-0000-0000-000045040000}"/>
    <cellStyle name="Обычный 58" xfId="1092" xr:uid="{00000000-0005-0000-0000-000046040000}"/>
    <cellStyle name="Обычный 59" xfId="1093" xr:uid="{00000000-0005-0000-0000-000047040000}"/>
    <cellStyle name="Обычный 6" xfId="1094" xr:uid="{00000000-0005-0000-0000-000048040000}"/>
    <cellStyle name="Обычный 6 2" xfId="1095" xr:uid="{00000000-0005-0000-0000-000049040000}"/>
    <cellStyle name="Обычный 6 3" xfId="1096" xr:uid="{00000000-0005-0000-0000-00004A040000}"/>
    <cellStyle name="Обычный 6 4" xfId="1097" xr:uid="{00000000-0005-0000-0000-00004B040000}"/>
    <cellStyle name="Обычный 6 5" xfId="1098" xr:uid="{00000000-0005-0000-0000-00004C040000}"/>
    <cellStyle name="Обычный 6_Тош вил. депозитлар" xfId="1099" xr:uid="{00000000-0005-0000-0000-00004D040000}"/>
    <cellStyle name="Обычный 60" xfId="1100" xr:uid="{00000000-0005-0000-0000-00004E040000}"/>
    <cellStyle name="Обычный 61" xfId="1101" xr:uid="{00000000-0005-0000-0000-00004F040000}"/>
    <cellStyle name="Обычный 62" xfId="1102" xr:uid="{00000000-0005-0000-0000-000050040000}"/>
    <cellStyle name="Обычный 63" xfId="1103" xr:uid="{00000000-0005-0000-0000-000051040000}"/>
    <cellStyle name="Обычный 64" xfId="1104" xr:uid="{00000000-0005-0000-0000-000052040000}"/>
    <cellStyle name="Обычный 65" xfId="1105" xr:uid="{00000000-0005-0000-0000-000053040000}"/>
    <cellStyle name="Обычный 66" xfId="1106" xr:uid="{00000000-0005-0000-0000-000054040000}"/>
    <cellStyle name="Обычный 67" xfId="1107" xr:uid="{00000000-0005-0000-0000-000055040000}"/>
    <cellStyle name="Обычный 68" xfId="1108" xr:uid="{00000000-0005-0000-0000-000056040000}"/>
    <cellStyle name="Обычный 69" xfId="1109" xr:uid="{00000000-0005-0000-0000-000057040000}"/>
    <cellStyle name="Обычный 7" xfId="1110" xr:uid="{00000000-0005-0000-0000-000058040000}"/>
    <cellStyle name="Обычный 7 2" xfId="1111" xr:uid="{00000000-0005-0000-0000-000059040000}"/>
    <cellStyle name="Обычный 7 3" xfId="1112" xr:uid="{00000000-0005-0000-0000-00005A040000}"/>
    <cellStyle name="Обычный 7 4" xfId="1113" xr:uid="{00000000-0005-0000-0000-00005B040000}"/>
    <cellStyle name="Обычный 7 5" xfId="1114" xr:uid="{00000000-0005-0000-0000-00005C040000}"/>
    <cellStyle name="Обычный 7_Омонат 01.02.14" xfId="1115" xr:uid="{00000000-0005-0000-0000-00005D040000}"/>
    <cellStyle name="Обычный 70" xfId="1116" xr:uid="{00000000-0005-0000-0000-00005E040000}"/>
    <cellStyle name="Обычный 71" xfId="1117" xr:uid="{00000000-0005-0000-0000-00005F040000}"/>
    <cellStyle name="Обычный 72" xfId="1118" xr:uid="{00000000-0005-0000-0000-000060040000}"/>
    <cellStyle name="Обычный 73" xfId="1119" xr:uid="{00000000-0005-0000-0000-000061040000}"/>
    <cellStyle name="Обычный 74" xfId="1120" xr:uid="{00000000-0005-0000-0000-000062040000}"/>
    <cellStyle name="Обычный 75" xfId="1121" xr:uid="{00000000-0005-0000-0000-000063040000}"/>
    <cellStyle name="Обычный 76" xfId="1122" xr:uid="{00000000-0005-0000-0000-000064040000}"/>
    <cellStyle name="Обычный 77" xfId="1123" xr:uid="{00000000-0005-0000-0000-000065040000}"/>
    <cellStyle name="Обычный 78" xfId="1124" xr:uid="{00000000-0005-0000-0000-000066040000}"/>
    <cellStyle name="Обычный 79" xfId="1125" xr:uid="{00000000-0005-0000-0000-000067040000}"/>
    <cellStyle name="Обычный 8" xfId="1126" xr:uid="{00000000-0005-0000-0000-000068040000}"/>
    <cellStyle name="Обычный 8 2" xfId="1127" xr:uid="{00000000-0005-0000-0000-000069040000}"/>
    <cellStyle name="Обычный 8 3" xfId="1128" xr:uid="{00000000-0005-0000-0000-00006A040000}"/>
    <cellStyle name="Обычный 8 4" xfId="1129" xr:uid="{00000000-0005-0000-0000-00006B040000}"/>
    <cellStyle name="Обычный 8 5" xfId="1130" xr:uid="{00000000-0005-0000-0000-00006C040000}"/>
    <cellStyle name="Обычный 8_Тош вил. депозитлар" xfId="1131" xr:uid="{00000000-0005-0000-0000-00006D040000}"/>
    <cellStyle name="Обычный 80" xfId="1132" xr:uid="{00000000-0005-0000-0000-00006E040000}"/>
    <cellStyle name="Обычный 81" xfId="1133" xr:uid="{00000000-0005-0000-0000-00006F040000}"/>
    <cellStyle name="Обычный 82" xfId="1134" xr:uid="{00000000-0005-0000-0000-000070040000}"/>
    <cellStyle name="Обычный 83" xfId="1135" xr:uid="{00000000-0005-0000-0000-000071040000}"/>
    <cellStyle name="Обычный 84" xfId="1136" xr:uid="{00000000-0005-0000-0000-000072040000}"/>
    <cellStyle name="Обычный 85" xfId="1137" xr:uid="{00000000-0005-0000-0000-000073040000}"/>
    <cellStyle name="Обычный 86" xfId="1138" xr:uid="{00000000-0005-0000-0000-000074040000}"/>
    <cellStyle name="Обычный 87" xfId="1139" xr:uid="{00000000-0005-0000-0000-000075040000}"/>
    <cellStyle name="Обычный 88" xfId="1140" xr:uid="{00000000-0005-0000-0000-000076040000}"/>
    <cellStyle name="Обычный 89" xfId="1141" xr:uid="{00000000-0005-0000-0000-000077040000}"/>
    <cellStyle name="Обычный 9" xfId="1142" xr:uid="{00000000-0005-0000-0000-000078040000}"/>
    <cellStyle name="Обычный 90" xfId="1143" xr:uid="{00000000-0005-0000-0000-000079040000}"/>
    <cellStyle name="Обычный 91" xfId="1144" xr:uid="{00000000-0005-0000-0000-00007A040000}"/>
    <cellStyle name="Обычный 92" xfId="1145" xr:uid="{00000000-0005-0000-0000-00007B040000}"/>
    <cellStyle name="Обычный 93" xfId="1146" xr:uid="{00000000-0005-0000-0000-00007C040000}"/>
    <cellStyle name="Обычный 94" xfId="1147" xr:uid="{00000000-0005-0000-0000-00007D040000}"/>
    <cellStyle name="Обычный 95" xfId="1148" xr:uid="{00000000-0005-0000-0000-00007E040000}"/>
    <cellStyle name="Обычный 96" xfId="1149" xr:uid="{00000000-0005-0000-0000-00007F040000}"/>
    <cellStyle name="Обычный 97" xfId="1150" xr:uid="{00000000-0005-0000-0000-000080040000}"/>
    <cellStyle name="Обычный 98" xfId="1151" xr:uid="{00000000-0005-0000-0000-000081040000}"/>
    <cellStyle name="Обычный 99" xfId="1152" xr:uid="{00000000-0005-0000-0000-000082040000}"/>
    <cellStyle name="Обычный_24.09.08" xfId="1227" xr:uid="{00000000-0005-0000-0000-000083040000}"/>
    <cellStyle name="Примечание 2" xfId="1153" xr:uid="{00000000-0005-0000-0000-000084040000}"/>
    <cellStyle name="Примечание 3" xfId="1154" xr:uid="{00000000-0005-0000-0000-000085040000}"/>
    <cellStyle name="Примечание 4" xfId="1155" xr:uid="{00000000-0005-0000-0000-000086040000}"/>
    <cellStyle name="Примечание 5" xfId="1156" xr:uid="{00000000-0005-0000-0000-000087040000}"/>
    <cellStyle name="Процентный" xfId="1230" builtinId="5"/>
    <cellStyle name="Процентный 2" xfId="1157" xr:uid="{00000000-0005-0000-0000-000088040000}"/>
    <cellStyle name="Процентный 2 2" xfId="1158" xr:uid="{00000000-0005-0000-0000-000089040000}"/>
    <cellStyle name="Процентный 2 3" xfId="1159" xr:uid="{00000000-0005-0000-0000-00008A040000}"/>
    <cellStyle name="Процентный 2 4" xfId="1160" xr:uid="{00000000-0005-0000-0000-00008B040000}"/>
    <cellStyle name="Процентный 2 5" xfId="1161" xr:uid="{00000000-0005-0000-0000-00008C040000}"/>
    <cellStyle name="Процентный 3" xfId="1162" xr:uid="{00000000-0005-0000-0000-00008D040000}"/>
    <cellStyle name="Процентный 3 2" xfId="1163" xr:uid="{00000000-0005-0000-0000-00008E040000}"/>
    <cellStyle name="Процентный 3 3" xfId="1164" xr:uid="{00000000-0005-0000-0000-00008F040000}"/>
    <cellStyle name="Процентный 3 4" xfId="1165" xr:uid="{00000000-0005-0000-0000-000090040000}"/>
    <cellStyle name="Стиль 1" xfId="1166" xr:uid="{00000000-0005-0000-0000-000091040000}"/>
    <cellStyle name="Стиль 1 2" xfId="1167" xr:uid="{00000000-0005-0000-0000-000092040000}"/>
    <cellStyle name="Стиль 1_136-карор буйича" xfId="1168" xr:uid="{00000000-0005-0000-0000-000093040000}"/>
    <cellStyle name="Тысячи [0]_  осн" xfId="1169" xr:uid="{00000000-0005-0000-0000-000094040000}"/>
    <cellStyle name="Тысячи_  осн" xfId="1170" xr:uid="{00000000-0005-0000-0000-000095040000}"/>
    <cellStyle name="Финансовый 10" xfId="2" xr:uid="{00000000-0005-0000-0000-000096040000}"/>
    <cellStyle name="Финансовый 11" xfId="1171" xr:uid="{00000000-0005-0000-0000-000097040000}"/>
    <cellStyle name="Финансовый 12" xfId="1172" xr:uid="{00000000-0005-0000-0000-000098040000}"/>
    <cellStyle name="Финансовый 13" xfId="1173" xr:uid="{00000000-0005-0000-0000-000099040000}"/>
    <cellStyle name="Финансовый 16" xfId="1174" xr:uid="{00000000-0005-0000-0000-00009A040000}"/>
    <cellStyle name="Финансовый 2" xfId="1175" xr:uid="{00000000-0005-0000-0000-00009B040000}"/>
    <cellStyle name="Финансовый 2 2" xfId="1176" xr:uid="{00000000-0005-0000-0000-00009C040000}"/>
    <cellStyle name="Финансовый 2 2 2" xfId="1177" xr:uid="{00000000-0005-0000-0000-00009D040000}"/>
    <cellStyle name="Финансовый 2 2 2 2" xfId="1178" xr:uid="{00000000-0005-0000-0000-00009E040000}"/>
    <cellStyle name="Финансовый 2 2 2 3" xfId="1179" xr:uid="{00000000-0005-0000-0000-00009F040000}"/>
    <cellStyle name="Финансовый 2 2 2 4" xfId="1180" xr:uid="{00000000-0005-0000-0000-0000A0040000}"/>
    <cellStyle name="Финансовый 2 2 3" xfId="1181" xr:uid="{00000000-0005-0000-0000-0000A1040000}"/>
    <cellStyle name="Финансовый 2 2 4" xfId="1182" xr:uid="{00000000-0005-0000-0000-0000A2040000}"/>
    <cellStyle name="Финансовый 2 2 5" xfId="1183" xr:uid="{00000000-0005-0000-0000-0000A3040000}"/>
    <cellStyle name="Финансовый 2 2 6" xfId="1184" xr:uid="{00000000-0005-0000-0000-0000A4040000}"/>
    <cellStyle name="Финансовый 2 2 7" xfId="1185" xr:uid="{00000000-0005-0000-0000-0000A5040000}"/>
    <cellStyle name="Финансовый 2 3" xfId="1186" xr:uid="{00000000-0005-0000-0000-0000A6040000}"/>
    <cellStyle name="Финансовый 2 4" xfId="1187" xr:uid="{00000000-0005-0000-0000-0000A7040000}"/>
    <cellStyle name="Финансовый 2 5" xfId="1188" xr:uid="{00000000-0005-0000-0000-0000A8040000}"/>
    <cellStyle name="Финансовый 2 6" xfId="1189" xr:uid="{00000000-0005-0000-0000-0000A9040000}"/>
    <cellStyle name="Финансовый 2 7" xfId="1190" xr:uid="{00000000-0005-0000-0000-0000AA040000}"/>
    <cellStyle name="Финансовый 2_Тош вил. депозитлар" xfId="1191" xr:uid="{00000000-0005-0000-0000-0000AB040000}"/>
    <cellStyle name="Финансовый 3" xfId="1192" xr:uid="{00000000-0005-0000-0000-0000AC040000}"/>
    <cellStyle name="Финансовый 3 2" xfId="1193" xr:uid="{00000000-0005-0000-0000-0000AD040000}"/>
    <cellStyle name="Финансовый 3 3" xfId="1194" xr:uid="{00000000-0005-0000-0000-0000AE040000}"/>
    <cellStyle name="Финансовый 3 4" xfId="1195" xr:uid="{00000000-0005-0000-0000-0000AF040000}"/>
    <cellStyle name="Финансовый 3 5" xfId="1196" xr:uid="{00000000-0005-0000-0000-0000B0040000}"/>
    <cellStyle name="Финансовый 3_Тош вил. депозитлар" xfId="1197" xr:uid="{00000000-0005-0000-0000-0000B1040000}"/>
    <cellStyle name="Финансовый 4" xfId="1198" xr:uid="{00000000-0005-0000-0000-0000B2040000}"/>
    <cellStyle name="Финансовый 5" xfId="1199" xr:uid="{00000000-0005-0000-0000-0000B3040000}"/>
    <cellStyle name="Финансовый 5 2" xfId="1200" xr:uid="{00000000-0005-0000-0000-0000B4040000}"/>
    <cellStyle name="Финансовый 5 3" xfId="1201" xr:uid="{00000000-0005-0000-0000-0000B5040000}"/>
    <cellStyle name="Финансовый 5 4" xfId="1202" xr:uid="{00000000-0005-0000-0000-0000B6040000}"/>
    <cellStyle name="Финансовый 5 5" xfId="1203" xr:uid="{00000000-0005-0000-0000-0000B7040000}"/>
    <cellStyle name="Финансовый 6" xfId="1204" xr:uid="{00000000-0005-0000-0000-0000B8040000}"/>
    <cellStyle name="Финансовый 6 2" xfId="1205" xr:uid="{00000000-0005-0000-0000-0000B9040000}"/>
    <cellStyle name="Финансовый 6 3" xfId="1206" xr:uid="{00000000-0005-0000-0000-0000BA040000}"/>
    <cellStyle name="Финансовый 6 4" xfId="1207" xr:uid="{00000000-0005-0000-0000-0000BB040000}"/>
    <cellStyle name="Финансовый 6 5" xfId="1208" xr:uid="{00000000-0005-0000-0000-0000BC040000}"/>
    <cellStyle name="Финансовый 7" xfId="1209" xr:uid="{00000000-0005-0000-0000-0000BD040000}"/>
    <cellStyle name="Финансовый 7 2" xfId="1210" xr:uid="{00000000-0005-0000-0000-0000BE040000}"/>
    <cellStyle name="Финансовый 7 3" xfId="1211" xr:uid="{00000000-0005-0000-0000-0000BF040000}"/>
    <cellStyle name="Финансовый 7 4" xfId="1212" xr:uid="{00000000-0005-0000-0000-0000C0040000}"/>
    <cellStyle name="Финансовый 7 5" xfId="1213" xr:uid="{00000000-0005-0000-0000-0000C1040000}"/>
    <cellStyle name="Финансовый 8" xfId="1214" xr:uid="{00000000-0005-0000-0000-0000C2040000}"/>
    <cellStyle name="Финансовый 8 2" xfId="1215" xr:uid="{00000000-0005-0000-0000-0000C3040000}"/>
    <cellStyle name="Финансовый 8 3" xfId="1216" xr:uid="{00000000-0005-0000-0000-0000C4040000}"/>
    <cellStyle name="Финансовый 8 4" xfId="1217" xr:uid="{00000000-0005-0000-0000-0000C5040000}"/>
    <cellStyle name="Финансовый 8 5" xfId="1218" xr:uid="{00000000-0005-0000-0000-0000C6040000}"/>
    <cellStyle name="Финансовый 9" xfId="1219" xr:uid="{00000000-0005-0000-0000-0000C7040000}"/>
    <cellStyle name="Финансовый 9 2" xfId="1220" xr:uid="{00000000-0005-0000-0000-0000C8040000}"/>
    <cellStyle name="Финансовый 9 3" xfId="1221" xr:uid="{00000000-0005-0000-0000-0000C9040000}"/>
    <cellStyle name="Финансовый 9 4" xfId="1222" xr:uid="{00000000-0005-0000-0000-0000CA040000}"/>
    <cellStyle name="Финансовый 9 5" xfId="1223" xr:uid="{00000000-0005-0000-0000-0000CB040000}"/>
    <cellStyle name="Џђћ–…ќ’ќ›‰" xfId="1224" xr:uid="{00000000-0005-0000-0000-0000CC040000}"/>
    <cellStyle name="표준_03-01-##_Raw materials for Uz-DongWon" xfId="1225" xr:uid="{00000000-0005-0000-0000-0000CD040000}"/>
  </cellStyles>
  <dxfs count="18">
    <dxf>
      <fill>
        <patternFill patternType="none">
          <fgColor indexed="64"/>
          <bgColor indexed="65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ont>
        <strike/>
        <color theme="0"/>
      </font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  <sheetName val="к.смета"/>
      <sheetName val="G1"/>
      <sheetName val="Лист4"/>
      <sheetName val="Муаммоли кредитларни ундирилиши"/>
      <sheetName val="Кредит сўндирилмаслиги сабаби"/>
      <sheetName val="Боғлиқлик"/>
      <sheetName val="Bank Liabilities Analysis"/>
      <sheetName val="Q6"/>
      <sheetName val="Районы"/>
      <sheetName val="форма №2а"/>
      <sheetName val="14301"/>
      <sheetName val="Сектор"/>
      <sheetName val="данные"/>
      <sheetName val="программа"/>
      <sheetName val="Олувчи"/>
      <sheetName val="Платёжка"/>
      <sheetName val="Тўловчи"/>
      <sheetName val="Банк"/>
      <sheetName val="сана"/>
      <sheetName val="277"/>
      <sheetName val="Analysis of Interest"/>
      <sheetName val="06.01.2014"/>
      <sheetName val="январь ойи"/>
      <sheetName val="Фин.пок"/>
      <sheetName val="курс"/>
      <sheetName val="Analysis_of_Interest"/>
      <sheetName val="06_01_2014"/>
      <sheetName val="табли 4 местний совет"/>
      <sheetName val="1-илова янги"/>
      <sheetName val="январь_ойи"/>
      <sheetName val="Фин_пок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СВОД_36"/>
      <sheetName val="СВОД_37"/>
      <sheetName val="진행 data (2)"/>
      <sheetName val="Data input"/>
      <sheetName val="План пр-ва_1"/>
      <sheetName val="План продаж_1"/>
      <sheetName val="для ГАКа"/>
      <sheetName val="калий"/>
      <sheetName val="ВВОД"/>
      <sheetName val="транспортировка"/>
      <sheetName val="Бал"/>
      <sheetName val="tab17"/>
      <sheetName val="Calculation of Risk Weighted As"/>
      <sheetName val="Bank Assets Analysis"/>
      <sheetName val="Changes in Equity"/>
      <sheetName val=""/>
      <sheetName val="б 6-и"/>
      <sheetName val="мфо"/>
      <sheetName val="фориш_свод5"/>
      <sheetName val="Фориш_20035"/>
      <sheetName val="Жиззах_янги_раз5"/>
      <sheetName val="ж_а_м_и5"/>
      <sheetName val="Tosh_sh_жами_1жадвал_5"/>
      <sheetName val="Фао-т_т_коди5"/>
      <sheetName val="Пул_топ-к_коди_5"/>
      <sheetName val="Тиж-банккоди_5"/>
      <sheetName val="Хукукий_Макоми5"/>
      <sheetName val="МФО_Last5"/>
      <sheetName val="Тохирбек_2003-14"/>
      <sheetName val="экс_хар4"/>
      <sheetName val="Қолган-193_та_28_12_20183"/>
      <sheetName val="1_Ноябр_Тошкентга__(2)"/>
      <sheetName val="параметр_(формуда)"/>
      <sheetName val="к_смета"/>
      <sheetName val="Муаммоли_кредитларни_ундирилиши"/>
      <sheetName val="Кредит_сўндирилмаслиги_сабаби"/>
      <sheetName val="Bank_Liabilities_Analysis"/>
      <sheetName val="форма_№2а"/>
      <sheetName val="Analysis_of_Interest1"/>
      <sheetName val="06_01_20141"/>
      <sheetName val="январь_ойи1"/>
      <sheetName val="Фин_пок1"/>
      <sheetName val="табли_4_местний_совет"/>
      <sheetName val="1-илова_янги"/>
      <sheetName val="свод_жами_1_ой_+"/>
      <sheetName val="свод_жами"/>
      <sheetName val="진행_data_(2)"/>
      <sheetName val="Data_input"/>
      <sheetName val="План_пр-ва_1"/>
      <sheetName val="План_продаж_1"/>
      <sheetName val="для_ГАКа"/>
      <sheetName val="Calculation_of_Risk_Weighted_As"/>
      <sheetName val="Bank_Assets_Analysis"/>
      <sheetName val="Changes_in_Equity"/>
      <sheetName val="б_6-и"/>
      <sheetName val="План пр-ва"/>
      <sheetName val="табл чувств"/>
      <sheetName val="План продаж"/>
      <sheetName val="Массив"/>
      <sheetName val="счет-фактура"/>
      <sheetName val="накладная"/>
      <sheetName val="Guidance"/>
      <sheetName val="AeCO SPL"/>
      <sheetName val="IDA-tab7"/>
      <sheetName val="инф"/>
      <sheetName val="SUMMARY"/>
      <sheetName val="кол-во техн"/>
      <sheetName val="фориш_свод6"/>
      <sheetName val="Фориш_20036"/>
      <sheetName val="Жиззах_янги_раз6"/>
      <sheetName val="ж_а_м_и6"/>
      <sheetName val="Tosh_sh_жами_1жадвал_6"/>
      <sheetName val="Фао-т_т_коди6"/>
      <sheetName val="Пул_топ-к_коди_6"/>
      <sheetName val="Тиж-банккоди_6"/>
      <sheetName val="Хукукий_Макоми6"/>
      <sheetName val="МФО_Last6"/>
      <sheetName val="Тохирбек_2003-15"/>
      <sheetName val="экс_хар5"/>
      <sheetName val="Қолган-193_та_28_12_20184"/>
      <sheetName val="1_Ноябр_Тошкентга__(2)1"/>
      <sheetName val="параметр_(формуда)1"/>
      <sheetName val="к_смета1"/>
      <sheetName val="Муаммоли_кредитларни_ундирилиш1"/>
      <sheetName val="Кредит_сўндирилмаслиги_сабаби1"/>
      <sheetName val="Bank_Liabilities_Analysis1"/>
      <sheetName val="форма_№2а1"/>
      <sheetName val="Analysis_of_Interest2"/>
      <sheetName val="06_01_20142"/>
      <sheetName val="январь_ойи2"/>
      <sheetName val="Фин_пок2"/>
      <sheetName val="табли_4_местний_совет1"/>
      <sheetName val="1-илова_янги1"/>
      <sheetName val="свод_жами_1_ой_+1"/>
      <sheetName val="свод_жами1"/>
      <sheetName val="진행_data_(2)1"/>
      <sheetName val="Data_input1"/>
      <sheetName val="План_пр-ва_11"/>
      <sheetName val="План_продаж_11"/>
      <sheetName val="для_ГАКа1"/>
      <sheetName val="Calculation_of_Risk_Weighted_A1"/>
      <sheetName val="Bank_Assets_Analysis1"/>
      <sheetName val="Changes_in_Equity1"/>
      <sheetName val="б_6-и1"/>
      <sheetName val="План_пр-ва"/>
      <sheetName val="табл_чувств"/>
      <sheetName val="План_продаж"/>
      <sheetName val="f007502_18x"/>
      <sheetName val="Ж-8."/>
      <sheetName val="2-жадвал свод"/>
      <sheetName val="Таблица рассрочки"/>
      <sheetName val="Форма №2-2003"/>
      <sheetName val="структура"/>
      <sheetName val="дот"/>
      <sheetName val="tmp"/>
      <sheetName val="расчет1"/>
      <sheetName val="Prog. rost tarifov"/>
      <sheetName val="фориш_свод7"/>
      <sheetName val="Фориш_20037"/>
      <sheetName val="Жиззах_янги_раз7"/>
      <sheetName val="ж_а_м_и7"/>
      <sheetName val="Tosh_sh_жами_1жадвал_7"/>
      <sheetName val="Фао-т_т_коди7"/>
      <sheetName val="Пул_топ-к_коди_7"/>
      <sheetName val="Тиж-банккоди_7"/>
      <sheetName val="Хукукий_Макоми7"/>
      <sheetName val="МФО_Last7"/>
      <sheetName val="Тохирбек_2003-16"/>
      <sheetName val="экс_хар6"/>
      <sheetName val="Қолган-193_та_28_12_20185"/>
      <sheetName val="1_Ноябр_Тошкентга__(2)2"/>
      <sheetName val="параметр_(формуда)2"/>
      <sheetName val="к_смета2"/>
      <sheetName val="Муаммоли_кредитларни_ундирилиш2"/>
      <sheetName val="Кредит_сўндирилмаслиги_сабаби2"/>
      <sheetName val="Bank_Liabilities_Analysis2"/>
      <sheetName val="форма_№2а2"/>
      <sheetName val="б_6-и2"/>
      <sheetName val="Analysis_of_Interest3"/>
      <sheetName val="06_01_20143"/>
      <sheetName val="январь_ойи3"/>
      <sheetName val="Фин_пок3"/>
      <sheetName val="табли_4_местний_совет2"/>
      <sheetName val="1-илова_янги2"/>
      <sheetName val="свод_жами_1_ой_+2"/>
      <sheetName val="свод_жами2"/>
      <sheetName val="진행_data_(2)2"/>
      <sheetName val="Data_input2"/>
      <sheetName val="План_пр-ва_12"/>
      <sheetName val="План_продаж_12"/>
      <sheetName val="для_ГАКа2"/>
      <sheetName val="Calculation_of_Risk_Weighted_A2"/>
      <sheetName val="Bank_Assets_Analysis2"/>
      <sheetName val="Changes_in_Equity2"/>
      <sheetName val="План_пр-ва1"/>
      <sheetName val="табл_чувств1"/>
      <sheetName val="План_продаж1"/>
      <sheetName val="AeCO_SPL"/>
      <sheetName val="кол-во_техн"/>
      <sheetName val="Ж-8_"/>
      <sheetName val="2-жадвал_свод"/>
      <sheetName val="Таблица_рассрочки"/>
      <sheetName val="Форма_№2-2003"/>
      <sheetName val="баланс1"/>
      <sheetName val="零三"/>
      <sheetName val="매출DATA"/>
      <sheetName val="15,05,06йилга жами"/>
      <sheetName val="апрель кре.жами"/>
      <sheetName val="Гай пахта"/>
      <sheetName val="Нарх"/>
      <sheetName val="Пункт"/>
      <sheetName val="Зар"/>
      <sheetName val="Заф"/>
      <sheetName val="Мир"/>
      <sheetName val="Зом"/>
      <sheetName val="Макрос1"/>
      <sheetName val="c"/>
      <sheetName val="15,05,06йилга_жами"/>
      <sheetName val="апрель_кре_жами"/>
      <sheetName val="Гай_пахта"/>
      <sheetName val="15,05,06йилга_жами1"/>
      <sheetName val="апрель_кре_жами1"/>
      <sheetName val="Гай_пахта1"/>
      <sheetName val="фев"/>
      <sheetName val="15,05,06йилга_жами2"/>
      <sheetName val="апрель_кре_жами2"/>
      <sheetName val="Гай_пахта2"/>
      <sheetName val="15,05,06йилга_жами3"/>
      <sheetName val="апрель_кре_жами3"/>
      <sheetName val="Гай_пахта3"/>
      <sheetName val="s"/>
      <sheetName val="режа"/>
      <sheetName val="15,05,06йилга_жами4"/>
      <sheetName val="апрель_кре_жами4"/>
      <sheetName val="Гай_пахта4"/>
      <sheetName val="Prog__rost_tarifov"/>
      <sheetName val="Ер Ресурс"/>
      <sheetName val="DNET"/>
      <sheetName val="15,05,06йилга_жами5"/>
      <sheetName val="апрель_кре_жами5"/>
      <sheetName val="Гай_пахта5"/>
      <sheetName val="Prog__rost_tarifov1"/>
      <sheetName val="Ер_Ресурс"/>
      <sheetName val="Прогноз"/>
      <sheetName val="МФО руйхат"/>
      <sheetName val="Мароканд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Twenty Largest"/>
      <sheetName val="CPIINDEX"/>
      <sheetName val="Номма ном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8" refreshError="1"/>
      <sheetData sheetId="12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4" refreshError="1"/>
      <sheetData sheetId="145" refreshError="1"/>
      <sheetData sheetId="14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0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4">
          <cell r="O4">
            <v>67.099999999999994</v>
          </cell>
        </row>
      </sheetData>
      <sheetData sheetId="209" refreshError="1"/>
      <sheetData sheetId="210">
        <row r="4">
          <cell r="O4">
            <v>67.099999999999994</v>
          </cell>
        </row>
      </sheetData>
      <sheetData sheetId="211" refreshError="1"/>
      <sheetData sheetId="212" refreshError="1"/>
      <sheetData sheetId="21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 refreshError="1"/>
      <sheetData sheetId="261" refreshError="1"/>
      <sheetData sheetId="262" refreshError="1"/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8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9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9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4">
          <cell r="O4">
            <v>67.099999999999994</v>
          </cell>
        </row>
      </sheetData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GL106"/>
  <sheetViews>
    <sheetView showZeros="0" tabSelected="1" view="pageBreakPreview" zoomScale="85" zoomScaleNormal="85" zoomScaleSheetLayoutView="85" workbookViewId="0">
      <pane xSplit="2" ySplit="5" topLeftCell="FO6" activePane="bottomRight" state="frozen"/>
      <selection activeCell="A2" sqref="A2:D2"/>
      <selection pane="topRight" activeCell="A2" sqref="A2:D2"/>
      <selection pane="bottomLeft" activeCell="A2" sqref="A2:D2"/>
      <selection pane="bottomRight" activeCell="GV5" sqref="GV5"/>
    </sheetView>
  </sheetViews>
  <sheetFormatPr defaultRowHeight="12.75"/>
  <cols>
    <col min="1" max="1" width="6.7109375" style="1" customWidth="1"/>
    <col min="2" max="2" width="34.140625" style="2" customWidth="1"/>
    <col min="3" max="4" width="11.140625" style="2" customWidth="1"/>
    <col min="5" max="5" width="13.7109375" style="2" customWidth="1"/>
    <col min="6" max="11" width="11.140625" style="2" customWidth="1"/>
    <col min="12" max="12" width="13.7109375" style="2" customWidth="1"/>
    <col min="13" max="16" width="11.140625" style="2" customWidth="1"/>
    <col min="17" max="17" width="13.28515625" style="2" customWidth="1"/>
    <col min="18" max="23" width="11.140625" style="2" customWidth="1"/>
    <col min="24" max="24" width="12.42578125" style="2" customWidth="1"/>
    <col min="25" max="25" width="11.5703125" style="2" customWidth="1"/>
    <col min="26" max="27" width="11.140625" style="2" customWidth="1"/>
    <col min="28" max="30" width="13.28515625" style="2" customWidth="1"/>
    <col min="31" max="31" width="11.140625" style="2" customWidth="1"/>
    <col min="32" max="32" width="13.7109375" style="2" customWidth="1"/>
    <col min="33" max="38" width="11.140625" style="2" customWidth="1"/>
    <col min="39" max="39" width="13.7109375" style="2" customWidth="1"/>
    <col min="40" max="43" width="11.140625" style="2" customWidth="1"/>
    <col min="44" max="44" width="13.28515625" style="2" customWidth="1"/>
    <col min="45" max="50" width="11.140625" style="2" customWidth="1"/>
    <col min="51" max="51" width="12.42578125" style="2" customWidth="1"/>
    <col min="52" max="52" width="13.5703125" style="2" customWidth="1"/>
    <col min="53" max="54" width="11.140625" style="2" customWidth="1"/>
    <col min="55" max="55" width="13.5703125" style="3" customWidth="1"/>
    <col min="56" max="57" width="13.28515625" style="2" customWidth="1"/>
    <col min="58" max="58" width="11.140625" style="3" customWidth="1"/>
    <col min="59" max="59" width="13.7109375" style="3" customWidth="1"/>
    <col min="60" max="65" width="11.140625" style="3" customWidth="1"/>
    <col min="66" max="66" width="13.7109375" style="3" customWidth="1"/>
    <col min="67" max="70" width="11.140625" style="3" customWidth="1"/>
    <col min="71" max="71" width="13.28515625" style="3" customWidth="1"/>
    <col min="72" max="77" width="11.140625" style="3" customWidth="1"/>
    <col min="78" max="78" width="15.28515625" style="3" customWidth="1"/>
    <col min="79" max="79" width="12.5703125" style="3" customWidth="1"/>
    <col min="80" max="80" width="12.140625" style="3" customWidth="1"/>
    <col min="81" max="81" width="11.140625" style="3" customWidth="1"/>
    <col min="82" max="83" width="13.28515625" style="3" customWidth="1"/>
    <col min="84" max="84" width="13.28515625" style="2" customWidth="1"/>
    <col min="85" max="85" width="14.140625" style="3" customWidth="1"/>
    <col min="86" max="86" width="16.7109375" style="2" customWidth="1"/>
    <col min="87" max="89" width="11.140625" style="2" customWidth="1"/>
    <col min="90" max="90" width="13.7109375" style="2" customWidth="1"/>
    <col min="91" max="92" width="11.140625" style="2" customWidth="1"/>
    <col min="93" max="93" width="12.42578125" style="2" customWidth="1"/>
    <col min="94" max="97" width="11.140625" style="2" customWidth="1"/>
    <col min="98" max="98" width="13.28515625" style="2" customWidth="1"/>
    <col min="99" max="104" width="11.140625" style="2" customWidth="1"/>
    <col min="105" max="105" width="14.85546875" style="2" customWidth="1"/>
    <col min="106" max="106" width="12.28515625" style="2" customWidth="1"/>
    <col min="107" max="107" width="11.140625" style="2" customWidth="1"/>
    <col min="108" max="108" width="12.28515625" style="2" customWidth="1"/>
    <col min="109" max="111" width="13.28515625" style="2" customWidth="1"/>
    <col min="112" max="112" width="11.140625" style="2" customWidth="1"/>
    <col min="113" max="113" width="13.7109375" style="2" customWidth="1"/>
    <col min="114" max="119" width="11.140625" style="2" customWidth="1"/>
    <col min="120" max="120" width="13.7109375" style="2" customWidth="1"/>
    <col min="121" max="124" width="11.140625" style="2" customWidth="1"/>
    <col min="125" max="125" width="13.28515625" style="2" customWidth="1"/>
    <col min="126" max="131" width="11.140625" style="2" customWidth="1"/>
    <col min="132" max="132" width="12.42578125" style="2" customWidth="1"/>
    <col min="133" max="133" width="12.85546875" style="2" customWidth="1"/>
    <col min="134" max="134" width="12.7109375" style="2" customWidth="1"/>
    <col min="135" max="135" width="11.140625" style="2" customWidth="1"/>
    <col min="136" max="138" width="13.28515625" style="2" customWidth="1"/>
    <col min="139" max="140" width="13.28515625" style="2" hidden="1" customWidth="1"/>
    <col min="141" max="141" width="11.140625" style="2" hidden="1" customWidth="1"/>
    <col min="142" max="142" width="13.7109375" style="2" hidden="1" customWidth="1"/>
    <col min="143" max="148" width="11.140625" style="2" hidden="1" customWidth="1"/>
    <col min="149" max="149" width="13.7109375" style="2" hidden="1" customWidth="1"/>
    <col min="150" max="152" width="11.140625" style="2" hidden="1" customWidth="1"/>
    <col min="153" max="153" width="11.140625" style="2" customWidth="1"/>
    <col min="154" max="154" width="13.28515625" style="2" customWidth="1"/>
    <col min="155" max="160" width="12.140625" style="2" customWidth="1"/>
    <col min="161" max="161" width="12.42578125" style="2" customWidth="1"/>
    <col min="162" max="162" width="14.42578125" style="2" customWidth="1"/>
    <col min="163" max="163" width="13.42578125" style="2" customWidth="1"/>
    <col min="164" max="164" width="11.140625" style="2" customWidth="1"/>
    <col min="165" max="165" width="14.28515625" style="2" customWidth="1"/>
    <col min="166" max="166" width="14.85546875" style="2" customWidth="1"/>
    <col min="167" max="167" width="13.28515625" style="2" customWidth="1"/>
    <col min="168" max="168" width="11.140625" style="2" customWidth="1"/>
    <col min="169" max="169" width="13.7109375" style="2" customWidth="1"/>
    <col min="170" max="175" width="11.140625" style="2" customWidth="1"/>
    <col min="176" max="176" width="13.7109375" style="2" customWidth="1"/>
    <col min="177" max="180" width="11.140625" style="2" customWidth="1"/>
    <col min="181" max="181" width="13.28515625" style="2" customWidth="1"/>
    <col min="182" max="187" width="11.140625" style="2" customWidth="1"/>
    <col min="188" max="188" width="12.42578125" style="2" customWidth="1"/>
    <col min="189" max="189" width="12.85546875" style="2" customWidth="1"/>
    <col min="190" max="191" width="11.140625" style="2" customWidth="1"/>
    <col min="192" max="194" width="13.28515625" style="2" customWidth="1"/>
    <col min="195" max="16384" width="9.140625" style="2"/>
  </cols>
  <sheetData>
    <row r="1" spans="1:194" ht="66" customHeight="1">
      <c r="A1" s="39" t="s">
        <v>97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</row>
    <row r="2" spans="1:194" s="12" customFormat="1" ht="72" customHeight="1">
      <c r="A2" s="40" t="s">
        <v>0</v>
      </c>
      <c r="B2" s="40" t="s">
        <v>14</v>
      </c>
      <c r="C2" s="40" t="s">
        <v>15</v>
      </c>
      <c r="D2" s="42" t="s">
        <v>122</v>
      </c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 t="s">
        <v>116</v>
      </c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 t="s">
        <v>117</v>
      </c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 t="s">
        <v>118</v>
      </c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 t="s">
        <v>119</v>
      </c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37"/>
      <c r="EJ2" s="37"/>
      <c r="EK2" s="42" t="s">
        <v>120</v>
      </c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 t="s">
        <v>121</v>
      </c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</row>
    <row r="3" spans="1:194" s="12" customFormat="1" ht="72" customHeight="1">
      <c r="A3" s="40"/>
      <c r="B3" s="40"/>
      <c r="C3" s="40"/>
      <c r="D3" s="41" t="s">
        <v>112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0" t="s">
        <v>113</v>
      </c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2" t="s">
        <v>114</v>
      </c>
      <c r="AC3" s="42"/>
      <c r="AD3" s="42"/>
      <c r="AE3" s="43" t="s">
        <v>112</v>
      </c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 t="s">
        <v>113</v>
      </c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2" t="s">
        <v>114</v>
      </c>
      <c r="BD3" s="42"/>
      <c r="BE3" s="42"/>
      <c r="BF3" s="40" t="s">
        <v>112</v>
      </c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1" t="s">
        <v>113</v>
      </c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2" t="s">
        <v>114</v>
      </c>
      <c r="CE3" s="42"/>
      <c r="CF3" s="42"/>
      <c r="CG3" s="43" t="s">
        <v>112</v>
      </c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 t="s">
        <v>113</v>
      </c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2" t="s">
        <v>114</v>
      </c>
      <c r="DF3" s="42"/>
      <c r="DG3" s="42"/>
      <c r="DH3" s="40" t="s">
        <v>112</v>
      </c>
      <c r="DI3" s="40"/>
      <c r="DJ3" s="40"/>
      <c r="DK3" s="40"/>
      <c r="DL3" s="40"/>
      <c r="DM3" s="40"/>
      <c r="DN3" s="40"/>
      <c r="DO3" s="40"/>
      <c r="DP3" s="40"/>
      <c r="DQ3" s="40"/>
      <c r="DR3" s="40"/>
      <c r="DS3" s="40"/>
      <c r="DT3" s="41" t="s">
        <v>113</v>
      </c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2" t="s">
        <v>114</v>
      </c>
      <c r="EG3" s="42"/>
      <c r="EH3" s="42"/>
      <c r="EI3" s="37"/>
      <c r="EJ3" s="37"/>
      <c r="EK3" s="40" t="s">
        <v>112</v>
      </c>
      <c r="EL3" s="40"/>
      <c r="EM3" s="40"/>
      <c r="EN3" s="40"/>
      <c r="EO3" s="40"/>
      <c r="EP3" s="40"/>
      <c r="EQ3" s="40"/>
      <c r="ER3" s="40"/>
      <c r="ES3" s="40"/>
      <c r="ET3" s="40"/>
      <c r="EU3" s="40"/>
      <c r="EV3" s="40"/>
      <c r="EW3" s="43" t="s">
        <v>113</v>
      </c>
      <c r="EX3" s="43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2" t="s">
        <v>114</v>
      </c>
      <c r="FJ3" s="42"/>
      <c r="FK3" s="42"/>
      <c r="FL3" s="43" t="s">
        <v>112</v>
      </c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 t="s">
        <v>113</v>
      </c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2" t="s">
        <v>114</v>
      </c>
      <c r="GK3" s="42"/>
      <c r="GL3" s="42"/>
    </row>
    <row r="4" spans="1:194" s="12" customFormat="1" ht="48" customHeight="1">
      <c r="A4" s="40"/>
      <c r="B4" s="40"/>
      <c r="C4" s="40"/>
      <c r="D4" s="25" t="s">
        <v>100</v>
      </c>
      <c r="E4" s="25" t="s">
        <v>101</v>
      </c>
      <c r="F4" s="25" t="s">
        <v>102</v>
      </c>
      <c r="G4" s="25" t="s">
        <v>103</v>
      </c>
      <c r="H4" s="25" t="s">
        <v>104</v>
      </c>
      <c r="I4" s="25" t="s">
        <v>105</v>
      </c>
      <c r="J4" s="25" t="s">
        <v>106</v>
      </c>
      <c r="K4" s="25" t="s">
        <v>107</v>
      </c>
      <c r="L4" s="25" t="s">
        <v>108</v>
      </c>
      <c r="M4" s="25" t="s">
        <v>109</v>
      </c>
      <c r="N4" s="25" t="s">
        <v>110</v>
      </c>
      <c r="O4" s="25" t="s">
        <v>111</v>
      </c>
      <c r="P4" s="25" t="s">
        <v>100</v>
      </c>
      <c r="Q4" s="25" t="s">
        <v>101</v>
      </c>
      <c r="R4" s="25" t="s">
        <v>102</v>
      </c>
      <c r="S4" s="25" t="s">
        <v>103</v>
      </c>
      <c r="T4" s="25" t="s">
        <v>104</v>
      </c>
      <c r="U4" s="25" t="s">
        <v>105</v>
      </c>
      <c r="V4" s="25" t="s">
        <v>106</v>
      </c>
      <c r="W4" s="25" t="s">
        <v>107</v>
      </c>
      <c r="X4" s="25" t="s">
        <v>108</v>
      </c>
      <c r="Y4" s="25" t="s">
        <v>109</v>
      </c>
      <c r="Z4" s="25" t="s">
        <v>110</v>
      </c>
      <c r="AA4" s="25" t="s">
        <v>111</v>
      </c>
      <c r="AB4" s="13" t="s">
        <v>98</v>
      </c>
      <c r="AC4" s="13" t="s">
        <v>99</v>
      </c>
      <c r="AD4" s="13" t="s">
        <v>115</v>
      </c>
      <c r="AE4" s="25" t="s">
        <v>100</v>
      </c>
      <c r="AF4" s="25" t="s">
        <v>101</v>
      </c>
      <c r="AG4" s="25" t="s">
        <v>102</v>
      </c>
      <c r="AH4" s="25" t="s">
        <v>103</v>
      </c>
      <c r="AI4" s="25" t="s">
        <v>104</v>
      </c>
      <c r="AJ4" s="25" t="s">
        <v>105</v>
      </c>
      <c r="AK4" s="25" t="s">
        <v>106</v>
      </c>
      <c r="AL4" s="25" t="s">
        <v>107</v>
      </c>
      <c r="AM4" s="25" t="s">
        <v>108</v>
      </c>
      <c r="AN4" s="25" t="s">
        <v>109</v>
      </c>
      <c r="AO4" s="25" t="s">
        <v>110</v>
      </c>
      <c r="AP4" s="25" t="s">
        <v>111</v>
      </c>
      <c r="AQ4" s="25" t="s">
        <v>100</v>
      </c>
      <c r="AR4" s="25" t="s">
        <v>101</v>
      </c>
      <c r="AS4" s="25" t="s">
        <v>102</v>
      </c>
      <c r="AT4" s="25" t="s">
        <v>103</v>
      </c>
      <c r="AU4" s="25" t="s">
        <v>104</v>
      </c>
      <c r="AV4" s="25" t="s">
        <v>105</v>
      </c>
      <c r="AW4" s="25" t="s">
        <v>106</v>
      </c>
      <c r="AX4" s="25" t="s">
        <v>107</v>
      </c>
      <c r="AY4" s="25" t="s">
        <v>108</v>
      </c>
      <c r="AZ4" s="25" t="s">
        <v>109</v>
      </c>
      <c r="BA4" s="25" t="s">
        <v>110</v>
      </c>
      <c r="BB4" s="25" t="s">
        <v>111</v>
      </c>
      <c r="BC4" s="13" t="s">
        <v>98</v>
      </c>
      <c r="BD4" s="13" t="s">
        <v>99</v>
      </c>
      <c r="BE4" s="13" t="s">
        <v>115</v>
      </c>
      <c r="BF4" s="25" t="s">
        <v>100</v>
      </c>
      <c r="BG4" s="25" t="s">
        <v>101</v>
      </c>
      <c r="BH4" s="25" t="s">
        <v>102</v>
      </c>
      <c r="BI4" s="25" t="s">
        <v>103</v>
      </c>
      <c r="BJ4" s="25" t="s">
        <v>104</v>
      </c>
      <c r="BK4" s="25" t="s">
        <v>105</v>
      </c>
      <c r="BL4" s="25" t="s">
        <v>106</v>
      </c>
      <c r="BM4" s="25" t="s">
        <v>107</v>
      </c>
      <c r="BN4" s="25" t="s">
        <v>108</v>
      </c>
      <c r="BO4" s="25" t="s">
        <v>109</v>
      </c>
      <c r="BP4" s="25" t="s">
        <v>110</v>
      </c>
      <c r="BQ4" s="25" t="s">
        <v>111</v>
      </c>
      <c r="BR4" s="25" t="s">
        <v>100</v>
      </c>
      <c r="BS4" s="25" t="s">
        <v>101</v>
      </c>
      <c r="BT4" s="25" t="s">
        <v>102</v>
      </c>
      <c r="BU4" s="25" t="s">
        <v>103</v>
      </c>
      <c r="BV4" s="25" t="s">
        <v>104</v>
      </c>
      <c r="BW4" s="25" t="s">
        <v>105</v>
      </c>
      <c r="BX4" s="25" t="s">
        <v>106</v>
      </c>
      <c r="BY4" s="25" t="s">
        <v>107</v>
      </c>
      <c r="BZ4" s="25" t="s">
        <v>108</v>
      </c>
      <c r="CA4" s="25" t="s">
        <v>109</v>
      </c>
      <c r="CB4" s="25" t="s">
        <v>110</v>
      </c>
      <c r="CC4" s="25" t="s">
        <v>111</v>
      </c>
      <c r="CD4" s="13" t="s">
        <v>98</v>
      </c>
      <c r="CE4" s="13" t="s">
        <v>99</v>
      </c>
      <c r="CF4" s="13" t="s">
        <v>115</v>
      </c>
      <c r="CG4" s="31" t="s">
        <v>100</v>
      </c>
      <c r="CH4" s="25" t="s">
        <v>101</v>
      </c>
      <c r="CI4" s="25" t="s">
        <v>102</v>
      </c>
      <c r="CJ4" s="26" t="s">
        <v>103</v>
      </c>
      <c r="CK4" s="26" t="s">
        <v>104</v>
      </c>
      <c r="CL4" s="26" t="s">
        <v>105</v>
      </c>
      <c r="CM4" s="26" t="s">
        <v>106</v>
      </c>
      <c r="CN4" s="26" t="s">
        <v>107</v>
      </c>
      <c r="CO4" s="26" t="s">
        <v>108</v>
      </c>
      <c r="CP4" s="26" t="s">
        <v>109</v>
      </c>
      <c r="CQ4" s="26" t="s">
        <v>110</v>
      </c>
      <c r="CR4" s="26" t="s">
        <v>111</v>
      </c>
      <c r="CS4" s="25" t="s">
        <v>100</v>
      </c>
      <c r="CT4" s="25" t="s">
        <v>101</v>
      </c>
      <c r="CU4" s="25" t="s">
        <v>102</v>
      </c>
      <c r="CV4" s="25" t="s">
        <v>103</v>
      </c>
      <c r="CW4" s="25" t="s">
        <v>104</v>
      </c>
      <c r="CX4" s="25" t="s">
        <v>105</v>
      </c>
      <c r="CY4" s="25" t="s">
        <v>106</v>
      </c>
      <c r="CZ4" s="25" t="s">
        <v>107</v>
      </c>
      <c r="DA4" s="25" t="s">
        <v>108</v>
      </c>
      <c r="DB4" s="25" t="s">
        <v>109</v>
      </c>
      <c r="DC4" s="25" t="s">
        <v>110</v>
      </c>
      <c r="DD4" s="26" t="s">
        <v>111</v>
      </c>
      <c r="DE4" s="13" t="s">
        <v>98</v>
      </c>
      <c r="DF4" s="13" t="s">
        <v>99</v>
      </c>
      <c r="DG4" s="13" t="s">
        <v>115</v>
      </c>
      <c r="DH4" s="25" t="s">
        <v>100</v>
      </c>
      <c r="DI4" s="25" t="s">
        <v>101</v>
      </c>
      <c r="DJ4" s="25" t="s">
        <v>102</v>
      </c>
      <c r="DK4" s="25" t="s">
        <v>103</v>
      </c>
      <c r="DL4" s="25" t="s">
        <v>104</v>
      </c>
      <c r="DM4" s="25" t="s">
        <v>105</v>
      </c>
      <c r="DN4" s="25" t="s">
        <v>106</v>
      </c>
      <c r="DO4" s="25" t="s">
        <v>107</v>
      </c>
      <c r="DP4" s="25" t="s">
        <v>108</v>
      </c>
      <c r="DQ4" s="25" t="s">
        <v>109</v>
      </c>
      <c r="DR4" s="25" t="s">
        <v>110</v>
      </c>
      <c r="DS4" s="25" t="s">
        <v>111</v>
      </c>
      <c r="DT4" s="25" t="s">
        <v>100</v>
      </c>
      <c r="DU4" s="25" t="s">
        <v>101</v>
      </c>
      <c r="DV4" s="25" t="s">
        <v>102</v>
      </c>
      <c r="DW4" s="25" t="s">
        <v>103</v>
      </c>
      <c r="DX4" s="25" t="s">
        <v>104</v>
      </c>
      <c r="DY4" s="25" t="s">
        <v>105</v>
      </c>
      <c r="DZ4" s="25" t="s">
        <v>106</v>
      </c>
      <c r="EA4" s="25" t="s">
        <v>107</v>
      </c>
      <c r="EB4" s="25" t="s">
        <v>108</v>
      </c>
      <c r="EC4" s="25" t="s">
        <v>109</v>
      </c>
      <c r="ED4" s="25" t="s">
        <v>110</v>
      </c>
      <c r="EE4" s="25" t="s">
        <v>111</v>
      </c>
      <c r="EF4" s="13" t="s">
        <v>98</v>
      </c>
      <c r="EG4" s="13" t="s">
        <v>99</v>
      </c>
      <c r="EH4" s="13" t="s">
        <v>115</v>
      </c>
      <c r="EI4" s="37"/>
      <c r="EJ4" s="37"/>
      <c r="EK4" s="25" t="s">
        <v>100</v>
      </c>
      <c r="EL4" s="25" t="s">
        <v>101</v>
      </c>
      <c r="EM4" s="25" t="s">
        <v>102</v>
      </c>
      <c r="EN4" s="25" t="s">
        <v>103</v>
      </c>
      <c r="EO4" s="25" t="s">
        <v>104</v>
      </c>
      <c r="EP4" s="25" t="s">
        <v>105</v>
      </c>
      <c r="EQ4" s="25" t="s">
        <v>106</v>
      </c>
      <c r="ER4" s="25" t="s">
        <v>107</v>
      </c>
      <c r="ES4" s="25" t="s">
        <v>108</v>
      </c>
      <c r="ET4" s="25" t="s">
        <v>109</v>
      </c>
      <c r="EU4" s="25" t="s">
        <v>110</v>
      </c>
      <c r="EV4" s="25" t="s">
        <v>111</v>
      </c>
      <c r="EW4" s="25" t="s">
        <v>100</v>
      </c>
      <c r="EX4" s="25" t="s">
        <v>101</v>
      </c>
      <c r="EY4" s="25" t="s">
        <v>102</v>
      </c>
      <c r="EZ4" s="25" t="s">
        <v>103</v>
      </c>
      <c r="FA4" s="25" t="s">
        <v>104</v>
      </c>
      <c r="FB4" s="25" t="s">
        <v>105</v>
      </c>
      <c r="FC4" s="25" t="s">
        <v>106</v>
      </c>
      <c r="FD4" s="25" t="s">
        <v>107</v>
      </c>
      <c r="FE4" s="25" t="s">
        <v>108</v>
      </c>
      <c r="FF4" s="25" t="s">
        <v>109</v>
      </c>
      <c r="FG4" s="25" t="s">
        <v>110</v>
      </c>
      <c r="FH4" s="25" t="s">
        <v>111</v>
      </c>
      <c r="FI4" s="13" t="s">
        <v>98</v>
      </c>
      <c r="FJ4" s="13" t="s">
        <v>99</v>
      </c>
      <c r="FK4" s="13" t="s">
        <v>115</v>
      </c>
      <c r="FL4" s="25" t="s">
        <v>100</v>
      </c>
      <c r="FM4" s="25" t="s">
        <v>101</v>
      </c>
      <c r="FN4" s="25" t="s">
        <v>102</v>
      </c>
      <c r="FO4" s="25" t="s">
        <v>103</v>
      </c>
      <c r="FP4" s="25" t="s">
        <v>104</v>
      </c>
      <c r="FQ4" s="25" t="s">
        <v>105</v>
      </c>
      <c r="FR4" s="25" t="s">
        <v>106</v>
      </c>
      <c r="FS4" s="25" t="s">
        <v>107</v>
      </c>
      <c r="FT4" s="25" t="s">
        <v>108</v>
      </c>
      <c r="FU4" s="25" t="s">
        <v>109</v>
      </c>
      <c r="FV4" s="25" t="s">
        <v>110</v>
      </c>
      <c r="FW4" s="25" t="s">
        <v>111</v>
      </c>
      <c r="FX4" s="25" t="s">
        <v>100</v>
      </c>
      <c r="FY4" s="25" t="s">
        <v>101</v>
      </c>
      <c r="FZ4" s="25" t="s">
        <v>102</v>
      </c>
      <c r="GA4" s="25" t="s">
        <v>103</v>
      </c>
      <c r="GB4" s="25" t="s">
        <v>104</v>
      </c>
      <c r="GC4" s="25" t="s">
        <v>105</v>
      </c>
      <c r="GD4" s="25" t="s">
        <v>106</v>
      </c>
      <c r="GE4" s="25" t="s">
        <v>107</v>
      </c>
      <c r="GF4" s="25" t="s">
        <v>108</v>
      </c>
      <c r="GG4" s="25" t="s">
        <v>109</v>
      </c>
      <c r="GH4" s="25" t="s">
        <v>110</v>
      </c>
      <c r="GI4" s="25" t="s">
        <v>111</v>
      </c>
      <c r="GJ4" s="13" t="s">
        <v>98</v>
      </c>
      <c r="GK4" s="13" t="s">
        <v>99</v>
      </c>
      <c r="GL4" s="13" t="s">
        <v>115</v>
      </c>
    </row>
    <row r="5" spans="1:194" s="35" customFormat="1" ht="55.5" customHeight="1">
      <c r="A5" s="8"/>
      <c r="B5" s="34" t="s">
        <v>1</v>
      </c>
      <c r="C5" s="8"/>
      <c r="D5" s="8"/>
      <c r="E5" s="8"/>
      <c r="F5" s="9"/>
      <c r="G5" s="9">
        <f>+G6+G14+G21+G33+G44+G64+G69+G73+G79+G83+G90+G92+G101+G103+G71</f>
        <v>8853</v>
      </c>
      <c r="H5" s="9">
        <f>+H6+H14+H21+H33+H44+H64+H69+H73+H79+H83+H90+H92+H101+H103+H71</f>
        <v>8214</v>
      </c>
      <c r="I5" s="9">
        <f t="shared" ref="I5:P5" si="0">+I6+I14+I21+I33+I44+I64+I69+I73+I79+I83+I90+I92+I101+I103+I71</f>
        <v>8983</v>
      </c>
      <c r="J5" s="9">
        <f t="shared" si="0"/>
        <v>9251</v>
      </c>
      <c r="K5" s="9">
        <f t="shared" si="0"/>
        <v>9066</v>
      </c>
      <c r="L5" s="9">
        <f t="shared" si="0"/>
        <v>9670</v>
      </c>
      <c r="M5" s="9">
        <f t="shared" si="0"/>
        <v>8825</v>
      </c>
      <c r="N5" s="9">
        <f t="shared" si="0"/>
        <v>8952</v>
      </c>
      <c r="O5" s="9">
        <f t="shared" si="0"/>
        <v>8525</v>
      </c>
      <c r="P5" s="9">
        <f t="shared" si="0"/>
        <v>6471</v>
      </c>
      <c r="Q5" s="9">
        <f>+Q6+Q14+Q21+Q33+Q44+Q64+Q69+Q73+Q79+Q83+Q90+Q92+Q101+Q103+Q71</f>
        <v>8487</v>
      </c>
      <c r="R5" s="9">
        <f t="shared" ref="R5:AA5" si="1">+R6+R14+R21+R33+R44+R64+R69+R73+R79+R83+R90+R92+R101+R103+R71</f>
        <v>7781</v>
      </c>
      <c r="S5" s="9">
        <f t="shared" si="1"/>
        <v>7397</v>
      </c>
      <c r="T5" s="9">
        <f t="shared" si="1"/>
        <v>6768</v>
      </c>
      <c r="U5" s="9">
        <f t="shared" si="1"/>
        <v>7456</v>
      </c>
      <c r="V5" s="9">
        <f t="shared" si="1"/>
        <v>6910</v>
      </c>
      <c r="W5" s="9">
        <f t="shared" si="1"/>
        <v>8197</v>
      </c>
      <c r="X5" s="9">
        <f t="shared" si="1"/>
        <v>6862</v>
      </c>
      <c r="Y5" s="9">
        <f t="shared" si="1"/>
        <v>3705</v>
      </c>
      <c r="Z5" s="9">
        <f t="shared" si="1"/>
        <v>7039</v>
      </c>
      <c r="AA5" s="9">
        <f t="shared" si="1"/>
        <v>2525</v>
      </c>
      <c r="AB5" s="9">
        <f>+AB6+AB14+AB21+AB33+AB44+AB64+AB69+AB73+AB79+AB83+AB90+AB92+AB101+AB103+AB71</f>
        <v>69000</v>
      </c>
      <c r="AC5" s="9">
        <f>+AC6+AC14+AC21+AC33+AC44+AC64+AC69+AC73+AC79+AC83+AC90+AC92+AC101+AC103+AC71</f>
        <v>79598</v>
      </c>
      <c r="AD5" s="5">
        <f>+AC5/AB5</f>
        <v>1.1535942028985506</v>
      </c>
      <c r="AE5" s="4">
        <f>+SUM(AE6,AE14,AE21,AE33,AE44,AE64,AE69,AE71,AE73,AE79,AE83,AE90,AE92,AE101,AE103)</f>
        <v>0</v>
      </c>
      <c r="AF5" s="4">
        <f t="shared" ref="AF5:BD5" si="2">+SUM(AF6,AF14,AF21,AF33,AF44,AF64,AF69,AF71,AF73,AF79,AF83,AF90,AF92,AF101,AF103)</f>
        <v>0</v>
      </c>
      <c r="AG5" s="4">
        <f t="shared" si="2"/>
        <v>0</v>
      </c>
      <c r="AH5" s="4">
        <f t="shared" si="2"/>
        <v>0</v>
      </c>
      <c r="AI5" s="4">
        <f t="shared" si="2"/>
        <v>0</v>
      </c>
      <c r="AJ5" s="4">
        <f t="shared" si="2"/>
        <v>522</v>
      </c>
      <c r="AK5" s="4">
        <f t="shared" si="2"/>
        <v>9727</v>
      </c>
      <c r="AL5" s="4">
        <f t="shared" si="2"/>
        <v>18867</v>
      </c>
      <c r="AM5" s="4">
        <f t="shared" si="2"/>
        <v>2972</v>
      </c>
      <c r="AN5" s="4">
        <f t="shared" si="2"/>
        <v>343</v>
      </c>
      <c r="AO5" s="4">
        <f t="shared" si="2"/>
        <v>1072</v>
      </c>
      <c r="AP5" s="4">
        <f t="shared" si="2"/>
        <v>359</v>
      </c>
      <c r="AQ5" s="4">
        <f t="shared" si="2"/>
        <v>2116</v>
      </c>
      <c r="AR5" s="4">
        <f t="shared" si="2"/>
        <v>5728</v>
      </c>
      <c r="AS5" s="4">
        <f t="shared" si="2"/>
        <v>5487</v>
      </c>
      <c r="AT5" s="4">
        <f t="shared" si="2"/>
        <v>4592</v>
      </c>
      <c r="AU5" s="4">
        <f t="shared" si="2"/>
        <v>4603</v>
      </c>
      <c r="AV5" s="4">
        <f t="shared" si="2"/>
        <v>4112</v>
      </c>
      <c r="AW5" s="4">
        <f t="shared" si="2"/>
        <v>3340</v>
      </c>
      <c r="AX5" s="4">
        <f t="shared" si="2"/>
        <v>2693</v>
      </c>
      <c r="AY5" s="4">
        <f t="shared" si="2"/>
        <v>3827</v>
      </c>
      <c r="AZ5" s="4">
        <f t="shared" si="2"/>
        <v>3344</v>
      </c>
      <c r="BA5" s="4">
        <f t="shared" si="2"/>
        <v>2874</v>
      </c>
      <c r="BB5" s="4">
        <f t="shared" si="2"/>
        <v>1683</v>
      </c>
      <c r="BC5" s="4">
        <f>+SUM(BC6,BC14,BC21,BC33,BC44,BC64,BC69,BC71,BC73,BC79,BC83,BC90,BC92,BC101,BC103)</f>
        <v>40960</v>
      </c>
      <c r="BD5" s="4">
        <f t="shared" si="2"/>
        <v>44399</v>
      </c>
      <c r="BE5" s="5">
        <f>+BD5/BC5</f>
        <v>1.0839599609374999</v>
      </c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>
        <f t="shared" ref="BR5:CC5" si="3">+SUM(BR6,BR14,BR21,BR33,BR44,BR64,BR69,BR71,BR73,BR79,BR83,BR90,BR92,BR101,BR103)</f>
        <v>13579</v>
      </c>
      <c r="BS5" s="4">
        <f t="shared" si="3"/>
        <v>17442</v>
      </c>
      <c r="BT5" s="4">
        <f t="shared" si="3"/>
        <v>9455</v>
      </c>
      <c r="BU5" s="4">
        <f t="shared" si="3"/>
        <v>9905</v>
      </c>
      <c r="BV5" s="4">
        <f t="shared" si="3"/>
        <v>15954</v>
      </c>
      <c r="BW5" s="4">
        <f t="shared" si="3"/>
        <v>14921</v>
      </c>
      <c r="BX5" s="4">
        <f t="shared" si="3"/>
        <v>13676</v>
      </c>
      <c r="BY5" s="4">
        <f t="shared" si="3"/>
        <v>10159</v>
      </c>
      <c r="BZ5" s="4">
        <f t="shared" si="3"/>
        <v>10548</v>
      </c>
      <c r="CA5" s="4">
        <f t="shared" si="3"/>
        <v>14777</v>
      </c>
      <c r="CB5" s="4">
        <f t="shared" si="3"/>
        <v>12747</v>
      </c>
      <c r="CC5" s="4">
        <f t="shared" si="3"/>
        <v>9076</v>
      </c>
      <c r="CD5" s="4">
        <v>134000</v>
      </c>
      <c r="CE5" s="4">
        <f>+SUM(CE6,CE14,CE21,CE33,CE44,CE64,CE69,CE71,CE73,CE79,CE83,CE90,CE92,CE101,CE103)</f>
        <v>152239</v>
      </c>
      <c r="CF5" s="5">
        <f>+CE5/CD5</f>
        <v>1.1361119402985074</v>
      </c>
      <c r="CG5" s="9"/>
      <c r="CH5" s="9">
        <v>2761.9992000000002</v>
      </c>
      <c r="CI5" s="9">
        <v>28074.430708000004</v>
      </c>
      <c r="CJ5" s="9">
        <v>64151.400726399996</v>
      </c>
      <c r="CK5" s="9">
        <v>73730.319768299989</v>
      </c>
      <c r="CL5" s="9">
        <v>43640.955680000006</v>
      </c>
      <c r="CM5" s="9">
        <v>54884.251786100001</v>
      </c>
      <c r="CN5" s="9">
        <v>67272.355242029997</v>
      </c>
      <c r="CO5" s="9">
        <v>42650.317503899998</v>
      </c>
      <c r="CP5" s="9">
        <v>29340.590581949997</v>
      </c>
      <c r="CQ5" s="9">
        <v>13439.434247199999</v>
      </c>
      <c r="CR5" s="9">
        <v>3234.2420000000002</v>
      </c>
      <c r="CS5" s="9">
        <f>+CS6+CS14+CS21+CS33+CS44+CS64+CS69+CS73+CS79+CS83+CS90+CS92+CS101+CS103+CS71</f>
        <v>17663.520388939469</v>
      </c>
      <c r="CT5" s="9">
        <f t="shared" ref="CT5:DD5" si="4">+CT6+CT14+CT21+CT33+CT44+CT64+CT69+CT73+CT79+CT83+CT90+CT92+CT101+CT103+CT71</f>
        <v>27962.996450252445</v>
      </c>
      <c r="CU5" s="9">
        <f t="shared" si="4"/>
        <v>31037.231703661044</v>
      </c>
      <c r="CV5" s="9">
        <f t="shared" si="4"/>
        <v>41727.866134313103</v>
      </c>
      <c r="CW5" s="9">
        <f t="shared" si="4"/>
        <v>41448.351963575406</v>
      </c>
      <c r="CX5" s="9">
        <f t="shared" si="4"/>
        <v>34379.401092866021</v>
      </c>
      <c r="CY5" s="9">
        <f t="shared" si="4"/>
        <v>43154.421586530581</v>
      </c>
      <c r="CZ5" s="9">
        <f t="shared" si="4"/>
        <v>51251.035038150403</v>
      </c>
      <c r="DA5" s="9">
        <f t="shared" si="4"/>
        <v>66115.023212352957</v>
      </c>
      <c r="DB5" s="9">
        <f t="shared" si="4"/>
        <v>79399.461388915995</v>
      </c>
      <c r="DC5" s="9">
        <f t="shared" si="4"/>
        <v>62796.25567862382</v>
      </c>
      <c r="DD5" s="9">
        <f t="shared" si="4"/>
        <v>36072.153940636235</v>
      </c>
      <c r="DE5" s="9">
        <f>+DE6+DE14+DE21+DE33+DE44+DE64+DE69+DE73+DE79+DE83+DE90+DE92+DE101+DE103+DE71</f>
        <v>488658.33845267387</v>
      </c>
      <c r="DF5" s="9">
        <f>+DF6+DF14+DF21+DF33+DF44+DF64+DF69+DF73+DF79+DF83+DF90+DF92+DF101+DF103+DF71+DF106</f>
        <v>533008</v>
      </c>
      <c r="DG5" s="5">
        <f>+DF5/DE5</f>
        <v>1.090758016506499</v>
      </c>
      <c r="DH5" s="9">
        <v>354</v>
      </c>
      <c r="DI5" s="9">
        <v>2878</v>
      </c>
      <c r="DJ5" s="9">
        <v>5798.5505000000003</v>
      </c>
      <c r="DK5" s="9">
        <v>26819.06655</v>
      </c>
      <c r="DL5" s="9">
        <v>34284.144699999997</v>
      </c>
      <c r="DM5" s="9">
        <v>12770.464999999998</v>
      </c>
      <c r="DN5" s="9">
        <v>21769.902499999997</v>
      </c>
      <c r="DO5" s="9">
        <v>30534.500000000007</v>
      </c>
      <c r="DP5" s="9">
        <v>24923.159999999996</v>
      </c>
      <c r="DQ5" s="9">
        <v>20180.428059999998</v>
      </c>
      <c r="DR5" s="9">
        <v>12474.14</v>
      </c>
      <c r="DS5" s="9">
        <v>8944.99</v>
      </c>
      <c r="DT5" s="9">
        <f t="shared" ref="DT5:EG5" si="5">+DT6+DT14+DT21+DT33+DT44+DT64+DT69+DT71+DT73+DT79+DT83+DT90+DT92+DT101+DT103</f>
        <v>18793.201432933041</v>
      </c>
      <c r="DU5" s="9">
        <f t="shared" si="5"/>
        <v>46149.056748098548</v>
      </c>
      <c r="DV5" s="9">
        <f t="shared" si="5"/>
        <v>52843.64924924662</v>
      </c>
      <c r="DW5" s="9">
        <f t="shared" si="5"/>
        <v>37220.31972152771</v>
      </c>
      <c r="DX5" s="9">
        <f t="shared" si="5"/>
        <v>34187.034934064541</v>
      </c>
      <c r="DY5" s="9">
        <f t="shared" si="5"/>
        <v>31938.546494168178</v>
      </c>
      <c r="DZ5" s="9">
        <f t="shared" si="5"/>
        <v>33534.228397220111</v>
      </c>
      <c r="EA5" s="9">
        <f t="shared" si="5"/>
        <v>32674.90383087724</v>
      </c>
      <c r="EB5" s="9">
        <f t="shared" si="5"/>
        <v>42510.344236148871</v>
      </c>
      <c r="EC5" s="9">
        <f t="shared" si="5"/>
        <v>38916.253716573148</v>
      </c>
      <c r="ED5" s="9">
        <f t="shared" si="5"/>
        <v>15328.060394008038</v>
      </c>
      <c r="EE5" s="9">
        <f t="shared" si="5"/>
        <v>8936.2583401299544</v>
      </c>
      <c r="EF5" s="9">
        <v>279859.52981569828</v>
      </c>
      <c r="EG5" s="9">
        <f t="shared" si="5"/>
        <v>393031.85749499593</v>
      </c>
      <c r="EH5" s="5">
        <f>+EG5/EF5</f>
        <v>1.4043897585114482</v>
      </c>
      <c r="EI5" s="4">
        <f>+DT5+DU5+DV5+DW5+DX5+DY5+DZ5+EA5+EB5+EC5+ED5+EE5</f>
        <v>393031.85749499605</v>
      </c>
      <c r="EJ5" s="5">
        <f>+EG5/EI5</f>
        <v>0.99999999999999967</v>
      </c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>
        <f>+EW6+EW14+EW21+EW33+EW44+EW64+EW69+EW71+EW73+EW79+EW83+EW90+EW92+EW101+EW103</f>
        <v>56854.637985100075</v>
      </c>
      <c r="EX5" s="9">
        <f t="shared" ref="EX5:FI5" si="6">+EX6+EX14+EX21+EX33+EX44+EX64+EX69+EX71+EX73+EX79+EX83+EX90+EX92+EX101+EX103</f>
        <v>114448.38144291613</v>
      </c>
      <c r="EY5" s="9">
        <f t="shared" si="6"/>
        <v>168302.13858953933</v>
      </c>
      <c r="EZ5" s="9">
        <f t="shared" si="6"/>
        <v>197465.31349536695</v>
      </c>
      <c r="FA5" s="9">
        <f t="shared" si="6"/>
        <v>158393.77719046845</v>
      </c>
      <c r="FB5" s="9">
        <f t="shared" si="6"/>
        <v>104451.7190412167</v>
      </c>
      <c r="FC5" s="9">
        <f t="shared" si="6"/>
        <v>153330.48677597888</v>
      </c>
      <c r="FD5" s="9">
        <f t="shared" si="6"/>
        <v>143645.49979268073</v>
      </c>
      <c r="FE5" s="9">
        <f t="shared" si="6"/>
        <v>128907.66967444243</v>
      </c>
      <c r="FF5" s="9">
        <f t="shared" si="6"/>
        <v>165520.16208672084</v>
      </c>
      <c r="FG5" s="9">
        <f t="shared" si="6"/>
        <v>70320.473579586862</v>
      </c>
      <c r="FH5" s="9">
        <f t="shared" si="6"/>
        <v>48654.670110927524</v>
      </c>
      <c r="FI5" s="9">
        <f t="shared" si="6"/>
        <v>1218909.3124153488</v>
      </c>
      <c r="FJ5" s="9">
        <f>+FJ6+FJ14+FJ21+FJ33+FJ44+FJ64+FJ69+FJ71+FJ73+FJ79+FJ83+FJ90+FJ92+FJ101+FJ103</f>
        <v>1510294.9297649448</v>
      </c>
      <c r="FK5" s="5">
        <v>1.1534598609221776</v>
      </c>
      <c r="FL5" s="9">
        <f>+FL6+FL14+FL21+FL33+FL44+FL64+FL69+FL71+FL73+FL79+FL83+FL90+FL92+FL101+FL103</f>
        <v>909.91442600000005</v>
      </c>
      <c r="FM5" s="9">
        <f t="shared" ref="FM5:GK5" si="7">+FM6+FM14+FM21+FM33+FM44+FM64+FM69+FM71+FM73+FM79+FM83+FM90+FM92+FM101+FM103</f>
        <v>8451.5586799999983</v>
      </c>
      <c r="FN5" s="9">
        <f t="shared" si="7"/>
        <v>18573.274494720001</v>
      </c>
      <c r="FO5" s="9">
        <f t="shared" si="7"/>
        <v>46714.206406000005</v>
      </c>
      <c r="FP5" s="9">
        <f t="shared" si="7"/>
        <v>55964.727328000001</v>
      </c>
      <c r="FQ5" s="9">
        <f t="shared" si="7"/>
        <v>27332.474367990002</v>
      </c>
      <c r="FR5" s="9">
        <f t="shared" si="7"/>
        <v>36281.268148000003</v>
      </c>
      <c r="FS5" s="9">
        <f t="shared" si="7"/>
        <v>38712.597600000001</v>
      </c>
      <c r="FT5" s="9">
        <f t="shared" si="7"/>
        <v>36096.670050000001</v>
      </c>
      <c r="FU5" s="9">
        <f t="shared" si="7"/>
        <v>20501.887719999999</v>
      </c>
      <c r="FV5" s="9">
        <f t="shared" si="7"/>
        <v>24504.673999999999</v>
      </c>
      <c r="FW5" s="9">
        <f t="shared" si="7"/>
        <v>37774.81856</v>
      </c>
      <c r="FX5" s="9">
        <f t="shared" si="7"/>
        <v>11683.440021865197</v>
      </c>
      <c r="FY5" s="9">
        <f t="shared" si="7"/>
        <v>34877.752701045298</v>
      </c>
      <c r="FZ5" s="9">
        <f t="shared" si="7"/>
        <v>37549.765282495428</v>
      </c>
      <c r="GA5" s="9">
        <f t="shared" si="7"/>
        <v>83422.211635121144</v>
      </c>
      <c r="GB5" s="9">
        <f t="shared" si="7"/>
        <v>20387.186212172663</v>
      </c>
      <c r="GC5" s="9">
        <f t="shared" si="7"/>
        <v>15962.382356802842</v>
      </c>
      <c r="GD5" s="9">
        <f t="shared" si="7"/>
        <v>18724.661840973389</v>
      </c>
      <c r="GE5" s="9">
        <f t="shared" si="7"/>
        <v>15456.359875320813</v>
      </c>
      <c r="GF5" s="9">
        <f t="shared" si="7"/>
        <v>40275.134396954381</v>
      </c>
      <c r="GG5" s="9">
        <f t="shared" si="7"/>
        <v>27916.852051998165</v>
      </c>
      <c r="GH5" s="9">
        <f t="shared" si="7"/>
        <v>15045.81657465229</v>
      </c>
      <c r="GI5" s="9">
        <f t="shared" si="7"/>
        <v>19495.634619598364</v>
      </c>
      <c r="GJ5" s="9">
        <f t="shared" si="7"/>
        <v>351764.36839698476</v>
      </c>
      <c r="GK5" s="9">
        <f t="shared" si="7"/>
        <v>340797.19756899995</v>
      </c>
      <c r="GL5" s="5">
        <f>+GK5/GJ5</f>
        <v>0.96882239415560201</v>
      </c>
    </row>
    <row r="6" spans="1:194" s="11" customFormat="1" ht="32.25" customHeight="1">
      <c r="A6" s="6"/>
      <c r="B6" s="7" t="s">
        <v>9</v>
      </c>
      <c r="C6" s="8"/>
      <c r="D6" s="8"/>
      <c r="E6" s="8"/>
      <c r="F6" s="9"/>
      <c r="G6" s="9">
        <f>+SUM(G7:G13)</f>
        <v>924</v>
      </c>
      <c r="H6" s="9">
        <f t="shared" ref="H6:O6" si="8">+SUM(H7:H13)</f>
        <v>826</v>
      </c>
      <c r="I6" s="9">
        <f t="shared" si="8"/>
        <v>927</v>
      </c>
      <c r="J6" s="9">
        <f t="shared" si="8"/>
        <v>931</v>
      </c>
      <c r="K6" s="9">
        <f t="shared" si="8"/>
        <v>864</v>
      </c>
      <c r="L6" s="9">
        <f t="shared" si="8"/>
        <v>906</v>
      </c>
      <c r="M6" s="9">
        <f t="shared" si="8"/>
        <v>799</v>
      </c>
      <c r="N6" s="9">
        <f t="shared" si="8"/>
        <v>1067</v>
      </c>
      <c r="O6" s="9">
        <f t="shared" si="8"/>
        <v>786</v>
      </c>
      <c r="P6" s="9">
        <f>+SUM(P7:P13)</f>
        <v>1212</v>
      </c>
      <c r="Q6" s="9">
        <f t="shared" ref="Q6:AB6" si="9">+SUM(Q7:Q13)</f>
        <v>976</v>
      </c>
      <c r="R6" s="9">
        <f t="shared" si="9"/>
        <v>963</v>
      </c>
      <c r="S6" s="9">
        <f t="shared" si="9"/>
        <v>872</v>
      </c>
      <c r="T6" s="9">
        <f t="shared" si="9"/>
        <v>682</v>
      </c>
      <c r="U6" s="9">
        <f t="shared" si="9"/>
        <v>975</v>
      </c>
      <c r="V6" s="9">
        <f t="shared" si="9"/>
        <v>729</v>
      </c>
      <c r="W6" s="9">
        <f t="shared" si="9"/>
        <v>913</v>
      </c>
      <c r="X6" s="9">
        <f t="shared" si="9"/>
        <v>686</v>
      </c>
      <c r="Y6" s="9">
        <f t="shared" si="9"/>
        <v>609</v>
      </c>
      <c r="Z6" s="9">
        <f t="shared" si="9"/>
        <v>864</v>
      </c>
      <c r="AA6" s="9">
        <f t="shared" si="9"/>
        <v>239</v>
      </c>
      <c r="AB6" s="9">
        <f t="shared" si="9"/>
        <v>6861</v>
      </c>
      <c r="AC6" s="9">
        <v>9720</v>
      </c>
      <c r="AD6" s="10">
        <f t="shared" ref="AD6:AD65" si="10">+AC6/AB6</f>
        <v>1.4167031045037166</v>
      </c>
      <c r="AE6" s="9"/>
      <c r="AF6" s="9"/>
      <c r="AG6" s="9"/>
      <c r="AH6" s="9"/>
      <c r="AI6" s="9">
        <f t="shared" ref="AI6:AP6" si="11">+SUM(AI7:AI13)</f>
        <v>0</v>
      </c>
      <c r="AJ6" s="9">
        <f t="shared" si="11"/>
        <v>29</v>
      </c>
      <c r="AK6" s="9">
        <f t="shared" si="11"/>
        <v>866</v>
      </c>
      <c r="AL6" s="9">
        <f t="shared" si="11"/>
        <v>1468</v>
      </c>
      <c r="AM6" s="9">
        <f t="shared" si="11"/>
        <v>329</v>
      </c>
      <c r="AN6" s="9">
        <f t="shared" si="11"/>
        <v>53</v>
      </c>
      <c r="AO6" s="9">
        <f t="shared" si="11"/>
        <v>83</v>
      </c>
      <c r="AP6" s="9">
        <f t="shared" si="11"/>
        <v>38</v>
      </c>
      <c r="AQ6" s="9">
        <f>+SUM(AQ7:AQ13)</f>
        <v>157</v>
      </c>
      <c r="AR6" s="9">
        <f t="shared" ref="AR6:BC6" si="12">+SUM(AR7:AR13)</f>
        <v>493</v>
      </c>
      <c r="AS6" s="9">
        <f t="shared" si="12"/>
        <v>534</v>
      </c>
      <c r="AT6" s="9">
        <f t="shared" si="12"/>
        <v>419</v>
      </c>
      <c r="AU6" s="9">
        <f t="shared" si="12"/>
        <v>453</v>
      </c>
      <c r="AV6" s="9">
        <f t="shared" si="12"/>
        <v>409</v>
      </c>
      <c r="AW6" s="9">
        <f t="shared" si="12"/>
        <v>327</v>
      </c>
      <c r="AX6" s="9">
        <f t="shared" si="12"/>
        <v>285</v>
      </c>
      <c r="AY6" s="9">
        <f t="shared" si="12"/>
        <v>304</v>
      </c>
      <c r="AZ6" s="9">
        <f t="shared" si="12"/>
        <v>250</v>
      </c>
      <c r="BA6" s="9">
        <f t="shared" si="12"/>
        <v>281</v>
      </c>
      <c r="BB6" s="9">
        <f t="shared" si="12"/>
        <v>176</v>
      </c>
      <c r="BC6" s="9">
        <f t="shared" si="12"/>
        <v>3680</v>
      </c>
      <c r="BD6" s="9">
        <f t="shared" ref="BD6:BD65" si="13">+AQ6+AR6+AS6+AT6+AU6+AV6+AW6+AX6+AY6+AZ6+BA6+BB6</f>
        <v>4088</v>
      </c>
      <c r="BE6" s="10">
        <f t="shared" ref="BE6:BE65" si="14">+BD6/BC6</f>
        <v>1.1108695652173912</v>
      </c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>
        <f t="shared" ref="BR6:CC6" si="15">+SUM(BR7:BR13)</f>
        <v>1943</v>
      </c>
      <c r="BS6" s="9">
        <f t="shared" si="15"/>
        <v>2616</v>
      </c>
      <c r="BT6" s="9">
        <f t="shared" si="15"/>
        <v>917</v>
      </c>
      <c r="BU6" s="9">
        <f t="shared" si="15"/>
        <v>1039</v>
      </c>
      <c r="BV6" s="9">
        <f t="shared" si="15"/>
        <v>1971</v>
      </c>
      <c r="BW6" s="9">
        <f t="shared" si="15"/>
        <v>1874</v>
      </c>
      <c r="BX6" s="9">
        <f t="shared" si="15"/>
        <v>1909</v>
      </c>
      <c r="BY6" s="9">
        <f t="shared" si="15"/>
        <v>1494</v>
      </c>
      <c r="BZ6" s="9">
        <f t="shared" si="15"/>
        <v>1444</v>
      </c>
      <c r="CA6" s="9">
        <f t="shared" si="15"/>
        <v>1638</v>
      </c>
      <c r="CB6" s="9">
        <f t="shared" si="15"/>
        <v>1757</v>
      </c>
      <c r="CC6" s="9">
        <f t="shared" si="15"/>
        <v>611</v>
      </c>
      <c r="CD6" s="9">
        <f>+SUM(CD7:CD13)</f>
        <v>14946</v>
      </c>
      <c r="CE6" s="9">
        <f>+SUM(CE7:CE13)</f>
        <v>19213</v>
      </c>
      <c r="CF6" s="10">
        <f t="shared" ref="CF6:CF67" si="16">+CE6/CD6</f>
        <v>1.2854944466746956</v>
      </c>
      <c r="CG6" s="9"/>
      <c r="CH6" s="9"/>
      <c r="CI6" s="9">
        <v>1451.1280000000002</v>
      </c>
      <c r="CJ6" s="9">
        <v>439.93</v>
      </c>
      <c r="CK6" s="9">
        <v>1599.0735</v>
      </c>
      <c r="CL6" s="9">
        <v>532.96</v>
      </c>
      <c r="CM6" s="9">
        <v>543</v>
      </c>
      <c r="CN6" s="9">
        <v>852.5</v>
      </c>
      <c r="CO6" s="9">
        <v>250</v>
      </c>
      <c r="CP6" s="9">
        <v>650</v>
      </c>
      <c r="CQ6" s="9">
        <v>100</v>
      </c>
      <c r="CR6" s="9">
        <v>200</v>
      </c>
      <c r="CS6" s="9">
        <f t="shared" ref="CS6:DF6" si="17">+SUM(CS7:CS13)</f>
        <v>671.29236111246132</v>
      </c>
      <c r="CT6" s="9">
        <f t="shared" si="17"/>
        <v>1512.7002375744378</v>
      </c>
      <c r="CU6" s="9">
        <f t="shared" si="17"/>
        <v>2352.3116453157836</v>
      </c>
      <c r="CV6" s="9">
        <f t="shared" si="17"/>
        <v>3304.648563735163</v>
      </c>
      <c r="CW6" s="9">
        <f t="shared" si="17"/>
        <v>4343.5035919051388</v>
      </c>
      <c r="CX6" s="9">
        <f t="shared" si="17"/>
        <v>2455.9476626065652</v>
      </c>
      <c r="CY6" s="9">
        <f t="shared" si="17"/>
        <v>2948.1734599644215</v>
      </c>
      <c r="CZ6" s="9">
        <f t="shared" si="17"/>
        <v>4952.2226075920325</v>
      </c>
      <c r="DA6" s="9">
        <f t="shared" si="17"/>
        <v>3626.0030037619931</v>
      </c>
      <c r="DB6" s="9">
        <f t="shared" si="17"/>
        <v>5581.7058276093358</v>
      </c>
      <c r="DC6" s="9">
        <f t="shared" si="17"/>
        <v>5181.3172722164081</v>
      </c>
      <c r="DD6" s="9">
        <f t="shared" si="17"/>
        <v>932.63835288856922</v>
      </c>
      <c r="DE6" s="9">
        <f t="shared" si="17"/>
        <v>35977.166944595847</v>
      </c>
      <c r="DF6" s="9">
        <f t="shared" si="17"/>
        <v>36542.999999999891</v>
      </c>
      <c r="DG6" s="10">
        <f t="shared" ref="DG6:DG65" si="18">+DF6/DE6</f>
        <v>1.0157275601015336</v>
      </c>
      <c r="DH6" s="9">
        <v>0</v>
      </c>
      <c r="DI6" s="9">
        <v>290</v>
      </c>
      <c r="DJ6" s="9">
        <v>600</v>
      </c>
      <c r="DK6" s="9">
        <v>2480</v>
      </c>
      <c r="DL6" s="9">
        <v>797.5</v>
      </c>
      <c r="DM6" s="9">
        <v>307.5</v>
      </c>
      <c r="DN6" s="9">
        <v>620</v>
      </c>
      <c r="DO6" s="9">
        <v>255</v>
      </c>
      <c r="DP6" s="9">
        <v>130</v>
      </c>
      <c r="DQ6" s="9">
        <v>60</v>
      </c>
      <c r="DR6" s="9">
        <v>80</v>
      </c>
      <c r="DS6" s="9">
        <v>35</v>
      </c>
      <c r="DT6" s="9">
        <f t="shared" ref="DT6:EG6" si="19">+SUM(DT7:DT13)</f>
        <v>513.60425199267991</v>
      </c>
      <c r="DU6" s="9">
        <f t="shared" si="19"/>
        <v>1838.9753071736477</v>
      </c>
      <c r="DV6" s="9">
        <f t="shared" si="19"/>
        <v>622.48835341512824</v>
      </c>
      <c r="DW6" s="9">
        <f t="shared" si="19"/>
        <v>278.37350458003255</v>
      </c>
      <c r="DX6" s="9">
        <f t="shared" si="19"/>
        <v>2008.1926252913788</v>
      </c>
      <c r="DY6" s="9">
        <f t="shared" si="19"/>
        <v>2516.6608347641322</v>
      </c>
      <c r="DZ6" s="9">
        <f t="shared" si="19"/>
        <v>1543.8943814899962</v>
      </c>
      <c r="EA6" s="9">
        <f t="shared" si="19"/>
        <v>2490.9806221644981</v>
      </c>
      <c r="EB6" s="9">
        <f t="shared" si="19"/>
        <v>1309.690842581334</v>
      </c>
      <c r="EC6" s="9">
        <f t="shared" si="19"/>
        <v>1643.533606376576</v>
      </c>
      <c r="ED6" s="9">
        <f t="shared" si="19"/>
        <v>1890.0636473330626</v>
      </c>
      <c r="EE6" s="9">
        <f t="shared" si="19"/>
        <v>714.93711877381054</v>
      </c>
      <c r="EF6" s="9">
        <f t="shared" si="19"/>
        <v>14825.000000000002</v>
      </c>
      <c r="EG6" s="9">
        <f t="shared" si="19"/>
        <v>17371.395095936277</v>
      </c>
      <c r="EH6" s="10">
        <f t="shared" ref="EH6:EH65" si="20">+EG6/EF6</f>
        <v>1.1717635815134082</v>
      </c>
      <c r="EI6" s="7"/>
      <c r="EJ6" s="10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>
        <f t="shared" ref="EW6:FJ6" si="21">+SUM(EW7:EW13)</f>
        <v>7025.1021626559605</v>
      </c>
      <c r="EX6" s="9">
        <f t="shared" si="21"/>
        <v>8891.9291352437922</v>
      </c>
      <c r="EY6" s="9">
        <f t="shared" si="21"/>
        <v>6824.4354330226433</v>
      </c>
      <c r="EZ6" s="9">
        <f t="shared" si="21"/>
        <v>8729.869335793037</v>
      </c>
      <c r="FA6" s="9">
        <f t="shared" si="21"/>
        <v>11195.523572495891</v>
      </c>
      <c r="FB6" s="9">
        <f t="shared" si="21"/>
        <v>10306.225491088915</v>
      </c>
      <c r="FC6" s="9">
        <f t="shared" si="21"/>
        <v>10788.520096326394</v>
      </c>
      <c r="FD6" s="9">
        <f t="shared" si="21"/>
        <v>13268.661286077802</v>
      </c>
      <c r="FE6" s="9">
        <f t="shared" si="21"/>
        <v>15643.17282574483</v>
      </c>
      <c r="FF6" s="9">
        <f t="shared" si="21"/>
        <v>17217.43944305191</v>
      </c>
      <c r="FG6" s="9">
        <f t="shared" si="21"/>
        <v>7466.3935799104611</v>
      </c>
      <c r="FH6" s="9">
        <f t="shared" si="21"/>
        <v>2860.1860633283659</v>
      </c>
      <c r="FI6" s="9">
        <f t="shared" si="21"/>
        <v>146729.67665340292</v>
      </c>
      <c r="FJ6" s="9">
        <f t="shared" si="21"/>
        <v>120217.45842473999</v>
      </c>
      <c r="FK6" s="10">
        <v>0.97922197541277078</v>
      </c>
      <c r="FL6" s="9"/>
      <c r="FM6" s="36"/>
      <c r="FN6" s="36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>
        <v>0</v>
      </c>
      <c r="GJ6" s="9">
        <v>0</v>
      </c>
      <c r="GK6" s="9">
        <v>0</v>
      </c>
      <c r="GL6" s="10"/>
    </row>
    <row r="7" spans="1:194" s="11" customFormat="1" ht="24.95" customHeight="1">
      <c r="A7" s="15">
        <f>+A6+1</f>
        <v>1</v>
      </c>
      <c r="B7" s="16" t="s">
        <v>39</v>
      </c>
      <c r="C7" s="17">
        <v>11253</v>
      </c>
      <c r="D7" s="17"/>
      <c r="E7" s="17"/>
      <c r="F7" s="17"/>
      <c r="G7" s="20">
        <v>28</v>
      </c>
      <c r="H7" s="20">
        <v>239</v>
      </c>
      <c r="I7" s="20">
        <v>217</v>
      </c>
      <c r="J7" s="20">
        <v>237</v>
      </c>
      <c r="K7" s="20">
        <v>110</v>
      </c>
      <c r="L7" s="20">
        <v>106</v>
      </c>
      <c r="M7" s="20">
        <v>109</v>
      </c>
      <c r="N7" s="20">
        <v>174</v>
      </c>
      <c r="O7" s="20">
        <v>147</v>
      </c>
      <c r="P7" s="20">
        <v>318</v>
      </c>
      <c r="Q7" s="20">
        <v>199</v>
      </c>
      <c r="R7" s="20">
        <v>118</v>
      </c>
      <c r="S7" s="20">
        <v>188</v>
      </c>
      <c r="T7" s="20">
        <v>144</v>
      </c>
      <c r="U7" s="20">
        <v>204</v>
      </c>
      <c r="V7" s="20">
        <v>146</v>
      </c>
      <c r="W7" s="20">
        <v>221</v>
      </c>
      <c r="X7" s="20">
        <v>182</v>
      </c>
      <c r="Y7" s="20">
        <v>108</v>
      </c>
      <c r="Z7" s="20">
        <v>126</v>
      </c>
      <c r="AA7" s="20">
        <v>71</v>
      </c>
      <c r="AB7" s="18">
        <v>964</v>
      </c>
      <c r="AC7" s="18">
        <f>+P7+Q7+R7+S7+T7+U7+V7+W7+X7+Y7+Z7+AA7</f>
        <v>2025</v>
      </c>
      <c r="AD7" s="19">
        <f t="shared" si="10"/>
        <v>2.1006224066390042</v>
      </c>
      <c r="AE7" s="20"/>
      <c r="AF7" s="20"/>
      <c r="AG7" s="20"/>
      <c r="AH7" s="20"/>
      <c r="AI7" s="20"/>
      <c r="AJ7" s="20"/>
      <c r="AK7" s="20">
        <v>146</v>
      </c>
      <c r="AL7" s="20">
        <v>290</v>
      </c>
      <c r="AM7" s="20">
        <v>44</v>
      </c>
      <c r="AN7" s="20">
        <v>7</v>
      </c>
      <c r="AO7" s="20">
        <v>3</v>
      </c>
      <c r="AP7" s="20"/>
      <c r="AQ7" s="20">
        <v>36</v>
      </c>
      <c r="AR7" s="20">
        <v>97</v>
      </c>
      <c r="AS7" s="20">
        <v>95</v>
      </c>
      <c r="AT7" s="20">
        <v>101</v>
      </c>
      <c r="AU7" s="20">
        <v>88</v>
      </c>
      <c r="AV7" s="20">
        <v>78</v>
      </c>
      <c r="AW7" s="20">
        <v>40</v>
      </c>
      <c r="AX7" s="20">
        <v>39</v>
      </c>
      <c r="AY7" s="20">
        <v>88</v>
      </c>
      <c r="AZ7" s="20">
        <v>74</v>
      </c>
      <c r="BA7" s="20">
        <v>87</v>
      </c>
      <c r="BB7" s="20">
        <v>58</v>
      </c>
      <c r="BC7" s="27">
        <v>768</v>
      </c>
      <c r="BD7" s="27">
        <f t="shared" si="13"/>
        <v>881</v>
      </c>
      <c r="BE7" s="19">
        <f t="shared" si="14"/>
        <v>1.1471354166666667</v>
      </c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>
        <v>94</v>
      </c>
      <c r="BS7" s="20">
        <v>101</v>
      </c>
      <c r="BT7" s="20">
        <v>104</v>
      </c>
      <c r="BU7" s="20">
        <v>225</v>
      </c>
      <c r="BV7" s="20">
        <v>204</v>
      </c>
      <c r="BW7" s="20">
        <v>79</v>
      </c>
      <c r="BX7" s="20">
        <v>43</v>
      </c>
      <c r="BY7" s="20">
        <v>141</v>
      </c>
      <c r="BZ7" s="20">
        <v>125</v>
      </c>
      <c r="CA7" s="20">
        <v>93</v>
      </c>
      <c r="CB7" s="20">
        <v>165</v>
      </c>
      <c r="CC7" s="20">
        <v>4</v>
      </c>
      <c r="CD7" s="21">
        <v>1351</v>
      </c>
      <c r="CE7" s="21">
        <f t="shared" ref="CE7:CE13" si="22">+SUM(BR7:CC7)</f>
        <v>1378</v>
      </c>
      <c r="CF7" s="19">
        <f t="shared" si="16"/>
        <v>1.0199851961509994</v>
      </c>
      <c r="CG7" s="20"/>
      <c r="CH7" s="20"/>
      <c r="CI7" s="20">
        <v>228</v>
      </c>
      <c r="CJ7" s="20"/>
      <c r="CK7" s="20">
        <v>399.9735</v>
      </c>
      <c r="CL7" s="20"/>
      <c r="CM7" s="20">
        <v>250</v>
      </c>
      <c r="CN7" s="20"/>
      <c r="CO7" s="20"/>
      <c r="CP7" s="20">
        <v>150</v>
      </c>
      <c r="CQ7" s="20"/>
      <c r="CR7" s="20">
        <v>100</v>
      </c>
      <c r="CS7" s="20">
        <v>207.25296730857093</v>
      </c>
      <c r="CT7" s="20">
        <v>414.50593461714186</v>
      </c>
      <c r="CU7" s="20">
        <v>932.6383528885691</v>
      </c>
      <c r="CV7" s="20">
        <v>1043.5186903986546</v>
      </c>
      <c r="CW7" s="20">
        <v>1133.1551282953758</v>
      </c>
      <c r="CX7" s="20">
        <v>621.75890192571273</v>
      </c>
      <c r="CY7" s="20">
        <v>725.38538557999823</v>
      </c>
      <c r="CZ7" s="20">
        <v>1896.3646508734239</v>
      </c>
      <c r="DA7" s="20">
        <v>1481.8587162562822</v>
      </c>
      <c r="DB7" s="20">
        <v>2098.4362939992807</v>
      </c>
      <c r="DC7" s="20">
        <v>2155.4308600091376</v>
      </c>
      <c r="DD7" s="20">
        <v>777.19862740714098</v>
      </c>
      <c r="DE7" s="14">
        <v>12810.178179500112</v>
      </c>
      <c r="DF7" s="14">
        <v>13042.148500491508</v>
      </c>
      <c r="DG7" s="19">
        <f t="shared" si="18"/>
        <v>1.0181082821597762</v>
      </c>
      <c r="DH7" s="32"/>
      <c r="DI7" s="20">
        <v>95</v>
      </c>
      <c r="DJ7" s="20">
        <v>210</v>
      </c>
      <c r="DK7" s="20">
        <v>800</v>
      </c>
      <c r="DL7" s="20">
        <v>205</v>
      </c>
      <c r="DM7" s="20">
        <v>70</v>
      </c>
      <c r="DN7" s="20">
        <v>20</v>
      </c>
      <c r="DO7" s="20">
        <v>70</v>
      </c>
      <c r="DP7" s="20">
        <v>15</v>
      </c>
      <c r="DQ7" s="20">
        <v>15</v>
      </c>
      <c r="DR7" s="20">
        <v>5</v>
      </c>
      <c r="DS7" s="20"/>
      <c r="DT7" s="20">
        <v>71.904595278975194</v>
      </c>
      <c r="DU7" s="20">
        <v>159.48940315758401</v>
      </c>
      <c r="DV7" s="20">
        <v>10.2720850398536</v>
      </c>
      <c r="DW7" s="20">
        <v>10.2720850398536</v>
      </c>
      <c r="DX7" s="20">
        <v>225.98587087677919</v>
      </c>
      <c r="DY7" s="20">
        <v>154.08127559780399</v>
      </c>
      <c r="DZ7" s="20">
        <v>133.53710551809681</v>
      </c>
      <c r="EA7" s="20">
        <v>246.5300409564864</v>
      </c>
      <c r="EB7" s="20">
        <v>225.98587087677919</v>
      </c>
      <c r="EC7" s="20">
        <v>41.0883401594144</v>
      </c>
      <c r="ED7" s="20">
        <v>174.62544567751121</v>
      </c>
      <c r="EE7" s="20">
        <v>0</v>
      </c>
      <c r="EF7" s="14">
        <v>1397.5988520782835</v>
      </c>
      <c r="EG7" s="14">
        <f t="shared" ref="EG6:EG72" si="23">+DT7+DU7+DV7+DW7+DX7+DY7+DZ7+EA7+EB7+EC7+ED7+EE7</f>
        <v>1453.7721181791378</v>
      </c>
      <c r="EH7" s="19">
        <f t="shared" si="20"/>
        <v>1.0401926962213246</v>
      </c>
      <c r="EI7" s="29"/>
      <c r="EJ7" s="19"/>
      <c r="EK7" s="32"/>
      <c r="EL7" s="32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>
        <v>1761.0414572289671</v>
      </c>
      <c r="EX7" s="20">
        <v>1467.5948861040713</v>
      </c>
      <c r="EY7" s="20">
        <v>312.18967226610124</v>
      </c>
      <c r="EZ7" s="20">
        <v>708.40349694896736</v>
      </c>
      <c r="FA7" s="20">
        <v>1601.7010534469437</v>
      </c>
      <c r="FB7" s="20">
        <v>2753.3283888596684</v>
      </c>
      <c r="FC7" s="20">
        <v>1698.2710422754844</v>
      </c>
      <c r="FD7" s="20">
        <v>1350.8896233921321</v>
      </c>
      <c r="FE7" s="20">
        <v>1686.7783256914863</v>
      </c>
      <c r="FF7" s="20">
        <v>8447.0907777663469</v>
      </c>
      <c r="FG7" s="20">
        <v>1637.5361557538927</v>
      </c>
      <c r="FH7" s="20">
        <v>1331.751848781043</v>
      </c>
      <c r="FI7" s="14">
        <v>42469.70122269047</v>
      </c>
      <c r="FJ7" s="14">
        <v>24756.576728515101</v>
      </c>
      <c r="FK7" s="19">
        <v>0.78168012221184757</v>
      </c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19"/>
    </row>
    <row r="8" spans="1:194" s="11" customFormat="1" ht="24.95" customHeight="1">
      <c r="A8" s="15">
        <f t="shared" ref="A8:A105" si="24">+A7+1</f>
        <v>2</v>
      </c>
      <c r="B8" s="16" t="s">
        <v>40</v>
      </c>
      <c r="C8" s="17">
        <v>11254</v>
      </c>
      <c r="D8" s="17"/>
      <c r="E8" s="17"/>
      <c r="F8" s="17"/>
      <c r="G8" s="20">
        <v>111</v>
      </c>
      <c r="H8" s="20">
        <v>26</v>
      </c>
      <c r="I8" s="20">
        <v>96</v>
      </c>
      <c r="J8" s="20">
        <v>119</v>
      </c>
      <c r="K8" s="20">
        <v>115</v>
      </c>
      <c r="L8" s="20">
        <v>116</v>
      </c>
      <c r="M8" s="20">
        <v>115</v>
      </c>
      <c r="N8" s="20">
        <v>147</v>
      </c>
      <c r="O8" s="20">
        <v>100</v>
      </c>
      <c r="P8" s="20">
        <v>136</v>
      </c>
      <c r="Q8" s="20">
        <v>103</v>
      </c>
      <c r="R8" s="20">
        <v>97</v>
      </c>
      <c r="S8" s="20">
        <v>80</v>
      </c>
      <c r="T8" s="20">
        <v>143</v>
      </c>
      <c r="U8" s="20">
        <v>87</v>
      </c>
      <c r="V8" s="20">
        <v>148</v>
      </c>
      <c r="W8" s="20">
        <v>159</v>
      </c>
      <c r="X8" s="20">
        <v>35</v>
      </c>
      <c r="Y8" s="20">
        <v>76</v>
      </c>
      <c r="Z8" s="20">
        <v>188</v>
      </c>
      <c r="AA8" s="20">
        <v>18</v>
      </c>
      <c r="AB8" s="18">
        <v>937</v>
      </c>
      <c r="AC8" s="18">
        <f t="shared" ref="AC8:AC65" si="25">+P8+Q8+R8+S8+T8+U8+V8+W8+X8+Y8+Z8+AA8</f>
        <v>1270</v>
      </c>
      <c r="AD8" s="19">
        <f t="shared" si="10"/>
        <v>1.3553895410885806</v>
      </c>
      <c r="AE8" s="20"/>
      <c r="AF8" s="20"/>
      <c r="AG8" s="20"/>
      <c r="AH8" s="20"/>
      <c r="AI8" s="20"/>
      <c r="AJ8" s="20">
        <v>29</v>
      </c>
      <c r="AK8" s="20">
        <v>94</v>
      </c>
      <c r="AL8" s="20">
        <v>177</v>
      </c>
      <c r="AM8" s="20">
        <v>62</v>
      </c>
      <c r="AN8" s="20">
        <v>2</v>
      </c>
      <c r="AO8" s="20">
        <v>9</v>
      </c>
      <c r="AP8" s="20">
        <v>7</v>
      </c>
      <c r="AQ8" s="20">
        <v>21</v>
      </c>
      <c r="AR8" s="20">
        <v>85</v>
      </c>
      <c r="AS8" s="20">
        <v>50</v>
      </c>
      <c r="AT8" s="20">
        <v>52</v>
      </c>
      <c r="AU8" s="20">
        <v>64</v>
      </c>
      <c r="AV8" s="20">
        <v>63</v>
      </c>
      <c r="AW8" s="20">
        <v>56</v>
      </c>
      <c r="AX8" s="20">
        <v>50</v>
      </c>
      <c r="AY8" s="20">
        <v>47</v>
      </c>
      <c r="AZ8" s="20">
        <v>34</v>
      </c>
      <c r="BA8" s="20">
        <v>52</v>
      </c>
      <c r="BB8" s="20">
        <v>24</v>
      </c>
      <c r="BC8" s="27">
        <v>531</v>
      </c>
      <c r="BD8" s="27">
        <f t="shared" si="13"/>
        <v>598</v>
      </c>
      <c r="BE8" s="19">
        <f t="shared" si="14"/>
        <v>1.1261770244821092</v>
      </c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>
        <v>154</v>
      </c>
      <c r="BS8" s="20">
        <v>400</v>
      </c>
      <c r="BT8" s="20">
        <v>146</v>
      </c>
      <c r="BU8" s="20">
        <v>89</v>
      </c>
      <c r="BV8" s="20">
        <v>300</v>
      </c>
      <c r="BW8" s="20">
        <v>689</v>
      </c>
      <c r="BX8" s="20">
        <v>634</v>
      </c>
      <c r="BY8" s="20">
        <v>330</v>
      </c>
      <c r="BZ8" s="20">
        <v>342</v>
      </c>
      <c r="CA8" s="20">
        <v>144</v>
      </c>
      <c r="CB8" s="20">
        <v>308</v>
      </c>
      <c r="CC8" s="20">
        <v>95</v>
      </c>
      <c r="CD8" s="21">
        <v>2341</v>
      </c>
      <c r="CE8" s="21">
        <f t="shared" si="22"/>
        <v>3631</v>
      </c>
      <c r="CF8" s="19">
        <f t="shared" si="16"/>
        <v>1.5510465612985904</v>
      </c>
      <c r="CG8" s="20"/>
      <c r="CH8" s="20"/>
      <c r="CI8" s="20">
        <v>93.678000000000011</v>
      </c>
      <c r="CJ8" s="20">
        <v>99.93</v>
      </c>
      <c r="CK8" s="20">
        <v>350</v>
      </c>
      <c r="CL8" s="20">
        <v>300</v>
      </c>
      <c r="CM8" s="20">
        <v>193</v>
      </c>
      <c r="CN8" s="20">
        <v>400</v>
      </c>
      <c r="CO8" s="20"/>
      <c r="CP8" s="20">
        <v>100</v>
      </c>
      <c r="CQ8" s="20"/>
      <c r="CR8" s="20"/>
      <c r="CS8" s="20">
        <v>103.62648365428547</v>
      </c>
      <c r="CT8" s="20">
        <v>186.52767057771382</v>
      </c>
      <c r="CU8" s="20">
        <v>362.69269278999911</v>
      </c>
      <c r="CV8" s="20">
        <v>362.69269278999911</v>
      </c>
      <c r="CW8" s="20">
        <v>611.39625356028421</v>
      </c>
      <c r="CX8" s="20">
        <v>466.31917644428455</v>
      </c>
      <c r="CY8" s="20">
        <v>720.20406139728391</v>
      </c>
      <c r="CZ8" s="20">
        <v>829.01186923428372</v>
      </c>
      <c r="DA8" s="20">
        <v>414.50593461714186</v>
      </c>
      <c r="DB8" s="20">
        <v>549.22036336771293</v>
      </c>
      <c r="DC8" s="20">
        <v>906.72482147713288</v>
      </c>
      <c r="DD8" s="20">
        <v>0</v>
      </c>
      <c r="DE8" s="14">
        <v>5294.4487141505542</v>
      </c>
      <c r="DF8" s="14">
        <v>5330.8859028990828</v>
      </c>
      <c r="DG8" s="19">
        <f t="shared" si="18"/>
        <v>1.0068821497224334</v>
      </c>
      <c r="DH8" s="32"/>
      <c r="DI8" s="20">
        <v>55</v>
      </c>
      <c r="DJ8" s="20">
        <v>110</v>
      </c>
      <c r="DK8" s="20">
        <v>615</v>
      </c>
      <c r="DL8" s="20">
        <v>195</v>
      </c>
      <c r="DM8" s="20">
        <v>90</v>
      </c>
      <c r="DN8" s="20">
        <v>205</v>
      </c>
      <c r="DO8" s="20">
        <v>30</v>
      </c>
      <c r="DP8" s="20">
        <v>30</v>
      </c>
      <c r="DQ8" s="20">
        <v>20</v>
      </c>
      <c r="DR8" s="20">
        <v>45</v>
      </c>
      <c r="DS8" s="20">
        <v>15</v>
      </c>
      <c r="DT8" s="20">
        <v>82.176680318828801</v>
      </c>
      <c r="DU8" s="20">
        <v>493.06008191297281</v>
      </c>
      <c r="DV8" s="20">
        <v>160.24452662171615</v>
      </c>
      <c r="DW8" s="20">
        <v>56.496467719194797</v>
      </c>
      <c r="DX8" s="20">
        <v>575.23676223180155</v>
      </c>
      <c r="DY8" s="20">
        <v>338.97880631516881</v>
      </c>
      <c r="DZ8" s="20">
        <v>102.720850398536</v>
      </c>
      <c r="EA8" s="20">
        <v>534.14842207238723</v>
      </c>
      <c r="EB8" s="20">
        <v>61.632510239121601</v>
      </c>
      <c r="EC8" s="20">
        <v>441.69965671370483</v>
      </c>
      <c r="ED8" s="20">
        <v>523.87633703253357</v>
      </c>
      <c r="EE8" s="20">
        <v>102.720850398536</v>
      </c>
      <c r="EF8" s="14">
        <v>2830.308976197271</v>
      </c>
      <c r="EG8" s="14">
        <f t="shared" si="23"/>
        <v>3472.9919519745026</v>
      </c>
      <c r="EH8" s="19">
        <f t="shared" si="20"/>
        <v>1.2270716664442494</v>
      </c>
      <c r="EI8" s="29"/>
      <c r="EJ8" s="19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>
        <v>1008.1980780996041</v>
      </c>
      <c r="EX8" s="20">
        <v>857.95057534074238</v>
      </c>
      <c r="EY8" s="20">
        <v>528.32184667495244</v>
      </c>
      <c r="EZ8" s="20">
        <v>845.70539113348582</v>
      </c>
      <c r="FA8" s="20">
        <v>230.91081724103208</v>
      </c>
      <c r="FB8" s="20">
        <v>1000.49158073971</v>
      </c>
      <c r="FC8" s="20">
        <v>1084.2522582179108</v>
      </c>
      <c r="FD8" s="20">
        <v>563.32343541902173</v>
      </c>
      <c r="FE8" s="20">
        <v>1884.4447767444346</v>
      </c>
      <c r="FF8" s="20">
        <v>1490.8338471466166</v>
      </c>
      <c r="FG8" s="20">
        <v>0</v>
      </c>
      <c r="FH8" s="20">
        <v>165.18667571132482</v>
      </c>
      <c r="FI8" s="14">
        <v>27864.170925265986</v>
      </c>
      <c r="FJ8" s="14">
        <v>9659.6192824688351</v>
      </c>
      <c r="FK8" s="19">
        <v>0.89380330427362498</v>
      </c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19"/>
    </row>
    <row r="9" spans="1:194" s="11" customFormat="1" ht="24.95" customHeight="1">
      <c r="A9" s="15">
        <f t="shared" si="24"/>
        <v>3</v>
      </c>
      <c r="B9" s="16" t="s">
        <v>41</v>
      </c>
      <c r="C9" s="17">
        <v>11255</v>
      </c>
      <c r="D9" s="17"/>
      <c r="E9" s="17"/>
      <c r="F9" s="17"/>
      <c r="G9" s="20">
        <v>235</v>
      </c>
      <c r="H9" s="20">
        <v>210</v>
      </c>
      <c r="I9" s="20">
        <v>231</v>
      </c>
      <c r="J9" s="20">
        <v>202</v>
      </c>
      <c r="K9" s="20">
        <v>325</v>
      </c>
      <c r="L9" s="20">
        <v>246</v>
      </c>
      <c r="M9" s="20">
        <v>209</v>
      </c>
      <c r="N9" s="20">
        <v>193</v>
      </c>
      <c r="O9" s="20">
        <v>127</v>
      </c>
      <c r="P9" s="20">
        <v>156</v>
      </c>
      <c r="Q9" s="20">
        <v>247</v>
      </c>
      <c r="R9" s="20">
        <v>202</v>
      </c>
      <c r="S9" s="20">
        <v>105</v>
      </c>
      <c r="T9" s="20">
        <v>63</v>
      </c>
      <c r="U9" s="20">
        <v>96</v>
      </c>
      <c r="V9" s="20">
        <v>124</v>
      </c>
      <c r="W9" s="20">
        <v>118</v>
      </c>
      <c r="X9" s="20">
        <v>104</v>
      </c>
      <c r="Y9" s="20">
        <v>155</v>
      </c>
      <c r="Z9" s="20">
        <v>255</v>
      </c>
      <c r="AA9" s="20">
        <v>55</v>
      </c>
      <c r="AB9" s="18">
        <v>1266</v>
      </c>
      <c r="AC9" s="18">
        <f t="shared" si="25"/>
        <v>1680</v>
      </c>
      <c r="AD9" s="19">
        <f t="shared" si="10"/>
        <v>1.3270142180094786</v>
      </c>
      <c r="AE9" s="20"/>
      <c r="AF9" s="20"/>
      <c r="AG9" s="20"/>
      <c r="AH9" s="20"/>
      <c r="AI9" s="20"/>
      <c r="AJ9" s="20"/>
      <c r="AK9" s="20">
        <v>120</v>
      </c>
      <c r="AL9" s="20">
        <v>161</v>
      </c>
      <c r="AM9" s="20">
        <v>54</v>
      </c>
      <c r="AN9" s="20">
        <v>3</v>
      </c>
      <c r="AO9" s="20">
        <v>1</v>
      </c>
      <c r="AP9" s="20"/>
      <c r="AQ9" s="20">
        <v>16</v>
      </c>
      <c r="AR9" s="20">
        <v>56</v>
      </c>
      <c r="AS9" s="20">
        <v>78</v>
      </c>
      <c r="AT9" s="20">
        <v>46</v>
      </c>
      <c r="AU9" s="20">
        <v>59</v>
      </c>
      <c r="AV9" s="20">
        <v>41</v>
      </c>
      <c r="AW9" s="20">
        <v>40</v>
      </c>
      <c r="AX9" s="20">
        <v>35</v>
      </c>
      <c r="AY9" s="20">
        <v>25</v>
      </c>
      <c r="AZ9" s="20">
        <v>30</v>
      </c>
      <c r="BA9" s="20">
        <v>33</v>
      </c>
      <c r="BB9" s="20">
        <v>15</v>
      </c>
      <c r="BC9" s="27">
        <v>411</v>
      </c>
      <c r="BD9" s="27">
        <f t="shared" si="13"/>
        <v>474</v>
      </c>
      <c r="BE9" s="19">
        <f t="shared" si="14"/>
        <v>1.1532846715328466</v>
      </c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>
        <v>169</v>
      </c>
      <c r="BS9" s="20">
        <v>379</v>
      </c>
      <c r="BT9" s="20">
        <v>131</v>
      </c>
      <c r="BU9" s="20">
        <v>92</v>
      </c>
      <c r="BV9" s="20">
        <v>296</v>
      </c>
      <c r="BW9" s="20">
        <v>249</v>
      </c>
      <c r="BX9" s="20">
        <v>200</v>
      </c>
      <c r="BY9" s="20">
        <v>232</v>
      </c>
      <c r="BZ9" s="20">
        <v>142</v>
      </c>
      <c r="CA9" s="20">
        <v>317</v>
      </c>
      <c r="CB9" s="20">
        <v>302</v>
      </c>
      <c r="CC9" s="20">
        <v>190</v>
      </c>
      <c r="CD9" s="21">
        <v>2198</v>
      </c>
      <c r="CE9" s="21">
        <f t="shared" si="22"/>
        <v>2699</v>
      </c>
      <c r="CF9" s="19">
        <f t="shared" si="16"/>
        <v>1.2279344858962693</v>
      </c>
      <c r="CG9" s="20"/>
      <c r="CH9" s="20"/>
      <c r="CI9" s="20">
        <v>200</v>
      </c>
      <c r="CJ9" s="20"/>
      <c r="CK9" s="20">
        <v>400</v>
      </c>
      <c r="CL9" s="20"/>
      <c r="CM9" s="20"/>
      <c r="CN9" s="20"/>
      <c r="CO9" s="20">
        <v>100</v>
      </c>
      <c r="CP9" s="20">
        <v>100</v>
      </c>
      <c r="CQ9" s="20"/>
      <c r="CR9" s="20"/>
      <c r="CS9" s="20">
        <v>103.62648365428547</v>
      </c>
      <c r="CT9" s="20">
        <v>155.19330170329832</v>
      </c>
      <c r="CU9" s="20">
        <v>435.22169771150277</v>
      </c>
      <c r="CV9" s="20">
        <v>725.38538557999823</v>
      </c>
      <c r="CW9" s="20">
        <v>1398.9575293328537</v>
      </c>
      <c r="CX9" s="20">
        <v>642.4841986565699</v>
      </c>
      <c r="CY9" s="20">
        <v>518.13241827142735</v>
      </c>
      <c r="CZ9" s="20">
        <v>1397.8342182500412</v>
      </c>
      <c r="DA9" s="20">
        <v>932.6383528885691</v>
      </c>
      <c r="DB9" s="20">
        <v>1094.6790853787752</v>
      </c>
      <c r="DC9" s="20">
        <v>1450.7707711599965</v>
      </c>
      <c r="DD9" s="20">
        <v>0</v>
      </c>
      <c r="DE9" s="14">
        <v>8351.7933820703711</v>
      </c>
      <c r="DF9" s="14">
        <v>8562.5347829804668</v>
      </c>
      <c r="DG9" s="19">
        <f t="shared" si="18"/>
        <v>1.0252330716612932</v>
      </c>
      <c r="DH9" s="32"/>
      <c r="DI9" s="20">
        <v>10</v>
      </c>
      <c r="DJ9" s="20">
        <v>5</v>
      </c>
      <c r="DK9" s="20"/>
      <c r="DL9" s="20"/>
      <c r="DM9" s="20"/>
      <c r="DN9" s="20"/>
      <c r="DO9" s="20"/>
      <c r="DP9" s="20"/>
      <c r="DQ9" s="20"/>
      <c r="DR9" s="20"/>
      <c r="DS9" s="20"/>
      <c r="DT9" s="20">
        <v>61.632510239121601</v>
      </c>
      <c r="DU9" s="20">
        <v>195.16961575721839</v>
      </c>
      <c r="DV9" s="20">
        <v>51.360425199268001</v>
      </c>
      <c r="DW9" s="20">
        <v>41.0883401594144</v>
      </c>
      <c r="DX9" s="20">
        <v>195.16961575721839</v>
      </c>
      <c r="DY9" s="20">
        <v>318.4346362354616</v>
      </c>
      <c r="DZ9" s="20">
        <v>184.89753071736482</v>
      </c>
      <c r="EA9" s="20">
        <v>390.33923151443679</v>
      </c>
      <c r="EB9" s="20">
        <v>349.25089135502242</v>
      </c>
      <c r="EC9" s="20">
        <v>133.53710551809681</v>
      </c>
      <c r="ED9" s="20">
        <v>225.98587087677919</v>
      </c>
      <c r="EE9" s="20">
        <v>102.720850398536</v>
      </c>
      <c r="EF9" s="14">
        <v>1897.1582077267547</v>
      </c>
      <c r="EG9" s="14">
        <f t="shared" si="23"/>
        <v>2249.5866237279383</v>
      </c>
      <c r="EH9" s="19">
        <f t="shared" si="20"/>
        <v>1.1857664872469842</v>
      </c>
      <c r="EI9" s="29"/>
      <c r="EJ9" s="19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>
        <v>1776.8939952900632</v>
      </c>
      <c r="EX9" s="20">
        <v>2733.5983367655722</v>
      </c>
      <c r="EY9" s="20">
        <v>4567.4032583602529</v>
      </c>
      <c r="EZ9" s="20">
        <v>4656.6646389948119</v>
      </c>
      <c r="FA9" s="20">
        <v>7004.8554749933473</v>
      </c>
      <c r="FB9" s="20">
        <v>2279.837913985411</v>
      </c>
      <c r="FC9" s="20">
        <v>4627.665285567894</v>
      </c>
      <c r="FD9" s="20">
        <v>5638.2089268304126</v>
      </c>
      <c r="FE9" s="20">
        <v>2944.4305865072197</v>
      </c>
      <c r="FF9" s="20">
        <v>3817.9553417386442</v>
      </c>
      <c r="FG9" s="20">
        <v>1088.6130550084067</v>
      </c>
      <c r="FH9" s="20">
        <v>82.06316311398723</v>
      </c>
      <c r="FI9" s="14">
        <v>28280.784509650159</v>
      </c>
      <c r="FJ9" s="14">
        <v>41218.18997715602</v>
      </c>
      <c r="FK9" s="19">
        <v>0.99438441715753945</v>
      </c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19"/>
    </row>
    <row r="10" spans="1:194" s="11" customFormat="1" ht="24.95" customHeight="1">
      <c r="A10" s="15">
        <f t="shared" si="24"/>
        <v>4</v>
      </c>
      <c r="B10" s="16" t="s">
        <v>42</v>
      </c>
      <c r="C10" s="17">
        <v>11256</v>
      </c>
      <c r="D10" s="17"/>
      <c r="E10" s="17"/>
      <c r="F10" s="17"/>
      <c r="G10" s="20">
        <v>169</v>
      </c>
      <c r="H10" s="20">
        <v>168</v>
      </c>
      <c r="I10" s="20">
        <v>190</v>
      </c>
      <c r="J10" s="20">
        <v>187</v>
      </c>
      <c r="K10" s="20">
        <v>191</v>
      </c>
      <c r="L10" s="20">
        <v>191</v>
      </c>
      <c r="M10" s="20">
        <v>158</v>
      </c>
      <c r="N10" s="20">
        <v>158</v>
      </c>
      <c r="O10" s="20">
        <v>125</v>
      </c>
      <c r="P10" s="20">
        <v>93</v>
      </c>
      <c r="Q10" s="20">
        <v>175</v>
      </c>
      <c r="R10" s="20">
        <v>193</v>
      </c>
      <c r="S10" s="20">
        <v>123</v>
      </c>
      <c r="T10" s="20">
        <v>81</v>
      </c>
      <c r="U10" s="20">
        <v>398</v>
      </c>
      <c r="V10" s="20">
        <v>106</v>
      </c>
      <c r="W10" s="20">
        <v>151</v>
      </c>
      <c r="X10" s="20">
        <v>114</v>
      </c>
      <c r="Y10" s="20">
        <v>60</v>
      </c>
      <c r="Z10" s="20">
        <v>69</v>
      </c>
      <c r="AA10" s="20">
        <v>19</v>
      </c>
      <c r="AB10" s="18">
        <v>1446</v>
      </c>
      <c r="AC10" s="18">
        <f t="shared" si="25"/>
        <v>1582</v>
      </c>
      <c r="AD10" s="19">
        <f t="shared" si="10"/>
        <v>1.0940525587828493</v>
      </c>
      <c r="AE10" s="20"/>
      <c r="AF10" s="20"/>
      <c r="AG10" s="20"/>
      <c r="AH10" s="20"/>
      <c r="AI10" s="20"/>
      <c r="AJ10" s="20"/>
      <c r="AK10" s="20">
        <v>247</v>
      </c>
      <c r="AL10" s="20">
        <v>362</v>
      </c>
      <c r="AM10" s="20">
        <v>128</v>
      </c>
      <c r="AN10" s="20">
        <v>18</v>
      </c>
      <c r="AO10" s="20">
        <v>59</v>
      </c>
      <c r="AP10" s="20">
        <v>12</v>
      </c>
      <c r="AQ10" s="20">
        <v>37</v>
      </c>
      <c r="AR10" s="20">
        <v>123</v>
      </c>
      <c r="AS10" s="20">
        <v>148</v>
      </c>
      <c r="AT10" s="20">
        <v>93</v>
      </c>
      <c r="AU10" s="20">
        <v>99</v>
      </c>
      <c r="AV10" s="20">
        <v>102</v>
      </c>
      <c r="AW10" s="20">
        <v>74</v>
      </c>
      <c r="AX10" s="20">
        <v>79</v>
      </c>
      <c r="AY10" s="20">
        <v>74</v>
      </c>
      <c r="AZ10" s="20">
        <v>72</v>
      </c>
      <c r="BA10" s="20">
        <v>77</v>
      </c>
      <c r="BB10" s="20">
        <v>56</v>
      </c>
      <c r="BC10" s="27">
        <v>988</v>
      </c>
      <c r="BD10" s="27">
        <f t="shared" si="13"/>
        <v>1034</v>
      </c>
      <c r="BE10" s="19">
        <f t="shared" si="14"/>
        <v>1.0465587044534412</v>
      </c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>
        <v>982</v>
      </c>
      <c r="BS10" s="20">
        <v>841</v>
      </c>
      <c r="BT10" s="20">
        <v>329</v>
      </c>
      <c r="BU10" s="20">
        <v>305</v>
      </c>
      <c r="BV10" s="20">
        <v>397</v>
      </c>
      <c r="BW10" s="20">
        <v>369</v>
      </c>
      <c r="BX10" s="20">
        <v>502</v>
      </c>
      <c r="BY10" s="20">
        <v>270</v>
      </c>
      <c r="BZ10" s="20">
        <v>331</v>
      </c>
      <c r="CA10" s="20">
        <v>505</v>
      </c>
      <c r="CB10" s="20">
        <v>358</v>
      </c>
      <c r="CC10" s="20">
        <v>33</v>
      </c>
      <c r="CD10" s="21">
        <v>3371</v>
      </c>
      <c r="CE10" s="21">
        <f t="shared" si="22"/>
        <v>5222</v>
      </c>
      <c r="CF10" s="19">
        <f t="shared" si="16"/>
        <v>1.5490952239691487</v>
      </c>
      <c r="CG10" s="20"/>
      <c r="CH10" s="20"/>
      <c r="CI10" s="20">
        <v>529.45000000000005</v>
      </c>
      <c r="CJ10" s="20">
        <v>170</v>
      </c>
      <c r="CK10" s="20">
        <v>350</v>
      </c>
      <c r="CL10" s="20">
        <v>100</v>
      </c>
      <c r="CM10" s="20"/>
      <c r="CN10" s="20">
        <v>250</v>
      </c>
      <c r="CO10" s="20">
        <v>50</v>
      </c>
      <c r="CP10" s="20"/>
      <c r="CQ10" s="20"/>
      <c r="CR10" s="20"/>
      <c r="CS10" s="20">
        <v>256.7864264953194</v>
      </c>
      <c r="CT10" s="20">
        <v>756.47333067628392</v>
      </c>
      <c r="CU10" s="20">
        <v>621.75890192571273</v>
      </c>
      <c r="CV10" s="20">
        <v>1173.0517949665114</v>
      </c>
      <c r="CW10" s="20">
        <v>1199.9946807166257</v>
      </c>
      <c r="CX10" s="20">
        <v>725.38538557999823</v>
      </c>
      <c r="CY10" s="20">
        <v>984.45159471571185</v>
      </c>
      <c r="CZ10" s="20">
        <v>829.01186923428372</v>
      </c>
      <c r="DA10" s="20">
        <v>797</v>
      </c>
      <c r="DB10" s="20">
        <v>1839.3700848635669</v>
      </c>
      <c r="DC10" s="20">
        <v>668.39081957014128</v>
      </c>
      <c r="DD10" s="20">
        <v>155.43972548142818</v>
      </c>
      <c r="DE10" s="14">
        <v>9520.7466688748082</v>
      </c>
      <c r="DF10" s="14">
        <v>9607.4308136288328</v>
      </c>
      <c r="DG10" s="19">
        <f t="shared" si="18"/>
        <v>1.0091047632889354</v>
      </c>
      <c r="DH10" s="32"/>
      <c r="DI10" s="20">
        <v>35</v>
      </c>
      <c r="DJ10" s="20">
        <v>115</v>
      </c>
      <c r="DK10" s="20">
        <v>230</v>
      </c>
      <c r="DL10" s="20">
        <v>125</v>
      </c>
      <c r="DM10" s="20">
        <v>45</v>
      </c>
      <c r="DN10" s="20">
        <v>115</v>
      </c>
      <c r="DO10" s="20">
        <v>60</v>
      </c>
      <c r="DP10" s="20">
        <v>45</v>
      </c>
      <c r="DQ10" s="20">
        <v>15</v>
      </c>
      <c r="DR10" s="20">
        <v>5</v>
      </c>
      <c r="DS10" s="20">
        <v>5</v>
      </c>
      <c r="DT10" s="20">
        <v>123.2650204782432</v>
      </c>
      <c r="DU10" s="20">
        <v>462.24382679341198</v>
      </c>
      <c r="DV10" s="20">
        <v>133.53710551809681</v>
      </c>
      <c r="DW10" s="20">
        <v>112.99293543838959</v>
      </c>
      <c r="DX10" s="20">
        <v>472.51591183326559</v>
      </c>
      <c r="DY10" s="20">
        <v>667.68552759048396</v>
      </c>
      <c r="DZ10" s="20">
        <v>523.87633703253357</v>
      </c>
      <c r="EA10" s="20">
        <v>462.24382679341198</v>
      </c>
      <c r="EB10" s="20">
        <v>292.75442363582761</v>
      </c>
      <c r="EC10" s="20">
        <v>493.06008191297281</v>
      </c>
      <c r="ED10" s="20">
        <v>349.25089135502242</v>
      </c>
      <c r="EE10" s="20">
        <v>92.448765358682408</v>
      </c>
      <c r="EF10" s="14">
        <v>3573.726564401597</v>
      </c>
      <c r="EG10" s="14">
        <f t="shared" si="23"/>
        <v>4185.8746537403422</v>
      </c>
      <c r="EH10" s="19">
        <f t="shared" si="20"/>
        <v>1.1712912497101597</v>
      </c>
      <c r="EI10" s="29"/>
      <c r="EJ10" s="19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>
        <v>312.09185283545787</v>
      </c>
      <c r="EX10" s="20">
        <v>1935.1259767608208</v>
      </c>
      <c r="EY10" s="20">
        <v>280.33099006193532</v>
      </c>
      <c r="EZ10" s="20">
        <v>41.625289635480165</v>
      </c>
      <c r="FA10" s="20">
        <v>89.6805911172832</v>
      </c>
      <c r="FB10" s="20">
        <v>638.61957519697205</v>
      </c>
      <c r="FC10" s="20">
        <v>395.44025153706156</v>
      </c>
      <c r="FD10" s="20">
        <v>853.98772836858757</v>
      </c>
      <c r="FE10" s="20">
        <v>4662.5976667909335</v>
      </c>
      <c r="FF10" s="20">
        <v>2322.176322551144</v>
      </c>
      <c r="FG10" s="20">
        <v>119.39885711229837</v>
      </c>
      <c r="FH10" s="20">
        <v>364.93329584369144</v>
      </c>
      <c r="FI10" s="14">
        <v>23096.003038292816</v>
      </c>
      <c r="FJ10" s="14">
        <v>12016.008397811665</v>
      </c>
      <c r="FK10" s="19">
        <v>1.3706419117454047</v>
      </c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19"/>
    </row>
    <row r="11" spans="1:194" s="11" customFormat="1" ht="24.95" customHeight="1">
      <c r="A11" s="15">
        <f t="shared" si="24"/>
        <v>5</v>
      </c>
      <c r="B11" s="16" t="s">
        <v>43</v>
      </c>
      <c r="C11" s="17">
        <v>11183</v>
      </c>
      <c r="D11" s="17"/>
      <c r="E11" s="17"/>
      <c r="F11" s="17"/>
      <c r="G11" s="20">
        <v>148</v>
      </c>
      <c r="H11" s="20">
        <v>45</v>
      </c>
      <c r="I11" s="20">
        <v>48</v>
      </c>
      <c r="J11" s="20">
        <v>69</v>
      </c>
      <c r="K11" s="20">
        <v>32</v>
      </c>
      <c r="L11" s="20">
        <v>51</v>
      </c>
      <c r="M11" s="20">
        <v>67</v>
      </c>
      <c r="N11" s="20">
        <v>32</v>
      </c>
      <c r="O11" s="20">
        <v>65</v>
      </c>
      <c r="P11" s="20">
        <v>60</v>
      </c>
      <c r="Q11" s="20">
        <v>136</v>
      </c>
      <c r="R11" s="20">
        <v>121</v>
      </c>
      <c r="S11" s="20">
        <v>60</v>
      </c>
      <c r="T11" s="20">
        <v>115</v>
      </c>
      <c r="U11" s="20">
        <v>102</v>
      </c>
      <c r="V11" s="20">
        <v>91</v>
      </c>
      <c r="W11" s="20">
        <v>64</v>
      </c>
      <c r="X11" s="20">
        <v>80</v>
      </c>
      <c r="Y11" s="20">
        <v>5</v>
      </c>
      <c r="Z11" s="20">
        <v>37</v>
      </c>
      <c r="AA11" s="20">
        <v>37</v>
      </c>
      <c r="AB11" s="18">
        <v>756</v>
      </c>
      <c r="AC11" s="18">
        <v>1418</v>
      </c>
      <c r="AD11" s="19">
        <f t="shared" si="10"/>
        <v>1.8756613756613756</v>
      </c>
      <c r="AE11" s="20"/>
      <c r="AF11" s="20"/>
      <c r="AG11" s="20"/>
      <c r="AH11" s="20"/>
      <c r="AI11" s="20"/>
      <c r="AJ11" s="20"/>
      <c r="AK11" s="20">
        <v>161</v>
      </c>
      <c r="AL11" s="20">
        <v>293</v>
      </c>
      <c r="AM11" s="20">
        <v>10</v>
      </c>
      <c r="AN11" s="20">
        <v>23</v>
      </c>
      <c r="AO11" s="20">
        <v>3</v>
      </c>
      <c r="AP11" s="20"/>
      <c r="AQ11" s="20">
        <v>27</v>
      </c>
      <c r="AR11" s="20">
        <v>66</v>
      </c>
      <c r="AS11" s="20">
        <v>111</v>
      </c>
      <c r="AT11" s="20">
        <v>73</v>
      </c>
      <c r="AU11" s="20">
        <v>71</v>
      </c>
      <c r="AV11" s="20">
        <v>67</v>
      </c>
      <c r="AW11" s="20">
        <v>77</v>
      </c>
      <c r="AX11" s="20">
        <v>59</v>
      </c>
      <c r="AY11" s="20">
        <v>46</v>
      </c>
      <c r="AZ11" s="20">
        <v>17</v>
      </c>
      <c r="BA11" s="20">
        <v>21</v>
      </c>
      <c r="BB11" s="20">
        <v>12</v>
      </c>
      <c r="BC11" s="27">
        <v>568</v>
      </c>
      <c r="BD11" s="27">
        <f t="shared" si="13"/>
        <v>647</v>
      </c>
      <c r="BE11" s="19">
        <f t="shared" si="14"/>
        <v>1.1390845070422535</v>
      </c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>
        <v>196</v>
      </c>
      <c r="BS11" s="20">
        <v>165</v>
      </c>
      <c r="BT11" s="20">
        <v>65</v>
      </c>
      <c r="BU11" s="20">
        <v>50</v>
      </c>
      <c r="BV11" s="20">
        <v>133</v>
      </c>
      <c r="BW11" s="20">
        <v>107</v>
      </c>
      <c r="BX11" s="20">
        <v>140</v>
      </c>
      <c r="BY11" s="20">
        <v>101</v>
      </c>
      <c r="BZ11" s="20">
        <v>123</v>
      </c>
      <c r="CA11" s="20">
        <v>94</v>
      </c>
      <c r="CB11" s="20">
        <v>136</v>
      </c>
      <c r="CC11" s="20">
        <v>25</v>
      </c>
      <c r="CD11" s="21">
        <v>1562</v>
      </c>
      <c r="CE11" s="21">
        <f t="shared" si="22"/>
        <v>1335</v>
      </c>
      <c r="CF11" s="19">
        <f t="shared" si="16"/>
        <v>0.85467349551856597</v>
      </c>
      <c r="CG11" s="20"/>
      <c r="CH11" s="20"/>
      <c r="CI11" s="20">
        <v>100</v>
      </c>
      <c r="CJ11" s="20">
        <v>170</v>
      </c>
      <c r="CK11" s="20"/>
      <c r="CL11" s="20">
        <v>132.96</v>
      </c>
      <c r="CM11" s="20"/>
      <c r="CN11" s="20">
        <v>199.8</v>
      </c>
      <c r="CO11" s="20"/>
      <c r="CP11" s="20">
        <v>100</v>
      </c>
      <c r="CQ11" s="20">
        <v>100</v>
      </c>
      <c r="CR11" s="20">
        <v>100</v>
      </c>
      <c r="CS11" s="20">
        <v>0</v>
      </c>
      <c r="CT11" s="20">
        <v>0</v>
      </c>
      <c r="CU11" s="20">
        <v>0</v>
      </c>
      <c r="CV11" s="20">
        <v>0</v>
      </c>
      <c r="CW11" s="20">
        <v>0</v>
      </c>
      <c r="CX11" s="20">
        <v>0</v>
      </c>
      <c r="CY11" s="20">
        <v>0</v>
      </c>
      <c r="CZ11" s="20">
        <v>0</v>
      </c>
      <c r="DA11" s="20">
        <v>0</v>
      </c>
      <c r="DB11" s="20">
        <v>0</v>
      </c>
      <c r="DC11" s="20">
        <v>0</v>
      </c>
      <c r="DD11" s="20">
        <v>0</v>
      </c>
      <c r="DE11" s="14"/>
      <c r="DF11" s="14">
        <v>0</v>
      </c>
      <c r="DG11" s="19">
        <v>0</v>
      </c>
      <c r="DH11" s="20"/>
      <c r="DI11" s="20">
        <v>70</v>
      </c>
      <c r="DJ11" s="20">
        <v>70</v>
      </c>
      <c r="DK11" s="20">
        <v>310</v>
      </c>
      <c r="DL11" s="20">
        <v>135</v>
      </c>
      <c r="DM11" s="20">
        <v>27.5</v>
      </c>
      <c r="DN11" s="20">
        <v>135</v>
      </c>
      <c r="DO11" s="20">
        <v>75</v>
      </c>
      <c r="DP11" s="20">
        <v>30</v>
      </c>
      <c r="DQ11" s="20">
        <v>5</v>
      </c>
      <c r="DR11" s="20">
        <v>5</v>
      </c>
      <c r="DS11" s="20"/>
      <c r="DT11" s="20">
        <v>61.632510239121601</v>
      </c>
      <c r="DU11" s="20">
        <v>282.482338595974</v>
      </c>
      <c r="DV11" s="20">
        <v>174.62544567751121</v>
      </c>
      <c r="DW11" s="20">
        <v>6.1632510239121601</v>
      </c>
      <c r="DX11" s="20">
        <v>251.66608347641321</v>
      </c>
      <c r="DY11" s="20">
        <v>441.69965671370483</v>
      </c>
      <c r="DZ11" s="20">
        <v>251.66608347641321</v>
      </c>
      <c r="EA11" s="20">
        <v>297.89046615575438</v>
      </c>
      <c r="EB11" s="20">
        <v>164.3533606376576</v>
      </c>
      <c r="EC11" s="20">
        <v>277.34629607604722</v>
      </c>
      <c r="ED11" s="20">
        <v>318.4346362354616</v>
      </c>
      <c r="EE11" s="20">
        <v>191.06078174127697</v>
      </c>
      <c r="EF11" s="14">
        <v>2332.0620424202721</v>
      </c>
      <c r="EG11" s="14">
        <f t="shared" si="23"/>
        <v>2719.020910049248</v>
      </c>
      <c r="EH11" s="19">
        <f t="shared" si="20"/>
        <v>1.1659299197835149</v>
      </c>
      <c r="EI11" s="29"/>
      <c r="EJ11" s="19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>
        <v>718.36585278180428</v>
      </c>
      <c r="EX11" s="20">
        <v>606.17923434026818</v>
      </c>
      <c r="EY11" s="20">
        <v>133.83078318986287</v>
      </c>
      <c r="EZ11" s="20">
        <v>232.22530007162618</v>
      </c>
      <c r="FA11" s="20">
        <v>164.31035382426381</v>
      </c>
      <c r="FB11" s="20">
        <v>243.23737998492834</v>
      </c>
      <c r="FC11" s="20">
        <v>170.88276797723435</v>
      </c>
      <c r="FD11" s="20">
        <v>90.96370162432045</v>
      </c>
      <c r="FE11" s="20">
        <v>1368</v>
      </c>
      <c r="FF11" s="20">
        <v>461.65771444200834</v>
      </c>
      <c r="FG11" s="20">
        <v>690.41019872237996</v>
      </c>
      <c r="FH11" s="20">
        <v>729.69551715643354</v>
      </c>
      <c r="FI11" s="14">
        <v>7917.7118538846871</v>
      </c>
      <c r="FJ11" s="14">
        <v>5609.7588041151312</v>
      </c>
      <c r="FK11" s="19">
        <v>0.90204460512565454</v>
      </c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19"/>
    </row>
    <row r="12" spans="1:194" s="11" customFormat="1" ht="24.95" customHeight="1">
      <c r="A12" s="15">
        <f t="shared" si="24"/>
        <v>6</v>
      </c>
      <c r="B12" s="16" t="s">
        <v>44</v>
      </c>
      <c r="C12" s="17">
        <v>11141</v>
      </c>
      <c r="D12" s="17"/>
      <c r="E12" s="17"/>
      <c r="F12" s="17"/>
      <c r="G12" s="20">
        <v>135</v>
      </c>
      <c r="H12" s="20">
        <v>21</v>
      </c>
      <c r="I12" s="20">
        <v>54</v>
      </c>
      <c r="J12" s="20">
        <v>38</v>
      </c>
      <c r="K12" s="20">
        <v>28</v>
      </c>
      <c r="L12" s="20">
        <v>89</v>
      </c>
      <c r="M12" s="20">
        <v>91</v>
      </c>
      <c r="N12" s="20">
        <v>256</v>
      </c>
      <c r="O12" s="20">
        <v>95</v>
      </c>
      <c r="P12" s="20">
        <v>385</v>
      </c>
      <c r="Q12" s="20">
        <v>87</v>
      </c>
      <c r="R12" s="20">
        <v>112</v>
      </c>
      <c r="S12" s="20">
        <v>61</v>
      </c>
      <c r="T12" s="20">
        <v>109</v>
      </c>
      <c r="U12" s="20">
        <v>43</v>
      </c>
      <c r="V12" s="20">
        <v>64</v>
      </c>
      <c r="W12" s="20">
        <v>102</v>
      </c>
      <c r="X12" s="20">
        <v>86</v>
      </c>
      <c r="Y12" s="20">
        <v>135</v>
      </c>
      <c r="Z12" s="20">
        <v>127</v>
      </c>
      <c r="AA12" s="20">
        <v>27</v>
      </c>
      <c r="AB12" s="18">
        <v>889</v>
      </c>
      <c r="AC12" s="18">
        <f t="shared" si="25"/>
        <v>1338</v>
      </c>
      <c r="AD12" s="19">
        <f t="shared" si="10"/>
        <v>1.5050618672665916</v>
      </c>
      <c r="AE12" s="20"/>
      <c r="AF12" s="20"/>
      <c r="AG12" s="20"/>
      <c r="AH12" s="20"/>
      <c r="AI12" s="20"/>
      <c r="AJ12" s="20"/>
      <c r="AK12" s="20">
        <v>48</v>
      </c>
      <c r="AL12" s="20">
        <v>84</v>
      </c>
      <c r="AM12" s="20">
        <v>23</v>
      </c>
      <c r="AN12" s="20"/>
      <c r="AO12" s="20">
        <v>2</v>
      </c>
      <c r="AP12" s="20">
        <v>19</v>
      </c>
      <c r="AQ12" s="20">
        <v>9</v>
      </c>
      <c r="AR12" s="20">
        <v>20</v>
      </c>
      <c r="AS12" s="20">
        <v>31</v>
      </c>
      <c r="AT12" s="20">
        <v>29</v>
      </c>
      <c r="AU12" s="20">
        <v>34</v>
      </c>
      <c r="AV12" s="20">
        <v>29</v>
      </c>
      <c r="AW12" s="20">
        <v>19</v>
      </c>
      <c r="AX12" s="20">
        <v>12</v>
      </c>
      <c r="AY12" s="20">
        <v>11</v>
      </c>
      <c r="AZ12" s="20">
        <v>7</v>
      </c>
      <c r="BA12" s="20">
        <v>7</v>
      </c>
      <c r="BB12" s="20">
        <v>2</v>
      </c>
      <c r="BC12" s="27">
        <v>189</v>
      </c>
      <c r="BD12" s="27">
        <f t="shared" si="13"/>
        <v>210</v>
      </c>
      <c r="BE12" s="19">
        <f t="shared" si="14"/>
        <v>1.1111111111111112</v>
      </c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>
        <v>209</v>
      </c>
      <c r="BS12" s="20">
        <v>440</v>
      </c>
      <c r="BT12" s="20">
        <v>56</v>
      </c>
      <c r="BU12" s="20">
        <v>192</v>
      </c>
      <c r="BV12" s="20">
        <v>472</v>
      </c>
      <c r="BW12" s="20">
        <v>276</v>
      </c>
      <c r="BX12" s="20">
        <v>236</v>
      </c>
      <c r="BY12" s="20">
        <v>267</v>
      </c>
      <c r="BZ12" s="20">
        <v>213</v>
      </c>
      <c r="CA12" s="20">
        <v>380</v>
      </c>
      <c r="CB12" s="20">
        <v>326</v>
      </c>
      <c r="CC12" s="20">
        <v>223</v>
      </c>
      <c r="CD12" s="21">
        <v>2365</v>
      </c>
      <c r="CE12" s="21">
        <f t="shared" si="22"/>
        <v>3290</v>
      </c>
      <c r="CF12" s="19">
        <f t="shared" si="16"/>
        <v>1.3911205073995772</v>
      </c>
      <c r="CG12" s="20"/>
      <c r="CH12" s="20"/>
      <c r="CI12" s="20">
        <v>200</v>
      </c>
      <c r="CJ12" s="20"/>
      <c r="CK12" s="20">
        <v>99.1</v>
      </c>
      <c r="CL12" s="20"/>
      <c r="CM12" s="20"/>
      <c r="CN12" s="20"/>
      <c r="CO12" s="20"/>
      <c r="CP12" s="20"/>
      <c r="CQ12" s="20"/>
      <c r="CR12" s="20"/>
      <c r="CS12" s="20">
        <v>0</v>
      </c>
      <c r="CT12" s="20">
        <v>0</v>
      </c>
      <c r="CU12" s="20">
        <v>0</v>
      </c>
      <c r="CV12" s="20">
        <v>0</v>
      </c>
      <c r="CW12" s="20">
        <v>0</v>
      </c>
      <c r="CX12" s="20">
        <v>0</v>
      </c>
      <c r="CY12" s="20">
        <v>0</v>
      </c>
      <c r="CZ12" s="20">
        <v>0</v>
      </c>
      <c r="DA12" s="20">
        <v>0</v>
      </c>
      <c r="DB12" s="20">
        <v>0</v>
      </c>
      <c r="DC12" s="20">
        <v>0</v>
      </c>
      <c r="DD12" s="20">
        <v>0</v>
      </c>
      <c r="DE12" s="14"/>
      <c r="DF12" s="14">
        <v>0</v>
      </c>
      <c r="DG12" s="19">
        <v>0</v>
      </c>
      <c r="DH12" s="20"/>
      <c r="DI12" s="20">
        <v>25</v>
      </c>
      <c r="DJ12" s="20">
        <v>55</v>
      </c>
      <c r="DK12" s="20">
        <v>275</v>
      </c>
      <c r="DL12" s="20">
        <v>75</v>
      </c>
      <c r="DM12" s="20">
        <v>35</v>
      </c>
      <c r="DN12" s="20">
        <v>20</v>
      </c>
      <c r="DO12" s="20">
        <v>20</v>
      </c>
      <c r="DP12" s="20">
        <v>5</v>
      </c>
      <c r="DQ12" s="20">
        <v>5</v>
      </c>
      <c r="DR12" s="20">
        <v>20</v>
      </c>
      <c r="DS12" s="20">
        <v>10</v>
      </c>
      <c r="DT12" s="20">
        <v>61.632510239121601</v>
      </c>
      <c r="DU12" s="20">
        <v>154.08127559780399</v>
      </c>
      <c r="DV12" s="20">
        <v>82.176680318828801</v>
      </c>
      <c r="DW12" s="20">
        <v>51.360425199268001</v>
      </c>
      <c r="DX12" s="20">
        <v>143.80919055795039</v>
      </c>
      <c r="DY12" s="20">
        <v>143.80919055795039</v>
      </c>
      <c r="DZ12" s="20">
        <v>182.84311370939409</v>
      </c>
      <c r="EA12" s="20">
        <v>256.80212599634001</v>
      </c>
      <c r="EB12" s="20">
        <v>154.08127559780399</v>
      </c>
      <c r="EC12" s="20">
        <v>61.632510239121601</v>
      </c>
      <c r="ED12" s="20">
        <v>123.2650204782432</v>
      </c>
      <c r="EE12" s="20">
        <v>102.720850398536</v>
      </c>
      <c r="EF12" s="14">
        <v>1311.9778851607769</v>
      </c>
      <c r="EG12" s="14">
        <f t="shared" si="23"/>
        <v>1518.2141688903621</v>
      </c>
      <c r="EH12" s="19">
        <f t="shared" si="20"/>
        <v>1.1571949390780409</v>
      </c>
      <c r="EI12" s="19"/>
      <c r="EJ12" s="19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>
        <v>1206.8651660625137</v>
      </c>
      <c r="EX12" s="20">
        <v>1073.495056525461</v>
      </c>
      <c r="EY12" s="20">
        <v>818.3312861863634</v>
      </c>
      <c r="EZ12" s="20">
        <v>1391.245219008666</v>
      </c>
      <c r="FA12" s="20">
        <v>1156.542241486434</v>
      </c>
      <c r="FB12" s="20">
        <v>3021.7791378688116</v>
      </c>
      <c r="FC12" s="20">
        <v>1995.9337334236329</v>
      </c>
      <c r="FD12" s="20">
        <v>4252.5053133021838</v>
      </c>
      <c r="FE12" s="20">
        <v>2559.2486991916157</v>
      </c>
      <c r="FF12" s="20">
        <v>584.6162389067307</v>
      </c>
      <c r="FG12" s="20">
        <v>3496.2616343682498</v>
      </c>
      <c r="FH12" s="20">
        <v>0</v>
      </c>
      <c r="FI12" s="14">
        <v>10243.198476058697</v>
      </c>
      <c r="FJ12" s="14">
        <v>21556.823726330666</v>
      </c>
      <c r="FK12" s="19">
        <v>1.0289941700424368</v>
      </c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19"/>
    </row>
    <row r="13" spans="1:194" s="11" customFormat="1" ht="24.95" customHeight="1">
      <c r="A13" s="15">
        <f t="shared" si="24"/>
        <v>7</v>
      </c>
      <c r="B13" s="16" t="s">
        <v>45</v>
      </c>
      <c r="C13" s="17">
        <v>11142</v>
      </c>
      <c r="D13" s="17"/>
      <c r="E13" s="17"/>
      <c r="F13" s="17"/>
      <c r="G13" s="20">
        <v>98</v>
      </c>
      <c r="H13" s="20">
        <v>117</v>
      </c>
      <c r="I13" s="20">
        <v>91</v>
      </c>
      <c r="J13" s="20">
        <v>79</v>
      </c>
      <c r="K13" s="20">
        <v>63</v>
      </c>
      <c r="L13" s="20">
        <v>107</v>
      </c>
      <c r="M13" s="20">
        <v>50</v>
      </c>
      <c r="N13" s="20">
        <v>107</v>
      </c>
      <c r="O13" s="20">
        <v>127</v>
      </c>
      <c r="P13" s="20">
        <v>64</v>
      </c>
      <c r="Q13" s="20">
        <v>29</v>
      </c>
      <c r="R13" s="20">
        <v>120</v>
      </c>
      <c r="S13" s="20">
        <v>255</v>
      </c>
      <c r="T13" s="20">
        <v>27</v>
      </c>
      <c r="U13" s="20">
        <v>45</v>
      </c>
      <c r="V13" s="20">
        <v>50</v>
      </c>
      <c r="W13" s="20">
        <v>98</v>
      </c>
      <c r="X13" s="20">
        <v>85</v>
      </c>
      <c r="Y13" s="20">
        <v>70</v>
      </c>
      <c r="Z13" s="20">
        <v>62</v>
      </c>
      <c r="AA13" s="20">
        <v>12</v>
      </c>
      <c r="AB13" s="18">
        <v>603</v>
      </c>
      <c r="AC13" s="18">
        <f t="shared" si="25"/>
        <v>917</v>
      </c>
      <c r="AD13" s="19">
        <f t="shared" si="10"/>
        <v>1.5207296849087895</v>
      </c>
      <c r="AE13" s="20"/>
      <c r="AF13" s="20"/>
      <c r="AG13" s="20"/>
      <c r="AH13" s="20"/>
      <c r="AI13" s="20"/>
      <c r="AJ13" s="20"/>
      <c r="AK13" s="20">
        <v>50</v>
      </c>
      <c r="AL13" s="20">
        <v>101</v>
      </c>
      <c r="AM13" s="20">
        <v>8</v>
      </c>
      <c r="AN13" s="20"/>
      <c r="AO13" s="20">
        <v>6</v>
      </c>
      <c r="AP13" s="20"/>
      <c r="AQ13" s="20">
        <v>11</v>
      </c>
      <c r="AR13" s="20">
        <v>46</v>
      </c>
      <c r="AS13" s="20">
        <v>21</v>
      </c>
      <c r="AT13" s="20">
        <v>25</v>
      </c>
      <c r="AU13" s="20">
        <v>38</v>
      </c>
      <c r="AV13" s="20">
        <v>29</v>
      </c>
      <c r="AW13" s="20">
        <v>21</v>
      </c>
      <c r="AX13" s="20">
        <v>11</v>
      </c>
      <c r="AY13" s="20">
        <v>13</v>
      </c>
      <c r="AZ13" s="20">
        <v>16</v>
      </c>
      <c r="BA13" s="20">
        <v>4</v>
      </c>
      <c r="BB13" s="20">
        <v>9</v>
      </c>
      <c r="BC13" s="27">
        <v>225</v>
      </c>
      <c r="BD13" s="27">
        <f t="shared" si="13"/>
        <v>244</v>
      </c>
      <c r="BE13" s="19">
        <f t="shared" si="14"/>
        <v>1.0844444444444445</v>
      </c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>
        <v>139</v>
      </c>
      <c r="BS13" s="20">
        <v>290</v>
      </c>
      <c r="BT13" s="20">
        <v>86</v>
      </c>
      <c r="BU13" s="20">
        <v>86</v>
      </c>
      <c r="BV13" s="20">
        <v>169</v>
      </c>
      <c r="BW13" s="20">
        <v>105</v>
      </c>
      <c r="BX13" s="20">
        <v>154</v>
      </c>
      <c r="BY13" s="20">
        <v>153</v>
      </c>
      <c r="BZ13" s="20">
        <v>168</v>
      </c>
      <c r="CA13" s="20">
        <v>105</v>
      </c>
      <c r="CB13" s="20">
        <v>162</v>
      </c>
      <c r="CC13" s="20">
        <v>41</v>
      </c>
      <c r="CD13" s="21">
        <v>1758</v>
      </c>
      <c r="CE13" s="21">
        <f t="shared" si="22"/>
        <v>1658</v>
      </c>
      <c r="CF13" s="19">
        <f t="shared" si="16"/>
        <v>0.94311717861205913</v>
      </c>
      <c r="CG13" s="20"/>
      <c r="CH13" s="20"/>
      <c r="CI13" s="20">
        <v>100</v>
      </c>
      <c r="CJ13" s="20"/>
      <c r="CK13" s="20"/>
      <c r="CL13" s="20"/>
      <c r="CM13" s="20">
        <v>100</v>
      </c>
      <c r="CN13" s="20">
        <v>2.7</v>
      </c>
      <c r="CO13" s="20">
        <v>100</v>
      </c>
      <c r="CP13" s="20">
        <v>200</v>
      </c>
      <c r="CQ13" s="20"/>
      <c r="CR13" s="20"/>
      <c r="CS13" s="20">
        <v>0</v>
      </c>
      <c r="CT13" s="20">
        <v>0</v>
      </c>
      <c r="CU13" s="20">
        <v>0</v>
      </c>
      <c r="CV13" s="20">
        <v>0</v>
      </c>
      <c r="CW13" s="20">
        <v>0</v>
      </c>
      <c r="CX13" s="20">
        <v>0</v>
      </c>
      <c r="CY13" s="20">
        <v>0</v>
      </c>
      <c r="CZ13" s="20">
        <v>0</v>
      </c>
      <c r="DA13" s="20">
        <v>0</v>
      </c>
      <c r="DB13" s="20">
        <v>0</v>
      </c>
      <c r="DC13" s="20">
        <v>0</v>
      </c>
      <c r="DD13" s="20">
        <v>0</v>
      </c>
      <c r="DE13" s="14"/>
      <c r="DF13" s="14">
        <v>0</v>
      </c>
      <c r="DG13" s="19">
        <v>0</v>
      </c>
      <c r="DH13" s="20"/>
      <c r="DI13" s="20"/>
      <c r="DJ13" s="20">
        <v>35</v>
      </c>
      <c r="DK13" s="20">
        <v>250</v>
      </c>
      <c r="DL13" s="20">
        <v>62.5</v>
      </c>
      <c r="DM13" s="20">
        <v>40</v>
      </c>
      <c r="DN13" s="20">
        <v>125</v>
      </c>
      <c r="DO13" s="20"/>
      <c r="DP13" s="20">
        <v>5</v>
      </c>
      <c r="DQ13" s="20"/>
      <c r="DR13" s="20"/>
      <c r="DS13" s="20">
        <v>5</v>
      </c>
      <c r="DT13" s="20">
        <v>51.360425199268001</v>
      </c>
      <c r="DU13" s="20">
        <v>92.448765358682408</v>
      </c>
      <c r="DV13" s="20">
        <v>10.2720850398536</v>
      </c>
      <c r="DW13" s="20">
        <v>0</v>
      </c>
      <c r="DX13" s="20">
        <v>143.80919055795039</v>
      </c>
      <c r="DY13" s="20">
        <v>451.97174175355838</v>
      </c>
      <c r="DZ13" s="20">
        <v>164.3533606376576</v>
      </c>
      <c r="EA13" s="20">
        <v>303.02650867568121</v>
      </c>
      <c r="EB13" s="20">
        <v>61.632510239121601</v>
      </c>
      <c r="EC13" s="20">
        <v>195.16961575721839</v>
      </c>
      <c r="ED13" s="20">
        <v>174.62544567751121</v>
      </c>
      <c r="EE13" s="20">
        <v>123.2650204782432</v>
      </c>
      <c r="EF13" s="14">
        <v>1482.1674720150465</v>
      </c>
      <c r="EG13" s="14">
        <f t="shared" si="23"/>
        <v>1771.9346693747461</v>
      </c>
      <c r="EH13" s="19">
        <f t="shared" si="20"/>
        <v>1.1955023321121421</v>
      </c>
      <c r="EI13" s="19"/>
      <c r="EJ13" s="19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>
        <v>241.64576035755064</v>
      </c>
      <c r="EX13" s="20">
        <v>217.98506940685667</v>
      </c>
      <c r="EY13" s="20">
        <v>184.02759628317546</v>
      </c>
      <c r="EZ13" s="20">
        <v>854</v>
      </c>
      <c r="FA13" s="20">
        <v>947.52304038658792</v>
      </c>
      <c r="FB13" s="20">
        <v>368.93151445341368</v>
      </c>
      <c r="FC13" s="20">
        <v>816.07475732717694</v>
      </c>
      <c r="FD13" s="20">
        <v>518.78255714114232</v>
      </c>
      <c r="FE13" s="20">
        <v>537.67277081913846</v>
      </c>
      <c r="FF13" s="20">
        <v>93.109200500416165</v>
      </c>
      <c r="FG13" s="20">
        <v>434.17367894523471</v>
      </c>
      <c r="FH13" s="20">
        <v>186.55556272188591</v>
      </c>
      <c r="FI13" s="14">
        <v>6858.106627560097</v>
      </c>
      <c r="FJ13" s="14">
        <v>5400.4815083425792</v>
      </c>
      <c r="FK13" s="19">
        <v>1.1997910028818173</v>
      </c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19"/>
    </row>
    <row r="14" spans="1:194" s="11" customFormat="1" ht="32.25" customHeight="1">
      <c r="A14" s="6"/>
      <c r="B14" s="7" t="s">
        <v>7</v>
      </c>
      <c r="C14" s="8"/>
      <c r="D14" s="8"/>
      <c r="E14" s="28"/>
      <c r="F14" s="9"/>
      <c r="G14" s="9">
        <f>+SUM(G15:G20)</f>
        <v>1104</v>
      </c>
      <c r="H14" s="9">
        <f t="shared" ref="H14:Z14" si="26">+SUM(H15:H20)</f>
        <v>1091</v>
      </c>
      <c r="I14" s="9">
        <f t="shared" si="26"/>
        <v>1139</v>
      </c>
      <c r="J14" s="9">
        <f t="shared" si="26"/>
        <v>1135</v>
      </c>
      <c r="K14" s="9">
        <f t="shared" si="26"/>
        <v>995</v>
      </c>
      <c r="L14" s="9">
        <f t="shared" si="26"/>
        <v>1102</v>
      </c>
      <c r="M14" s="9">
        <f t="shared" si="26"/>
        <v>1091</v>
      </c>
      <c r="N14" s="9">
        <f t="shared" si="26"/>
        <v>1029</v>
      </c>
      <c r="O14" s="9">
        <f t="shared" si="26"/>
        <v>1019</v>
      </c>
      <c r="P14" s="9">
        <f t="shared" si="26"/>
        <v>518</v>
      </c>
      <c r="Q14" s="9">
        <f t="shared" si="26"/>
        <v>434</v>
      </c>
      <c r="R14" s="9">
        <f t="shared" si="26"/>
        <v>899</v>
      </c>
      <c r="S14" s="9">
        <f t="shared" si="26"/>
        <v>1262</v>
      </c>
      <c r="T14" s="9">
        <f t="shared" si="26"/>
        <v>809</v>
      </c>
      <c r="U14" s="9">
        <f t="shared" si="26"/>
        <v>1401</v>
      </c>
      <c r="V14" s="9">
        <f t="shared" si="26"/>
        <v>952</v>
      </c>
      <c r="W14" s="9">
        <f t="shared" si="26"/>
        <v>1363</v>
      </c>
      <c r="X14" s="9">
        <f t="shared" si="26"/>
        <v>887</v>
      </c>
      <c r="Y14" s="9">
        <f t="shared" si="26"/>
        <v>482</v>
      </c>
      <c r="Z14" s="9">
        <f t="shared" si="26"/>
        <v>1037</v>
      </c>
      <c r="AA14" s="9">
        <f>+SUM(AA15:AA20)</f>
        <v>174</v>
      </c>
      <c r="AB14" s="9">
        <f>+SUM(AB15:AB20)</f>
        <v>8357</v>
      </c>
      <c r="AC14" s="9">
        <f>+P14+Q14+R14+S14+T14+U14+V14+W14+X14+Y14+Z14+AA14</f>
        <v>10218</v>
      </c>
      <c r="AD14" s="10">
        <f t="shared" si="10"/>
        <v>1.2226875673088429</v>
      </c>
      <c r="AE14" s="9"/>
      <c r="AF14" s="9"/>
      <c r="AG14" s="9"/>
      <c r="AH14" s="9"/>
      <c r="AI14" s="9">
        <f>+SUM(AI15:AI20)</f>
        <v>0</v>
      </c>
      <c r="AJ14" s="9">
        <f t="shared" ref="AJ14:BB14" si="27">+SUM(AJ15:AJ20)</f>
        <v>36</v>
      </c>
      <c r="AK14" s="9">
        <f t="shared" si="27"/>
        <v>1095</v>
      </c>
      <c r="AL14" s="9">
        <f t="shared" si="27"/>
        <v>1878</v>
      </c>
      <c r="AM14" s="9">
        <f t="shared" si="27"/>
        <v>432</v>
      </c>
      <c r="AN14" s="9">
        <f t="shared" si="27"/>
        <v>65</v>
      </c>
      <c r="AO14" s="9">
        <f t="shared" si="27"/>
        <v>154</v>
      </c>
      <c r="AP14" s="9">
        <f t="shared" si="27"/>
        <v>35</v>
      </c>
      <c r="AQ14" s="9">
        <f t="shared" si="27"/>
        <v>293</v>
      </c>
      <c r="AR14" s="9">
        <f t="shared" si="27"/>
        <v>614</v>
      </c>
      <c r="AS14" s="9">
        <f t="shared" si="27"/>
        <v>552</v>
      </c>
      <c r="AT14" s="9">
        <f t="shared" si="27"/>
        <v>419</v>
      </c>
      <c r="AU14" s="9">
        <f t="shared" si="27"/>
        <v>462</v>
      </c>
      <c r="AV14" s="9">
        <f t="shared" si="27"/>
        <v>434</v>
      </c>
      <c r="AW14" s="9">
        <f t="shared" si="27"/>
        <v>433</v>
      </c>
      <c r="AX14" s="9">
        <f t="shared" si="27"/>
        <v>269</v>
      </c>
      <c r="AY14" s="9">
        <f t="shared" si="27"/>
        <v>332</v>
      </c>
      <c r="AZ14" s="9">
        <f t="shared" si="27"/>
        <v>361</v>
      </c>
      <c r="BA14" s="9">
        <f t="shared" si="27"/>
        <v>263</v>
      </c>
      <c r="BB14" s="9">
        <f t="shared" si="27"/>
        <v>239</v>
      </c>
      <c r="BC14" s="9">
        <v>4300</v>
      </c>
      <c r="BD14" s="9">
        <f t="shared" si="13"/>
        <v>4671</v>
      </c>
      <c r="BE14" s="10">
        <f t="shared" si="14"/>
        <v>1.0862790697674418</v>
      </c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>
        <f t="shared" ref="BR14:CC14" si="28">+SUM(BR15:BR20)</f>
        <v>1630</v>
      </c>
      <c r="BS14" s="9">
        <f t="shared" si="28"/>
        <v>2184</v>
      </c>
      <c r="BT14" s="9">
        <f t="shared" si="28"/>
        <v>1510</v>
      </c>
      <c r="BU14" s="9">
        <f t="shared" si="28"/>
        <v>1388</v>
      </c>
      <c r="BV14" s="9">
        <f t="shared" si="28"/>
        <v>1670</v>
      </c>
      <c r="BW14" s="9">
        <f t="shared" si="28"/>
        <v>1659</v>
      </c>
      <c r="BX14" s="9">
        <f t="shared" si="28"/>
        <v>1251</v>
      </c>
      <c r="BY14" s="9">
        <f t="shared" si="28"/>
        <v>850</v>
      </c>
      <c r="BZ14" s="9">
        <f t="shared" si="28"/>
        <v>879</v>
      </c>
      <c r="CA14" s="9">
        <f t="shared" si="28"/>
        <v>1277</v>
      </c>
      <c r="CB14" s="9">
        <f t="shared" si="28"/>
        <v>1558</v>
      </c>
      <c r="CC14" s="9">
        <f t="shared" si="28"/>
        <v>1193</v>
      </c>
      <c r="CD14" s="9">
        <f t="shared" ref="CD14:CE14" si="29">+SUM(CD15:CD20)</f>
        <v>15304</v>
      </c>
      <c r="CE14" s="9">
        <f t="shared" si="29"/>
        <v>17049</v>
      </c>
      <c r="CF14" s="10">
        <f t="shared" si="16"/>
        <v>1.1140224777835861</v>
      </c>
      <c r="CG14" s="9"/>
      <c r="CH14" s="9">
        <v>0</v>
      </c>
      <c r="CI14" s="9">
        <v>412.82499999999999</v>
      </c>
      <c r="CJ14" s="9">
        <v>1805.3789999999999</v>
      </c>
      <c r="CK14" s="9">
        <v>5342.259</v>
      </c>
      <c r="CL14" s="9">
        <v>3094.5160799999999</v>
      </c>
      <c r="CM14" s="9">
        <v>5783.4257730999998</v>
      </c>
      <c r="CN14" s="9">
        <v>4387.6322420300003</v>
      </c>
      <c r="CO14" s="9">
        <v>4646.3053</v>
      </c>
      <c r="CP14" s="9">
        <v>4931.3055359999998</v>
      </c>
      <c r="CQ14" s="9">
        <v>1226.4392472</v>
      </c>
      <c r="CR14" s="9">
        <v>0</v>
      </c>
      <c r="CS14" s="9">
        <f t="shared" ref="CS14:DF14" si="30">+SUM(CS15:CS20)</f>
        <v>3631.590119664434</v>
      </c>
      <c r="CT14" s="9">
        <f t="shared" si="30"/>
        <v>2949.4625734210804</v>
      </c>
      <c r="CU14" s="9">
        <f t="shared" si="30"/>
        <v>3301.8423585578053</v>
      </c>
      <c r="CV14" s="9">
        <f t="shared" si="30"/>
        <v>5146.3576257953819</v>
      </c>
      <c r="CW14" s="9">
        <f t="shared" si="30"/>
        <v>3682.6727719839878</v>
      </c>
      <c r="CX14" s="9">
        <f t="shared" si="30"/>
        <v>1001.5769074044192</v>
      </c>
      <c r="CY14" s="9">
        <f t="shared" si="30"/>
        <v>2114.462129696416</v>
      </c>
      <c r="CZ14" s="9">
        <f t="shared" si="30"/>
        <v>1900.7003829495193</v>
      </c>
      <c r="DA14" s="9">
        <f t="shared" si="30"/>
        <v>2719.0896982347213</v>
      </c>
      <c r="DB14" s="9">
        <f t="shared" si="30"/>
        <v>6619.0811255510298</v>
      </c>
      <c r="DC14" s="9">
        <f t="shared" si="30"/>
        <v>4340.86158703619</v>
      </c>
      <c r="DD14" s="9">
        <f t="shared" si="30"/>
        <v>611.39625356028432</v>
      </c>
      <c r="DE14" s="9">
        <f t="shared" si="30"/>
        <v>35815.908774833733</v>
      </c>
      <c r="DF14" s="9">
        <f t="shared" si="30"/>
        <v>37357.569809129491</v>
      </c>
      <c r="DG14" s="10">
        <f t="shared" si="18"/>
        <v>1.0430440295117966</v>
      </c>
      <c r="DH14" s="9">
        <v>0</v>
      </c>
      <c r="DI14" s="9">
        <v>135</v>
      </c>
      <c r="DJ14" s="9">
        <v>622.70049999999992</v>
      </c>
      <c r="DK14" s="9">
        <v>7167.3515499999994</v>
      </c>
      <c r="DL14" s="9">
        <v>4723.7376999999969</v>
      </c>
      <c r="DM14" s="9">
        <v>5479.5149999999985</v>
      </c>
      <c r="DN14" s="9">
        <v>7216.2524999999969</v>
      </c>
      <c r="DO14" s="9">
        <v>9793.3000000000084</v>
      </c>
      <c r="DP14" s="9">
        <v>6256.5599999999949</v>
      </c>
      <c r="DQ14" s="9">
        <v>4989.9999999999982</v>
      </c>
      <c r="DR14" s="9">
        <v>3314.1400000000003</v>
      </c>
      <c r="DS14" s="9">
        <v>1878.55</v>
      </c>
      <c r="DT14" s="9">
        <f t="shared" ref="DT14:EG14" si="31">+SUM(DT15:DT20)</f>
        <v>5010.3432260225618</v>
      </c>
      <c r="DU14" s="9">
        <f t="shared" ref="DU14" si="32">+SUM(DU15:DU20)</f>
        <v>9260.797124487377</v>
      </c>
      <c r="DV14" s="9">
        <f t="shared" ref="DV14" si="33">+SUM(DV15:DV20)</f>
        <v>11755.215219263873</v>
      </c>
      <c r="DW14" s="9">
        <f t="shared" ref="DW14" si="34">+SUM(DW15:DW20)</f>
        <v>4620.3859053431552</v>
      </c>
      <c r="DX14" s="9">
        <f t="shared" ref="DX14" si="35">+SUM(DX15:DX20)</f>
        <v>2112.6073425129857</v>
      </c>
      <c r="DY14" s="9">
        <f t="shared" ref="DY14" si="36">+SUM(DY15:DY20)</f>
        <v>3113.5488560996878</v>
      </c>
      <c r="DZ14" s="9">
        <f t="shared" ref="DZ14" si="37">+SUM(DZ15:DZ20)</f>
        <v>3394.7619546357378</v>
      </c>
      <c r="EA14" s="9">
        <f t="shared" ref="EA14" si="38">+SUM(EA15:EA20)</f>
        <v>4006.2952608488226</v>
      </c>
      <c r="EB14" s="9">
        <f t="shared" ref="EB14" si="39">+SUM(EB15:EB20)</f>
        <v>4676.5729358481221</v>
      </c>
      <c r="EC14" s="9">
        <f t="shared" ref="EC14" si="40">+SUM(EC15:EC20)</f>
        <v>3074.0673117837564</v>
      </c>
      <c r="ED14" s="9">
        <f t="shared" ref="ED14" si="41">+SUM(ED15:ED20)</f>
        <v>717.1395437795469</v>
      </c>
      <c r="EE14" s="9">
        <f t="shared" ref="EE14" si="42">+SUM(EE15:EE20)</f>
        <v>68.855593313324363</v>
      </c>
      <c r="EF14" s="9">
        <f t="shared" ref="EF14" si="43">+SUM(EF15:EF20)</f>
        <v>22549</v>
      </c>
      <c r="EG14" s="9">
        <f t="shared" ref="EG14" si="44">+SUM(EG15:EG20)</f>
        <v>51810.590273938942</v>
      </c>
      <c r="EH14" s="10">
        <f t="shared" si="20"/>
        <v>2.2976890449216789</v>
      </c>
      <c r="EI14" s="10"/>
      <c r="EJ14" s="10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>
        <f>+SUM(EW15:EW20)</f>
        <v>35667.350541243031</v>
      </c>
      <c r="EX14" s="9">
        <f t="shared" ref="EX14:FJ14" si="45">+SUM(EX15:EX20)</f>
        <v>68430.106013399709</v>
      </c>
      <c r="EY14" s="9">
        <f t="shared" si="45"/>
        <v>89286.946057728783</v>
      </c>
      <c r="EZ14" s="9">
        <f t="shared" si="45"/>
        <v>85582.053659799974</v>
      </c>
      <c r="FA14" s="9">
        <f t="shared" si="45"/>
        <v>53029.639512711699</v>
      </c>
      <c r="FB14" s="9">
        <f t="shared" si="45"/>
        <v>21212.956242797711</v>
      </c>
      <c r="FC14" s="9">
        <f t="shared" si="45"/>
        <v>35783.109290290369</v>
      </c>
      <c r="FD14" s="9">
        <f t="shared" si="45"/>
        <v>20586.149522373606</v>
      </c>
      <c r="FE14" s="9">
        <f t="shared" si="45"/>
        <v>16930.32193400136</v>
      </c>
      <c r="FF14" s="9">
        <f t="shared" si="45"/>
        <v>25876.975487495019</v>
      </c>
      <c r="FG14" s="9">
        <f t="shared" si="45"/>
        <v>17091.495334546678</v>
      </c>
      <c r="FH14" s="9">
        <v>8766.3809207970589</v>
      </c>
      <c r="FI14" s="9">
        <f t="shared" si="45"/>
        <v>453786.18061333045</v>
      </c>
      <c r="FJ14" s="9">
        <v>478243.48451718502</v>
      </c>
      <c r="FK14" s="10">
        <v>1.1978088954691983</v>
      </c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>
        <v>0</v>
      </c>
      <c r="GJ14" s="9">
        <v>0</v>
      </c>
      <c r="GK14" s="9">
        <v>0</v>
      </c>
      <c r="GL14" s="10"/>
    </row>
    <row r="15" spans="1:194" s="11" customFormat="1" ht="24.95" customHeight="1">
      <c r="A15" s="15">
        <f t="shared" si="24"/>
        <v>1</v>
      </c>
      <c r="B15" s="16" t="s">
        <v>67</v>
      </c>
      <c r="C15" s="17">
        <v>11198</v>
      </c>
      <c r="D15" s="17"/>
      <c r="E15" s="17"/>
      <c r="F15" s="17"/>
      <c r="G15" s="20">
        <v>278</v>
      </c>
      <c r="H15" s="20">
        <v>291</v>
      </c>
      <c r="I15" s="20">
        <v>148</v>
      </c>
      <c r="J15" s="20">
        <v>165</v>
      </c>
      <c r="K15" s="20">
        <v>182</v>
      </c>
      <c r="L15" s="20">
        <v>173</v>
      </c>
      <c r="M15" s="20">
        <v>185</v>
      </c>
      <c r="N15" s="20">
        <v>169</v>
      </c>
      <c r="O15" s="20">
        <v>170</v>
      </c>
      <c r="P15" s="20">
        <v>63</v>
      </c>
      <c r="Q15" s="20">
        <v>16</v>
      </c>
      <c r="R15" s="20">
        <v>221</v>
      </c>
      <c r="S15" s="20">
        <v>140</v>
      </c>
      <c r="T15" s="20">
        <v>253</v>
      </c>
      <c r="U15" s="20">
        <v>109</v>
      </c>
      <c r="V15" s="20">
        <v>166</v>
      </c>
      <c r="W15" s="20">
        <v>254</v>
      </c>
      <c r="X15" s="20">
        <v>209</v>
      </c>
      <c r="Y15" s="20">
        <v>136</v>
      </c>
      <c r="Z15" s="20">
        <v>226</v>
      </c>
      <c r="AA15" s="20">
        <v>16</v>
      </c>
      <c r="AB15" s="18">
        <v>1261</v>
      </c>
      <c r="AC15" s="18">
        <f t="shared" si="25"/>
        <v>1809</v>
      </c>
      <c r="AD15" s="19">
        <f t="shared" si="10"/>
        <v>1.4345757335448057</v>
      </c>
      <c r="AE15" s="20"/>
      <c r="AF15" s="20"/>
      <c r="AG15" s="20"/>
      <c r="AH15" s="20"/>
      <c r="AI15" s="20"/>
      <c r="AJ15" s="20"/>
      <c r="AK15" s="20">
        <v>76</v>
      </c>
      <c r="AL15" s="20">
        <v>86</v>
      </c>
      <c r="AM15" s="20">
        <v>18</v>
      </c>
      <c r="AN15" s="20">
        <v>1</v>
      </c>
      <c r="AO15" s="20">
        <v>1</v>
      </c>
      <c r="AP15" s="20"/>
      <c r="AQ15" s="20">
        <v>5</v>
      </c>
      <c r="AR15" s="20">
        <v>10</v>
      </c>
      <c r="AS15" s="20">
        <v>11</v>
      </c>
      <c r="AT15" s="20">
        <v>9</v>
      </c>
      <c r="AU15" s="20">
        <v>5</v>
      </c>
      <c r="AV15" s="20">
        <v>7</v>
      </c>
      <c r="AW15" s="20">
        <v>4</v>
      </c>
      <c r="AX15" s="20">
        <v>6</v>
      </c>
      <c r="AY15" s="20">
        <v>14</v>
      </c>
      <c r="AZ15" s="20">
        <v>3</v>
      </c>
      <c r="BA15" s="20">
        <v>4</v>
      </c>
      <c r="BB15" s="20">
        <v>12</v>
      </c>
      <c r="BC15" s="27">
        <v>320</v>
      </c>
      <c r="BD15" s="27">
        <f t="shared" si="13"/>
        <v>90</v>
      </c>
      <c r="BE15" s="19">
        <f t="shared" si="14"/>
        <v>0.28125</v>
      </c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>
        <v>98</v>
      </c>
      <c r="BS15" s="20">
        <v>52</v>
      </c>
      <c r="BT15" s="20">
        <v>43</v>
      </c>
      <c r="BU15" s="20">
        <v>27</v>
      </c>
      <c r="BV15" s="20">
        <v>31</v>
      </c>
      <c r="BW15" s="20">
        <v>76</v>
      </c>
      <c r="BX15" s="20">
        <v>34</v>
      </c>
      <c r="BY15" s="20">
        <v>83</v>
      </c>
      <c r="BZ15" s="20">
        <v>62</v>
      </c>
      <c r="CA15" s="20">
        <v>184</v>
      </c>
      <c r="CB15" s="20">
        <v>192</v>
      </c>
      <c r="CC15" s="20">
        <v>163</v>
      </c>
      <c r="CD15" s="21">
        <v>1358</v>
      </c>
      <c r="CE15" s="21">
        <f t="shared" ref="CE15:CE20" si="46">+SUM(BR15:CC15)</f>
        <v>1045</v>
      </c>
      <c r="CF15" s="19">
        <f>+CE15/CD15</f>
        <v>0.76951399116347574</v>
      </c>
      <c r="CG15" s="20"/>
      <c r="CH15" s="20"/>
      <c r="CI15" s="20">
        <v>100</v>
      </c>
      <c r="CJ15" s="20">
        <v>350</v>
      </c>
      <c r="CK15" s="20"/>
      <c r="CL15" s="20">
        <v>100</v>
      </c>
      <c r="CM15" s="20">
        <v>400</v>
      </c>
      <c r="CN15" s="20">
        <v>197.94863396</v>
      </c>
      <c r="CO15" s="20">
        <v>710</v>
      </c>
      <c r="CP15" s="20">
        <v>723.07595200000003</v>
      </c>
      <c r="CQ15" s="20">
        <v>100</v>
      </c>
      <c r="CR15" s="20"/>
      <c r="CS15" s="20">
        <v>958.54497380214048</v>
      </c>
      <c r="CT15" s="20">
        <v>797.92392413799803</v>
      </c>
      <c r="CU15" s="20">
        <v>414.50593461714186</v>
      </c>
      <c r="CV15" s="20">
        <v>1628.3554761983453</v>
      </c>
      <c r="CW15" s="20">
        <v>669.80944333354194</v>
      </c>
      <c r="CX15" s="20">
        <v>0</v>
      </c>
      <c r="CY15" s="20">
        <v>310.87945096285637</v>
      </c>
      <c r="CZ15" s="20">
        <v>203.49132595192037</v>
      </c>
      <c r="DA15" s="20">
        <v>514.3707769147768</v>
      </c>
      <c r="DB15" s="20">
        <v>1350.7981573193611</v>
      </c>
      <c r="DC15" s="20">
        <v>1865.2767057771382</v>
      </c>
      <c r="DD15" s="20">
        <v>0</v>
      </c>
      <c r="DE15" s="14">
        <v>4485.1616176652215</v>
      </c>
      <c r="DF15" s="14">
        <v>8409.004977999999</v>
      </c>
      <c r="DG15" s="19">
        <f t="shared" si="18"/>
        <v>1.8748499373758036</v>
      </c>
      <c r="DH15" s="20"/>
      <c r="DI15" s="20"/>
      <c r="DJ15" s="20">
        <v>64.750500000000002</v>
      </c>
      <c r="DK15" s="20">
        <v>560.91399999999999</v>
      </c>
      <c r="DL15" s="20">
        <v>95</v>
      </c>
      <c r="DM15" s="20">
        <v>173</v>
      </c>
      <c r="DN15" s="20">
        <v>42.5</v>
      </c>
      <c r="DO15" s="20">
        <v>121.79999999999998</v>
      </c>
      <c r="DP15" s="20">
        <v>78.8</v>
      </c>
      <c r="DQ15" s="20">
        <v>31.2</v>
      </c>
      <c r="DR15" s="20">
        <v>47.099999999999994</v>
      </c>
      <c r="DS15" s="20">
        <v>39.6</v>
      </c>
      <c r="DT15" s="20">
        <v>130.96908425813339</v>
      </c>
      <c r="DU15" s="20">
        <v>230.09470489272064</v>
      </c>
      <c r="DV15" s="20">
        <v>424.54527469714924</v>
      </c>
      <c r="DW15" s="20">
        <v>42.62709849838452</v>
      </c>
      <c r="DX15" s="20">
        <v>117.81567936460092</v>
      </c>
      <c r="DY15" s="20">
        <v>359.95440396654982</v>
      </c>
      <c r="DZ15" s="20">
        <v>276.14959816890428</v>
      </c>
      <c r="EA15" s="20">
        <v>240.46334753194893</v>
      </c>
      <c r="EB15" s="20">
        <v>150.99965008584792</v>
      </c>
      <c r="EC15" s="20">
        <v>243.44841544453033</v>
      </c>
      <c r="ED15" s="20">
        <v>10.2720850398536</v>
      </c>
      <c r="EE15" s="20">
        <v>0</v>
      </c>
      <c r="EF15" s="14">
        <v>852.17056777211542</v>
      </c>
      <c r="EG15" s="14">
        <f>((+DT15+DU15+DV15+DW15+DX15+DY15+DZ15+EA15+EB15+EC15+ED15+EE15))</f>
        <v>2227.3393419486238</v>
      </c>
      <c r="EH15" s="19">
        <f t="shared" si="20"/>
        <v>2.6137247942881916</v>
      </c>
      <c r="EI15" s="19"/>
      <c r="EJ15" s="19"/>
      <c r="EK15" s="32"/>
      <c r="EL15" s="32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>
        <v>4563.3756159037175</v>
      </c>
      <c r="EX15" s="20">
        <v>14889.80238475216</v>
      </c>
      <c r="EY15" s="20">
        <v>31858.622714313904</v>
      </c>
      <c r="EZ15" s="20">
        <v>21112.43308965805</v>
      </c>
      <c r="FA15" s="20">
        <v>8542.9334515999763</v>
      </c>
      <c r="FB15" s="20">
        <v>5476.9929959983592</v>
      </c>
      <c r="FC15" s="20">
        <v>13042.396775903979</v>
      </c>
      <c r="FD15" s="20">
        <v>1122.4354693875332</v>
      </c>
      <c r="FE15" s="20">
        <v>2365.2332446202631</v>
      </c>
      <c r="FF15" s="20">
        <v>10380.58226800685</v>
      </c>
      <c r="FG15" s="20">
        <v>2065.8792807778564</v>
      </c>
      <c r="FH15" s="20">
        <v>531.40222265096872</v>
      </c>
      <c r="FI15" s="14">
        <v>49267.364681636791</v>
      </c>
      <c r="FJ15" s="14">
        <v>115952.08951357361</v>
      </c>
      <c r="FK15" s="19">
        <v>1.2379436879725643</v>
      </c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19"/>
    </row>
    <row r="16" spans="1:194" s="11" customFormat="1" ht="24.95" customHeight="1">
      <c r="A16" s="15">
        <f t="shared" si="24"/>
        <v>2</v>
      </c>
      <c r="B16" s="16" t="s">
        <v>44</v>
      </c>
      <c r="C16" s="17">
        <v>11201</v>
      </c>
      <c r="D16" s="17"/>
      <c r="E16" s="17"/>
      <c r="F16" s="17"/>
      <c r="G16" s="20">
        <v>303</v>
      </c>
      <c r="H16" s="20">
        <v>129</v>
      </c>
      <c r="I16" s="20">
        <v>220</v>
      </c>
      <c r="J16" s="20">
        <v>188</v>
      </c>
      <c r="K16" s="20">
        <v>100</v>
      </c>
      <c r="L16" s="20">
        <v>190</v>
      </c>
      <c r="M16" s="20">
        <v>188</v>
      </c>
      <c r="N16" s="20">
        <v>180</v>
      </c>
      <c r="O16" s="20">
        <v>165</v>
      </c>
      <c r="P16" s="20">
        <v>182</v>
      </c>
      <c r="Q16" s="20">
        <v>79</v>
      </c>
      <c r="R16" s="20">
        <v>212</v>
      </c>
      <c r="S16" s="20">
        <v>196</v>
      </c>
      <c r="T16" s="20">
        <v>76</v>
      </c>
      <c r="U16" s="20">
        <v>178</v>
      </c>
      <c r="V16" s="20">
        <v>254</v>
      </c>
      <c r="W16" s="20">
        <v>150</v>
      </c>
      <c r="X16" s="20">
        <v>197</v>
      </c>
      <c r="Y16" s="20">
        <v>77</v>
      </c>
      <c r="Z16" s="20">
        <v>269</v>
      </c>
      <c r="AA16" s="20">
        <v>19</v>
      </c>
      <c r="AB16" s="18">
        <v>1437</v>
      </c>
      <c r="AC16" s="18">
        <f t="shared" si="25"/>
        <v>1889</v>
      </c>
      <c r="AD16" s="19">
        <f t="shared" si="10"/>
        <v>1.314544189283229</v>
      </c>
      <c r="AE16" s="20"/>
      <c r="AF16" s="20"/>
      <c r="AG16" s="20"/>
      <c r="AH16" s="20"/>
      <c r="AI16" s="20"/>
      <c r="AJ16" s="20"/>
      <c r="AK16" s="20">
        <v>127</v>
      </c>
      <c r="AL16" s="20">
        <v>186</v>
      </c>
      <c r="AM16" s="20">
        <v>51</v>
      </c>
      <c r="AN16" s="20">
        <v>17</v>
      </c>
      <c r="AO16" s="20">
        <v>3</v>
      </c>
      <c r="AP16" s="20">
        <v>16</v>
      </c>
      <c r="AQ16" s="20">
        <v>26</v>
      </c>
      <c r="AR16" s="20">
        <v>57</v>
      </c>
      <c r="AS16" s="20">
        <v>78</v>
      </c>
      <c r="AT16" s="20">
        <v>44</v>
      </c>
      <c r="AU16" s="20">
        <v>63</v>
      </c>
      <c r="AV16" s="20">
        <v>60</v>
      </c>
      <c r="AW16" s="20">
        <v>44</v>
      </c>
      <c r="AX16" s="20">
        <v>18</v>
      </c>
      <c r="AY16" s="20">
        <v>32</v>
      </c>
      <c r="AZ16" s="20">
        <v>38</v>
      </c>
      <c r="BA16" s="20">
        <v>17</v>
      </c>
      <c r="BB16" s="20">
        <v>36</v>
      </c>
      <c r="BC16" s="27">
        <v>484</v>
      </c>
      <c r="BD16" s="27">
        <f t="shared" si="13"/>
        <v>513</v>
      </c>
      <c r="BE16" s="19">
        <f t="shared" si="14"/>
        <v>1.0599173553719008</v>
      </c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>
        <v>187</v>
      </c>
      <c r="BS16" s="20">
        <v>314</v>
      </c>
      <c r="BT16" s="20">
        <v>65</v>
      </c>
      <c r="BU16" s="20">
        <v>312</v>
      </c>
      <c r="BV16" s="20">
        <v>548</v>
      </c>
      <c r="BW16" s="20">
        <v>231</v>
      </c>
      <c r="BX16" s="20">
        <v>143</v>
      </c>
      <c r="BY16" s="20">
        <v>106</v>
      </c>
      <c r="BZ16" s="20">
        <v>136</v>
      </c>
      <c r="CA16" s="20">
        <v>204</v>
      </c>
      <c r="CB16" s="20">
        <v>210</v>
      </c>
      <c r="CC16" s="20">
        <v>75</v>
      </c>
      <c r="CD16" s="21">
        <v>2381</v>
      </c>
      <c r="CE16" s="21">
        <f t="shared" si="46"/>
        <v>2531</v>
      </c>
      <c r="CF16" s="19">
        <f>+CE16/CD16</f>
        <v>1.0629987400251995</v>
      </c>
      <c r="CG16" s="20"/>
      <c r="CH16" s="20"/>
      <c r="CI16" s="20">
        <v>200</v>
      </c>
      <c r="CJ16" s="20">
        <v>380</v>
      </c>
      <c r="CK16" s="20">
        <v>1700</v>
      </c>
      <c r="CL16" s="20">
        <v>510</v>
      </c>
      <c r="CM16" s="20">
        <v>802.29937499999994</v>
      </c>
      <c r="CN16" s="20">
        <v>448.5</v>
      </c>
      <c r="CO16" s="20">
        <v>921.50940000000003</v>
      </c>
      <c r="CP16" s="20">
        <v>570.57358399999998</v>
      </c>
      <c r="CQ16" s="20"/>
      <c r="CR16" s="20"/>
      <c r="CS16" s="20">
        <v>1103.6220509181401</v>
      </c>
      <c r="CT16" s="20">
        <v>414.42303343021837</v>
      </c>
      <c r="CU16" s="20">
        <v>847.66463629205509</v>
      </c>
      <c r="CV16" s="20">
        <v>849.73716596514078</v>
      </c>
      <c r="CW16" s="20">
        <v>673.57214375285548</v>
      </c>
      <c r="CX16" s="20">
        <v>103.62648365428547</v>
      </c>
      <c r="CY16" s="20">
        <v>610.40143931720309</v>
      </c>
      <c r="CZ16" s="20">
        <v>300.51680259742784</v>
      </c>
      <c r="DA16" s="20">
        <v>435.24076498449512</v>
      </c>
      <c r="DB16" s="20">
        <v>1475.1702484953</v>
      </c>
      <c r="DC16" s="20">
        <v>326.42342351099921</v>
      </c>
      <c r="DD16" s="20">
        <v>51.813241827142733</v>
      </c>
      <c r="DE16" s="14">
        <v>6225.6667291223575</v>
      </c>
      <c r="DF16" s="14">
        <v>6940.5147999999999</v>
      </c>
      <c r="DG16" s="19">
        <f t="shared" si="18"/>
        <v>1.1148227333682565</v>
      </c>
      <c r="DH16" s="20"/>
      <c r="DI16" s="20">
        <v>5</v>
      </c>
      <c r="DJ16" s="20">
        <v>35</v>
      </c>
      <c r="DK16" s="20">
        <v>817</v>
      </c>
      <c r="DL16" s="20">
        <v>250</v>
      </c>
      <c r="DM16" s="20">
        <v>253</v>
      </c>
      <c r="DN16" s="20">
        <v>360</v>
      </c>
      <c r="DO16" s="20">
        <v>326.565</v>
      </c>
      <c r="DP16" s="20">
        <v>340.65999999999997</v>
      </c>
      <c r="DQ16" s="20">
        <v>207</v>
      </c>
      <c r="DR16" s="20">
        <v>88</v>
      </c>
      <c r="DS16" s="20">
        <v>138</v>
      </c>
      <c r="DT16" s="20">
        <v>498.96653081088863</v>
      </c>
      <c r="DU16" s="20">
        <v>788.62083918168844</v>
      </c>
      <c r="DV16" s="20">
        <v>1059.4936672656202</v>
      </c>
      <c r="DW16" s="20">
        <v>1492.018297621727</v>
      </c>
      <c r="DX16" s="20">
        <v>725.24412890279928</v>
      </c>
      <c r="DY16" s="20">
        <v>1134.437530764638</v>
      </c>
      <c r="DZ16" s="20">
        <v>1244.7765490797317</v>
      </c>
      <c r="EA16" s="20">
        <v>816.91837904947681</v>
      </c>
      <c r="EB16" s="20">
        <v>1215.6095954552895</v>
      </c>
      <c r="EC16" s="20">
        <v>424.85549166535367</v>
      </c>
      <c r="ED16" s="20">
        <v>319.10236448465281</v>
      </c>
      <c r="EE16" s="20">
        <v>25.933694191964261</v>
      </c>
      <c r="EF16" s="14">
        <v>2348.2507133030595</v>
      </c>
      <c r="EG16" s="14">
        <f t="shared" ref="EG16:EG20" si="47">((+DT16+DU16+DV16+DW16+DX16+DY16+DZ16+EA16+EB16+EC16+ED16+EE16))</f>
        <v>9745.9770684738323</v>
      </c>
      <c r="EH16" s="19">
        <f t="shared" si="20"/>
        <v>4.1503136838251393</v>
      </c>
      <c r="EI16" s="19"/>
      <c r="EJ16" s="19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>
        <v>3878.9556449784191</v>
      </c>
      <c r="EX16" s="20">
        <v>6359.1628619305529</v>
      </c>
      <c r="EY16" s="20">
        <v>8221.6402642894445</v>
      </c>
      <c r="EZ16" s="20">
        <v>9862.2604249792857</v>
      </c>
      <c r="FA16" s="20">
        <v>13674.406800880246</v>
      </c>
      <c r="FB16" s="20">
        <v>3788.2180841549271</v>
      </c>
      <c r="FC16" s="20">
        <v>6821.123168768213</v>
      </c>
      <c r="FD16" s="20">
        <v>6155.1314036654976</v>
      </c>
      <c r="FE16" s="20">
        <v>7194.04323981782</v>
      </c>
      <c r="FF16" s="20">
        <v>4356.5512669770751</v>
      </c>
      <c r="FG16" s="20">
        <v>5173.2006375070559</v>
      </c>
      <c r="FH16" s="20">
        <v>2372.1242560827131</v>
      </c>
      <c r="FI16" s="14">
        <v>88650.895686672317</v>
      </c>
      <c r="FJ16" s="14">
        <v>77856.818054031246</v>
      </c>
      <c r="FK16" s="19">
        <v>1.3283793209729355</v>
      </c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19"/>
    </row>
    <row r="17" spans="1:194" s="11" customFormat="1" ht="24.95" customHeight="1">
      <c r="A17" s="15">
        <f t="shared" si="24"/>
        <v>3</v>
      </c>
      <c r="B17" s="16" t="s">
        <v>55</v>
      </c>
      <c r="C17" s="17">
        <v>11202</v>
      </c>
      <c r="D17" s="17"/>
      <c r="E17" s="17"/>
      <c r="F17" s="17"/>
      <c r="G17" s="20">
        <v>87</v>
      </c>
      <c r="H17" s="20">
        <v>94</v>
      </c>
      <c r="I17" s="20">
        <v>191</v>
      </c>
      <c r="J17" s="20">
        <v>221</v>
      </c>
      <c r="K17" s="20">
        <v>163</v>
      </c>
      <c r="L17" s="20">
        <v>175</v>
      </c>
      <c r="M17" s="20">
        <v>176</v>
      </c>
      <c r="N17" s="20">
        <v>169</v>
      </c>
      <c r="O17" s="20">
        <v>171</v>
      </c>
      <c r="P17" s="20">
        <v>138</v>
      </c>
      <c r="Q17" s="20">
        <v>122</v>
      </c>
      <c r="R17" s="20">
        <v>143</v>
      </c>
      <c r="S17" s="20">
        <v>96</v>
      </c>
      <c r="T17" s="20">
        <v>74</v>
      </c>
      <c r="U17" s="20">
        <v>78</v>
      </c>
      <c r="V17" s="20">
        <v>110</v>
      </c>
      <c r="W17" s="20">
        <v>98</v>
      </c>
      <c r="X17" s="20">
        <v>117</v>
      </c>
      <c r="Y17" s="20">
        <v>24</v>
      </c>
      <c r="Z17" s="20">
        <v>131</v>
      </c>
      <c r="AA17" s="20">
        <v>22</v>
      </c>
      <c r="AB17" s="18">
        <v>1220</v>
      </c>
      <c r="AC17" s="18">
        <f t="shared" si="25"/>
        <v>1153</v>
      </c>
      <c r="AD17" s="19">
        <f t="shared" si="10"/>
        <v>0.94508196721311477</v>
      </c>
      <c r="AE17" s="20"/>
      <c r="AF17" s="20"/>
      <c r="AG17" s="20"/>
      <c r="AH17" s="20"/>
      <c r="AI17" s="20"/>
      <c r="AJ17" s="20"/>
      <c r="AK17" s="20">
        <v>307</v>
      </c>
      <c r="AL17" s="20">
        <v>585</v>
      </c>
      <c r="AM17" s="20">
        <v>134</v>
      </c>
      <c r="AN17" s="20">
        <v>16</v>
      </c>
      <c r="AO17" s="20">
        <v>16</v>
      </c>
      <c r="AP17" s="20"/>
      <c r="AQ17" s="20">
        <v>108</v>
      </c>
      <c r="AR17" s="20">
        <v>202</v>
      </c>
      <c r="AS17" s="20">
        <v>170</v>
      </c>
      <c r="AT17" s="20">
        <v>115</v>
      </c>
      <c r="AU17" s="20">
        <v>120</v>
      </c>
      <c r="AV17" s="20">
        <v>93</v>
      </c>
      <c r="AW17" s="20">
        <v>130</v>
      </c>
      <c r="AX17" s="20">
        <v>101</v>
      </c>
      <c r="AY17" s="20">
        <v>98</v>
      </c>
      <c r="AZ17" s="20">
        <v>78</v>
      </c>
      <c r="BA17" s="20">
        <v>95</v>
      </c>
      <c r="BB17" s="20">
        <v>63</v>
      </c>
      <c r="BC17" s="27">
        <v>1200</v>
      </c>
      <c r="BD17" s="27">
        <f t="shared" si="13"/>
        <v>1373</v>
      </c>
      <c r="BE17" s="19">
        <f t="shared" si="14"/>
        <v>1.1441666666666668</v>
      </c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>
        <v>380</v>
      </c>
      <c r="BS17" s="20">
        <v>427</v>
      </c>
      <c r="BT17" s="20">
        <v>153</v>
      </c>
      <c r="BU17" s="20">
        <v>115</v>
      </c>
      <c r="BV17" s="20">
        <v>160</v>
      </c>
      <c r="BW17" s="20">
        <v>285</v>
      </c>
      <c r="BX17" s="20">
        <v>236</v>
      </c>
      <c r="BY17" s="20">
        <v>128</v>
      </c>
      <c r="BZ17" s="20">
        <v>126</v>
      </c>
      <c r="CA17" s="20">
        <v>127</v>
      </c>
      <c r="CB17" s="20">
        <v>402</v>
      </c>
      <c r="CC17" s="20">
        <v>248</v>
      </c>
      <c r="CD17" s="21">
        <v>2842</v>
      </c>
      <c r="CE17" s="21">
        <f t="shared" si="46"/>
        <v>2787</v>
      </c>
      <c r="CF17" s="19">
        <f>+CE17/CD17</f>
        <v>0.98064743138634769</v>
      </c>
      <c r="CG17" s="20"/>
      <c r="CH17" s="20"/>
      <c r="CI17" s="20">
        <v>23</v>
      </c>
      <c r="CJ17" s="20">
        <v>484.375</v>
      </c>
      <c r="CK17" s="20">
        <v>2176.259</v>
      </c>
      <c r="CL17" s="20">
        <v>934.51607999999999</v>
      </c>
      <c r="CM17" s="20">
        <v>2851.1263981000002</v>
      </c>
      <c r="CN17" s="20">
        <v>2143.23260807</v>
      </c>
      <c r="CO17" s="20">
        <v>442.78399999999999</v>
      </c>
      <c r="CP17" s="20">
        <v>1353.6559999999999</v>
      </c>
      <c r="CQ17" s="20">
        <v>552.43924719999995</v>
      </c>
      <c r="CR17" s="20"/>
      <c r="CS17" s="20">
        <v>921.75757210486915</v>
      </c>
      <c r="CT17" s="20">
        <v>699.3751381827725</v>
      </c>
      <c r="CU17" s="20">
        <v>759.31269632841133</v>
      </c>
      <c r="CV17" s="20">
        <v>1283.9229335536429</v>
      </c>
      <c r="CW17" s="20">
        <v>51.813241827142733</v>
      </c>
      <c r="CX17" s="20">
        <v>103.62648365428547</v>
      </c>
      <c r="CY17" s="20">
        <v>514.3707769147768</v>
      </c>
      <c r="CZ17" s="20">
        <v>103.62648365428547</v>
      </c>
      <c r="DA17" s="20">
        <v>102.54876822428091</v>
      </c>
      <c r="DB17" s="20">
        <v>470.46423579045597</v>
      </c>
      <c r="DC17" s="20">
        <v>787.5612757725695</v>
      </c>
      <c r="DD17" s="20">
        <v>518.13241827142735</v>
      </c>
      <c r="DE17" s="14">
        <v>3895.9971556416231</v>
      </c>
      <c r="DF17" s="14">
        <v>6095.461123</v>
      </c>
      <c r="DG17" s="19">
        <f t="shared" si="18"/>
        <v>1.564544551623563</v>
      </c>
      <c r="DH17" s="20"/>
      <c r="DI17" s="20">
        <v>5</v>
      </c>
      <c r="DJ17" s="20">
        <v>151.44999999999999</v>
      </c>
      <c r="DK17" s="20">
        <v>1362.0699999999997</v>
      </c>
      <c r="DL17" s="20">
        <v>2164.259999999997</v>
      </c>
      <c r="DM17" s="20">
        <v>2269.1199999999985</v>
      </c>
      <c r="DN17" s="20">
        <v>3941.399999999996</v>
      </c>
      <c r="DO17" s="20">
        <v>4949.9500000000053</v>
      </c>
      <c r="DP17" s="20">
        <v>3722.4999999999945</v>
      </c>
      <c r="DQ17" s="20">
        <v>2583.449999999998</v>
      </c>
      <c r="DR17" s="20">
        <v>1329.7000000000003</v>
      </c>
      <c r="DS17" s="20">
        <v>1112.42</v>
      </c>
      <c r="DT17" s="20">
        <v>1425.16007484703</v>
      </c>
      <c r="DU17" s="20">
        <v>2606.8711968084999</v>
      </c>
      <c r="DV17" s="20">
        <v>3272.4888730338698</v>
      </c>
      <c r="DW17" s="20">
        <v>1255.5158660811444</v>
      </c>
      <c r="DX17" s="20">
        <v>221.1867527461591</v>
      </c>
      <c r="DY17" s="20">
        <v>51.871975034252294</v>
      </c>
      <c r="DZ17" s="20">
        <v>300.39274607146245</v>
      </c>
      <c r="EA17" s="20">
        <v>404.26509720296707</v>
      </c>
      <c r="EB17" s="20">
        <v>203.69544634029614</v>
      </c>
      <c r="EC17" s="20">
        <v>671.40915841743094</v>
      </c>
      <c r="ED17" s="20">
        <v>238.30210083956345</v>
      </c>
      <c r="EE17" s="20">
        <v>16.43533606376576</v>
      </c>
      <c r="EF17" s="14">
        <v>5733.0057936211733</v>
      </c>
      <c r="EG17" s="14">
        <f t="shared" si="47"/>
        <v>10667.59462348644</v>
      </c>
      <c r="EH17" s="19">
        <f t="shared" si="20"/>
        <v>1.8607332710801958</v>
      </c>
      <c r="EI17" s="19"/>
      <c r="EJ17" s="19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>
        <v>6018.238071680581</v>
      </c>
      <c r="EX17" s="20">
        <v>19997.266043156731</v>
      </c>
      <c r="EY17" s="20">
        <v>19537.231495047294</v>
      </c>
      <c r="EZ17" s="20">
        <v>17696.155058845208</v>
      </c>
      <c r="FA17" s="20">
        <v>11174.898746988141</v>
      </c>
      <c r="FB17" s="20">
        <v>2971.8332169556625</v>
      </c>
      <c r="FC17" s="20">
        <v>5210.5214397372038</v>
      </c>
      <c r="FD17" s="20">
        <v>6087.2882575328758</v>
      </c>
      <c r="FE17" s="20">
        <v>2336.6152820060834</v>
      </c>
      <c r="FF17" s="20">
        <v>2073.2875393637855</v>
      </c>
      <c r="FG17" s="20">
        <v>1478.4091430167523</v>
      </c>
      <c r="FH17" s="20">
        <v>1326.8050695148841</v>
      </c>
      <c r="FI17" s="14">
        <v>93951.892035837664</v>
      </c>
      <c r="FJ17" s="14">
        <v>95908.549363845203</v>
      </c>
      <c r="FK17" s="19">
        <v>1.083717324114877</v>
      </c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19"/>
    </row>
    <row r="18" spans="1:194" s="11" customFormat="1" ht="24.95" customHeight="1">
      <c r="A18" s="15">
        <f t="shared" si="24"/>
        <v>4</v>
      </c>
      <c r="B18" s="16" t="s">
        <v>40</v>
      </c>
      <c r="C18" s="17">
        <v>11199</v>
      </c>
      <c r="D18" s="17"/>
      <c r="E18" s="17"/>
      <c r="F18" s="17"/>
      <c r="G18" s="20">
        <v>113</v>
      </c>
      <c r="H18" s="20">
        <v>20</v>
      </c>
      <c r="I18" s="20">
        <v>203</v>
      </c>
      <c r="J18" s="20">
        <v>188</v>
      </c>
      <c r="K18" s="20">
        <v>188</v>
      </c>
      <c r="L18" s="20">
        <v>191</v>
      </c>
      <c r="M18" s="20">
        <v>171</v>
      </c>
      <c r="N18" s="20">
        <v>169</v>
      </c>
      <c r="O18" s="20">
        <v>180</v>
      </c>
      <c r="P18" s="20">
        <v>78</v>
      </c>
      <c r="Q18" s="20">
        <v>137</v>
      </c>
      <c r="R18" s="20">
        <v>154</v>
      </c>
      <c r="S18" s="20">
        <v>167</v>
      </c>
      <c r="T18" s="20">
        <v>187</v>
      </c>
      <c r="U18" s="20">
        <v>185</v>
      </c>
      <c r="V18" s="20">
        <v>161</v>
      </c>
      <c r="W18" s="20">
        <v>149</v>
      </c>
      <c r="X18" s="20"/>
      <c r="Y18" s="20">
        <v>109</v>
      </c>
      <c r="Z18" s="20">
        <v>166</v>
      </c>
      <c r="AA18" s="20">
        <v>37</v>
      </c>
      <c r="AB18" s="18">
        <v>1453</v>
      </c>
      <c r="AC18" s="18">
        <f t="shared" si="25"/>
        <v>1530</v>
      </c>
      <c r="AD18" s="19">
        <f t="shared" si="10"/>
        <v>1.0529938059187887</v>
      </c>
      <c r="AE18" s="20"/>
      <c r="AF18" s="20"/>
      <c r="AG18" s="20"/>
      <c r="AH18" s="20"/>
      <c r="AI18" s="20"/>
      <c r="AJ18" s="20">
        <v>36</v>
      </c>
      <c r="AK18" s="20">
        <v>156</v>
      </c>
      <c r="AL18" s="20">
        <v>354</v>
      </c>
      <c r="AM18" s="20">
        <v>71</v>
      </c>
      <c r="AN18" s="20">
        <v>2</v>
      </c>
      <c r="AO18" s="20">
        <v>51</v>
      </c>
      <c r="AP18" s="20">
        <v>15</v>
      </c>
      <c r="AQ18" s="20">
        <v>42</v>
      </c>
      <c r="AR18" s="20">
        <v>123</v>
      </c>
      <c r="AS18" s="20">
        <v>115</v>
      </c>
      <c r="AT18" s="20">
        <v>86</v>
      </c>
      <c r="AU18" s="20">
        <v>91</v>
      </c>
      <c r="AV18" s="20">
        <v>125</v>
      </c>
      <c r="AW18" s="20">
        <v>109</v>
      </c>
      <c r="AX18" s="20">
        <v>55</v>
      </c>
      <c r="AY18" s="20">
        <v>59</v>
      </c>
      <c r="AZ18" s="20">
        <v>49</v>
      </c>
      <c r="BA18" s="20">
        <v>37</v>
      </c>
      <c r="BB18" s="20">
        <v>34</v>
      </c>
      <c r="BC18" s="27">
        <v>732</v>
      </c>
      <c r="BD18" s="27">
        <f t="shared" si="13"/>
        <v>925</v>
      </c>
      <c r="BE18" s="19">
        <f t="shared" si="14"/>
        <v>1.2636612021857923</v>
      </c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>
        <v>373</v>
      </c>
      <c r="BS18" s="20">
        <v>453</v>
      </c>
      <c r="BT18" s="20">
        <v>327</v>
      </c>
      <c r="BU18" s="20">
        <v>157</v>
      </c>
      <c r="BV18" s="20">
        <v>486</v>
      </c>
      <c r="BW18" s="20">
        <v>651</v>
      </c>
      <c r="BX18" s="20">
        <v>439</v>
      </c>
      <c r="BY18" s="20">
        <v>116</v>
      </c>
      <c r="BZ18" s="20">
        <v>255</v>
      </c>
      <c r="CA18" s="20">
        <v>168</v>
      </c>
      <c r="CB18" s="20">
        <v>181</v>
      </c>
      <c r="CC18" s="20">
        <v>169</v>
      </c>
      <c r="CD18" s="21">
        <v>2907</v>
      </c>
      <c r="CE18" s="21">
        <f t="shared" si="46"/>
        <v>3775</v>
      </c>
      <c r="CF18" s="19">
        <f>+CE18/CD18</f>
        <v>1.2985896112831097</v>
      </c>
      <c r="CG18" s="20"/>
      <c r="CH18" s="20"/>
      <c r="CI18" s="20">
        <v>5</v>
      </c>
      <c r="CJ18" s="20">
        <v>295</v>
      </c>
      <c r="CK18" s="20">
        <v>502</v>
      </c>
      <c r="CL18" s="20">
        <v>600</v>
      </c>
      <c r="CM18" s="20">
        <v>1030</v>
      </c>
      <c r="CN18" s="20">
        <v>550</v>
      </c>
      <c r="CO18" s="20">
        <v>400</v>
      </c>
      <c r="CP18" s="20">
        <v>1292</v>
      </c>
      <c r="CQ18" s="20">
        <v>250</v>
      </c>
      <c r="CR18" s="20"/>
      <c r="CS18" s="20">
        <v>103.62648365428547</v>
      </c>
      <c r="CT18" s="20">
        <v>402.77956172682286</v>
      </c>
      <c r="CU18" s="20">
        <v>279.79150586657073</v>
      </c>
      <c r="CV18" s="20">
        <v>518.13241827142735</v>
      </c>
      <c r="CW18" s="20">
        <v>1153.259136588543</v>
      </c>
      <c r="CX18" s="20">
        <v>259.06620913571368</v>
      </c>
      <c r="CY18" s="20">
        <v>225.34511508977263</v>
      </c>
      <c r="CZ18" s="20">
        <v>367.03671498478678</v>
      </c>
      <c r="DA18" s="20">
        <v>961.72422395800561</v>
      </c>
      <c r="DB18" s="20">
        <v>1305.0408471969747</v>
      </c>
      <c r="DC18" s="20">
        <v>891.187759426855</v>
      </c>
      <c r="DD18" s="20">
        <v>0</v>
      </c>
      <c r="DE18" s="14">
        <v>6871.9034280767364</v>
      </c>
      <c r="DF18" s="14">
        <v>6240.67299</v>
      </c>
      <c r="DG18" s="19">
        <f t="shared" si="18"/>
        <v>0.90814329032947416</v>
      </c>
      <c r="DH18" s="20"/>
      <c r="DI18" s="20">
        <v>25</v>
      </c>
      <c r="DJ18" s="20">
        <v>51</v>
      </c>
      <c r="DK18" s="20">
        <v>1712.9160000000002</v>
      </c>
      <c r="DL18" s="20">
        <v>992.35399999999993</v>
      </c>
      <c r="DM18" s="20">
        <v>1129.8420000000001</v>
      </c>
      <c r="DN18" s="20">
        <v>917.76000000000079</v>
      </c>
      <c r="DO18" s="20">
        <v>2414.4550000000017</v>
      </c>
      <c r="DP18" s="20">
        <v>657.36999999999989</v>
      </c>
      <c r="DQ18" s="20">
        <v>535.58500000000004</v>
      </c>
      <c r="DR18" s="20">
        <v>489.33999999999992</v>
      </c>
      <c r="DS18" s="20">
        <v>147.6</v>
      </c>
      <c r="DT18" s="20">
        <v>997.50677009262336</v>
      </c>
      <c r="DU18" s="20">
        <v>1894.8915273017935</v>
      </c>
      <c r="DV18" s="20">
        <v>1929.096543276002</v>
      </c>
      <c r="DW18" s="20">
        <v>666.49396572586113</v>
      </c>
      <c r="DX18" s="20">
        <v>479.18454944113876</v>
      </c>
      <c r="DY18" s="20">
        <v>1072.940853791293</v>
      </c>
      <c r="DZ18" s="20">
        <v>460.57666739144418</v>
      </c>
      <c r="EA18" s="20">
        <v>733.31018095949469</v>
      </c>
      <c r="EB18" s="20">
        <v>935.58150542986607</v>
      </c>
      <c r="EC18" s="20">
        <v>559.82863467202117</v>
      </c>
      <c r="ED18" s="20">
        <v>0</v>
      </c>
      <c r="EE18" s="20">
        <v>0</v>
      </c>
      <c r="EF18" s="14">
        <v>4425.9673010460992</v>
      </c>
      <c r="EG18" s="14">
        <f t="shared" si="47"/>
        <v>9729.4111980815378</v>
      </c>
      <c r="EH18" s="19">
        <f t="shared" si="20"/>
        <v>2.1982564570194505</v>
      </c>
      <c r="EI18" s="19"/>
      <c r="EJ18" s="19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>
        <v>7159.6884262208587</v>
      </c>
      <c r="EX18" s="20">
        <v>6596.0832288772563</v>
      </c>
      <c r="EY18" s="20">
        <v>5107.8381641209871</v>
      </c>
      <c r="EZ18" s="20">
        <v>5915.0533596874475</v>
      </c>
      <c r="FA18" s="20">
        <v>6071.1587121704506</v>
      </c>
      <c r="FB18" s="20">
        <v>3786.5978834158523</v>
      </c>
      <c r="FC18" s="20">
        <v>4673.5740475721423</v>
      </c>
      <c r="FD18" s="20">
        <v>3410.6089309351846</v>
      </c>
      <c r="FE18" s="20">
        <v>2527.7209524838026</v>
      </c>
      <c r="FF18" s="20">
        <v>4014.0423411940733</v>
      </c>
      <c r="FG18" s="20">
        <v>1847.7588616640996</v>
      </c>
      <c r="FH18" s="20">
        <v>1136.1379520277374</v>
      </c>
      <c r="FI18" s="14">
        <v>61611.970972541385</v>
      </c>
      <c r="FJ18" s="14">
        <v>52246.26286036989</v>
      </c>
      <c r="FK18" s="19">
        <v>1.260951107951374</v>
      </c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19"/>
    </row>
    <row r="19" spans="1:194" s="11" customFormat="1" ht="24.95" customHeight="1">
      <c r="A19" s="15">
        <f t="shared" si="24"/>
        <v>5</v>
      </c>
      <c r="B19" s="16" t="s">
        <v>45</v>
      </c>
      <c r="C19" s="17">
        <v>11200</v>
      </c>
      <c r="D19" s="17"/>
      <c r="E19" s="17"/>
      <c r="F19" s="17"/>
      <c r="G19" s="20">
        <v>237</v>
      </c>
      <c r="H19" s="20">
        <v>433</v>
      </c>
      <c r="I19" s="20">
        <v>186</v>
      </c>
      <c r="J19" s="20">
        <v>189</v>
      </c>
      <c r="K19" s="20">
        <v>182</v>
      </c>
      <c r="L19" s="20">
        <v>186</v>
      </c>
      <c r="M19" s="20">
        <v>191</v>
      </c>
      <c r="N19" s="20">
        <v>167</v>
      </c>
      <c r="O19" s="20">
        <v>171</v>
      </c>
      <c r="P19" s="20">
        <v>32</v>
      </c>
      <c r="Q19" s="20">
        <v>58</v>
      </c>
      <c r="R19" s="20">
        <v>92</v>
      </c>
      <c r="S19" s="20">
        <v>339</v>
      </c>
      <c r="T19" s="20">
        <v>71</v>
      </c>
      <c r="U19" s="20">
        <v>440</v>
      </c>
      <c r="V19" s="20">
        <v>194</v>
      </c>
      <c r="W19" s="20">
        <v>526</v>
      </c>
      <c r="X19" s="20">
        <v>297</v>
      </c>
      <c r="Y19" s="20">
        <v>80</v>
      </c>
      <c r="Z19" s="20">
        <v>115</v>
      </c>
      <c r="AA19" s="20">
        <v>58</v>
      </c>
      <c r="AB19" s="18">
        <v>1811</v>
      </c>
      <c r="AC19" s="18">
        <f t="shared" si="25"/>
        <v>2302</v>
      </c>
      <c r="AD19" s="19">
        <f t="shared" si="10"/>
        <v>1.2711209276642739</v>
      </c>
      <c r="AE19" s="20"/>
      <c r="AF19" s="20"/>
      <c r="AG19" s="20"/>
      <c r="AH19" s="20"/>
      <c r="AI19" s="20"/>
      <c r="AJ19" s="20"/>
      <c r="AK19" s="20">
        <v>289</v>
      </c>
      <c r="AL19" s="20">
        <v>481</v>
      </c>
      <c r="AM19" s="20">
        <v>106</v>
      </c>
      <c r="AN19" s="20">
        <v>21</v>
      </c>
      <c r="AO19" s="20">
        <v>42</v>
      </c>
      <c r="AP19" s="20">
        <v>1</v>
      </c>
      <c r="AQ19" s="20">
        <v>90</v>
      </c>
      <c r="AR19" s="20">
        <v>163</v>
      </c>
      <c r="AS19" s="20">
        <v>120</v>
      </c>
      <c r="AT19" s="20">
        <v>124</v>
      </c>
      <c r="AU19" s="20">
        <v>123</v>
      </c>
      <c r="AV19" s="20">
        <v>129</v>
      </c>
      <c r="AW19" s="20">
        <v>91</v>
      </c>
      <c r="AX19" s="20">
        <v>36</v>
      </c>
      <c r="AY19" s="20">
        <v>78</v>
      </c>
      <c r="AZ19" s="20">
        <v>155</v>
      </c>
      <c r="BA19" s="20">
        <v>73</v>
      </c>
      <c r="BB19" s="20">
        <v>65</v>
      </c>
      <c r="BC19" s="27">
        <v>1118</v>
      </c>
      <c r="BD19" s="27">
        <f t="shared" si="13"/>
        <v>1247</v>
      </c>
      <c r="BE19" s="19">
        <f t="shared" si="14"/>
        <v>1.1153846153846154</v>
      </c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>
        <v>440</v>
      </c>
      <c r="BS19" s="20">
        <v>636</v>
      </c>
      <c r="BT19" s="20">
        <v>419</v>
      </c>
      <c r="BU19" s="20">
        <v>372</v>
      </c>
      <c r="BV19" s="20">
        <v>139</v>
      </c>
      <c r="BW19" s="20">
        <v>191</v>
      </c>
      <c r="BX19" s="20">
        <v>278</v>
      </c>
      <c r="BY19" s="20">
        <v>316</v>
      </c>
      <c r="BZ19" s="20">
        <v>199</v>
      </c>
      <c r="CA19" s="20">
        <v>406</v>
      </c>
      <c r="CB19" s="20">
        <v>483</v>
      </c>
      <c r="CC19" s="20">
        <v>483</v>
      </c>
      <c r="CD19" s="21">
        <v>3700</v>
      </c>
      <c r="CE19" s="21">
        <f t="shared" si="46"/>
        <v>4362</v>
      </c>
      <c r="CF19" s="19">
        <f>+CE19/CD19</f>
        <v>1.1789189189189189</v>
      </c>
      <c r="CG19" s="20"/>
      <c r="CH19" s="20"/>
      <c r="CI19" s="20"/>
      <c r="CJ19" s="20">
        <v>296.00400000000002</v>
      </c>
      <c r="CK19" s="20">
        <v>750</v>
      </c>
      <c r="CL19" s="20">
        <v>650</v>
      </c>
      <c r="CM19" s="20">
        <v>600</v>
      </c>
      <c r="CN19" s="20">
        <v>947.95100000000002</v>
      </c>
      <c r="CO19" s="20">
        <v>636.44190000000003</v>
      </c>
      <c r="CP19" s="20">
        <v>936</v>
      </c>
      <c r="CQ19" s="20">
        <v>300</v>
      </c>
      <c r="CR19" s="20"/>
      <c r="CS19" s="20">
        <v>103.62648365428547</v>
      </c>
      <c r="CT19" s="20">
        <v>463.97721791369776</v>
      </c>
      <c r="CU19" s="20">
        <v>570.13426029882089</v>
      </c>
      <c r="CV19" s="20">
        <v>300.02561306490651</v>
      </c>
      <c r="CW19" s="20">
        <v>358.93105143334856</v>
      </c>
      <c r="CX19" s="20">
        <v>355.60049624869981</v>
      </c>
      <c r="CY19" s="20">
        <v>142.58589644895062</v>
      </c>
      <c r="CZ19" s="20">
        <v>615.14960479824254</v>
      </c>
      <c r="DA19" s="20">
        <v>310.38826143033509</v>
      </c>
      <c r="DB19" s="20">
        <v>518.13241827142735</v>
      </c>
      <c r="DC19" s="20">
        <v>304.61004870177209</v>
      </c>
      <c r="DD19" s="20">
        <v>0</v>
      </c>
      <c r="DE19" s="14">
        <v>9303.5507418444868</v>
      </c>
      <c r="DF19" s="14">
        <v>4570.6499181294876</v>
      </c>
      <c r="DG19" s="19">
        <f t="shared" si="18"/>
        <v>0.49128016226881221</v>
      </c>
      <c r="DH19" s="20"/>
      <c r="DI19" s="20"/>
      <c r="DJ19" s="20">
        <v>107</v>
      </c>
      <c r="DK19" s="20">
        <v>2095</v>
      </c>
      <c r="DL19" s="20">
        <v>631.5</v>
      </c>
      <c r="DM19" s="20">
        <v>1155</v>
      </c>
      <c r="DN19" s="20">
        <v>1374</v>
      </c>
      <c r="DO19" s="20">
        <v>1590</v>
      </c>
      <c r="DP19" s="20">
        <v>910</v>
      </c>
      <c r="DQ19" s="20">
        <v>1265</v>
      </c>
      <c r="DR19" s="20">
        <v>1100</v>
      </c>
      <c r="DS19" s="20">
        <v>352</v>
      </c>
      <c r="DT19" s="20">
        <v>1223.6205284281486</v>
      </c>
      <c r="DU19" s="20">
        <v>1978.6079931680965</v>
      </c>
      <c r="DV19" s="20">
        <v>2473.7836109950267</v>
      </c>
      <c r="DW19" s="20">
        <v>323.02420383126895</v>
      </c>
      <c r="DX19" s="20">
        <v>267.94014780505313</v>
      </c>
      <c r="DY19" s="20">
        <v>331.62296621812959</v>
      </c>
      <c r="DZ19" s="20">
        <v>781.89159627207994</v>
      </c>
      <c r="EA19" s="20">
        <v>1349.0123841138925</v>
      </c>
      <c r="EB19" s="20">
        <v>1986.1076424556936</v>
      </c>
      <c r="EC19" s="20">
        <v>871.07281137958535</v>
      </c>
      <c r="ED19" s="20">
        <v>0</v>
      </c>
      <c r="EE19" s="20">
        <v>0</v>
      </c>
      <c r="EF19" s="14">
        <v>5712.2738551186258</v>
      </c>
      <c r="EG19" s="14">
        <f t="shared" si="47"/>
        <v>11586.683884666974</v>
      </c>
      <c r="EH19" s="19">
        <f t="shared" si="20"/>
        <v>2.0283838237700098</v>
      </c>
      <c r="EI19" s="19"/>
      <c r="EJ19" s="19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>
        <v>10799.304600851598</v>
      </c>
      <c r="EX19" s="20">
        <v>14880.978454033451</v>
      </c>
      <c r="EY19" s="20">
        <v>12504.59069786996</v>
      </c>
      <c r="EZ19" s="20">
        <v>21788.641354114141</v>
      </c>
      <c r="FA19" s="20">
        <v>9538.7978433606095</v>
      </c>
      <c r="FB19" s="20">
        <v>3448.5157018194168</v>
      </c>
      <c r="FC19" s="20">
        <v>3709.1817878408579</v>
      </c>
      <c r="FD19" s="20">
        <v>2110.5175616846036</v>
      </c>
      <c r="FE19" s="20">
        <v>774.78444062509379</v>
      </c>
      <c r="FF19" s="20">
        <v>2409.3776774994344</v>
      </c>
      <c r="FG19" s="20">
        <v>3031.3797278945972</v>
      </c>
      <c r="FH19" s="20">
        <v>1461.3561122901333</v>
      </c>
      <c r="FI19" s="14">
        <v>102223.63732102276</v>
      </c>
      <c r="FJ19" s="14">
        <v>86457.425959883898</v>
      </c>
      <c r="FK19" s="19">
        <v>1.0888544996404359</v>
      </c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19"/>
    </row>
    <row r="20" spans="1:194" s="11" customFormat="1" ht="24.95" customHeight="1">
      <c r="A20" s="15">
        <f t="shared" si="24"/>
        <v>6</v>
      </c>
      <c r="B20" s="16" t="s">
        <v>42</v>
      </c>
      <c r="C20" s="17">
        <v>11203</v>
      </c>
      <c r="D20" s="17"/>
      <c r="E20" s="17"/>
      <c r="F20" s="17"/>
      <c r="G20" s="20">
        <v>86</v>
      </c>
      <c r="H20" s="20">
        <v>124</v>
      </c>
      <c r="I20" s="20">
        <v>191</v>
      </c>
      <c r="J20" s="20">
        <v>184</v>
      </c>
      <c r="K20" s="20">
        <v>180</v>
      </c>
      <c r="L20" s="20">
        <v>187</v>
      </c>
      <c r="M20" s="20">
        <v>180</v>
      </c>
      <c r="N20" s="20">
        <v>175</v>
      </c>
      <c r="O20" s="20">
        <v>162</v>
      </c>
      <c r="P20" s="20">
        <v>25</v>
      </c>
      <c r="Q20" s="20">
        <v>22</v>
      </c>
      <c r="R20" s="20">
        <v>77</v>
      </c>
      <c r="S20" s="20">
        <v>324</v>
      </c>
      <c r="T20" s="20">
        <v>148</v>
      </c>
      <c r="U20" s="20">
        <v>411</v>
      </c>
      <c r="V20" s="20">
        <v>67</v>
      </c>
      <c r="W20" s="20">
        <v>186</v>
      </c>
      <c r="X20" s="20">
        <v>67</v>
      </c>
      <c r="Y20" s="20">
        <v>56</v>
      </c>
      <c r="Z20" s="20">
        <v>130</v>
      </c>
      <c r="AA20" s="20">
        <v>22</v>
      </c>
      <c r="AB20" s="18">
        <v>1175</v>
      </c>
      <c r="AC20" s="18">
        <f t="shared" si="25"/>
        <v>1535</v>
      </c>
      <c r="AD20" s="19">
        <f t="shared" si="10"/>
        <v>1.3063829787234043</v>
      </c>
      <c r="AE20" s="20"/>
      <c r="AF20" s="20"/>
      <c r="AG20" s="20"/>
      <c r="AH20" s="20"/>
      <c r="AI20" s="20"/>
      <c r="AJ20" s="20"/>
      <c r="AK20" s="20">
        <v>140</v>
      </c>
      <c r="AL20" s="20">
        <v>186</v>
      </c>
      <c r="AM20" s="20">
        <v>52</v>
      </c>
      <c r="AN20" s="20">
        <v>8</v>
      </c>
      <c r="AO20" s="20">
        <v>41</v>
      </c>
      <c r="AP20" s="20">
        <v>3</v>
      </c>
      <c r="AQ20" s="20">
        <v>22</v>
      </c>
      <c r="AR20" s="20">
        <v>59</v>
      </c>
      <c r="AS20" s="20">
        <v>58</v>
      </c>
      <c r="AT20" s="20">
        <v>41</v>
      </c>
      <c r="AU20" s="20">
        <v>60</v>
      </c>
      <c r="AV20" s="20">
        <v>20</v>
      </c>
      <c r="AW20" s="20">
        <v>55</v>
      </c>
      <c r="AX20" s="20">
        <v>53</v>
      </c>
      <c r="AY20" s="20">
        <v>51</v>
      </c>
      <c r="AZ20" s="20">
        <v>38</v>
      </c>
      <c r="BA20" s="20">
        <v>37</v>
      </c>
      <c r="BB20" s="20">
        <v>29</v>
      </c>
      <c r="BC20" s="27">
        <v>446</v>
      </c>
      <c r="BD20" s="27">
        <f t="shared" si="13"/>
        <v>523</v>
      </c>
      <c r="BE20" s="19">
        <f t="shared" si="14"/>
        <v>1.1726457399103138</v>
      </c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>
        <v>152</v>
      </c>
      <c r="BS20" s="20">
        <v>302</v>
      </c>
      <c r="BT20" s="20">
        <v>503</v>
      </c>
      <c r="BU20" s="20">
        <v>405</v>
      </c>
      <c r="BV20" s="20">
        <v>306</v>
      </c>
      <c r="BW20" s="20">
        <v>225</v>
      </c>
      <c r="BX20" s="20">
        <v>121</v>
      </c>
      <c r="BY20" s="20">
        <v>101</v>
      </c>
      <c r="BZ20" s="20">
        <v>101</v>
      </c>
      <c r="CA20" s="20">
        <v>188</v>
      </c>
      <c r="CB20" s="20">
        <v>90</v>
      </c>
      <c r="CC20" s="20">
        <v>55</v>
      </c>
      <c r="CD20" s="21">
        <v>2116</v>
      </c>
      <c r="CE20" s="21">
        <f t="shared" si="46"/>
        <v>2549</v>
      </c>
      <c r="CF20" s="19">
        <f t="shared" si="16"/>
        <v>1.2046313799621928</v>
      </c>
      <c r="CG20" s="20"/>
      <c r="CH20" s="20"/>
      <c r="CI20" s="20">
        <v>84.825000000000003</v>
      </c>
      <c r="CJ20" s="20"/>
      <c r="CK20" s="20">
        <v>214</v>
      </c>
      <c r="CL20" s="20">
        <v>300</v>
      </c>
      <c r="CM20" s="20">
        <v>100</v>
      </c>
      <c r="CN20" s="20">
        <v>100</v>
      </c>
      <c r="CO20" s="20">
        <v>1535.5700000000002</v>
      </c>
      <c r="CP20" s="20">
        <v>56</v>
      </c>
      <c r="CQ20" s="20">
        <v>24</v>
      </c>
      <c r="CR20" s="20"/>
      <c r="CS20" s="20">
        <v>440.41255553071323</v>
      </c>
      <c r="CT20" s="20">
        <v>170.983698029571</v>
      </c>
      <c r="CU20" s="20">
        <v>430.43332515480552</v>
      </c>
      <c r="CV20" s="20">
        <v>566.18401874191943</v>
      </c>
      <c r="CW20" s="20">
        <v>775.28775504855594</v>
      </c>
      <c r="CX20" s="20">
        <v>179.65723471143471</v>
      </c>
      <c r="CY20" s="20">
        <v>310.87945096285637</v>
      </c>
      <c r="CZ20" s="20">
        <v>310.87945096285637</v>
      </c>
      <c r="DA20" s="20">
        <v>394.81690272282759</v>
      </c>
      <c r="DB20" s="20">
        <v>1499.4752184775107</v>
      </c>
      <c r="DC20" s="20">
        <v>165.80237384685674</v>
      </c>
      <c r="DD20" s="20">
        <v>41.450593461714185</v>
      </c>
      <c r="DE20" s="14">
        <v>5033.6291024833072</v>
      </c>
      <c r="DF20" s="14">
        <v>5101.2659999999996</v>
      </c>
      <c r="DG20" s="19">
        <f t="shared" si="18"/>
        <v>1.0134370046222365</v>
      </c>
      <c r="DH20" s="20"/>
      <c r="DI20" s="20">
        <v>100</v>
      </c>
      <c r="DJ20" s="20">
        <v>213.5</v>
      </c>
      <c r="DK20" s="20">
        <v>619.45155000000011</v>
      </c>
      <c r="DL20" s="20">
        <v>590.62369999999987</v>
      </c>
      <c r="DM20" s="20">
        <v>499.55299999999983</v>
      </c>
      <c r="DN20" s="20">
        <v>580.59249999999997</v>
      </c>
      <c r="DO20" s="20">
        <v>390.52999999999986</v>
      </c>
      <c r="DP20" s="20">
        <v>547.23000000000025</v>
      </c>
      <c r="DQ20" s="20">
        <v>367.76500000000004</v>
      </c>
      <c r="DR20" s="20">
        <v>259.99999999999994</v>
      </c>
      <c r="DS20" s="20">
        <v>88.93</v>
      </c>
      <c r="DT20" s="20">
        <v>734.12023758573707</v>
      </c>
      <c r="DU20" s="20">
        <v>1761.7108631345786</v>
      </c>
      <c r="DV20" s="20">
        <v>2595.8072499962059</v>
      </c>
      <c r="DW20" s="20">
        <v>840.70647358476924</v>
      </c>
      <c r="DX20" s="20">
        <v>301.23608425323431</v>
      </c>
      <c r="DY20" s="20">
        <v>162.72112632482492</v>
      </c>
      <c r="DZ20" s="20">
        <v>330.97479765211546</v>
      </c>
      <c r="EA20" s="20">
        <v>462.32587199104256</v>
      </c>
      <c r="EB20" s="20">
        <v>184.57909608112894</v>
      </c>
      <c r="EC20" s="20">
        <v>303.45280020483511</v>
      </c>
      <c r="ED20" s="20">
        <v>149.46299341547703</v>
      </c>
      <c r="EE20" s="20">
        <v>26.486563057594346</v>
      </c>
      <c r="EF20" s="14">
        <v>3477.331769138927</v>
      </c>
      <c r="EG20" s="14">
        <f t="shared" si="47"/>
        <v>7853.5841572815434</v>
      </c>
      <c r="EH20" s="19">
        <f t="shared" si="20"/>
        <v>2.2585087298777604</v>
      </c>
      <c r="EI20" s="19"/>
      <c r="EJ20" s="19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>
        <v>3247.788181607862</v>
      </c>
      <c r="EX20" s="20">
        <v>5706.8130406495493</v>
      </c>
      <c r="EY20" s="20">
        <v>12057.022722087188</v>
      </c>
      <c r="EZ20" s="20">
        <v>9207.5103725158351</v>
      </c>
      <c r="FA20" s="20">
        <v>4027.4439577122762</v>
      </c>
      <c r="FB20" s="20">
        <v>1740.7983604534934</v>
      </c>
      <c r="FC20" s="20">
        <v>2326.3120704679727</v>
      </c>
      <c r="FD20" s="20">
        <v>1700.1678991679125</v>
      </c>
      <c r="FE20" s="20">
        <v>1731.9247744482984</v>
      </c>
      <c r="FF20" s="20">
        <v>2643.1343944538062</v>
      </c>
      <c r="FG20" s="20">
        <v>3494.8676836863156</v>
      </c>
      <c r="FH20" s="20">
        <v>1938.5553082307074</v>
      </c>
      <c r="FI20" s="14">
        <v>58080.419915619532</v>
      </c>
      <c r="FJ20" s="14">
        <v>49822.33876548121</v>
      </c>
      <c r="FK20" s="19">
        <v>1.2738069142825661</v>
      </c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19"/>
    </row>
    <row r="21" spans="1:194" s="11" customFormat="1" ht="32.25" customHeight="1">
      <c r="A21" s="6"/>
      <c r="B21" s="7" t="s">
        <v>8</v>
      </c>
      <c r="C21" s="8"/>
      <c r="D21" s="8"/>
      <c r="E21" s="8"/>
      <c r="F21" s="9"/>
      <c r="G21" s="9">
        <f>+SUM(G22:G32)</f>
        <v>1318</v>
      </c>
      <c r="H21" s="9">
        <f t="shared" ref="H21:O21" si="48">+SUM(H22:H32)</f>
        <v>1316</v>
      </c>
      <c r="I21" s="9">
        <f t="shared" si="48"/>
        <v>1172</v>
      </c>
      <c r="J21" s="9">
        <f t="shared" si="48"/>
        <v>1201</v>
      </c>
      <c r="K21" s="9">
        <f t="shared" si="48"/>
        <v>1217</v>
      </c>
      <c r="L21" s="9">
        <f t="shared" si="48"/>
        <v>1227</v>
      </c>
      <c r="M21" s="9">
        <f t="shared" si="48"/>
        <v>1174</v>
      </c>
      <c r="N21" s="9">
        <f t="shared" si="48"/>
        <v>1131</v>
      </c>
      <c r="O21" s="9">
        <f t="shared" si="48"/>
        <v>1131</v>
      </c>
      <c r="P21" s="9">
        <f t="shared" ref="P21" si="49">+SUM(P22:P32)</f>
        <v>771</v>
      </c>
      <c r="Q21" s="9">
        <f t="shared" ref="Q21" si="50">+SUM(Q22:Q32)</f>
        <v>2465</v>
      </c>
      <c r="R21" s="9">
        <f t="shared" ref="R21" si="51">+SUM(R22:R32)</f>
        <v>741</v>
      </c>
      <c r="S21" s="9">
        <f t="shared" ref="S21" si="52">+SUM(S22:S32)</f>
        <v>1177</v>
      </c>
      <c r="T21" s="9">
        <f t="shared" ref="T21" si="53">+SUM(T22:T32)</f>
        <v>963</v>
      </c>
      <c r="U21" s="9">
        <f t="shared" ref="U21" si="54">+SUM(U22:U32)</f>
        <v>970</v>
      </c>
      <c r="V21" s="9">
        <f t="shared" ref="V21" si="55">+SUM(V22:V32)</f>
        <v>1094</v>
      </c>
      <c r="W21" s="9">
        <f t="shared" ref="W21" si="56">+SUM(W22:W32)</f>
        <v>913</v>
      </c>
      <c r="X21" s="9">
        <f t="shared" ref="X21" si="57">+SUM(X22:X32)</f>
        <v>947</v>
      </c>
      <c r="Y21" s="9">
        <f t="shared" ref="Y21" si="58">+SUM(Y22:Y32)</f>
        <v>787</v>
      </c>
      <c r="Z21" s="9">
        <f t="shared" ref="Z21" si="59">+SUM(Z22:Z32)</f>
        <v>887</v>
      </c>
      <c r="AA21" s="9">
        <f t="shared" ref="AA21:AB21" si="60">+SUM(AA22:AA32)</f>
        <v>418</v>
      </c>
      <c r="AB21" s="9">
        <f t="shared" si="60"/>
        <v>11281</v>
      </c>
      <c r="AC21" s="9">
        <f t="shared" si="25"/>
        <v>12133</v>
      </c>
      <c r="AD21" s="10">
        <f t="shared" si="10"/>
        <v>1.0755252193954437</v>
      </c>
      <c r="AE21" s="9">
        <f t="shared" ref="AE21:AH21" si="61">+SUM(AE22:AE32)</f>
        <v>0</v>
      </c>
      <c r="AF21" s="9">
        <f t="shared" si="61"/>
        <v>0</v>
      </c>
      <c r="AG21" s="9">
        <f t="shared" si="61"/>
        <v>0</v>
      </c>
      <c r="AH21" s="9">
        <f t="shared" si="61"/>
        <v>0</v>
      </c>
      <c r="AI21" s="9">
        <f>+SUM(AI22:AI32)</f>
        <v>0</v>
      </c>
      <c r="AJ21" s="9">
        <f t="shared" ref="AJ21:AP21" si="62">+SUM(AJ22:AJ32)</f>
        <v>42</v>
      </c>
      <c r="AK21" s="9">
        <f t="shared" si="62"/>
        <v>1992</v>
      </c>
      <c r="AL21" s="9">
        <f t="shared" si="62"/>
        <v>3567</v>
      </c>
      <c r="AM21" s="9">
        <f t="shared" si="62"/>
        <v>556</v>
      </c>
      <c r="AN21" s="9">
        <f t="shared" si="62"/>
        <v>90</v>
      </c>
      <c r="AO21" s="9">
        <f t="shared" si="62"/>
        <v>255</v>
      </c>
      <c r="AP21" s="9">
        <f t="shared" si="62"/>
        <v>90</v>
      </c>
      <c r="AQ21" s="9">
        <f t="shared" ref="AQ21" si="63">+SUM(AQ22:AQ32)</f>
        <v>448</v>
      </c>
      <c r="AR21" s="9">
        <f t="shared" ref="AR21" si="64">+SUM(AR22:AR32)</f>
        <v>1031</v>
      </c>
      <c r="AS21" s="9">
        <f t="shared" ref="AS21" si="65">+SUM(AS22:AS32)</f>
        <v>950</v>
      </c>
      <c r="AT21" s="9">
        <f t="shared" ref="AT21" si="66">+SUM(AT22:AT32)</f>
        <v>862</v>
      </c>
      <c r="AU21" s="9">
        <f t="shared" ref="AU21" si="67">+SUM(AU22:AU32)</f>
        <v>939</v>
      </c>
      <c r="AV21" s="9">
        <f t="shared" ref="AV21" si="68">+SUM(AV22:AV32)</f>
        <v>870</v>
      </c>
      <c r="AW21" s="9">
        <f t="shared" ref="AW21" si="69">+SUM(AW22:AW32)</f>
        <v>655</v>
      </c>
      <c r="AX21" s="9">
        <f t="shared" ref="AX21" si="70">+SUM(AX22:AX32)</f>
        <v>535</v>
      </c>
      <c r="AY21" s="9">
        <f t="shared" ref="AY21" si="71">+SUM(AY22:AY32)</f>
        <v>703</v>
      </c>
      <c r="AZ21" s="9">
        <f t="shared" ref="AZ21" si="72">+SUM(AZ22:AZ32)</f>
        <v>539</v>
      </c>
      <c r="BA21" s="9">
        <f t="shared" ref="BA21" si="73">+SUM(BA22:BA32)</f>
        <v>500</v>
      </c>
      <c r="BB21" s="9">
        <f t="shared" ref="BB21:BC21" si="74">+SUM(BB22:BB32)</f>
        <v>238</v>
      </c>
      <c r="BC21" s="9">
        <f t="shared" si="74"/>
        <v>7685</v>
      </c>
      <c r="BD21" s="9">
        <f t="shared" si="13"/>
        <v>8270</v>
      </c>
      <c r="BE21" s="10">
        <f t="shared" si="14"/>
        <v>1.0761223162003903</v>
      </c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>
        <f t="shared" ref="BR21:CC21" si="75">+SUM(BR22:BR32)</f>
        <v>1676</v>
      </c>
      <c r="BS21" s="9">
        <f t="shared" si="75"/>
        <v>2258</v>
      </c>
      <c r="BT21" s="9">
        <f t="shared" si="75"/>
        <v>1159</v>
      </c>
      <c r="BU21" s="9">
        <f t="shared" si="75"/>
        <v>1119</v>
      </c>
      <c r="BV21" s="9">
        <f t="shared" si="75"/>
        <v>1885</v>
      </c>
      <c r="BW21" s="9">
        <f t="shared" si="75"/>
        <v>2188</v>
      </c>
      <c r="BX21" s="9">
        <f t="shared" si="75"/>
        <v>1996</v>
      </c>
      <c r="BY21" s="9">
        <f t="shared" si="75"/>
        <v>2009</v>
      </c>
      <c r="BZ21" s="9">
        <f t="shared" si="75"/>
        <v>1767</v>
      </c>
      <c r="CA21" s="9">
        <f t="shared" si="75"/>
        <v>3924</v>
      </c>
      <c r="CB21" s="9">
        <f t="shared" si="75"/>
        <v>3692</v>
      </c>
      <c r="CC21" s="9">
        <f t="shared" si="75"/>
        <v>2614</v>
      </c>
      <c r="CD21" s="9">
        <f t="shared" ref="CD21" si="76">+SUM(CD22:CD32)</f>
        <v>14946</v>
      </c>
      <c r="CE21" s="9">
        <f>+SUM(CE22:CE32)</f>
        <v>26287</v>
      </c>
      <c r="CF21" s="10">
        <f t="shared" si="16"/>
        <v>1.758798340693162</v>
      </c>
      <c r="CG21" s="9">
        <v>0</v>
      </c>
      <c r="CH21" s="9">
        <v>540</v>
      </c>
      <c r="CI21" s="9">
        <v>1340</v>
      </c>
      <c r="CJ21" s="9">
        <v>8137.9570000000003</v>
      </c>
      <c r="CK21" s="9">
        <v>11640.99358</v>
      </c>
      <c r="CL21" s="9">
        <v>6928.5</v>
      </c>
      <c r="CM21" s="9">
        <v>12144.4</v>
      </c>
      <c r="CN21" s="9">
        <v>13909.999</v>
      </c>
      <c r="CO21" s="9">
        <v>7270.3429999</v>
      </c>
      <c r="CP21" s="9">
        <v>4235</v>
      </c>
      <c r="CQ21" s="9">
        <v>500</v>
      </c>
      <c r="CR21" s="9">
        <v>0</v>
      </c>
      <c r="CS21" s="9">
        <f t="shared" ref="CS21:DF21" si="77">+SUM(CS22:CS32)</f>
        <v>2659.314110355564</v>
      </c>
      <c r="CT21" s="9">
        <f t="shared" si="77"/>
        <v>3253.4115929286818</v>
      </c>
      <c r="CU21" s="9">
        <f t="shared" si="77"/>
        <v>5936.9649647494361</v>
      </c>
      <c r="CV21" s="9">
        <f t="shared" si="77"/>
        <v>9137.8913877206596</v>
      </c>
      <c r="CW21" s="9">
        <f t="shared" si="77"/>
        <v>9350.9840312366359</v>
      </c>
      <c r="CX21" s="9">
        <f t="shared" si="77"/>
        <v>7511.1827389580803</v>
      </c>
      <c r="CY21" s="9">
        <f t="shared" si="77"/>
        <v>8210.0043086102323</v>
      </c>
      <c r="CZ21" s="9">
        <f t="shared" si="77"/>
        <v>10508.550382929239</v>
      </c>
      <c r="DA21" s="9">
        <f t="shared" si="77"/>
        <v>14575.667351284119</v>
      </c>
      <c r="DB21" s="9">
        <f t="shared" si="77"/>
        <v>15699.920043394153</v>
      </c>
      <c r="DC21" s="9">
        <f t="shared" si="77"/>
        <v>9370.0247582327065</v>
      </c>
      <c r="DD21" s="9">
        <f t="shared" si="77"/>
        <v>5538.7008368928082</v>
      </c>
      <c r="DE21" s="9">
        <f t="shared" si="77"/>
        <v>94473.007746519565</v>
      </c>
      <c r="DF21" s="9">
        <f t="shared" si="77"/>
        <v>100937.61018747999</v>
      </c>
      <c r="DG21" s="10">
        <f t="shared" si="18"/>
        <v>1.0684280366970595</v>
      </c>
      <c r="DH21" s="9">
        <v>0</v>
      </c>
      <c r="DI21" s="9">
        <v>560</v>
      </c>
      <c r="DJ21" s="9">
        <v>259</v>
      </c>
      <c r="DK21" s="9">
        <v>1310</v>
      </c>
      <c r="DL21" s="9">
        <v>1482.9999999999998</v>
      </c>
      <c r="DM21" s="9">
        <v>1622.25</v>
      </c>
      <c r="DN21" s="9">
        <v>5370.4</v>
      </c>
      <c r="DO21" s="9">
        <v>7958.1</v>
      </c>
      <c r="DP21" s="9">
        <v>8680.2000000000007</v>
      </c>
      <c r="DQ21" s="9">
        <v>6065.2</v>
      </c>
      <c r="DR21" s="9">
        <v>3754.7</v>
      </c>
      <c r="DS21" s="9">
        <v>3265.3</v>
      </c>
      <c r="DT21" s="9">
        <f t="shared" ref="DT21:EG21" si="78">+SUM(DT22:DT32)</f>
        <v>3713.8723461590698</v>
      </c>
      <c r="DU21" s="9">
        <f t="shared" si="78"/>
        <v>2307.0589395259194</v>
      </c>
      <c r="DV21" s="9">
        <f t="shared" si="78"/>
        <v>4888.4595902537285</v>
      </c>
      <c r="DW21" s="9">
        <f t="shared" si="78"/>
        <v>7784.0730502656188</v>
      </c>
      <c r="DX21" s="9">
        <f t="shared" si="78"/>
        <v>8002.5705711483452</v>
      </c>
      <c r="DY21" s="9">
        <f t="shared" si="78"/>
        <v>7121.7906394060983</v>
      </c>
      <c r="DZ21" s="9">
        <f t="shared" si="78"/>
        <v>7259.0000153259434</v>
      </c>
      <c r="EA21" s="9">
        <f t="shared" si="78"/>
        <v>7602.4728588460457</v>
      </c>
      <c r="EB21" s="9">
        <f t="shared" si="78"/>
        <v>5490.5321746521468</v>
      </c>
      <c r="EC21" s="9">
        <f t="shared" si="78"/>
        <v>1460.8959343679787</v>
      </c>
      <c r="ED21" s="9">
        <f t="shared" si="78"/>
        <v>2000.6940032122857</v>
      </c>
      <c r="EE21" s="9">
        <f t="shared" si="78"/>
        <v>187.97915622932086</v>
      </c>
      <c r="EF21" s="9">
        <f t="shared" si="78"/>
        <v>48731.000000000007</v>
      </c>
      <c r="EG21" s="9">
        <f t="shared" si="78"/>
        <v>57819.399279392506</v>
      </c>
      <c r="EH21" s="10">
        <f t="shared" si="20"/>
        <v>1.1865013908886026</v>
      </c>
      <c r="EI21" s="10"/>
      <c r="EJ21" s="10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>
        <f t="shared" ref="EW21:FJ21" si="79">+SUM(EW22:EW32)</f>
        <v>1454.5509971187439</v>
      </c>
      <c r="EX21" s="9">
        <f t="shared" si="79"/>
        <v>12560.861796833342</v>
      </c>
      <c r="EY21" s="9">
        <f t="shared" si="79"/>
        <v>10927.082644606151</v>
      </c>
      <c r="EZ21" s="9">
        <f t="shared" si="79"/>
        <v>13041.194461950017</v>
      </c>
      <c r="FA21" s="9">
        <f t="shared" si="79"/>
        <v>12096.215268212607</v>
      </c>
      <c r="FB21" s="9">
        <f t="shared" si="79"/>
        <v>12844.803407192167</v>
      </c>
      <c r="FC21" s="9">
        <f t="shared" si="79"/>
        <v>12830.79805768523</v>
      </c>
      <c r="FD21" s="9">
        <f t="shared" si="79"/>
        <v>14278.891249520431</v>
      </c>
      <c r="FE21" s="9">
        <f t="shared" si="79"/>
        <v>9980.829300063664</v>
      </c>
      <c r="FF21" s="9">
        <f t="shared" si="79"/>
        <v>2727.3717561407516</v>
      </c>
      <c r="FG21" s="9">
        <f t="shared" si="79"/>
        <v>1319.9247505019312</v>
      </c>
      <c r="FH21" s="9">
        <v>4654.4763101749586</v>
      </c>
      <c r="FI21" s="9">
        <f t="shared" si="79"/>
        <v>102324.00000000003</v>
      </c>
      <c r="FJ21" s="9">
        <v>108716.99999999999</v>
      </c>
      <c r="FK21" s="10">
        <v>1.1227489501241306</v>
      </c>
      <c r="FL21" s="9">
        <f>+SUM(FL22:FL32)</f>
        <v>645.91442600000005</v>
      </c>
      <c r="FM21" s="9">
        <f t="shared" ref="FM21:FW21" si="80">+SUM(FM22:FM32)</f>
        <v>555.48</v>
      </c>
      <c r="FN21" s="9">
        <f t="shared" si="80"/>
        <v>0</v>
      </c>
      <c r="FO21" s="9">
        <f t="shared" si="80"/>
        <v>0</v>
      </c>
      <c r="FP21" s="9">
        <f t="shared" si="80"/>
        <v>0</v>
      </c>
      <c r="FQ21" s="9">
        <f t="shared" si="80"/>
        <v>70.270270269999997</v>
      </c>
      <c r="FR21" s="9">
        <f t="shared" si="80"/>
        <v>0</v>
      </c>
      <c r="FS21" s="9">
        <f t="shared" si="80"/>
        <v>0</v>
      </c>
      <c r="FT21" s="9">
        <f t="shared" si="80"/>
        <v>0</v>
      </c>
      <c r="FU21" s="9">
        <f t="shared" si="80"/>
        <v>700</v>
      </c>
      <c r="FV21" s="9">
        <f t="shared" si="80"/>
        <v>0</v>
      </c>
      <c r="FW21" s="9">
        <f t="shared" si="80"/>
        <v>0</v>
      </c>
      <c r="FX21" s="9">
        <f t="shared" ref="FX21" si="81">+SUM(FX22:FX32)</f>
        <v>0</v>
      </c>
      <c r="FY21" s="9">
        <f t="shared" ref="FY21" si="82">+SUM(FY22:FY32)</f>
        <v>281.536</v>
      </c>
      <c r="FZ21" s="9">
        <f t="shared" ref="FZ21" si="83">+SUM(FZ22:FZ32)</f>
        <v>0</v>
      </c>
      <c r="GA21" s="9">
        <f t="shared" ref="GA21" si="84">+SUM(GA22:GA32)</f>
        <v>0</v>
      </c>
      <c r="GB21" s="9">
        <f t="shared" ref="GB21" si="85">+SUM(GB22:GB32)</f>
        <v>0</v>
      </c>
      <c r="GC21" s="9">
        <f t="shared" ref="GC21" si="86">+SUM(GC22:GC32)</f>
        <v>0</v>
      </c>
      <c r="GD21" s="9">
        <f t="shared" ref="GD21" si="87">+SUM(GD22:GD32)</f>
        <v>0</v>
      </c>
      <c r="GE21" s="9">
        <f t="shared" ref="GE21" si="88">+SUM(GE22:GE32)</f>
        <v>0</v>
      </c>
      <c r="GF21" s="9">
        <f t="shared" ref="GF21" si="89">+SUM(GF22:GF32)</f>
        <v>0</v>
      </c>
      <c r="GG21" s="9">
        <f t="shared" ref="GG21" si="90">+SUM(GG22:GG32)</f>
        <v>0</v>
      </c>
      <c r="GH21" s="9">
        <f t="shared" ref="GH21" si="91">+SUM(GH22:GH32)</f>
        <v>0</v>
      </c>
      <c r="GI21" s="9">
        <f t="shared" ref="GI21" si="92">+SUM(GI22:GI32)</f>
        <v>0</v>
      </c>
      <c r="GJ21" s="9">
        <f t="shared" ref="GJ21" si="93">+SUM(GJ22:GJ32)</f>
        <v>0</v>
      </c>
      <c r="GK21" s="9">
        <f t="shared" ref="GK21" si="94">+SUM(GK22:GK32)</f>
        <v>281.536</v>
      </c>
      <c r="GL21" s="10"/>
    </row>
    <row r="22" spans="1:194" s="11" customFormat="1" ht="24.95" customHeight="1">
      <c r="A22" s="15">
        <f t="shared" si="24"/>
        <v>1</v>
      </c>
      <c r="B22" s="16" t="s">
        <v>68</v>
      </c>
      <c r="C22" s="17" t="s">
        <v>16</v>
      </c>
      <c r="D22" s="17"/>
      <c r="E22" s="17"/>
      <c r="F22" s="17"/>
      <c r="G22" s="20">
        <v>127</v>
      </c>
      <c r="H22" s="20">
        <v>92</v>
      </c>
      <c r="I22" s="20">
        <v>111</v>
      </c>
      <c r="J22" s="20">
        <v>121</v>
      </c>
      <c r="K22" s="20">
        <v>120</v>
      </c>
      <c r="L22" s="20">
        <v>70</v>
      </c>
      <c r="M22" s="20">
        <v>90</v>
      </c>
      <c r="N22" s="20">
        <v>90</v>
      </c>
      <c r="O22" s="20">
        <v>88</v>
      </c>
      <c r="P22" s="20">
        <v>17</v>
      </c>
      <c r="Q22" s="20">
        <v>136</v>
      </c>
      <c r="R22" s="20">
        <v>114</v>
      </c>
      <c r="S22" s="20">
        <v>108</v>
      </c>
      <c r="T22" s="20">
        <v>68</v>
      </c>
      <c r="U22" s="20">
        <v>59</v>
      </c>
      <c r="V22" s="20">
        <v>87</v>
      </c>
      <c r="W22" s="20">
        <v>56</v>
      </c>
      <c r="X22" s="20">
        <v>81</v>
      </c>
      <c r="Y22" s="20">
        <v>45</v>
      </c>
      <c r="Z22" s="20">
        <v>90</v>
      </c>
      <c r="AA22" s="20">
        <v>11</v>
      </c>
      <c r="AB22" s="18">
        <v>866</v>
      </c>
      <c r="AC22" s="18">
        <f t="shared" si="25"/>
        <v>872</v>
      </c>
      <c r="AD22" s="19">
        <f t="shared" si="10"/>
        <v>1.0069284064665127</v>
      </c>
      <c r="AE22" s="20"/>
      <c r="AF22" s="20"/>
      <c r="AG22" s="20"/>
      <c r="AH22" s="20"/>
      <c r="AI22" s="20"/>
      <c r="AJ22" s="20"/>
      <c r="AK22" s="20">
        <v>184</v>
      </c>
      <c r="AL22" s="20">
        <v>326</v>
      </c>
      <c r="AM22" s="20">
        <v>53</v>
      </c>
      <c r="AN22" s="20"/>
      <c r="AO22" s="20">
        <v>18</v>
      </c>
      <c r="AP22" s="20">
        <v>44</v>
      </c>
      <c r="AQ22" s="20">
        <v>33</v>
      </c>
      <c r="AR22" s="20">
        <v>84</v>
      </c>
      <c r="AS22" s="20">
        <v>90</v>
      </c>
      <c r="AT22" s="20">
        <v>77</v>
      </c>
      <c r="AU22" s="20">
        <v>89</v>
      </c>
      <c r="AV22" s="20">
        <v>84</v>
      </c>
      <c r="AW22" s="20">
        <v>96</v>
      </c>
      <c r="AX22" s="20">
        <v>76</v>
      </c>
      <c r="AY22" s="20">
        <v>101</v>
      </c>
      <c r="AZ22" s="20">
        <v>56</v>
      </c>
      <c r="BA22" s="20">
        <v>51</v>
      </c>
      <c r="BB22" s="20">
        <v>20</v>
      </c>
      <c r="BC22" s="27">
        <v>758</v>
      </c>
      <c r="BD22" s="27">
        <f t="shared" si="13"/>
        <v>857</v>
      </c>
      <c r="BE22" s="19">
        <f t="shared" si="14"/>
        <v>1.1306068601583112</v>
      </c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>
        <v>128</v>
      </c>
      <c r="BS22" s="20">
        <v>99</v>
      </c>
      <c r="BT22" s="20">
        <v>126</v>
      </c>
      <c r="BU22" s="20">
        <v>101</v>
      </c>
      <c r="BV22" s="20">
        <v>255</v>
      </c>
      <c r="BW22" s="20">
        <v>183</v>
      </c>
      <c r="BX22" s="20">
        <v>146</v>
      </c>
      <c r="BY22" s="20">
        <v>128</v>
      </c>
      <c r="BZ22" s="20">
        <v>173</v>
      </c>
      <c r="CA22" s="20">
        <v>409</v>
      </c>
      <c r="CB22" s="20">
        <v>396</v>
      </c>
      <c r="CC22" s="20">
        <v>140</v>
      </c>
      <c r="CD22" s="21">
        <v>1442</v>
      </c>
      <c r="CE22" s="21">
        <f>+SUM(BR22:CC22)</f>
        <v>2284</v>
      </c>
      <c r="CF22" s="19">
        <f t="shared" si="16"/>
        <v>1.5839112343966713</v>
      </c>
      <c r="CG22" s="20"/>
      <c r="CH22" s="20"/>
      <c r="CI22" s="20"/>
      <c r="CJ22" s="20">
        <v>1069.8499999999999</v>
      </c>
      <c r="CK22" s="20">
        <v>600.00058000000001</v>
      </c>
      <c r="CL22" s="20">
        <v>300</v>
      </c>
      <c r="CM22" s="20">
        <v>500</v>
      </c>
      <c r="CN22" s="20">
        <v>1121.1289999999999</v>
      </c>
      <c r="CO22" s="20">
        <v>200</v>
      </c>
      <c r="CP22" s="20">
        <v>100</v>
      </c>
      <c r="CQ22" s="20">
        <v>300</v>
      </c>
      <c r="CR22" s="20"/>
      <c r="CS22" s="20">
        <v>0</v>
      </c>
      <c r="CT22" s="20">
        <v>203.00428147874521</v>
      </c>
      <c r="CU22" s="20">
        <v>245.59476626065654</v>
      </c>
      <c r="CV22" s="20">
        <v>518.13241827142735</v>
      </c>
      <c r="CW22" s="20">
        <v>560.98650706619355</v>
      </c>
      <c r="CX22" s="20">
        <v>207.25296730857093</v>
      </c>
      <c r="CY22" s="20">
        <v>487.04447317514166</v>
      </c>
      <c r="CZ22" s="20">
        <v>1224.0606154889913</v>
      </c>
      <c r="DA22" s="20">
        <v>2335.2892907199112</v>
      </c>
      <c r="DB22" s="20">
        <v>1650.8890550689696</v>
      </c>
      <c r="DC22" s="20">
        <v>414.50593461714186</v>
      </c>
      <c r="DD22" s="20">
        <v>137.84912988111324</v>
      </c>
      <c r="DE22" s="14">
        <v>8224.3766274718255</v>
      </c>
      <c r="DF22" s="14">
        <v>8005.182264</v>
      </c>
      <c r="DG22" s="19">
        <f t="shared" si="18"/>
        <v>0.9733482094266388</v>
      </c>
      <c r="DH22" s="20"/>
      <c r="DI22" s="20">
        <v>35</v>
      </c>
      <c r="DJ22" s="20">
        <v>25</v>
      </c>
      <c r="DK22" s="20">
        <v>80</v>
      </c>
      <c r="DL22" s="20">
        <v>91</v>
      </c>
      <c r="DM22" s="20">
        <v>98</v>
      </c>
      <c r="DN22" s="20">
        <v>201</v>
      </c>
      <c r="DO22" s="20">
        <v>259</v>
      </c>
      <c r="DP22" s="20">
        <v>632</v>
      </c>
      <c r="DQ22" s="20">
        <v>489</v>
      </c>
      <c r="DR22" s="20">
        <v>175</v>
      </c>
      <c r="DS22" s="20">
        <v>51</v>
      </c>
      <c r="DT22" s="20">
        <v>102.720850398536</v>
      </c>
      <c r="DU22" s="20">
        <v>86.285514334770241</v>
      </c>
      <c r="DV22" s="20">
        <v>309.18975969959337</v>
      </c>
      <c r="DW22" s="20">
        <v>556.74700916006509</v>
      </c>
      <c r="DX22" s="20">
        <v>512.5770434886947</v>
      </c>
      <c r="DY22" s="20">
        <v>541.85248585227737</v>
      </c>
      <c r="DZ22" s="20">
        <v>476.11114159721438</v>
      </c>
      <c r="EA22" s="20">
        <v>540.31167309629939</v>
      </c>
      <c r="EB22" s="20">
        <v>356.95495513491261</v>
      </c>
      <c r="EC22" s="20">
        <v>122.23781197425784</v>
      </c>
      <c r="ED22" s="20">
        <v>252.69329198039856</v>
      </c>
      <c r="EE22" s="20">
        <v>80.122263310858074</v>
      </c>
      <c r="EF22" s="14">
        <v>3374.9510135135006</v>
      </c>
      <c r="EG22" s="14">
        <f t="shared" si="23"/>
        <v>3937.8038000278784</v>
      </c>
      <c r="EH22" s="19">
        <f t="shared" si="20"/>
        <v>1.1667736166423401</v>
      </c>
      <c r="EI22" s="19"/>
      <c r="EJ22" s="19"/>
      <c r="EK22" s="32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>
        <v>20.259781281687353</v>
      </c>
      <c r="EX22" s="20">
        <v>716.79106174609853</v>
      </c>
      <c r="EY22" s="20">
        <v>640.0064906885035</v>
      </c>
      <c r="EZ22" s="20">
        <v>849.49262914115081</v>
      </c>
      <c r="FA22" s="20">
        <v>764.3002488516554</v>
      </c>
      <c r="FB22" s="20">
        <v>579</v>
      </c>
      <c r="FC22" s="20">
        <v>1101.9295039109754</v>
      </c>
      <c r="FD22" s="20">
        <v>978.1422402798645</v>
      </c>
      <c r="FE22" s="20">
        <v>1582.4915159125994</v>
      </c>
      <c r="FF22" s="20">
        <v>332.26041301967263</v>
      </c>
      <c r="FG22" s="20">
        <v>153.46784320878172</v>
      </c>
      <c r="FH22" s="20">
        <v>500.13724996907717</v>
      </c>
      <c r="FI22" s="14">
        <v>5640.3275670003604</v>
      </c>
      <c r="FJ22" s="14">
        <v>8218.2789780100666</v>
      </c>
      <c r="FK22" s="19">
        <v>1.5397111683154463</v>
      </c>
      <c r="FL22" s="20"/>
      <c r="FM22" s="20">
        <v>100</v>
      </c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19"/>
    </row>
    <row r="23" spans="1:194" s="11" customFormat="1" ht="24.95" customHeight="1">
      <c r="A23" s="15">
        <f t="shared" si="24"/>
        <v>2</v>
      </c>
      <c r="B23" s="16" t="s">
        <v>69</v>
      </c>
      <c r="C23" s="17" t="s">
        <v>17</v>
      </c>
      <c r="D23" s="17"/>
      <c r="E23" s="17"/>
      <c r="F23" s="17"/>
      <c r="G23" s="20">
        <v>81</v>
      </c>
      <c r="H23" s="20">
        <v>95</v>
      </c>
      <c r="I23" s="20">
        <v>99</v>
      </c>
      <c r="J23" s="20">
        <v>105</v>
      </c>
      <c r="K23" s="20">
        <v>100</v>
      </c>
      <c r="L23" s="20">
        <v>120</v>
      </c>
      <c r="M23" s="20">
        <v>113</v>
      </c>
      <c r="N23" s="20">
        <v>121</v>
      </c>
      <c r="O23" s="20">
        <v>120</v>
      </c>
      <c r="P23" s="20">
        <v>15</v>
      </c>
      <c r="Q23" s="20">
        <v>162</v>
      </c>
      <c r="R23" s="20">
        <v>159</v>
      </c>
      <c r="S23" s="20">
        <v>120</v>
      </c>
      <c r="T23" s="20">
        <v>67</v>
      </c>
      <c r="U23" s="20">
        <v>61</v>
      </c>
      <c r="V23" s="20">
        <v>76</v>
      </c>
      <c r="W23" s="20">
        <v>31</v>
      </c>
      <c r="X23" s="20">
        <v>94</v>
      </c>
      <c r="Y23" s="20">
        <v>73</v>
      </c>
      <c r="Z23" s="20">
        <v>67</v>
      </c>
      <c r="AA23" s="20">
        <v>62</v>
      </c>
      <c r="AB23" s="18">
        <v>969</v>
      </c>
      <c r="AC23" s="18">
        <f t="shared" si="25"/>
        <v>987</v>
      </c>
      <c r="AD23" s="19">
        <f t="shared" si="10"/>
        <v>1.0185758513931888</v>
      </c>
      <c r="AE23" s="20"/>
      <c r="AF23" s="20"/>
      <c r="AG23" s="20"/>
      <c r="AH23" s="20"/>
      <c r="AI23" s="20"/>
      <c r="AJ23" s="20"/>
      <c r="AK23" s="20">
        <v>102</v>
      </c>
      <c r="AL23" s="20">
        <v>196</v>
      </c>
      <c r="AM23" s="20">
        <v>3</v>
      </c>
      <c r="AN23" s="20"/>
      <c r="AO23" s="20">
        <v>28</v>
      </c>
      <c r="AP23" s="20"/>
      <c r="AQ23" s="20">
        <v>46</v>
      </c>
      <c r="AR23" s="20">
        <v>64</v>
      </c>
      <c r="AS23" s="20">
        <v>51</v>
      </c>
      <c r="AT23" s="20">
        <v>54</v>
      </c>
      <c r="AU23" s="20">
        <v>59</v>
      </c>
      <c r="AV23" s="20">
        <v>63</v>
      </c>
      <c r="AW23" s="20">
        <v>45</v>
      </c>
      <c r="AX23" s="20">
        <v>32</v>
      </c>
      <c r="AY23" s="20">
        <v>58</v>
      </c>
      <c r="AZ23" s="20">
        <v>21</v>
      </c>
      <c r="BA23" s="20">
        <v>17</v>
      </c>
      <c r="BB23" s="20">
        <v>26</v>
      </c>
      <c r="BC23" s="27">
        <v>393</v>
      </c>
      <c r="BD23" s="27">
        <f t="shared" si="13"/>
        <v>536</v>
      </c>
      <c r="BE23" s="19">
        <f t="shared" si="14"/>
        <v>1.3638676844783715</v>
      </c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>
        <v>67</v>
      </c>
      <c r="BS23" s="20">
        <v>106</v>
      </c>
      <c r="BT23" s="20">
        <v>113</v>
      </c>
      <c r="BU23" s="20">
        <v>40</v>
      </c>
      <c r="BV23" s="20">
        <v>66</v>
      </c>
      <c r="BW23" s="20">
        <v>103</v>
      </c>
      <c r="BX23" s="20">
        <v>154</v>
      </c>
      <c r="BY23" s="20">
        <v>114</v>
      </c>
      <c r="BZ23" s="20">
        <v>81</v>
      </c>
      <c r="CA23" s="20">
        <v>386</v>
      </c>
      <c r="CB23" s="20">
        <v>280</v>
      </c>
      <c r="CC23" s="20">
        <v>89</v>
      </c>
      <c r="CD23" s="21">
        <v>789</v>
      </c>
      <c r="CE23" s="21">
        <f t="shared" ref="CE23:CE63" si="95">+SUM(BR23:CC23)</f>
        <v>1599</v>
      </c>
      <c r="CF23" s="19">
        <f t="shared" si="16"/>
        <v>2.0266159695817492</v>
      </c>
      <c r="CG23" s="20"/>
      <c r="CH23" s="20"/>
      <c r="CI23" s="20">
        <v>100</v>
      </c>
      <c r="CJ23" s="20">
        <v>300</v>
      </c>
      <c r="CK23" s="20">
        <v>719.99299999999994</v>
      </c>
      <c r="CL23" s="20">
        <v>600</v>
      </c>
      <c r="CM23" s="20">
        <v>300</v>
      </c>
      <c r="CN23" s="20">
        <v>1199.92</v>
      </c>
      <c r="CO23" s="20">
        <v>500</v>
      </c>
      <c r="CP23" s="20">
        <v>1100</v>
      </c>
      <c r="CQ23" s="20"/>
      <c r="CR23" s="20"/>
      <c r="CS23" s="20">
        <v>51.813241827142733</v>
      </c>
      <c r="CT23" s="20">
        <v>347.14872024185632</v>
      </c>
      <c r="CU23" s="20">
        <v>475.64555997317029</v>
      </c>
      <c r="CV23" s="20">
        <v>725.17813261268964</v>
      </c>
      <c r="CW23" s="20">
        <v>1360.3247472146668</v>
      </c>
      <c r="CX23" s="20">
        <v>775.78101711075033</v>
      </c>
      <c r="CY23" s="20">
        <v>705.54201654598864</v>
      </c>
      <c r="CZ23" s="20">
        <v>777.19862740714098</v>
      </c>
      <c r="DA23" s="20">
        <v>689.11611630099833</v>
      </c>
      <c r="DB23" s="20">
        <v>1163.7357740859911</v>
      </c>
      <c r="DC23" s="20">
        <v>829.01186923428372</v>
      </c>
      <c r="DD23" s="20">
        <v>505.17910781464161</v>
      </c>
      <c r="DE23" s="14">
        <v>7777.4773226291281</v>
      </c>
      <c r="DF23" s="14">
        <v>8111.512264</v>
      </c>
      <c r="DG23" s="19">
        <f t="shared" si="18"/>
        <v>1.0429490087227864</v>
      </c>
      <c r="DH23" s="20"/>
      <c r="DI23" s="20">
        <v>50</v>
      </c>
      <c r="DJ23" s="20">
        <v>20</v>
      </c>
      <c r="DK23" s="20">
        <v>130</v>
      </c>
      <c r="DL23" s="20">
        <v>85</v>
      </c>
      <c r="DM23" s="20">
        <v>10</v>
      </c>
      <c r="DN23" s="20">
        <v>59</v>
      </c>
      <c r="DO23" s="20">
        <v>112</v>
      </c>
      <c r="DP23" s="20">
        <v>68</v>
      </c>
      <c r="DQ23" s="20">
        <v>90</v>
      </c>
      <c r="DR23" s="20">
        <v>44</v>
      </c>
      <c r="DS23" s="20">
        <v>129</v>
      </c>
      <c r="DT23" s="20">
        <v>233.17633040467672</v>
      </c>
      <c r="DU23" s="20">
        <v>130.71228213213706</v>
      </c>
      <c r="DV23" s="20">
        <v>187.8507551663227</v>
      </c>
      <c r="DW23" s="20">
        <v>599.01663909906279</v>
      </c>
      <c r="DX23" s="20">
        <v>812.52192665241978</v>
      </c>
      <c r="DY23" s="20">
        <v>704.92183585995326</v>
      </c>
      <c r="DZ23" s="20">
        <v>537.35844864734145</v>
      </c>
      <c r="EA23" s="20">
        <v>764.24312696510788</v>
      </c>
      <c r="EB23" s="20">
        <v>481.76078836913337</v>
      </c>
      <c r="EC23" s="20">
        <v>104.77526740650671</v>
      </c>
      <c r="ED23" s="20">
        <v>17.46254456775112</v>
      </c>
      <c r="EE23" s="20">
        <v>0</v>
      </c>
      <c r="EF23" s="14">
        <v>3687.99615155623</v>
      </c>
      <c r="EG23" s="14">
        <f t="shared" si="23"/>
        <v>4573.7999452704125</v>
      </c>
      <c r="EH23" s="19">
        <f t="shared" si="20"/>
        <v>1.2401856610778725</v>
      </c>
      <c r="EI23" s="19"/>
      <c r="EJ23" s="19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>
        <v>0</v>
      </c>
      <c r="EX23" s="20">
        <v>631.09218692456113</v>
      </c>
      <c r="EY23" s="20">
        <v>542.75954053640419</v>
      </c>
      <c r="EZ23" s="20">
        <v>1186.7217535201571</v>
      </c>
      <c r="FA23" s="20">
        <v>938.5596926007687</v>
      </c>
      <c r="FB23" s="20">
        <v>1347.4274035918215</v>
      </c>
      <c r="FC23" s="20">
        <v>1056.8261658326189</v>
      </c>
      <c r="FD23" s="20">
        <v>1054.4203168054185</v>
      </c>
      <c r="FE23" s="20">
        <v>773.41715042841474</v>
      </c>
      <c r="FF23" s="20">
        <v>224.57967550750431</v>
      </c>
      <c r="FG23" s="20">
        <v>60.779343845062066</v>
      </c>
      <c r="FH23" s="20">
        <v>87.117059511255007</v>
      </c>
      <c r="FI23" s="14">
        <v>7575.6118211589164</v>
      </c>
      <c r="FJ23" s="14">
        <v>7903.7002891039865</v>
      </c>
      <c r="FK23" s="19">
        <v>1.1024920264095455</v>
      </c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>
        <v>281.536</v>
      </c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>
        <f>+SUM(FX23:GI23)</f>
        <v>281.536</v>
      </c>
      <c r="GL23" s="19"/>
    </row>
    <row r="24" spans="1:194" s="11" customFormat="1" ht="24.95" customHeight="1">
      <c r="A24" s="15">
        <f t="shared" si="24"/>
        <v>3</v>
      </c>
      <c r="B24" s="16" t="s">
        <v>70</v>
      </c>
      <c r="C24" s="17" t="s">
        <v>18</v>
      </c>
      <c r="D24" s="17"/>
      <c r="E24" s="17"/>
      <c r="F24" s="17"/>
      <c r="G24" s="20">
        <v>101</v>
      </c>
      <c r="H24" s="20">
        <v>102</v>
      </c>
      <c r="I24" s="20">
        <v>99</v>
      </c>
      <c r="J24" s="20">
        <v>75</v>
      </c>
      <c r="K24" s="20">
        <v>100</v>
      </c>
      <c r="L24" s="20">
        <v>86</v>
      </c>
      <c r="M24" s="20">
        <v>90</v>
      </c>
      <c r="N24" s="20">
        <v>80</v>
      </c>
      <c r="O24" s="20">
        <v>85</v>
      </c>
      <c r="P24" s="20">
        <v>34</v>
      </c>
      <c r="Q24" s="20">
        <v>270</v>
      </c>
      <c r="R24" s="20">
        <v>32</v>
      </c>
      <c r="S24" s="20">
        <v>58</v>
      </c>
      <c r="T24" s="20">
        <v>107</v>
      </c>
      <c r="U24" s="20">
        <v>66</v>
      </c>
      <c r="V24" s="20">
        <v>57</v>
      </c>
      <c r="W24" s="20">
        <v>42</v>
      </c>
      <c r="X24" s="20">
        <v>77</v>
      </c>
      <c r="Y24" s="20">
        <v>67</v>
      </c>
      <c r="Z24" s="20">
        <v>74</v>
      </c>
      <c r="AA24" s="20">
        <v>77</v>
      </c>
      <c r="AB24" s="18">
        <v>936</v>
      </c>
      <c r="AC24" s="18">
        <f t="shared" si="25"/>
        <v>961</v>
      </c>
      <c r="AD24" s="19">
        <f t="shared" si="10"/>
        <v>1.0267094017094016</v>
      </c>
      <c r="AE24" s="20"/>
      <c r="AF24" s="20"/>
      <c r="AG24" s="20"/>
      <c r="AH24" s="20"/>
      <c r="AI24" s="20"/>
      <c r="AJ24" s="20"/>
      <c r="AK24" s="20">
        <v>162</v>
      </c>
      <c r="AL24" s="20">
        <v>251</v>
      </c>
      <c r="AM24" s="20">
        <v>44</v>
      </c>
      <c r="AN24" s="20">
        <v>8</v>
      </c>
      <c r="AO24" s="20">
        <v>16</v>
      </c>
      <c r="AP24" s="20"/>
      <c r="AQ24" s="20">
        <v>27</v>
      </c>
      <c r="AR24" s="20">
        <v>69</v>
      </c>
      <c r="AS24" s="20">
        <v>55</v>
      </c>
      <c r="AT24" s="20">
        <v>44</v>
      </c>
      <c r="AU24" s="20">
        <v>75</v>
      </c>
      <c r="AV24" s="20">
        <v>62</v>
      </c>
      <c r="AW24" s="20">
        <v>34</v>
      </c>
      <c r="AX24" s="20">
        <v>36</v>
      </c>
      <c r="AY24" s="20">
        <v>37</v>
      </c>
      <c r="AZ24" s="20">
        <v>47</v>
      </c>
      <c r="BA24" s="20">
        <v>42</v>
      </c>
      <c r="BB24" s="20">
        <v>18</v>
      </c>
      <c r="BC24" s="27">
        <v>527</v>
      </c>
      <c r="BD24" s="27">
        <f t="shared" si="13"/>
        <v>546</v>
      </c>
      <c r="BE24" s="19">
        <f t="shared" si="14"/>
        <v>1.0360531309297913</v>
      </c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>
        <v>150</v>
      </c>
      <c r="BS24" s="20">
        <v>422</v>
      </c>
      <c r="BT24" s="20">
        <v>74</v>
      </c>
      <c r="BU24" s="20">
        <v>61</v>
      </c>
      <c r="BV24" s="20">
        <v>128</v>
      </c>
      <c r="BW24" s="20">
        <v>366</v>
      </c>
      <c r="BX24" s="20">
        <v>236</v>
      </c>
      <c r="BY24" s="20">
        <v>132</v>
      </c>
      <c r="BZ24" s="20">
        <v>145</v>
      </c>
      <c r="CA24" s="20">
        <v>404</v>
      </c>
      <c r="CB24" s="20">
        <v>229</v>
      </c>
      <c r="CC24" s="20">
        <v>282</v>
      </c>
      <c r="CD24" s="21">
        <v>1079</v>
      </c>
      <c r="CE24" s="21">
        <f t="shared" si="95"/>
        <v>2629</v>
      </c>
      <c r="CF24" s="19">
        <f t="shared" si="16"/>
        <v>2.4365152919369786</v>
      </c>
      <c r="CG24" s="20"/>
      <c r="CH24" s="20"/>
      <c r="CI24" s="20">
        <v>200</v>
      </c>
      <c r="CJ24" s="20">
        <v>280</v>
      </c>
      <c r="CK24" s="20">
        <v>1079</v>
      </c>
      <c r="CL24" s="20">
        <v>360</v>
      </c>
      <c r="CM24" s="20">
        <v>600</v>
      </c>
      <c r="CN24" s="20">
        <v>1090</v>
      </c>
      <c r="CO24" s="20"/>
      <c r="CP24" s="20">
        <v>300</v>
      </c>
      <c r="CQ24" s="20"/>
      <c r="CR24" s="20"/>
      <c r="CS24" s="20">
        <v>636.63806187676607</v>
      </c>
      <c r="CT24" s="20">
        <v>485.84147747145846</v>
      </c>
      <c r="CU24" s="20">
        <v>436.78562860281323</v>
      </c>
      <c r="CV24" s="20">
        <v>784.05781461861943</v>
      </c>
      <c r="CW24" s="20">
        <v>725.38538557999823</v>
      </c>
      <c r="CX24" s="20">
        <v>689.5306222356154</v>
      </c>
      <c r="CY24" s="20">
        <v>521.04950378629542</v>
      </c>
      <c r="CZ24" s="20">
        <v>842.37968562568653</v>
      </c>
      <c r="DA24" s="20">
        <v>1110.368135004034</v>
      </c>
      <c r="DB24" s="20">
        <v>1274.6057489477112</v>
      </c>
      <c r="DC24" s="20">
        <v>674.60840858939832</v>
      </c>
      <c r="DD24" s="20">
        <v>310.87945096285637</v>
      </c>
      <c r="DE24" s="14">
        <v>7624.6338287858071</v>
      </c>
      <c r="DF24" s="14">
        <v>8194.9417020000001</v>
      </c>
      <c r="DG24" s="19">
        <f t="shared" si="18"/>
        <v>1.0747980671623953</v>
      </c>
      <c r="DH24" s="20"/>
      <c r="DI24" s="20">
        <v>50</v>
      </c>
      <c r="DJ24" s="20">
        <v>10</v>
      </c>
      <c r="DK24" s="20">
        <v>80</v>
      </c>
      <c r="DL24" s="20">
        <v>147.79999999999998</v>
      </c>
      <c r="DM24" s="20">
        <v>178.4</v>
      </c>
      <c r="DN24" s="20">
        <v>357.7</v>
      </c>
      <c r="DO24" s="20">
        <v>603.29999999999995</v>
      </c>
      <c r="DP24" s="20">
        <v>710.40000000000009</v>
      </c>
      <c r="DQ24" s="20">
        <v>714.9</v>
      </c>
      <c r="DR24" s="20">
        <v>471.7</v>
      </c>
      <c r="DS24" s="20">
        <v>425.5</v>
      </c>
      <c r="DT24" s="20">
        <v>344.73117393748686</v>
      </c>
      <c r="DU24" s="20">
        <v>128.40106299817</v>
      </c>
      <c r="DV24" s="20">
        <v>181.1995801030175</v>
      </c>
      <c r="DW24" s="20">
        <v>533.63481782039457</v>
      </c>
      <c r="DX24" s="20">
        <v>553.66538364810901</v>
      </c>
      <c r="DY24" s="20">
        <v>553.66538364810901</v>
      </c>
      <c r="DZ24" s="20">
        <v>557.77421766405052</v>
      </c>
      <c r="EA24" s="20">
        <v>575.75036648379432</v>
      </c>
      <c r="EB24" s="20">
        <v>420.12827813001223</v>
      </c>
      <c r="EC24" s="20">
        <v>52.387633703253357</v>
      </c>
      <c r="ED24" s="20">
        <v>120.18339496628712</v>
      </c>
      <c r="EE24" s="20">
        <v>0</v>
      </c>
      <c r="EF24" s="14">
        <v>2927.5042790059206</v>
      </c>
      <c r="EG24" s="14">
        <f t="shared" si="23"/>
        <v>4021.5212931026849</v>
      </c>
      <c r="EH24" s="19">
        <f t="shared" si="20"/>
        <v>1.3737029598700552</v>
      </c>
      <c r="EI24" s="19"/>
      <c r="EJ24" s="19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>
        <v>221.84460503447653</v>
      </c>
      <c r="EX24" s="20">
        <v>716.18326830764795</v>
      </c>
      <c r="EY24" s="20">
        <v>402.35925625431088</v>
      </c>
      <c r="EZ24" s="20">
        <v>1000</v>
      </c>
      <c r="FA24" s="20">
        <v>924.88434023562979</v>
      </c>
      <c r="FB24" s="20">
        <v>718.38651952203145</v>
      </c>
      <c r="FC24" s="20">
        <v>571.42713104999189</v>
      </c>
      <c r="FD24" s="20">
        <v>731.47940317532141</v>
      </c>
      <c r="FE24" s="20">
        <v>699.3676498438474</v>
      </c>
      <c r="FF24" s="20">
        <v>170.89125511103282</v>
      </c>
      <c r="FG24" s="20">
        <v>0</v>
      </c>
      <c r="FH24" s="20">
        <v>416.61455666878408</v>
      </c>
      <c r="FI24" s="14">
        <v>6172.0699866557507</v>
      </c>
      <c r="FJ24" s="14">
        <v>6573.4379852030743</v>
      </c>
      <c r="FK24" s="19">
        <v>1.1254454119453894</v>
      </c>
      <c r="FL24" s="20"/>
      <c r="FM24" s="20">
        <v>255.5</v>
      </c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19"/>
    </row>
    <row r="25" spans="1:194" s="11" customFormat="1" ht="24.95" customHeight="1">
      <c r="A25" s="15">
        <f t="shared" si="24"/>
        <v>4</v>
      </c>
      <c r="B25" s="16" t="s">
        <v>71</v>
      </c>
      <c r="C25" s="17" t="s">
        <v>19</v>
      </c>
      <c r="D25" s="17"/>
      <c r="E25" s="17"/>
      <c r="F25" s="17"/>
      <c r="G25" s="20">
        <v>110</v>
      </c>
      <c r="H25" s="20">
        <v>120</v>
      </c>
      <c r="I25" s="20">
        <v>110</v>
      </c>
      <c r="J25" s="20">
        <v>80</v>
      </c>
      <c r="K25" s="20">
        <v>121</v>
      </c>
      <c r="L25" s="20">
        <v>101</v>
      </c>
      <c r="M25" s="20">
        <v>90</v>
      </c>
      <c r="N25" s="20">
        <v>84</v>
      </c>
      <c r="O25" s="20">
        <v>101</v>
      </c>
      <c r="P25" s="20">
        <v>140</v>
      </c>
      <c r="Q25" s="20">
        <v>165</v>
      </c>
      <c r="R25" s="20">
        <v>57</v>
      </c>
      <c r="S25" s="20">
        <v>123</v>
      </c>
      <c r="T25" s="20">
        <v>109</v>
      </c>
      <c r="U25" s="20">
        <v>79</v>
      </c>
      <c r="V25" s="20">
        <v>83</v>
      </c>
      <c r="W25" s="20">
        <v>82</v>
      </c>
      <c r="X25" s="20">
        <v>91</v>
      </c>
      <c r="Y25" s="20">
        <v>79</v>
      </c>
      <c r="Z25" s="20">
        <v>74</v>
      </c>
      <c r="AA25" s="20">
        <v>41</v>
      </c>
      <c r="AB25" s="18">
        <v>1099</v>
      </c>
      <c r="AC25" s="18">
        <f t="shared" si="25"/>
        <v>1123</v>
      </c>
      <c r="AD25" s="19">
        <f t="shared" si="10"/>
        <v>1.021838034576888</v>
      </c>
      <c r="AE25" s="20"/>
      <c r="AF25" s="20"/>
      <c r="AG25" s="20"/>
      <c r="AH25" s="20"/>
      <c r="AI25" s="20"/>
      <c r="AJ25" s="20"/>
      <c r="AK25" s="20">
        <v>222</v>
      </c>
      <c r="AL25" s="20">
        <v>320</v>
      </c>
      <c r="AM25" s="20">
        <v>119</v>
      </c>
      <c r="AN25" s="20">
        <v>40</v>
      </c>
      <c r="AO25" s="20">
        <v>59</v>
      </c>
      <c r="AP25" s="20">
        <v>5</v>
      </c>
      <c r="AQ25" s="20">
        <v>44</v>
      </c>
      <c r="AR25" s="20">
        <v>120</v>
      </c>
      <c r="AS25" s="20">
        <v>143</v>
      </c>
      <c r="AT25" s="20">
        <v>115</v>
      </c>
      <c r="AU25" s="20">
        <v>89</v>
      </c>
      <c r="AV25" s="20">
        <v>90</v>
      </c>
      <c r="AW25" s="20">
        <v>90</v>
      </c>
      <c r="AX25" s="20">
        <v>37</v>
      </c>
      <c r="AY25" s="20">
        <v>52</v>
      </c>
      <c r="AZ25" s="20">
        <v>69</v>
      </c>
      <c r="BA25" s="20">
        <v>33</v>
      </c>
      <c r="BB25" s="20">
        <v>18</v>
      </c>
      <c r="BC25" s="27">
        <v>861</v>
      </c>
      <c r="BD25" s="27">
        <f t="shared" si="13"/>
        <v>900</v>
      </c>
      <c r="BE25" s="19">
        <f t="shared" si="14"/>
        <v>1.0452961672473868</v>
      </c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>
        <v>435</v>
      </c>
      <c r="BS25" s="20">
        <v>553</v>
      </c>
      <c r="BT25" s="20">
        <v>164</v>
      </c>
      <c r="BU25" s="20">
        <v>146</v>
      </c>
      <c r="BV25" s="20">
        <v>247</v>
      </c>
      <c r="BW25" s="20">
        <v>234</v>
      </c>
      <c r="BX25" s="20">
        <v>257</v>
      </c>
      <c r="BY25" s="20">
        <v>190</v>
      </c>
      <c r="BZ25" s="20">
        <v>265</v>
      </c>
      <c r="CA25" s="20">
        <v>601</v>
      </c>
      <c r="CB25" s="20">
        <v>538</v>
      </c>
      <c r="CC25" s="20">
        <v>565</v>
      </c>
      <c r="CD25" s="21">
        <v>1936</v>
      </c>
      <c r="CE25" s="21">
        <f t="shared" si="95"/>
        <v>4195</v>
      </c>
      <c r="CF25" s="19">
        <f t="shared" si="16"/>
        <v>2.1668388429752068</v>
      </c>
      <c r="CG25" s="20"/>
      <c r="CH25" s="20">
        <v>70</v>
      </c>
      <c r="CI25" s="20"/>
      <c r="CJ25" s="20">
        <v>700</v>
      </c>
      <c r="CK25" s="20">
        <v>560</v>
      </c>
      <c r="CL25" s="20">
        <v>500</v>
      </c>
      <c r="CM25" s="20">
        <v>470</v>
      </c>
      <c r="CN25" s="20">
        <v>690</v>
      </c>
      <c r="CO25" s="20">
        <v>200</v>
      </c>
      <c r="CP25" s="20">
        <v>100</v>
      </c>
      <c r="CQ25" s="20">
        <v>100</v>
      </c>
      <c r="CR25" s="20"/>
      <c r="CS25" s="20">
        <v>416.46555183737297</v>
      </c>
      <c r="CT25" s="20">
        <v>362.69269278999911</v>
      </c>
      <c r="CU25" s="20">
        <v>541.75925654460434</v>
      </c>
      <c r="CV25" s="20">
        <v>1028.7684526533228</v>
      </c>
      <c r="CW25" s="20">
        <v>766.83597904171245</v>
      </c>
      <c r="CX25" s="20">
        <v>609.32372388719853</v>
      </c>
      <c r="CY25" s="20">
        <v>1033.3324277798486</v>
      </c>
      <c r="CZ25" s="20">
        <v>829.01186923428372</v>
      </c>
      <c r="DA25" s="20">
        <v>935.63119350804789</v>
      </c>
      <c r="DB25" s="20">
        <v>822.79428021502656</v>
      </c>
      <c r="DC25" s="20">
        <v>713.98647237802686</v>
      </c>
      <c r="DD25" s="20">
        <v>497.40712154057019</v>
      </c>
      <c r="DE25" s="14">
        <v>7970.212976834443</v>
      </c>
      <c r="DF25" s="14">
        <v>8258.5153134800003</v>
      </c>
      <c r="DG25" s="19">
        <f t="shared" si="18"/>
        <v>1.0361724758778106</v>
      </c>
      <c r="DH25" s="20"/>
      <c r="DI25" s="20">
        <v>50</v>
      </c>
      <c r="DJ25" s="20">
        <v>15</v>
      </c>
      <c r="DK25" s="20">
        <v>145</v>
      </c>
      <c r="DL25" s="20">
        <v>155</v>
      </c>
      <c r="DM25" s="20">
        <v>200</v>
      </c>
      <c r="DN25" s="20">
        <v>697</v>
      </c>
      <c r="DO25" s="20">
        <v>847</v>
      </c>
      <c r="DP25" s="20">
        <v>482</v>
      </c>
      <c r="DQ25" s="20">
        <v>362</v>
      </c>
      <c r="DR25" s="20">
        <v>243</v>
      </c>
      <c r="DS25" s="20">
        <v>400.5</v>
      </c>
      <c r="DT25" s="20">
        <v>613.44891858005701</v>
      </c>
      <c r="DU25" s="20">
        <v>329.73392977930058</v>
      </c>
      <c r="DV25" s="20">
        <v>629.67881294302572</v>
      </c>
      <c r="DW25" s="20">
        <v>804.30425862053664</v>
      </c>
      <c r="DX25" s="20">
        <v>888.53535594733637</v>
      </c>
      <c r="DY25" s="20">
        <v>676.9304041263523</v>
      </c>
      <c r="DZ25" s="20">
        <v>850.52864129987813</v>
      </c>
      <c r="EA25" s="20">
        <v>861.827934843717</v>
      </c>
      <c r="EB25" s="20">
        <v>516.6858775046361</v>
      </c>
      <c r="EC25" s="20">
        <v>104.77526740650671</v>
      </c>
      <c r="ED25" s="20">
        <v>17.46254456775112</v>
      </c>
      <c r="EE25" s="20">
        <v>0</v>
      </c>
      <c r="EF25" s="14">
        <v>5077.1635352276262</v>
      </c>
      <c r="EG25" s="14">
        <f t="shared" si="23"/>
        <v>6293.9119456190974</v>
      </c>
      <c r="EH25" s="19">
        <f t="shared" si="20"/>
        <v>1.2396512150828169</v>
      </c>
      <c r="EI25" s="19"/>
      <c r="EJ25" s="19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>
        <v>67.870267293652631</v>
      </c>
      <c r="EX25" s="20">
        <v>1390.5300882686117</v>
      </c>
      <c r="EY25" s="20">
        <v>1742.8476847571546</v>
      </c>
      <c r="EZ25" s="20">
        <v>1125</v>
      </c>
      <c r="FA25" s="20">
        <v>1426.6937978564235</v>
      </c>
      <c r="FB25" s="20">
        <v>1351.1248136757297</v>
      </c>
      <c r="FC25" s="20">
        <v>1207.0777687629341</v>
      </c>
      <c r="FD25" s="20">
        <v>1845.8686725745345</v>
      </c>
      <c r="FE25" s="20">
        <v>987.10719349701219</v>
      </c>
      <c r="FF25" s="20">
        <v>211.0056220487738</v>
      </c>
      <c r="FG25" s="20">
        <v>131.6885783309678</v>
      </c>
      <c r="FH25" s="20">
        <v>655.3687996908393</v>
      </c>
      <c r="FI25" s="14">
        <v>12085.370534086065</v>
      </c>
      <c r="FJ25" s="14">
        <v>12142.183286756634</v>
      </c>
      <c r="FK25" s="19">
        <v>1.0616943860388346</v>
      </c>
      <c r="FL25" s="20">
        <v>70</v>
      </c>
      <c r="FM25" s="20">
        <v>199.98</v>
      </c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19"/>
    </row>
    <row r="26" spans="1:194" s="11" customFormat="1" ht="24.95" customHeight="1">
      <c r="A26" s="15">
        <f t="shared" si="24"/>
        <v>5</v>
      </c>
      <c r="B26" s="16" t="s">
        <v>72</v>
      </c>
      <c r="C26" s="17" t="s">
        <v>20</v>
      </c>
      <c r="D26" s="17"/>
      <c r="E26" s="17"/>
      <c r="F26" s="17"/>
      <c r="G26" s="20">
        <v>86</v>
      </c>
      <c r="H26" s="20">
        <v>85</v>
      </c>
      <c r="I26" s="20">
        <v>97</v>
      </c>
      <c r="J26" s="20">
        <v>106</v>
      </c>
      <c r="K26" s="20">
        <v>102</v>
      </c>
      <c r="L26" s="20">
        <v>102</v>
      </c>
      <c r="M26" s="20">
        <v>105</v>
      </c>
      <c r="N26" s="20">
        <v>106</v>
      </c>
      <c r="O26" s="20">
        <v>101</v>
      </c>
      <c r="P26" s="20">
        <v>8</v>
      </c>
      <c r="Q26" s="20">
        <v>283</v>
      </c>
      <c r="R26" s="20">
        <v>12</v>
      </c>
      <c r="S26" s="20">
        <v>74</v>
      </c>
      <c r="T26" s="20">
        <v>129</v>
      </c>
      <c r="U26" s="20">
        <v>107</v>
      </c>
      <c r="V26" s="20">
        <v>115</v>
      </c>
      <c r="W26" s="20">
        <v>107</v>
      </c>
      <c r="X26" s="20">
        <v>85</v>
      </c>
      <c r="Y26" s="20">
        <v>71</v>
      </c>
      <c r="Z26" s="20">
        <v>83</v>
      </c>
      <c r="AA26" s="20">
        <v>18</v>
      </c>
      <c r="AB26" s="18">
        <v>1021</v>
      </c>
      <c r="AC26" s="18">
        <f t="shared" si="25"/>
        <v>1092</v>
      </c>
      <c r="AD26" s="19">
        <f t="shared" si="10"/>
        <v>1.0695396669931441</v>
      </c>
      <c r="AE26" s="20"/>
      <c r="AF26" s="20"/>
      <c r="AG26" s="20"/>
      <c r="AH26" s="20"/>
      <c r="AI26" s="20"/>
      <c r="AJ26" s="20">
        <v>42</v>
      </c>
      <c r="AK26" s="20">
        <v>58</v>
      </c>
      <c r="AL26" s="20">
        <v>177</v>
      </c>
      <c r="AM26" s="20">
        <v>27</v>
      </c>
      <c r="AN26" s="20"/>
      <c r="AO26" s="20">
        <v>16</v>
      </c>
      <c r="AP26" s="20">
        <v>13</v>
      </c>
      <c r="AQ26" s="20">
        <v>25</v>
      </c>
      <c r="AR26" s="20">
        <v>62</v>
      </c>
      <c r="AS26" s="20">
        <v>57</v>
      </c>
      <c r="AT26" s="20">
        <v>42</v>
      </c>
      <c r="AU26" s="20">
        <v>63</v>
      </c>
      <c r="AV26" s="20">
        <v>36</v>
      </c>
      <c r="AW26" s="20">
        <v>26</v>
      </c>
      <c r="AX26" s="20">
        <v>13</v>
      </c>
      <c r="AY26" s="20">
        <v>25</v>
      </c>
      <c r="AZ26" s="20">
        <v>41</v>
      </c>
      <c r="BA26" s="20">
        <v>25</v>
      </c>
      <c r="BB26" s="20">
        <v>13</v>
      </c>
      <c r="BC26" s="27">
        <v>422</v>
      </c>
      <c r="BD26" s="27">
        <f t="shared" si="13"/>
        <v>428</v>
      </c>
      <c r="BE26" s="19">
        <f t="shared" si="14"/>
        <v>1.014218009478673</v>
      </c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>
        <v>26</v>
      </c>
      <c r="BS26" s="20">
        <v>50</v>
      </c>
      <c r="BT26" s="20">
        <v>104</v>
      </c>
      <c r="BU26" s="20">
        <v>169</v>
      </c>
      <c r="BV26" s="20">
        <v>93</v>
      </c>
      <c r="BW26" s="20">
        <v>62</v>
      </c>
      <c r="BX26" s="20">
        <v>77</v>
      </c>
      <c r="BY26" s="20">
        <v>98</v>
      </c>
      <c r="BZ26" s="20">
        <v>118</v>
      </c>
      <c r="CA26" s="20">
        <v>298</v>
      </c>
      <c r="CB26" s="20">
        <v>296</v>
      </c>
      <c r="CC26" s="20">
        <v>189</v>
      </c>
      <c r="CD26" s="21">
        <v>1348</v>
      </c>
      <c r="CE26" s="21">
        <f t="shared" si="95"/>
        <v>1580</v>
      </c>
      <c r="CF26" s="19">
        <f t="shared" si="16"/>
        <v>1.172106824925816</v>
      </c>
      <c r="CG26" s="20"/>
      <c r="CH26" s="20">
        <v>100</v>
      </c>
      <c r="CI26" s="20">
        <v>200</v>
      </c>
      <c r="CJ26" s="20">
        <v>100</v>
      </c>
      <c r="CK26" s="20">
        <v>760</v>
      </c>
      <c r="CL26" s="20">
        <v>200</v>
      </c>
      <c r="CM26" s="20">
        <v>860</v>
      </c>
      <c r="CN26" s="20">
        <v>1200</v>
      </c>
      <c r="CO26" s="20">
        <v>959.92399999999998</v>
      </c>
      <c r="CP26" s="20">
        <v>435</v>
      </c>
      <c r="CQ26" s="20"/>
      <c r="CR26" s="20"/>
      <c r="CS26" s="20">
        <v>0</v>
      </c>
      <c r="CT26" s="20">
        <v>510.87856441562735</v>
      </c>
      <c r="CU26" s="20">
        <v>1164.7954450363973</v>
      </c>
      <c r="CV26" s="20">
        <v>1145.0726443798544</v>
      </c>
      <c r="CW26" s="20">
        <v>621.75890192571273</v>
      </c>
      <c r="CX26" s="20">
        <v>518.13241827142735</v>
      </c>
      <c r="CY26" s="20">
        <v>1122.2748179759114</v>
      </c>
      <c r="CZ26" s="20">
        <v>1139.89132019714</v>
      </c>
      <c r="DA26" s="20">
        <v>1239.7561624947748</v>
      </c>
      <c r="DB26" s="20">
        <v>1481.8587162562822</v>
      </c>
      <c r="DC26" s="20">
        <v>1145.0726443798544</v>
      </c>
      <c r="DD26" s="20">
        <v>1036.2648365428547</v>
      </c>
      <c r="DE26" s="14">
        <v>7410.7639431714688</v>
      </c>
      <c r="DF26" s="14">
        <v>10936.402587</v>
      </c>
      <c r="DG26" s="19">
        <f t="shared" si="18"/>
        <v>1.4757456411868544</v>
      </c>
      <c r="DH26" s="20"/>
      <c r="DI26" s="20">
        <v>80</v>
      </c>
      <c r="DJ26" s="20">
        <v>55</v>
      </c>
      <c r="DK26" s="20">
        <v>35</v>
      </c>
      <c r="DL26" s="20">
        <v>20</v>
      </c>
      <c r="DM26" s="20">
        <v>20</v>
      </c>
      <c r="DN26" s="20"/>
      <c r="DO26" s="20"/>
      <c r="DP26" s="20">
        <v>17</v>
      </c>
      <c r="DQ26" s="20">
        <v>17</v>
      </c>
      <c r="DR26" s="20"/>
      <c r="DS26" s="20">
        <v>34</v>
      </c>
      <c r="DT26" s="20">
        <v>407.80177608218793</v>
      </c>
      <c r="DU26" s="20">
        <v>122.23781197425784</v>
      </c>
      <c r="DV26" s="20">
        <v>283.61226795035793</v>
      </c>
      <c r="DW26" s="20">
        <v>540.82527734829193</v>
      </c>
      <c r="DX26" s="20">
        <v>467.37986931333882</v>
      </c>
      <c r="DY26" s="20">
        <v>448.8901162416023</v>
      </c>
      <c r="DZ26" s="20">
        <v>546.57764497060998</v>
      </c>
      <c r="EA26" s="20">
        <v>485.86962238507527</v>
      </c>
      <c r="EB26" s="20">
        <v>271.38848675293195</v>
      </c>
      <c r="EC26" s="20">
        <v>122.23781197425784</v>
      </c>
      <c r="ED26" s="20">
        <v>34.92508913550224</v>
      </c>
      <c r="EE26" s="20">
        <v>0</v>
      </c>
      <c r="EF26" s="14">
        <v>3409.6605483708772</v>
      </c>
      <c r="EG26" s="14">
        <f t="shared" si="23"/>
        <v>3731.7457741284143</v>
      </c>
      <c r="EH26" s="19">
        <f t="shared" si="20"/>
        <v>1.0944625487459236</v>
      </c>
      <c r="EI26" s="19"/>
      <c r="EJ26" s="19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>
        <v>636.05583333857464</v>
      </c>
      <c r="EX26" s="20">
        <v>1374.626159962487</v>
      </c>
      <c r="EY26" s="20">
        <v>1267.8571126079946</v>
      </c>
      <c r="EZ26" s="20">
        <v>1854.3777807128436</v>
      </c>
      <c r="FA26" s="20">
        <v>1788.3308937345428</v>
      </c>
      <c r="FB26" s="20">
        <v>1129.1789097348446</v>
      </c>
      <c r="FC26" s="20">
        <v>1609.2344272044268</v>
      </c>
      <c r="FD26" s="20">
        <v>1929.0350747358614</v>
      </c>
      <c r="FE26" s="20">
        <v>1159.4672827509673</v>
      </c>
      <c r="FF26" s="20">
        <v>343.90978725664286</v>
      </c>
      <c r="FG26" s="20">
        <v>32.415650050699767</v>
      </c>
      <c r="FH26" s="20">
        <v>34.948122710911022</v>
      </c>
      <c r="FI26" s="14">
        <v>12438.153807937055</v>
      </c>
      <c r="FJ26" s="14">
        <v>13159.437034800796</v>
      </c>
      <c r="FK26" s="19">
        <v>1.1180058974209022</v>
      </c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19"/>
    </row>
    <row r="27" spans="1:194" s="11" customFormat="1" ht="24.95" customHeight="1">
      <c r="A27" s="15">
        <f t="shared" si="24"/>
        <v>6</v>
      </c>
      <c r="B27" s="16" t="s">
        <v>73</v>
      </c>
      <c r="C27" s="17" t="s">
        <v>21</v>
      </c>
      <c r="D27" s="17"/>
      <c r="E27" s="17"/>
      <c r="F27" s="17"/>
      <c r="G27" s="20">
        <v>93</v>
      </c>
      <c r="H27" s="20">
        <v>176</v>
      </c>
      <c r="I27" s="20">
        <v>67</v>
      </c>
      <c r="J27" s="20">
        <v>77</v>
      </c>
      <c r="K27" s="20">
        <v>73</v>
      </c>
      <c r="L27" s="20">
        <v>112</v>
      </c>
      <c r="M27" s="20">
        <v>101</v>
      </c>
      <c r="N27" s="20">
        <v>87</v>
      </c>
      <c r="O27" s="20">
        <v>86</v>
      </c>
      <c r="P27" s="20">
        <v>185</v>
      </c>
      <c r="Q27" s="20">
        <v>155</v>
      </c>
      <c r="R27" s="20">
        <v>94</v>
      </c>
      <c r="S27" s="20">
        <v>83</v>
      </c>
      <c r="T27" s="20">
        <v>84</v>
      </c>
      <c r="U27" s="20">
        <v>70</v>
      </c>
      <c r="V27" s="20">
        <v>149</v>
      </c>
      <c r="W27" s="20">
        <v>69</v>
      </c>
      <c r="X27" s="20">
        <v>65</v>
      </c>
      <c r="Y27" s="20">
        <v>80</v>
      </c>
      <c r="Z27" s="20">
        <v>71</v>
      </c>
      <c r="AA27" s="20">
        <v>15</v>
      </c>
      <c r="AB27" s="18">
        <v>1041</v>
      </c>
      <c r="AC27" s="18">
        <f t="shared" si="25"/>
        <v>1120</v>
      </c>
      <c r="AD27" s="19">
        <f t="shared" si="10"/>
        <v>1.0758885686839577</v>
      </c>
      <c r="AE27" s="20"/>
      <c r="AF27" s="20"/>
      <c r="AG27" s="20"/>
      <c r="AH27" s="20"/>
      <c r="AI27" s="20"/>
      <c r="AJ27" s="20"/>
      <c r="AK27" s="20">
        <v>231</v>
      </c>
      <c r="AL27" s="20">
        <v>403</v>
      </c>
      <c r="AM27" s="20">
        <v>24</v>
      </c>
      <c r="AN27" s="20">
        <v>9</v>
      </c>
      <c r="AO27" s="20">
        <v>28</v>
      </c>
      <c r="AP27" s="20">
        <v>5</v>
      </c>
      <c r="AQ27" s="20">
        <v>61</v>
      </c>
      <c r="AR27" s="20">
        <v>116</v>
      </c>
      <c r="AS27" s="20">
        <v>82</v>
      </c>
      <c r="AT27" s="20">
        <v>123</v>
      </c>
      <c r="AU27" s="20">
        <v>99</v>
      </c>
      <c r="AV27" s="20">
        <v>110</v>
      </c>
      <c r="AW27" s="20">
        <v>71</v>
      </c>
      <c r="AX27" s="20">
        <v>90</v>
      </c>
      <c r="AY27" s="20">
        <v>38</v>
      </c>
      <c r="AZ27" s="20">
        <v>25</v>
      </c>
      <c r="BA27" s="20">
        <v>48</v>
      </c>
      <c r="BB27" s="20">
        <v>27</v>
      </c>
      <c r="BC27" s="27">
        <v>833</v>
      </c>
      <c r="BD27" s="27">
        <f t="shared" si="13"/>
        <v>890</v>
      </c>
      <c r="BE27" s="19">
        <f t="shared" si="14"/>
        <v>1.0684273709483794</v>
      </c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>
        <v>132</v>
      </c>
      <c r="BS27" s="20">
        <v>247</v>
      </c>
      <c r="BT27" s="20">
        <v>66</v>
      </c>
      <c r="BU27" s="20">
        <v>75</v>
      </c>
      <c r="BV27" s="20">
        <v>85</v>
      </c>
      <c r="BW27" s="20">
        <v>56</v>
      </c>
      <c r="BX27" s="20">
        <v>82</v>
      </c>
      <c r="BY27" s="20">
        <v>96</v>
      </c>
      <c r="BZ27" s="20">
        <v>113</v>
      </c>
      <c r="CA27" s="20">
        <v>353</v>
      </c>
      <c r="CB27" s="20">
        <v>279</v>
      </c>
      <c r="CC27" s="20">
        <v>308</v>
      </c>
      <c r="CD27" s="21">
        <v>1060</v>
      </c>
      <c r="CE27" s="21">
        <f t="shared" si="95"/>
        <v>1892</v>
      </c>
      <c r="CF27" s="19">
        <f t="shared" si="16"/>
        <v>1.7849056603773585</v>
      </c>
      <c r="CG27" s="20"/>
      <c r="CH27" s="20"/>
      <c r="CI27" s="20">
        <v>170</v>
      </c>
      <c r="CJ27" s="20">
        <v>543.10699999999997</v>
      </c>
      <c r="CK27" s="20">
        <v>1310</v>
      </c>
      <c r="CL27" s="20">
        <v>770</v>
      </c>
      <c r="CM27" s="20">
        <v>1800</v>
      </c>
      <c r="CN27" s="20">
        <v>965</v>
      </c>
      <c r="CO27" s="20">
        <v>580</v>
      </c>
      <c r="CP27" s="20">
        <v>200</v>
      </c>
      <c r="CQ27" s="20"/>
      <c r="CR27" s="20"/>
      <c r="CS27" s="20">
        <v>103.62648365428547</v>
      </c>
      <c r="CT27" s="20">
        <v>207.25296730857093</v>
      </c>
      <c r="CU27" s="20">
        <v>310.87945096285637</v>
      </c>
      <c r="CV27" s="20">
        <v>362.69269278999911</v>
      </c>
      <c r="CW27" s="20">
        <v>645.59299316619843</v>
      </c>
      <c r="CX27" s="20">
        <v>809.48656718414327</v>
      </c>
      <c r="CY27" s="20">
        <v>773.88257993020375</v>
      </c>
      <c r="CZ27" s="20">
        <v>992.63808692440045</v>
      </c>
      <c r="DA27" s="20">
        <v>1272.5332192746255</v>
      </c>
      <c r="DB27" s="20">
        <v>1658.0237384685674</v>
      </c>
      <c r="DC27" s="20">
        <v>589.63469199288431</v>
      </c>
      <c r="DD27" s="20">
        <v>575.55185286426683</v>
      </c>
      <c r="DE27" s="14">
        <v>12190.782733069114</v>
      </c>
      <c r="DF27" s="14">
        <v>8133.4679999999998</v>
      </c>
      <c r="DG27" s="19">
        <f t="shared" si="18"/>
        <v>0.66718176987412703</v>
      </c>
      <c r="DH27" s="20"/>
      <c r="DI27" s="20">
        <v>50</v>
      </c>
      <c r="DJ27" s="20">
        <v>10</v>
      </c>
      <c r="DK27" s="20">
        <v>115</v>
      </c>
      <c r="DL27" s="20">
        <v>144.9</v>
      </c>
      <c r="DM27" s="20">
        <v>167</v>
      </c>
      <c r="DN27" s="20">
        <v>951.6</v>
      </c>
      <c r="DO27" s="20">
        <v>1222.7</v>
      </c>
      <c r="DP27" s="20">
        <v>449.8</v>
      </c>
      <c r="DQ27" s="20">
        <v>453</v>
      </c>
      <c r="DR27" s="20">
        <v>351.4</v>
      </c>
      <c r="DS27" s="20">
        <v>409.3</v>
      </c>
      <c r="DT27" s="20">
        <v>142.78198205396504</v>
      </c>
      <c r="DU27" s="20">
        <v>32.87067212753152</v>
      </c>
      <c r="DV27" s="20">
        <v>540.00351054510384</v>
      </c>
      <c r="DW27" s="20">
        <v>750.88941641329814</v>
      </c>
      <c r="DX27" s="20">
        <v>744.72616538938576</v>
      </c>
      <c r="DY27" s="20">
        <v>836.14772224408307</v>
      </c>
      <c r="DZ27" s="20">
        <v>893.6713984672632</v>
      </c>
      <c r="EA27" s="20">
        <v>863.88235185168776</v>
      </c>
      <c r="EB27" s="20">
        <v>349.25089135502242</v>
      </c>
      <c r="EC27" s="20">
        <v>209.55053481301343</v>
      </c>
      <c r="ED27" s="20">
        <v>177.70707118946729</v>
      </c>
      <c r="EE27" s="20">
        <v>62.659718743106964</v>
      </c>
      <c r="EF27" s="14">
        <v>4911.2905503694783</v>
      </c>
      <c r="EG27" s="14">
        <f t="shared" si="23"/>
        <v>5604.1414351929297</v>
      </c>
      <c r="EH27" s="19">
        <f t="shared" si="20"/>
        <v>1.1410730800219766</v>
      </c>
      <c r="EI27" s="19"/>
      <c r="EJ27" s="19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>
        <v>151.94835961265517</v>
      </c>
      <c r="EX27" s="20">
        <v>926.17590129233736</v>
      </c>
      <c r="EY27" s="20">
        <v>679.20916746856847</v>
      </c>
      <c r="EZ27" s="20">
        <v>1160</v>
      </c>
      <c r="FA27" s="20">
        <v>775</v>
      </c>
      <c r="FB27" s="20">
        <v>1436.7223895908587</v>
      </c>
      <c r="FC27" s="20">
        <v>1493.4497771795836</v>
      </c>
      <c r="FD27" s="20">
        <v>1783.6711440397551</v>
      </c>
      <c r="FE27" s="20">
        <v>1533.6654430237327</v>
      </c>
      <c r="FF27" s="20">
        <v>349.98772164114905</v>
      </c>
      <c r="FG27" s="20">
        <v>304.40321375735249</v>
      </c>
      <c r="FH27" s="20">
        <v>433.83440679872984</v>
      </c>
      <c r="FI27" s="14">
        <v>10060.836258204174</v>
      </c>
      <c r="FJ27" s="14">
        <v>11028.067524404723</v>
      </c>
      <c r="FK27" s="19">
        <v>1.158318633380389</v>
      </c>
      <c r="FL27" s="20">
        <v>275.91442599999999</v>
      </c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19"/>
    </row>
    <row r="28" spans="1:194" s="11" customFormat="1" ht="24.95" customHeight="1">
      <c r="A28" s="15">
        <f t="shared" si="24"/>
        <v>7</v>
      </c>
      <c r="B28" s="16" t="s">
        <v>74</v>
      </c>
      <c r="C28" s="17" t="s">
        <v>22</v>
      </c>
      <c r="D28" s="17"/>
      <c r="E28" s="17"/>
      <c r="F28" s="17"/>
      <c r="G28" s="20">
        <v>122</v>
      </c>
      <c r="H28" s="20">
        <v>114</v>
      </c>
      <c r="I28" s="20">
        <v>126</v>
      </c>
      <c r="J28" s="20">
        <v>139</v>
      </c>
      <c r="K28" s="20">
        <v>130</v>
      </c>
      <c r="L28" s="20">
        <v>130</v>
      </c>
      <c r="M28" s="20">
        <v>132</v>
      </c>
      <c r="N28" s="20">
        <v>125</v>
      </c>
      <c r="O28" s="20">
        <v>125</v>
      </c>
      <c r="P28" s="20">
        <v>98</v>
      </c>
      <c r="Q28" s="20">
        <v>289</v>
      </c>
      <c r="R28" s="20">
        <v>6</v>
      </c>
      <c r="S28" s="20">
        <v>109</v>
      </c>
      <c r="T28" s="20">
        <v>133</v>
      </c>
      <c r="U28" s="20">
        <v>102</v>
      </c>
      <c r="V28" s="20">
        <v>141</v>
      </c>
      <c r="W28" s="20">
        <v>174</v>
      </c>
      <c r="X28" s="20">
        <v>108</v>
      </c>
      <c r="Y28" s="20">
        <v>89</v>
      </c>
      <c r="Z28" s="20">
        <v>90</v>
      </c>
      <c r="AA28" s="20">
        <v>8</v>
      </c>
      <c r="AB28" s="18">
        <v>1233</v>
      </c>
      <c r="AC28" s="18">
        <f t="shared" si="25"/>
        <v>1347</v>
      </c>
      <c r="AD28" s="19">
        <f t="shared" si="10"/>
        <v>1.0924574209245743</v>
      </c>
      <c r="AE28" s="20"/>
      <c r="AF28" s="20"/>
      <c r="AG28" s="20"/>
      <c r="AH28" s="20"/>
      <c r="AI28" s="20"/>
      <c r="AJ28" s="20"/>
      <c r="AK28" s="20">
        <v>293</v>
      </c>
      <c r="AL28" s="20">
        <v>547</v>
      </c>
      <c r="AM28" s="20">
        <v>40</v>
      </c>
      <c r="AN28" s="20"/>
      <c r="AO28" s="20">
        <v>49</v>
      </c>
      <c r="AP28" s="20"/>
      <c r="AQ28" s="20">
        <v>66</v>
      </c>
      <c r="AR28" s="20">
        <v>147</v>
      </c>
      <c r="AS28" s="20">
        <v>110</v>
      </c>
      <c r="AT28" s="20">
        <v>107</v>
      </c>
      <c r="AU28" s="20">
        <v>164</v>
      </c>
      <c r="AV28" s="20">
        <v>133</v>
      </c>
      <c r="AW28" s="20">
        <v>90</v>
      </c>
      <c r="AX28" s="20">
        <v>75</v>
      </c>
      <c r="AY28" s="20">
        <v>138</v>
      </c>
      <c r="AZ28" s="20">
        <v>74</v>
      </c>
      <c r="BA28" s="20">
        <v>95</v>
      </c>
      <c r="BB28" s="20">
        <v>45</v>
      </c>
      <c r="BC28" s="27">
        <v>1126</v>
      </c>
      <c r="BD28" s="27">
        <f t="shared" si="13"/>
        <v>1244</v>
      </c>
      <c r="BE28" s="19">
        <f t="shared" si="14"/>
        <v>1.1047957371225576</v>
      </c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>
        <v>191</v>
      </c>
      <c r="BS28" s="20">
        <v>75</v>
      </c>
      <c r="BT28" s="20">
        <v>111</v>
      </c>
      <c r="BU28" s="20">
        <v>140</v>
      </c>
      <c r="BV28" s="20">
        <v>250</v>
      </c>
      <c r="BW28" s="20">
        <v>264</v>
      </c>
      <c r="BX28" s="20">
        <v>223</v>
      </c>
      <c r="BY28" s="20">
        <v>353</v>
      </c>
      <c r="BZ28" s="20">
        <v>202</v>
      </c>
      <c r="CA28" s="20">
        <v>251</v>
      </c>
      <c r="CB28" s="20">
        <v>436</v>
      </c>
      <c r="CC28" s="20">
        <v>388</v>
      </c>
      <c r="CD28" s="21">
        <v>1835</v>
      </c>
      <c r="CE28" s="21">
        <f t="shared" si="95"/>
        <v>2884</v>
      </c>
      <c r="CF28" s="19">
        <f t="shared" si="16"/>
        <v>1.5716621253405993</v>
      </c>
      <c r="CG28" s="20"/>
      <c r="CH28" s="20">
        <v>100</v>
      </c>
      <c r="CI28" s="20">
        <v>200</v>
      </c>
      <c r="CJ28" s="20">
        <v>640</v>
      </c>
      <c r="CK28" s="20">
        <v>800</v>
      </c>
      <c r="CL28" s="20">
        <v>719.5</v>
      </c>
      <c r="CM28" s="20">
        <v>700</v>
      </c>
      <c r="CN28" s="20">
        <v>650</v>
      </c>
      <c r="CO28" s="20">
        <v>995.41899999999998</v>
      </c>
      <c r="CP28" s="20">
        <v>200</v>
      </c>
      <c r="CQ28" s="20"/>
      <c r="CR28" s="20"/>
      <c r="CS28" s="20">
        <v>0</v>
      </c>
      <c r="CT28" s="20">
        <v>176.99403408151957</v>
      </c>
      <c r="CU28" s="20">
        <v>207.25296730857093</v>
      </c>
      <c r="CV28" s="20">
        <v>904.34728658611277</v>
      </c>
      <c r="CW28" s="20">
        <v>1542.6874621613476</v>
      </c>
      <c r="CX28" s="20">
        <v>1786.5486506143034</v>
      </c>
      <c r="CY28" s="20">
        <v>1139.89132019714</v>
      </c>
      <c r="CZ28" s="20">
        <v>1036.2648365428547</v>
      </c>
      <c r="DA28" s="20">
        <v>1737.8161308823671</v>
      </c>
      <c r="DB28" s="20">
        <v>1554.397254814282</v>
      </c>
      <c r="DC28" s="20">
        <v>826.02118093687045</v>
      </c>
      <c r="DD28" s="20">
        <v>15.678686976893392</v>
      </c>
      <c r="DE28" s="14">
        <v>10032.080544158393</v>
      </c>
      <c r="DF28" s="14">
        <v>10945.470063000001</v>
      </c>
      <c r="DG28" s="19">
        <f t="shared" si="18"/>
        <v>1.0910468685753791</v>
      </c>
      <c r="DH28" s="20"/>
      <c r="DI28" s="20">
        <v>50</v>
      </c>
      <c r="DJ28" s="20">
        <v>40</v>
      </c>
      <c r="DK28" s="20">
        <v>180</v>
      </c>
      <c r="DL28" s="20">
        <v>235</v>
      </c>
      <c r="DM28" s="20">
        <v>180</v>
      </c>
      <c r="DN28" s="20">
        <v>212</v>
      </c>
      <c r="DO28" s="20">
        <v>645</v>
      </c>
      <c r="DP28" s="20">
        <v>900</v>
      </c>
      <c r="DQ28" s="20">
        <v>368</v>
      </c>
      <c r="DR28" s="20">
        <v>149</v>
      </c>
      <c r="DS28" s="20">
        <v>147</v>
      </c>
      <c r="DT28" s="20">
        <v>232.5600053022855</v>
      </c>
      <c r="DU28" s="20">
        <v>218.48724879768608</v>
      </c>
      <c r="DV28" s="20">
        <v>520.5892698197805</v>
      </c>
      <c r="DW28" s="20">
        <v>656.28351319624664</v>
      </c>
      <c r="DX28" s="20">
        <v>794.54577783267598</v>
      </c>
      <c r="DY28" s="20">
        <v>855.04835871741375</v>
      </c>
      <c r="DZ28" s="20">
        <v>686.17528066222053</v>
      </c>
      <c r="EA28" s="20">
        <v>897.67751163280525</v>
      </c>
      <c r="EB28" s="20">
        <v>1286.0650469896707</v>
      </c>
      <c r="EC28" s="20">
        <v>318.4346362354616</v>
      </c>
      <c r="ED28" s="20">
        <v>707.74665924591307</v>
      </c>
      <c r="EE28" s="20">
        <v>0</v>
      </c>
      <c r="EF28" s="14">
        <v>5783.8481527532276</v>
      </c>
      <c r="EG28" s="14">
        <f t="shared" si="23"/>
        <v>7173.61330843216</v>
      </c>
      <c r="EH28" s="19">
        <f t="shared" si="20"/>
        <v>1.2402838247088794</v>
      </c>
      <c r="EI28" s="19"/>
      <c r="EJ28" s="19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>
        <v>17.220814089434253</v>
      </c>
      <c r="EX28" s="20">
        <v>1379.7924041893173</v>
      </c>
      <c r="EY28" s="20">
        <v>1056.8514905592208</v>
      </c>
      <c r="EZ28" s="20">
        <v>2050.0872678939436</v>
      </c>
      <c r="FA28" s="20">
        <v>1554</v>
      </c>
      <c r="FB28" s="20">
        <v>1567.2966799513335</v>
      </c>
      <c r="FC28" s="20">
        <v>920.09796690783367</v>
      </c>
      <c r="FD28" s="20">
        <v>1341.1975208477029</v>
      </c>
      <c r="FE28" s="20">
        <v>678.70267293652637</v>
      </c>
      <c r="FF28" s="20">
        <v>344.11238506945972</v>
      </c>
      <c r="FG28" s="20">
        <v>151.94835961265517</v>
      </c>
      <c r="FH28" s="20">
        <v>214.78020479771465</v>
      </c>
      <c r="FI28" s="14">
        <v>10903.356768699901</v>
      </c>
      <c r="FJ28" s="14">
        <v>11276.08776685514</v>
      </c>
      <c r="FK28" s="19">
        <v>1.0928509436302751</v>
      </c>
      <c r="FL28" s="20">
        <v>300</v>
      </c>
      <c r="FM28" s="20"/>
      <c r="FN28" s="20"/>
      <c r="FO28" s="20"/>
      <c r="FP28" s="20"/>
      <c r="FQ28" s="20">
        <v>70.270270269999997</v>
      </c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19"/>
    </row>
    <row r="29" spans="1:194" s="11" customFormat="1" ht="24.95" customHeight="1">
      <c r="A29" s="15">
        <f t="shared" si="24"/>
        <v>8</v>
      </c>
      <c r="B29" s="16" t="s">
        <v>75</v>
      </c>
      <c r="C29" s="17" t="s">
        <v>23</v>
      </c>
      <c r="D29" s="17"/>
      <c r="E29" s="17"/>
      <c r="F29" s="17"/>
      <c r="G29" s="20">
        <v>60</v>
      </c>
      <c r="H29" s="20">
        <v>81</v>
      </c>
      <c r="I29" s="20">
        <v>87</v>
      </c>
      <c r="J29" s="20">
        <v>96</v>
      </c>
      <c r="K29" s="20">
        <v>91</v>
      </c>
      <c r="L29" s="20">
        <v>91</v>
      </c>
      <c r="M29" s="20">
        <v>95</v>
      </c>
      <c r="N29" s="20">
        <v>90</v>
      </c>
      <c r="O29" s="20">
        <v>90</v>
      </c>
      <c r="P29" s="20">
        <v>16</v>
      </c>
      <c r="Q29" s="20">
        <v>176</v>
      </c>
      <c r="R29" s="20">
        <v>63</v>
      </c>
      <c r="S29" s="20">
        <v>161</v>
      </c>
      <c r="T29" s="20">
        <v>78</v>
      </c>
      <c r="U29" s="20">
        <v>67</v>
      </c>
      <c r="V29" s="20">
        <v>78</v>
      </c>
      <c r="W29" s="20">
        <v>67</v>
      </c>
      <c r="X29" s="20">
        <v>70</v>
      </c>
      <c r="Y29" s="20">
        <v>55</v>
      </c>
      <c r="Z29" s="20">
        <v>55</v>
      </c>
      <c r="AA29" s="20">
        <v>70</v>
      </c>
      <c r="AB29" s="18">
        <v>849</v>
      </c>
      <c r="AC29" s="18">
        <f t="shared" si="25"/>
        <v>956</v>
      </c>
      <c r="AD29" s="19">
        <f t="shared" si="10"/>
        <v>1.1260306242638398</v>
      </c>
      <c r="AE29" s="20"/>
      <c r="AF29" s="20"/>
      <c r="AG29" s="20"/>
      <c r="AH29" s="20"/>
      <c r="AI29" s="20"/>
      <c r="AJ29" s="20"/>
      <c r="AK29" s="20">
        <v>281</v>
      </c>
      <c r="AL29" s="20">
        <v>469</v>
      </c>
      <c r="AM29" s="20">
        <v>107</v>
      </c>
      <c r="AN29" s="20">
        <v>14</v>
      </c>
      <c r="AO29" s="20">
        <v>16</v>
      </c>
      <c r="AP29" s="20"/>
      <c r="AQ29" s="20">
        <v>64</v>
      </c>
      <c r="AR29" s="20">
        <v>135</v>
      </c>
      <c r="AS29" s="20">
        <v>136</v>
      </c>
      <c r="AT29" s="20">
        <v>119</v>
      </c>
      <c r="AU29" s="20">
        <v>133</v>
      </c>
      <c r="AV29" s="20">
        <v>122</v>
      </c>
      <c r="AW29" s="20">
        <v>73</v>
      </c>
      <c r="AX29" s="20">
        <v>85</v>
      </c>
      <c r="AY29" s="20">
        <v>110</v>
      </c>
      <c r="AZ29" s="20">
        <v>59</v>
      </c>
      <c r="BA29" s="20">
        <v>80</v>
      </c>
      <c r="BB29" s="20">
        <v>20</v>
      </c>
      <c r="BC29" s="27">
        <v>1069</v>
      </c>
      <c r="BD29" s="27">
        <f t="shared" si="13"/>
        <v>1136</v>
      </c>
      <c r="BE29" s="19">
        <f t="shared" si="14"/>
        <v>1.0626753975678205</v>
      </c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>
        <v>128</v>
      </c>
      <c r="BS29" s="20">
        <v>111</v>
      </c>
      <c r="BT29" s="20">
        <v>132</v>
      </c>
      <c r="BU29" s="20">
        <v>80</v>
      </c>
      <c r="BV29" s="20">
        <v>194</v>
      </c>
      <c r="BW29" s="20">
        <v>192</v>
      </c>
      <c r="BX29" s="20">
        <v>130</v>
      </c>
      <c r="BY29" s="20">
        <v>108</v>
      </c>
      <c r="BZ29" s="20">
        <v>142</v>
      </c>
      <c r="CA29" s="20">
        <v>363</v>
      </c>
      <c r="CB29" s="20">
        <v>320</v>
      </c>
      <c r="CC29" s="20">
        <v>253</v>
      </c>
      <c r="CD29" s="21">
        <v>1217</v>
      </c>
      <c r="CE29" s="21">
        <f t="shared" si="95"/>
        <v>2153</v>
      </c>
      <c r="CF29" s="19">
        <f t="shared" si="16"/>
        <v>1.7691043549712409</v>
      </c>
      <c r="CG29" s="20"/>
      <c r="CH29" s="20">
        <v>70</v>
      </c>
      <c r="CI29" s="20"/>
      <c r="CJ29" s="20">
        <v>860</v>
      </c>
      <c r="CK29" s="20">
        <v>1986</v>
      </c>
      <c r="CL29" s="20">
        <v>600</v>
      </c>
      <c r="CM29" s="20">
        <v>2283</v>
      </c>
      <c r="CN29" s="20">
        <v>1200</v>
      </c>
      <c r="CO29" s="20">
        <v>800</v>
      </c>
      <c r="CP29" s="20">
        <v>400</v>
      </c>
      <c r="CQ29" s="20"/>
      <c r="CR29" s="20"/>
      <c r="CS29" s="20">
        <v>51.813241827142733</v>
      </c>
      <c r="CT29" s="20">
        <v>103.62648365428547</v>
      </c>
      <c r="CU29" s="20">
        <v>103.62648365428547</v>
      </c>
      <c r="CV29" s="20">
        <v>648.14842225311315</v>
      </c>
      <c r="CW29" s="20">
        <v>809.28761573444024</v>
      </c>
      <c r="CX29" s="20">
        <v>652.95708798410442</v>
      </c>
      <c r="CY29" s="20">
        <v>621.75890192571273</v>
      </c>
      <c r="CZ29" s="20">
        <v>1137.6865019912861</v>
      </c>
      <c r="DA29" s="20">
        <v>1139.89132019714</v>
      </c>
      <c r="DB29" s="20">
        <v>1198.3055690330607</v>
      </c>
      <c r="DC29" s="20">
        <v>1119.1660234662829</v>
      </c>
      <c r="DD29" s="20">
        <v>636.47386260462133</v>
      </c>
      <c r="DE29" s="14">
        <v>10463.294992956102</v>
      </c>
      <c r="DF29" s="14">
        <v>8034.9807350000001</v>
      </c>
      <c r="DG29" s="19">
        <f t="shared" si="18"/>
        <v>0.76792069232580706</v>
      </c>
      <c r="DH29" s="20"/>
      <c r="DI29" s="20">
        <v>55</v>
      </c>
      <c r="DJ29" s="20"/>
      <c r="DK29" s="20">
        <v>200</v>
      </c>
      <c r="DL29" s="20">
        <v>84</v>
      </c>
      <c r="DM29" s="20">
        <v>413.85</v>
      </c>
      <c r="DN29" s="20">
        <v>1572.1</v>
      </c>
      <c r="DO29" s="20">
        <v>1770.1</v>
      </c>
      <c r="DP29" s="20">
        <v>1286</v>
      </c>
      <c r="DQ29" s="20">
        <v>1278.5</v>
      </c>
      <c r="DR29" s="20">
        <v>699.6</v>
      </c>
      <c r="DS29" s="20">
        <v>496</v>
      </c>
      <c r="DT29" s="20">
        <v>209.55053481301343</v>
      </c>
      <c r="DU29" s="20">
        <v>135.59152252606754</v>
      </c>
      <c r="DV29" s="20">
        <v>580.68096730292393</v>
      </c>
      <c r="DW29" s="20">
        <v>988.14376457879678</v>
      </c>
      <c r="DX29" s="20">
        <v>1212.9278015059128</v>
      </c>
      <c r="DY29" s="20">
        <v>786.84171405278573</v>
      </c>
      <c r="DZ29" s="20">
        <v>724.18199530967877</v>
      </c>
      <c r="EA29" s="20">
        <v>656.89983829863775</v>
      </c>
      <c r="EB29" s="20">
        <v>661.00867231457914</v>
      </c>
      <c r="EC29" s="20">
        <v>149.66427903066676</v>
      </c>
      <c r="ED29" s="20">
        <v>129.42827150215535</v>
      </c>
      <c r="EE29" s="20">
        <v>17.46254456775112</v>
      </c>
      <c r="EF29" s="14">
        <v>5941.4775830384297</v>
      </c>
      <c r="EG29" s="14">
        <f t="shared" si="23"/>
        <v>6252.3819058029694</v>
      </c>
      <c r="EH29" s="19">
        <f t="shared" si="20"/>
        <v>1.0523277784724967</v>
      </c>
      <c r="EI29" s="19"/>
      <c r="EJ29" s="19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>
        <v>50.649453204218389</v>
      </c>
      <c r="EX29" s="20">
        <v>1025.3475306661969</v>
      </c>
      <c r="EY29" s="20">
        <v>1001.1067023626581</v>
      </c>
      <c r="EZ29" s="20">
        <v>1394.6833434313571</v>
      </c>
      <c r="FA29" s="20">
        <v>1564</v>
      </c>
      <c r="FB29" s="20">
        <v>1792.6867467101054</v>
      </c>
      <c r="FC29" s="20">
        <v>1529.3095900481699</v>
      </c>
      <c r="FD29" s="20">
        <v>1698.883959375893</v>
      </c>
      <c r="FE29" s="20">
        <v>1572.0577285525303</v>
      </c>
      <c r="FF29" s="20">
        <v>145.87042522814895</v>
      </c>
      <c r="FG29" s="20">
        <v>130.67558926688343</v>
      </c>
      <c r="FH29" s="20">
        <v>592.55241852921051</v>
      </c>
      <c r="FI29" s="14">
        <v>12382.036833675704</v>
      </c>
      <c r="FJ29" s="14">
        <v>12497.823487375372</v>
      </c>
      <c r="FK29" s="19">
        <v>1.0666084057811787</v>
      </c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19"/>
    </row>
    <row r="30" spans="1:194" s="11" customFormat="1" ht="24.95" customHeight="1">
      <c r="A30" s="15">
        <f t="shared" si="24"/>
        <v>9</v>
      </c>
      <c r="B30" s="16" t="s">
        <v>76</v>
      </c>
      <c r="C30" s="17" t="s">
        <v>24</v>
      </c>
      <c r="D30" s="17"/>
      <c r="E30" s="17"/>
      <c r="F30" s="17"/>
      <c r="G30" s="20">
        <v>118</v>
      </c>
      <c r="H30" s="20">
        <v>112</v>
      </c>
      <c r="I30" s="20">
        <v>125</v>
      </c>
      <c r="J30" s="20">
        <v>135</v>
      </c>
      <c r="K30" s="20">
        <v>131</v>
      </c>
      <c r="L30" s="20">
        <v>122</v>
      </c>
      <c r="M30" s="20">
        <v>100</v>
      </c>
      <c r="N30" s="20">
        <v>110</v>
      </c>
      <c r="O30" s="20">
        <v>98</v>
      </c>
      <c r="P30" s="20">
        <v>116</v>
      </c>
      <c r="Q30" s="20">
        <v>329</v>
      </c>
      <c r="R30" s="20">
        <v>51</v>
      </c>
      <c r="S30" s="20">
        <v>91</v>
      </c>
      <c r="T30" s="20">
        <v>69</v>
      </c>
      <c r="U30" s="20">
        <v>146</v>
      </c>
      <c r="V30" s="20">
        <v>125</v>
      </c>
      <c r="W30" s="20">
        <v>76</v>
      </c>
      <c r="X30" s="20">
        <v>107</v>
      </c>
      <c r="Y30" s="20">
        <v>90</v>
      </c>
      <c r="Z30" s="20">
        <v>80</v>
      </c>
      <c r="AA30" s="20">
        <v>17</v>
      </c>
      <c r="AB30" s="18">
        <v>1222</v>
      </c>
      <c r="AC30" s="18">
        <f t="shared" si="25"/>
        <v>1297</v>
      </c>
      <c r="AD30" s="19">
        <f t="shared" si="10"/>
        <v>1.0613747954173487</v>
      </c>
      <c r="AE30" s="20"/>
      <c r="AF30" s="20"/>
      <c r="AG30" s="20"/>
      <c r="AH30" s="20"/>
      <c r="AI30" s="20"/>
      <c r="AJ30" s="20"/>
      <c r="AK30" s="20">
        <v>152</v>
      </c>
      <c r="AL30" s="20">
        <v>232</v>
      </c>
      <c r="AM30" s="20">
        <v>76</v>
      </c>
      <c r="AN30" s="20">
        <v>10</v>
      </c>
      <c r="AO30" s="20">
        <v>19</v>
      </c>
      <c r="AP30" s="20">
        <v>19</v>
      </c>
      <c r="AQ30" s="20">
        <v>40</v>
      </c>
      <c r="AR30" s="20">
        <v>77</v>
      </c>
      <c r="AS30" s="20">
        <v>89</v>
      </c>
      <c r="AT30" s="20">
        <v>67</v>
      </c>
      <c r="AU30" s="20">
        <v>68</v>
      </c>
      <c r="AV30" s="20">
        <v>67</v>
      </c>
      <c r="AW30" s="20">
        <v>61</v>
      </c>
      <c r="AX30" s="20">
        <v>38</v>
      </c>
      <c r="AY30" s="20">
        <v>35</v>
      </c>
      <c r="AZ30" s="20">
        <v>34</v>
      </c>
      <c r="BA30" s="20">
        <v>30</v>
      </c>
      <c r="BB30" s="20">
        <v>18</v>
      </c>
      <c r="BC30" s="27">
        <v>598</v>
      </c>
      <c r="BD30" s="27">
        <f t="shared" si="13"/>
        <v>624</v>
      </c>
      <c r="BE30" s="19">
        <f t="shared" si="14"/>
        <v>1.0434782608695652</v>
      </c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>
        <v>58</v>
      </c>
      <c r="BS30" s="20">
        <v>66</v>
      </c>
      <c r="BT30" s="20">
        <v>29</v>
      </c>
      <c r="BU30" s="20">
        <v>44</v>
      </c>
      <c r="BV30" s="20">
        <v>151</v>
      </c>
      <c r="BW30" s="20">
        <v>230</v>
      </c>
      <c r="BX30" s="20">
        <v>309</v>
      </c>
      <c r="BY30" s="20">
        <v>367</v>
      </c>
      <c r="BZ30" s="20">
        <v>171</v>
      </c>
      <c r="CA30" s="20">
        <v>352</v>
      </c>
      <c r="CB30" s="20">
        <v>245</v>
      </c>
      <c r="CC30" s="20">
        <v>97</v>
      </c>
      <c r="CD30" s="21">
        <v>772</v>
      </c>
      <c r="CE30" s="21">
        <f t="shared" si="95"/>
        <v>2119</v>
      </c>
      <c r="CF30" s="19">
        <f t="shared" si="16"/>
        <v>2.7448186528497409</v>
      </c>
      <c r="CG30" s="20"/>
      <c r="CH30" s="20">
        <v>100</v>
      </c>
      <c r="CI30" s="20"/>
      <c r="CJ30" s="20">
        <v>1340</v>
      </c>
      <c r="CK30" s="20">
        <v>925</v>
      </c>
      <c r="CL30" s="20">
        <v>345</v>
      </c>
      <c r="CM30" s="20">
        <v>1479.4</v>
      </c>
      <c r="CN30" s="20">
        <v>2618.9499999999998</v>
      </c>
      <c r="CO30" s="20">
        <v>1035</v>
      </c>
      <c r="CP30" s="20">
        <v>900</v>
      </c>
      <c r="CQ30" s="20">
        <v>100</v>
      </c>
      <c r="CR30" s="20"/>
      <c r="CS30" s="20">
        <v>310.87945096285637</v>
      </c>
      <c r="CT30" s="20">
        <v>234.21346956090636</v>
      </c>
      <c r="CU30" s="20">
        <v>1113.843767265799</v>
      </c>
      <c r="CV30" s="20">
        <v>932.6383528885691</v>
      </c>
      <c r="CW30" s="20">
        <v>504.66097539637019</v>
      </c>
      <c r="CX30" s="20">
        <v>466.31917644428455</v>
      </c>
      <c r="CY30" s="20">
        <v>531.75826460712926</v>
      </c>
      <c r="CZ30" s="20">
        <v>819.58185922174368</v>
      </c>
      <c r="DA30" s="20">
        <v>1244.812185678514</v>
      </c>
      <c r="DB30" s="20">
        <v>1216.5697367771286</v>
      </c>
      <c r="DC30" s="20">
        <v>899.47787811919784</v>
      </c>
      <c r="DD30" s="20">
        <v>372.64601654499324</v>
      </c>
      <c r="DE30" s="14">
        <v>7562.0266330585891</v>
      </c>
      <c r="DF30" s="14">
        <v>8888.4790840000005</v>
      </c>
      <c r="DG30" s="19">
        <f t="shared" si="18"/>
        <v>1.1754096507862875</v>
      </c>
      <c r="DH30" s="20"/>
      <c r="DI30" s="20">
        <v>55</v>
      </c>
      <c r="DJ30" s="20">
        <v>39</v>
      </c>
      <c r="DK30" s="20">
        <v>240</v>
      </c>
      <c r="DL30" s="20">
        <v>295</v>
      </c>
      <c r="DM30" s="20">
        <v>110</v>
      </c>
      <c r="DN30" s="20">
        <v>90</v>
      </c>
      <c r="DO30" s="20">
        <v>143</v>
      </c>
      <c r="DP30" s="20">
        <v>1263</v>
      </c>
      <c r="DQ30" s="20">
        <v>554</v>
      </c>
      <c r="DR30" s="20">
        <v>751</v>
      </c>
      <c r="DS30" s="20">
        <v>634</v>
      </c>
      <c r="DT30" s="20">
        <v>1165.1626060705937</v>
      </c>
      <c r="DU30" s="20">
        <v>311.24417670756407</v>
      </c>
      <c r="DV30" s="20">
        <v>580.16736305093127</v>
      </c>
      <c r="DW30" s="20">
        <v>741.83970949318723</v>
      </c>
      <c r="DX30" s="20">
        <v>573.07962437343247</v>
      </c>
      <c r="DY30" s="20">
        <v>461.83294339181776</v>
      </c>
      <c r="DZ30" s="20">
        <v>504.35937545681179</v>
      </c>
      <c r="EA30" s="20">
        <v>522.84912852854825</v>
      </c>
      <c r="EB30" s="20">
        <v>146.89081606990649</v>
      </c>
      <c r="EC30" s="20">
        <v>119.66979071429444</v>
      </c>
      <c r="ED30" s="20">
        <v>149.97244158186257</v>
      </c>
      <c r="EE30" s="20">
        <v>0</v>
      </c>
      <c r="EF30" s="14">
        <v>4259.8298796604904</v>
      </c>
      <c r="EG30" s="14">
        <f t="shared" si="23"/>
        <v>5277.0679754389503</v>
      </c>
      <c r="EH30" s="19">
        <f t="shared" si="20"/>
        <v>1.23879782163027</v>
      </c>
      <c r="EI30" s="19"/>
      <c r="EJ30" s="19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>
        <v>238.05243005982641</v>
      </c>
      <c r="EX30" s="20">
        <v>2359.1502313460842</v>
      </c>
      <c r="EY30" s="20">
        <v>1728.5645389535653</v>
      </c>
      <c r="EZ30" s="20">
        <v>1005.8171015106504</v>
      </c>
      <c r="FA30" s="20">
        <v>454</v>
      </c>
      <c r="FB30" s="20">
        <v>950.08244320472761</v>
      </c>
      <c r="FC30" s="20">
        <v>932.96292802170262</v>
      </c>
      <c r="FD30" s="20">
        <v>924.65641769621084</v>
      </c>
      <c r="FE30" s="20">
        <v>397.29431093388899</v>
      </c>
      <c r="FF30" s="20">
        <v>240.88879943926267</v>
      </c>
      <c r="FG30" s="20">
        <v>202.59781281687356</v>
      </c>
      <c r="FH30" s="20">
        <v>601.73720258872811</v>
      </c>
      <c r="FI30" s="14">
        <v>9642.2386537414786</v>
      </c>
      <c r="FJ30" s="14">
        <v>10035.804216571521</v>
      </c>
      <c r="FK30" s="19">
        <v>1.099858994580746</v>
      </c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19"/>
    </row>
    <row r="31" spans="1:194" s="11" customFormat="1" ht="24.95" customHeight="1">
      <c r="A31" s="15">
        <f t="shared" si="24"/>
        <v>10</v>
      </c>
      <c r="B31" s="16" t="s">
        <v>77</v>
      </c>
      <c r="C31" s="17" t="s">
        <v>25</v>
      </c>
      <c r="D31" s="17"/>
      <c r="E31" s="17"/>
      <c r="F31" s="17"/>
      <c r="G31" s="20">
        <v>158</v>
      </c>
      <c r="H31" s="20">
        <v>125</v>
      </c>
      <c r="I31" s="20">
        <v>123</v>
      </c>
      <c r="J31" s="20">
        <v>134</v>
      </c>
      <c r="K31" s="20">
        <v>124</v>
      </c>
      <c r="L31" s="20">
        <v>125</v>
      </c>
      <c r="M31" s="20">
        <v>125</v>
      </c>
      <c r="N31" s="20">
        <v>105</v>
      </c>
      <c r="O31" s="20">
        <v>103</v>
      </c>
      <c r="P31" s="20">
        <v>139</v>
      </c>
      <c r="Q31" s="20">
        <v>203</v>
      </c>
      <c r="R31" s="20">
        <v>82</v>
      </c>
      <c r="S31" s="20">
        <v>125</v>
      </c>
      <c r="T31" s="20">
        <v>90</v>
      </c>
      <c r="U31" s="20">
        <v>91</v>
      </c>
      <c r="V31" s="20">
        <v>72</v>
      </c>
      <c r="W31" s="20">
        <v>102</v>
      </c>
      <c r="X31" s="20">
        <v>88</v>
      </c>
      <c r="Y31" s="20">
        <v>71</v>
      </c>
      <c r="Z31" s="20">
        <v>109</v>
      </c>
      <c r="AA31" s="20">
        <v>18</v>
      </c>
      <c r="AB31" s="18">
        <v>1051</v>
      </c>
      <c r="AC31" s="18">
        <f t="shared" si="25"/>
        <v>1190</v>
      </c>
      <c r="AD31" s="19">
        <f t="shared" si="10"/>
        <v>1.132254995242626</v>
      </c>
      <c r="AE31" s="20"/>
      <c r="AF31" s="20"/>
      <c r="AG31" s="20"/>
      <c r="AH31" s="20"/>
      <c r="AI31" s="20"/>
      <c r="AJ31" s="20"/>
      <c r="AK31" s="20">
        <v>103</v>
      </c>
      <c r="AL31" s="20">
        <v>168</v>
      </c>
      <c r="AM31" s="20">
        <v>46</v>
      </c>
      <c r="AN31" s="20">
        <v>5</v>
      </c>
      <c r="AO31" s="20"/>
      <c r="AP31" s="20">
        <v>4</v>
      </c>
      <c r="AQ31" s="20">
        <v>23</v>
      </c>
      <c r="AR31" s="20">
        <v>65</v>
      </c>
      <c r="AS31" s="20">
        <v>64</v>
      </c>
      <c r="AT31" s="20">
        <v>40</v>
      </c>
      <c r="AU31" s="20">
        <v>42</v>
      </c>
      <c r="AV31" s="20">
        <v>40</v>
      </c>
      <c r="AW31" s="20">
        <v>32</v>
      </c>
      <c r="AX31" s="20">
        <v>16</v>
      </c>
      <c r="AY31" s="20">
        <v>45</v>
      </c>
      <c r="AZ31" s="20">
        <v>32</v>
      </c>
      <c r="BA31" s="20">
        <v>31</v>
      </c>
      <c r="BB31" s="20">
        <v>23</v>
      </c>
      <c r="BC31" s="27">
        <v>447</v>
      </c>
      <c r="BD31" s="27">
        <f t="shared" si="13"/>
        <v>453</v>
      </c>
      <c r="BE31" s="19">
        <f t="shared" si="14"/>
        <v>1.0134228187919463</v>
      </c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>
        <v>127</v>
      </c>
      <c r="BS31" s="20">
        <v>255</v>
      </c>
      <c r="BT31" s="20">
        <v>89</v>
      </c>
      <c r="BU31" s="20">
        <v>121</v>
      </c>
      <c r="BV31" s="20">
        <v>203</v>
      </c>
      <c r="BW31" s="20">
        <v>300</v>
      </c>
      <c r="BX31" s="20">
        <v>245</v>
      </c>
      <c r="BY31" s="20">
        <v>170</v>
      </c>
      <c r="BZ31" s="20">
        <v>223</v>
      </c>
      <c r="CA31" s="20">
        <v>327</v>
      </c>
      <c r="CB31" s="20">
        <v>369</v>
      </c>
      <c r="CC31" s="20">
        <v>209</v>
      </c>
      <c r="CD31" s="21">
        <v>1467</v>
      </c>
      <c r="CE31" s="21">
        <f t="shared" si="95"/>
        <v>2638</v>
      </c>
      <c r="CF31" s="19">
        <f t="shared" si="16"/>
        <v>1.7982276755282891</v>
      </c>
      <c r="CG31" s="20"/>
      <c r="CH31" s="20">
        <v>100</v>
      </c>
      <c r="CI31" s="20">
        <v>300</v>
      </c>
      <c r="CJ31" s="20">
        <v>1405</v>
      </c>
      <c r="CK31" s="20">
        <v>1600</v>
      </c>
      <c r="CL31" s="20">
        <v>1949</v>
      </c>
      <c r="CM31" s="20">
        <v>2605</v>
      </c>
      <c r="CN31" s="20">
        <v>2975</v>
      </c>
      <c r="CO31" s="20">
        <v>1799.9999999000001</v>
      </c>
      <c r="CP31" s="20">
        <v>300</v>
      </c>
      <c r="CQ31" s="20"/>
      <c r="CR31" s="20"/>
      <c r="CS31" s="20">
        <v>880.82511106142647</v>
      </c>
      <c r="CT31" s="20">
        <v>621.75890192571273</v>
      </c>
      <c r="CU31" s="20">
        <v>611.39625356028421</v>
      </c>
      <c r="CV31" s="20">
        <v>1510.8741316794819</v>
      </c>
      <c r="CW31" s="20">
        <v>1398.9575293328537</v>
      </c>
      <c r="CX31" s="20">
        <v>477.71808964625598</v>
      </c>
      <c r="CY31" s="20">
        <v>755.33758441543284</v>
      </c>
      <c r="CZ31" s="20">
        <v>880.82511106142647</v>
      </c>
      <c r="DA31" s="20">
        <v>1419.6828260637108</v>
      </c>
      <c r="DB31" s="20">
        <v>2331.5958822214229</v>
      </c>
      <c r="DC31" s="20">
        <v>1225.9013016301969</v>
      </c>
      <c r="DD31" s="20">
        <v>1036.2648365428547</v>
      </c>
      <c r="DE31" s="14">
        <v>8074.1969947279022</v>
      </c>
      <c r="DF31" s="14">
        <v>13590.904</v>
      </c>
      <c r="DG31" s="19">
        <f t="shared" si="18"/>
        <v>1.6832514748988991</v>
      </c>
      <c r="DH31" s="20"/>
      <c r="DI31" s="20">
        <v>50</v>
      </c>
      <c r="DJ31" s="20">
        <v>10</v>
      </c>
      <c r="DK31" s="20">
        <v>55</v>
      </c>
      <c r="DL31" s="20">
        <v>153.30000000000001</v>
      </c>
      <c r="DM31" s="20">
        <v>118</v>
      </c>
      <c r="DN31" s="20">
        <v>726</v>
      </c>
      <c r="DO31" s="20">
        <v>1240</v>
      </c>
      <c r="DP31" s="20">
        <v>1326</v>
      </c>
      <c r="DQ31" s="20">
        <v>894.8</v>
      </c>
      <c r="DR31" s="20">
        <v>724</v>
      </c>
      <c r="DS31" s="20">
        <v>539</v>
      </c>
      <c r="DT31" s="20">
        <v>192.08799024526232</v>
      </c>
      <c r="DU31" s="20">
        <v>291.21361087984957</v>
      </c>
      <c r="DV31" s="20">
        <v>640.46450223487193</v>
      </c>
      <c r="DW31" s="20">
        <v>541.33888160028471</v>
      </c>
      <c r="DX31" s="20">
        <v>704.66503373395699</v>
      </c>
      <c r="DY31" s="20">
        <v>451.97174175355838</v>
      </c>
      <c r="DZ31" s="20">
        <v>661.5222765665718</v>
      </c>
      <c r="EA31" s="20">
        <v>677.64945007914184</v>
      </c>
      <c r="EB31" s="20">
        <v>342.77947777991443</v>
      </c>
      <c r="EC31" s="20">
        <v>17.46254456775112</v>
      </c>
      <c r="ED31" s="20">
        <v>209.55053481301343</v>
      </c>
      <c r="EE31" s="20">
        <v>27.73462960760472</v>
      </c>
      <c r="EF31" s="14">
        <v>4361.3041475806913</v>
      </c>
      <c r="EG31" s="14">
        <f t="shared" si="23"/>
        <v>4758.4406738617818</v>
      </c>
      <c r="EH31" s="19">
        <f t="shared" si="20"/>
        <v>1.0910591219604326</v>
      </c>
      <c r="EI31" s="19"/>
      <c r="EJ31" s="19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>
        <v>0</v>
      </c>
      <c r="EX31" s="20">
        <v>1309.7948598610874</v>
      </c>
      <c r="EY31" s="20">
        <v>1115.4022584632971</v>
      </c>
      <c r="EZ31" s="20">
        <v>882</v>
      </c>
      <c r="FA31" s="20">
        <v>1056.4462949335873</v>
      </c>
      <c r="FB31" s="20">
        <v>972.26690370817607</v>
      </c>
      <c r="FC31" s="20">
        <v>915.64081502586009</v>
      </c>
      <c r="FD31" s="20">
        <v>835.71597786960342</v>
      </c>
      <c r="FE31" s="20">
        <v>295.59020889981849</v>
      </c>
      <c r="FF31" s="20">
        <v>36.974100839079419</v>
      </c>
      <c r="FG31" s="20">
        <v>50.649453204218389</v>
      </c>
      <c r="FH31" s="20">
        <v>664.68235249721795</v>
      </c>
      <c r="FI31" s="14">
        <v>7930.7969581716443</v>
      </c>
      <c r="FJ31" s="14">
        <v>8135.1632253019452</v>
      </c>
      <c r="FK31" s="19">
        <v>1.083957230633164</v>
      </c>
      <c r="FL31" s="20"/>
      <c r="FM31" s="20"/>
      <c r="FN31" s="20"/>
      <c r="FO31" s="20"/>
      <c r="FP31" s="20"/>
      <c r="FQ31" s="20"/>
      <c r="FR31" s="20"/>
      <c r="FS31" s="20"/>
      <c r="FT31" s="20"/>
      <c r="FU31" s="20">
        <v>700</v>
      </c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19"/>
    </row>
    <row r="32" spans="1:194" s="11" customFormat="1" ht="24.95" customHeight="1">
      <c r="A32" s="15">
        <f t="shared" si="24"/>
        <v>11</v>
      </c>
      <c r="B32" s="16" t="s">
        <v>78</v>
      </c>
      <c r="C32" s="17" t="s">
        <v>26</v>
      </c>
      <c r="D32" s="17"/>
      <c r="E32" s="17"/>
      <c r="F32" s="17"/>
      <c r="G32" s="20">
        <v>262</v>
      </c>
      <c r="H32" s="20">
        <v>214</v>
      </c>
      <c r="I32" s="20">
        <v>128</v>
      </c>
      <c r="J32" s="20">
        <v>133</v>
      </c>
      <c r="K32" s="20">
        <v>125</v>
      </c>
      <c r="L32" s="20">
        <v>168</v>
      </c>
      <c r="M32" s="20">
        <v>133</v>
      </c>
      <c r="N32" s="20">
        <v>133</v>
      </c>
      <c r="O32" s="20">
        <v>134</v>
      </c>
      <c r="P32" s="20">
        <v>3</v>
      </c>
      <c r="Q32" s="20">
        <v>297</v>
      </c>
      <c r="R32" s="20">
        <v>71</v>
      </c>
      <c r="S32" s="20">
        <v>125</v>
      </c>
      <c r="T32" s="20">
        <v>29</v>
      </c>
      <c r="U32" s="20">
        <v>122</v>
      </c>
      <c r="V32" s="20">
        <v>111</v>
      </c>
      <c r="W32" s="20">
        <v>107</v>
      </c>
      <c r="X32" s="20">
        <v>81</v>
      </c>
      <c r="Y32" s="20">
        <v>67</v>
      </c>
      <c r="Z32" s="20">
        <v>94</v>
      </c>
      <c r="AA32" s="20">
        <v>81</v>
      </c>
      <c r="AB32" s="18">
        <v>994</v>
      </c>
      <c r="AC32" s="18">
        <f t="shared" si="25"/>
        <v>1188</v>
      </c>
      <c r="AD32" s="19">
        <f t="shared" si="10"/>
        <v>1.1951710261569417</v>
      </c>
      <c r="AE32" s="20"/>
      <c r="AF32" s="20"/>
      <c r="AG32" s="20"/>
      <c r="AH32" s="20"/>
      <c r="AI32" s="20"/>
      <c r="AJ32" s="20"/>
      <c r="AK32" s="20">
        <v>204</v>
      </c>
      <c r="AL32" s="20">
        <v>478</v>
      </c>
      <c r="AM32" s="20">
        <v>17</v>
      </c>
      <c r="AN32" s="20">
        <v>4</v>
      </c>
      <c r="AO32" s="20">
        <v>6</v>
      </c>
      <c r="AP32" s="20"/>
      <c r="AQ32" s="20">
        <v>19</v>
      </c>
      <c r="AR32" s="20">
        <v>92</v>
      </c>
      <c r="AS32" s="20">
        <v>73</v>
      </c>
      <c r="AT32" s="20">
        <v>74</v>
      </c>
      <c r="AU32" s="20">
        <v>58</v>
      </c>
      <c r="AV32" s="20">
        <v>63</v>
      </c>
      <c r="AW32" s="20">
        <v>37</v>
      </c>
      <c r="AX32" s="20">
        <v>37</v>
      </c>
      <c r="AY32" s="20">
        <v>64</v>
      </c>
      <c r="AZ32" s="20">
        <v>81</v>
      </c>
      <c r="BA32" s="20">
        <v>48</v>
      </c>
      <c r="BB32" s="20">
        <v>10</v>
      </c>
      <c r="BC32" s="27">
        <v>651</v>
      </c>
      <c r="BD32" s="27">
        <f t="shared" si="13"/>
        <v>656</v>
      </c>
      <c r="BE32" s="19">
        <f t="shared" si="14"/>
        <v>1.0076804915514592</v>
      </c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>
        <v>234</v>
      </c>
      <c r="BS32" s="20">
        <v>274</v>
      </c>
      <c r="BT32" s="20">
        <v>151</v>
      </c>
      <c r="BU32" s="20">
        <v>142</v>
      </c>
      <c r="BV32" s="20">
        <v>213</v>
      </c>
      <c r="BW32" s="20">
        <v>198</v>
      </c>
      <c r="BX32" s="20">
        <v>137</v>
      </c>
      <c r="BY32" s="20">
        <v>253</v>
      </c>
      <c r="BZ32" s="20">
        <v>134</v>
      </c>
      <c r="CA32" s="20">
        <v>180</v>
      </c>
      <c r="CB32" s="20">
        <v>304</v>
      </c>
      <c r="CC32" s="20">
        <v>94</v>
      </c>
      <c r="CD32" s="21">
        <v>2001</v>
      </c>
      <c r="CE32" s="21">
        <f t="shared" si="95"/>
        <v>2314</v>
      </c>
      <c r="CF32" s="19">
        <f t="shared" si="16"/>
        <v>1.1564217891054474</v>
      </c>
      <c r="CG32" s="20"/>
      <c r="CH32" s="20"/>
      <c r="CI32" s="20">
        <v>170</v>
      </c>
      <c r="CJ32" s="20">
        <v>900</v>
      </c>
      <c r="CK32" s="20">
        <v>1301</v>
      </c>
      <c r="CL32" s="20">
        <v>585</v>
      </c>
      <c r="CM32" s="20">
        <v>547</v>
      </c>
      <c r="CN32" s="20">
        <v>200</v>
      </c>
      <c r="CO32" s="20">
        <v>200</v>
      </c>
      <c r="CP32" s="20">
        <v>200</v>
      </c>
      <c r="CQ32" s="20"/>
      <c r="CR32" s="20"/>
      <c r="CS32" s="20">
        <v>207.25296730857093</v>
      </c>
      <c r="CT32" s="20">
        <v>0</v>
      </c>
      <c r="CU32" s="20">
        <v>725.38538557999823</v>
      </c>
      <c r="CV32" s="20">
        <v>577.98103898746979</v>
      </c>
      <c r="CW32" s="20">
        <v>414.50593461714186</v>
      </c>
      <c r="CX32" s="20">
        <v>518.13241827142735</v>
      </c>
      <c r="CY32" s="20">
        <v>518.13241827142735</v>
      </c>
      <c r="CZ32" s="20">
        <v>829.01186923428372</v>
      </c>
      <c r="DA32" s="20">
        <v>1450.7707711599965</v>
      </c>
      <c r="DB32" s="20">
        <v>1347.144287505711</v>
      </c>
      <c r="DC32" s="20">
        <v>932.6383528885691</v>
      </c>
      <c r="DD32" s="20">
        <v>414.50593461714186</v>
      </c>
      <c r="DE32" s="14">
        <v>7143.1611496567893</v>
      </c>
      <c r="DF32" s="14">
        <v>7837.754175</v>
      </c>
      <c r="DG32" s="19">
        <f t="shared" si="18"/>
        <v>1.0972388849685386</v>
      </c>
      <c r="DH32" s="20"/>
      <c r="DI32" s="20">
        <v>35</v>
      </c>
      <c r="DJ32" s="20">
        <v>35</v>
      </c>
      <c r="DK32" s="20">
        <v>50</v>
      </c>
      <c r="DL32" s="20">
        <v>72</v>
      </c>
      <c r="DM32" s="20">
        <v>127</v>
      </c>
      <c r="DN32" s="20">
        <v>504</v>
      </c>
      <c r="DO32" s="20">
        <v>1116</v>
      </c>
      <c r="DP32" s="20">
        <v>1546</v>
      </c>
      <c r="DQ32" s="20">
        <v>844</v>
      </c>
      <c r="DR32" s="20">
        <v>146</v>
      </c>
      <c r="DS32" s="20"/>
      <c r="DT32" s="20">
        <v>69.850178271004481</v>
      </c>
      <c r="DU32" s="20">
        <v>520.28110726858483</v>
      </c>
      <c r="DV32" s="20">
        <v>435.02280143779996</v>
      </c>
      <c r="DW32" s="20">
        <v>1071.0497629354552</v>
      </c>
      <c r="DX32" s="20">
        <v>737.9465892630825</v>
      </c>
      <c r="DY32" s="20">
        <v>803.68793351814577</v>
      </c>
      <c r="DZ32" s="20">
        <v>820.73959468430223</v>
      </c>
      <c r="EA32" s="20">
        <v>755.51185468123231</v>
      </c>
      <c r="EB32" s="20">
        <v>657.61888425142729</v>
      </c>
      <c r="EC32" s="20">
        <v>139.70035654200896</v>
      </c>
      <c r="ED32" s="20">
        <v>183.56215966218366</v>
      </c>
      <c r="EE32" s="20">
        <v>0</v>
      </c>
      <c r="EF32" s="14">
        <v>4995.9741589235337</v>
      </c>
      <c r="EG32" s="14">
        <f t="shared" si="23"/>
        <v>6194.9712225152271</v>
      </c>
      <c r="EH32" s="19">
        <f t="shared" si="20"/>
        <v>1.2399926471697438</v>
      </c>
      <c r="EI32" s="19"/>
      <c r="EJ32" s="19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>
        <v>50.649453204218389</v>
      </c>
      <c r="EX32" s="20">
        <v>731.37810426891349</v>
      </c>
      <c r="EY32" s="20">
        <v>750.11840195447428</v>
      </c>
      <c r="EZ32" s="20">
        <v>533.01458573991272</v>
      </c>
      <c r="FA32" s="20">
        <v>850</v>
      </c>
      <c r="FB32" s="20">
        <v>1000.6305975025384</v>
      </c>
      <c r="FC32" s="20">
        <v>1492.8419837411327</v>
      </c>
      <c r="FD32" s="20">
        <v>1155.8205221202636</v>
      </c>
      <c r="FE32" s="20">
        <v>301.66814328432474</v>
      </c>
      <c r="FF32" s="20">
        <v>326.89157098002545</v>
      </c>
      <c r="FG32" s="20">
        <v>101.29890640843678</v>
      </c>
      <c r="FH32" s="20">
        <v>452.70393641249723</v>
      </c>
      <c r="FI32" s="14">
        <v>7493.2008106689582</v>
      </c>
      <c r="FJ32" s="14">
        <v>7747.0162056167374</v>
      </c>
      <c r="FK32" s="19">
        <v>1.0925210161022192</v>
      </c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32"/>
      <c r="GL32" s="19"/>
    </row>
    <row r="33" spans="1:194" s="11" customFormat="1" ht="32.25" customHeight="1">
      <c r="A33" s="6"/>
      <c r="B33" s="7" t="s">
        <v>2</v>
      </c>
      <c r="C33" s="8"/>
      <c r="D33" s="8"/>
      <c r="E33" s="8"/>
      <c r="F33" s="9"/>
      <c r="G33" s="9">
        <f>+SUM(G34:G43)</f>
        <v>933</v>
      </c>
      <c r="H33" s="9">
        <f t="shared" ref="H33:O33" si="96">+SUM(H34:H43)</f>
        <v>764</v>
      </c>
      <c r="I33" s="9">
        <f t="shared" si="96"/>
        <v>874</v>
      </c>
      <c r="J33" s="9">
        <f t="shared" si="96"/>
        <v>863</v>
      </c>
      <c r="K33" s="9">
        <f t="shared" si="96"/>
        <v>837</v>
      </c>
      <c r="L33" s="9">
        <f t="shared" si="96"/>
        <v>925</v>
      </c>
      <c r="M33" s="9">
        <f t="shared" si="96"/>
        <v>817</v>
      </c>
      <c r="N33" s="9">
        <f t="shared" si="96"/>
        <v>782</v>
      </c>
      <c r="O33" s="9">
        <f t="shared" si="96"/>
        <v>779</v>
      </c>
      <c r="P33" s="9">
        <f t="shared" ref="P33" si="97">+SUM(P34:P43)</f>
        <v>629</v>
      </c>
      <c r="Q33" s="9">
        <f t="shared" ref="Q33" si="98">+SUM(Q34:Q43)</f>
        <v>1144</v>
      </c>
      <c r="R33" s="9">
        <f t="shared" ref="R33" si="99">+SUM(R34:R43)</f>
        <v>910</v>
      </c>
      <c r="S33" s="9">
        <f t="shared" ref="S33" si="100">+SUM(S34:S43)</f>
        <v>1175</v>
      </c>
      <c r="T33" s="9">
        <f t="shared" ref="T33" si="101">+SUM(T34:T43)</f>
        <v>1216</v>
      </c>
      <c r="U33" s="9">
        <f t="shared" ref="U33" si="102">+SUM(U34:U43)</f>
        <v>982</v>
      </c>
      <c r="V33" s="9">
        <f t="shared" ref="V33" si="103">+SUM(V34:V43)</f>
        <v>1080</v>
      </c>
      <c r="W33" s="9">
        <f t="shared" ref="W33" si="104">+SUM(W34:W43)</f>
        <v>1117</v>
      </c>
      <c r="X33" s="9">
        <f t="shared" ref="X33" si="105">+SUM(X34:X43)</f>
        <v>1040</v>
      </c>
      <c r="Y33" s="9">
        <f t="shared" ref="Y33" si="106">+SUM(Y34:Y43)</f>
        <v>414</v>
      </c>
      <c r="Z33" s="9">
        <f t="shared" ref="Z33" si="107">+SUM(Z34:Z43)</f>
        <v>728</v>
      </c>
      <c r="AA33" s="9">
        <f t="shared" ref="AA33" si="108">+SUM(AA34:AA43)</f>
        <v>184</v>
      </c>
      <c r="AB33" s="9">
        <f t="shared" ref="AB33" si="109">+SUM(AB34:AB43)</f>
        <v>9083</v>
      </c>
      <c r="AC33" s="9">
        <f t="shared" si="25"/>
        <v>10619</v>
      </c>
      <c r="AD33" s="10">
        <f t="shared" si="10"/>
        <v>1.1691071231971815</v>
      </c>
      <c r="AE33" s="9"/>
      <c r="AF33" s="9"/>
      <c r="AG33" s="9"/>
      <c r="AH33" s="9"/>
      <c r="AI33" s="9">
        <f t="shared" ref="AI33:BC33" si="110">+SUM(AI34:AI43)</f>
        <v>0</v>
      </c>
      <c r="AJ33" s="9">
        <f t="shared" si="110"/>
        <v>62</v>
      </c>
      <c r="AK33" s="9">
        <f t="shared" si="110"/>
        <v>1213</v>
      </c>
      <c r="AL33" s="9">
        <f t="shared" si="110"/>
        <v>2534</v>
      </c>
      <c r="AM33" s="9">
        <f t="shared" si="110"/>
        <v>364</v>
      </c>
      <c r="AN33" s="9">
        <f t="shared" si="110"/>
        <v>19</v>
      </c>
      <c r="AO33" s="9">
        <f t="shared" si="110"/>
        <v>147</v>
      </c>
      <c r="AP33" s="9">
        <f t="shared" si="110"/>
        <v>67</v>
      </c>
      <c r="AQ33" s="9">
        <f t="shared" si="110"/>
        <v>219</v>
      </c>
      <c r="AR33" s="9">
        <f t="shared" si="110"/>
        <v>710</v>
      </c>
      <c r="AS33" s="9">
        <f t="shared" si="110"/>
        <v>864</v>
      </c>
      <c r="AT33" s="9">
        <f t="shared" si="110"/>
        <v>610</v>
      </c>
      <c r="AU33" s="9">
        <f t="shared" si="110"/>
        <v>574</v>
      </c>
      <c r="AV33" s="9">
        <f t="shared" si="110"/>
        <v>465</v>
      </c>
      <c r="AW33" s="9">
        <f t="shared" si="110"/>
        <v>386</v>
      </c>
      <c r="AX33" s="9">
        <f t="shared" si="110"/>
        <v>371</v>
      </c>
      <c r="AY33" s="9">
        <f t="shared" si="110"/>
        <v>500</v>
      </c>
      <c r="AZ33" s="9">
        <f t="shared" si="110"/>
        <v>373</v>
      </c>
      <c r="BA33" s="9">
        <f t="shared" si="110"/>
        <v>230</v>
      </c>
      <c r="BB33" s="9">
        <f t="shared" si="110"/>
        <v>271</v>
      </c>
      <c r="BC33" s="9">
        <f t="shared" si="110"/>
        <v>5200</v>
      </c>
      <c r="BD33" s="9">
        <f t="shared" si="13"/>
        <v>5573</v>
      </c>
      <c r="BE33" s="10">
        <f t="shared" si="14"/>
        <v>1.0717307692307692</v>
      </c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>
        <f t="shared" ref="BR33:CD33" si="111">+SUM(BR34:BR43)</f>
        <v>1276</v>
      </c>
      <c r="BS33" s="9">
        <f t="shared" si="111"/>
        <v>1969</v>
      </c>
      <c r="BT33" s="9">
        <f t="shared" si="111"/>
        <v>1464</v>
      </c>
      <c r="BU33" s="9">
        <f t="shared" si="111"/>
        <v>1995</v>
      </c>
      <c r="BV33" s="9">
        <f t="shared" si="111"/>
        <v>3537</v>
      </c>
      <c r="BW33" s="9">
        <f t="shared" si="111"/>
        <v>3025</v>
      </c>
      <c r="BX33" s="9">
        <f t="shared" si="111"/>
        <v>2687</v>
      </c>
      <c r="BY33" s="9">
        <f t="shared" si="111"/>
        <v>1777</v>
      </c>
      <c r="BZ33" s="9">
        <f t="shared" si="111"/>
        <v>1852</v>
      </c>
      <c r="CA33" s="9">
        <f t="shared" si="111"/>
        <v>1003</v>
      </c>
      <c r="CB33" s="9">
        <f t="shared" si="111"/>
        <v>1057</v>
      </c>
      <c r="CC33" s="9">
        <f t="shared" si="111"/>
        <v>968</v>
      </c>
      <c r="CD33" s="9">
        <f t="shared" si="111"/>
        <v>17494</v>
      </c>
      <c r="CE33" s="9">
        <f>+SUM(CE34:CE43)</f>
        <v>22610</v>
      </c>
      <c r="CF33" s="10">
        <f t="shared" si="16"/>
        <v>1.2924431233565794</v>
      </c>
      <c r="CG33" s="9">
        <v>0</v>
      </c>
      <c r="CH33" s="9">
        <v>100</v>
      </c>
      <c r="CI33" s="9">
        <v>1336.5</v>
      </c>
      <c r="CJ33" s="9">
        <v>3145.9971302499998</v>
      </c>
      <c r="CK33" s="9">
        <v>4829.7813000000006</v>
      </c>
      <c r="CL33" s="9">
        <v>3909</v>
      </c>
      <c r="CM33" s="9">
        <v>4696.3356800000001</v>
      </c>
      <c r="CN33" s="9">
        <v>7684.808</v>
      </c>
      <c r="CO33" s="9">
        <v>4290.47</v>
      </c>
      <c r="CP33" s="9">
        <v>1300</v>
      </c>
      <c r="CQ33" s="9">
        <v>400</v>
      </c>
      <c r="CR33" s="9">
        <v>0</v>
      </c>
      <c r="CS33" s="9">
        <f t="shared" ref="CS33:DF33" si="112">+SUM(CS34:CS43)</f>
        <v>1734.4412235627146</v>
      </c>
      <c r="CT33" s="9">
        <f t="shared" si="112"/>
        <v>4373.4409244852286</v>
      </c>
      <c r="CU33" s="9">
        <f t="shared" si="112"/>
        <v>5606.0891392131889</v>
      </c>
      <c r="CV33" s="9">
        <f t="shared" si="112"/>
        <v>4161.2801667037147</v>
      </c>
      <c r="CW33" s="9">
        <f t="shared" si="112"/>
        <v>4441.8502908701566</v>
      </c>
      <c r="CX33" s="9">
        <f t="shared" si="112"/>
        <v>3047.7595470210263</v>
      </c>
      <c r="CY33" s="9">
        <f t="shared" si="112"/>
        <v>3679.1184063924716</v>
      </c>
      <c r="CZ33" s="9">
        <f t="shared" si="112"/>
        <v>5688.6932455882179</v>
      </c>
      <c r="DA33" s="9">
        <f t="shared" si="112"/>
        <v>6813.2019230920278</v>
      </c>
      <c r="DB33" s="9">
        <f t="shared" si="112"/>
        <v>7135.3033450360163</v>
      </c>
      <c r="DC33" s="9">
        <f t="shared" si="112"/>
        <v>6034.3983836280859</v>
      </c>
      <c r="DD33" s="9">
        <f t="shared" si="112"/>
        <v>1854.0498923304256</v>
      </c>
      <c r="DE33" s="9">
        <f t="shared" si="112"/>
        <v>51535.856330876355</v>
      </c>
      <c r="DF33" s="9">
        <f t="shared" si="112"/>
        <v>55606.869988390034</v>
      </c>
      <c r="DG33" s="10">
        <f t="shared" si="18"/>
        <v>1.0789938102779644</v>
      </c>
      <c r="DH33" s="9">
        <v>0</v>
      </c>
      <c r="DI33" s="9">
        <v>46</v>
      </c>
      <c r="DJ33" s="9">
        <v>335.7</v>
      </c>
      <c r="DK33" s="9">
        <v>4753.1000000000004</v>
      </c>
      <c r="DL33" s="9">
        <v>2759.9870000000001</v>
      </c>
      <c r="DM33" s="9">
        <v>485.2</v>
      </c>
      <c r="DN33" s="9">
        <v>741.9</v>
      </c>
      <c r="DO33" s="9">
        <v>438.6</v>
      </c>
      <c r="DP33" s="9">
        <v>1120.8</v>
      </c>
      <c r="DQ33" s="9">
        <v>850</v>
      </c>
      <c r="DR33" s="9">
        <v>880.8</v>
      </c>
      <c r="DS33" s="9">
        <v>350.5</v>
      </c>
      <c r="DT33" s="9">
        <f t="shared" ref="DT33:EG33" si="113">+SUM(DT34:DT43)</f>
        <v>720.17588214413581</v>
      </c>
      <c r="DU33" s="9">
        <f t="shared" si="113"/>
        <v>4374.8810184736485</v>
      </c>
      <c r="DV33" s="9">
        <f t="shared" si="113"/>
        <v>3850.7540425661418</v>
      </c>
      <c r="DW33" s="9">
        <f t="shared" si="113"/>
        <v>2530.732564060228</v>
      </c>
      <c r="DX33" s="9">
        <f t="shared" si="113"/>
        <v>2035.4136506469908</v>
      </c>
      <c r="DY33" s="9">
        <f t="shared" si="113"/>
        <v>1878.4192117318848</v>
      </c>
      <c r="DZ33" s="9">
        <f t="shared" si="113"/>
        <v>2264.1719572760267</v>
      </c>
      <c r="EA33" s="9">
        <f t="shared" si="113"/>
        <v>2470.7446146359862</v>
      </c>
      <c r="EB33" s="9">
        <f t="shared" si="113"/>
        <v>975.33447453409929</v>
      </c>
      <c r="EC33" s="9">
        <f t="shared" si="113"/>
        <v>1684.1083422839984</v>
      </c>
      <c r="ED33" s="9">
        <f t="shared" si="113"/>
        <v>1255.6185869315445</v>
      </c>
      <c r="EE33" s="9">
        <f t="shared" si="113"/>
        <v>650.01754132193594</v>
      </c>
      <c r="EF33" s="9">
        <f t="shared" si="113"/>
        <v>19844</v>
      </c>
      <c r="EG33" s="9">
        <f t="shared" si="113"/>
        <v>24690.371886606623</v>
      </c>
      <c r="EH33" s="10">
        <f t="shared" si="20"/>
        <v>1.2442235379261553</v>
      </c>
      <c r="EI33" s="10"/>
      <c r="EJ33" s="10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>
        <f t="shared" ref="EW33:FH33" si="114">+SUM(EW34:EW43)</f>
        <v>0</v>
      </c>
      <c r="EX33" s="9">
        <f t="shared" si="114"/>
        <v>3937.2760177587329</v>
      </c>
      <c r="EY33" s="9">
        <f t="shared" si="114"/>
        <v>12944.302344143329</v>
      </c>
      <c r="EZ33" s="9">
        <f t="shared" si="114"/>
        <v>16678.291205441954</v>
      </c>
      <c r="FA33" s="9">
        <f t="shared" si="114"/>
        <v>12984.105710812699</v>
      </c>
      <c r="FB33" s="9">
        <f t="shared" si="114"/>
        <v>6993.6428090791451</v>
      </c>
      <c r="FC33" s="9">
        <f t="shared" si="114"/>
        <v>7803.5109688692128</v>
      </c>
      <c r="FD33" s="9">
        <f t="shared" si="114"/>
        <v>7752.7503980940401</v>
      </c>
      <c r="FE33" s="9">
        <f t="shared" si="114"/>
        <v>5452.9523834909141</v>
      </c>
      <c r="FF33" s="9">
        <f t="shared" si="114"/>
        <v>3708.143563358034</v>
      </c>
      <c r="FG33" s="9">
        <f t="shared" si="114"/>
        <v>2673.9457255040506</v>
      </c>
      <c r="FH33" s="9">
        <v>2106.1290734478926</v>
      </c>
      <c r="FI33" s="9">
        <f>+SUM(FI34:FI43)</f>
        <v>71499.999999999491</v>
      </c>
      <c r="FJ33" s="9">
        <v>83035.050200000012</v>
      </c>
      <c r="FK33" s="10">
        <v>1.0572775297110566</v>
      </c>
      <c r="FL33" s="9">
        <f t="shared" ref="FL33:GJ33" si="115">+SUM(FL34:FL43)</f>
        <v>0</v>
      </c>
      <c r="FM33" s="9">
        <f t="shared" si="115"/>
        <v>668.64049999999997</v>
      </c>
      <c r="FN33" s="9">
        <f t="shared" si="115"/>
        <v>3885.2476780000002</v>
      </c>
      <c r="FO33" s="9">
        <f t="shared" si="115"/>
        <v>13141.850606</v>
      </c>
      <c r="FP33" s="9">
        <f t="shared" si="115"/>
        <v>19502.356</v>
      </c>
      <c r="FQ33" s="9">
        <f t="shared" si="115"/>
        <v>12567.79187372</v>
      </c>
      <c r="FR33" s="9">
        <f t="shared" si="115"/>
        <v>16372.8171</v>
      </c>
      <c r="FS33" s="9">
        <f t="shared" si="115"/>
        <v>15190.764800000001</v>
      </c>
      <c r="FT33" s="9">
        <f t="shared" si="115"/>
        <v>12158.601349999997</v>
      </c>
      <c r="FU33" s="9">
        <f t="shared" si="115"/>
        <v>6226.4747200000002</v>
      </c>
      <c r="FV33" s="9">
        <f t="shared" si="115"/>
        <v>9845.3240000000005</v>
      </c>
      <c r="FW33" s="9">
        <f t="shared" si="115"/>
        <v>15496.11476</v>
      </c>
      <c r="FX33" s="9">
        <f t="shared" si="115"/>
        <v>5365.727714370998</v>
      </c>
      <c r="FY33" s="9">
        <f t="shared" si="115"/>
        <v>11043.727410451429</v>
      </c>
      <c r="FZ33" s="9">
        <f t="shared" si="115"/>
        <v>12457.63196525001</v>
      </c>
      <c r="GA33" s="9">
        <f t="shared" si="115"/>
        <v>23852.111584311726</v>
      </c>
      <c r="GB33" s="9">
        <f t="shared" si="115"/>
        <v>5509.0553096506637</v>
      </c>
      <c r="GC33" s="9">
        <f t="shared" si="115"/>
        <v>4108.8793419816211</v>
      </c>
      <c r="GD33" s="9">
        <f t="shared" si="115"/>
        <v>4910.9035355714341</v>
      </c>
      <c r="GE33" s="9">
        <f t="shared" si="115"/>
        <v>4098.8744660774191</v>
      </c>
      <c r="GF33" s="9">
        <f t="shared" si="115"/>
        <v>14086.22113130777</v>
      </c>
      <c r="GG33" s="9">
        <f t="shared" si="115"/>
        <v>7776.3554263375472</v>
      </c>
      <c r="GH33" s="9">
        <f t="shared" si="115"/>
        <v>3940.5515884560855</v>
      </c>
      <c r="GI33" s="9">
        <f t="shared" si="115"/>
        <v>3673.4103732332978</v>
      </c>
      <c r="GJ33" s="9">
        <f t="shared" si="115"/>
        <v>103374.17806286352</v>
      </c>
      <c r="GK33" s="9">
        <f t="shared" ref="GK33:GK48" si="116">+FX33+FY33+FZ33+GA33+GB33+GC33+GD33+GE33+GF33+GG33+GH33+GI33</f>
        <v>100823.44984700001</v>
      </c>
      <c r="GL33" s="10">
        <f t="shared" ref="GL33:GL63" si="117">+GK33/GJ33</f>
        <v>0.97532528660772166</v>
      </c>
    </row>
    <row r="34" spans="1:194" s="11" customFormat="1" ht="24.95" customHeight="1">
      <c r="A34" s="15">
        <f t="shared" si="24"/>
        <v>1</v>
      </c>
      <c r="B34" s="16" t="s">
        <v>79</v>
      </c>
      <c r="C34" s="17">
        <v>11786</v>
      </c>
      <c r="D34" s="17"/>
      <c r="E34" s="17"/>
      <c r="F34" s="17"/>
      <c r="G34" s="20">
        <v>116</v>
      </c>
      <c r="H34" s="20">
        <v>196</v>
      </c>
      <c r="I34" s="20">
        <v>112</v>
      </c>
      <c r="J34" s="20">
        <v>56</v>
      </c>
      <c r="K34" s="20">
        <v>93</v>
      </c>
      <c r="L34" s="20">
        <v>111</v>
      </c>
      <c r="M34" s="20">
        <v>120</v>
      </c>
      <c r="N34" s="20">
        <v>49</v>
      </c>
      <c r="O34" s="20">
        <v>126</v>
      </c>
      <c r="P34" s="20">
        <v>275</v>
      </c>
      <c r="Q34" s="20">
        <v>71</v>
      </c>
      <c r="R34" s="20">
        <v>72</v>
      </c>
      <c r="S34" s="20">
        <v>106</v>
      </c>
      <c r="T34" s="20">
        <v>116</v>
      </c>
      <c r="U34" s="20">
        <v>75</v>
      </c>
      <c r="V34" s="20">
        <v>123</v>
      </c>
      <c r="W34" s="20">
        <v>51</v>
      </c>
      <c r="X34" s="20">
        <v>214</v>
      </c>
      <c r="Y34" s="20">
        <v>41</v>
      </c>
      <c r="Z34" s="20">
        <v>19</v>
      </c>
      <c r="AA34" s="20">
        <v>41</v>
      </c>
      <c r="AB34" s="18">
        <v>1014</v>
      </c>
      <c r="AC34" s="18">
        <f t="shared" si="25"/>
        <v>1204</v>
      </c>
      <c r="AD34" s="19">
        <f t="shared" si="10"/>
        <v>1.1873767258382644</v>
      </c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7"/>
      <c r="BD34" s="27">
        <f t="shared" si="13"/>
        <v>0</v>
      </c>
      <c r="BE34" s="19">
        <v>0</v>
      </c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>
        <v>21</v>
      </c>
      <c r="BS34" s="20">
        <v>22</v>
      </c>
      <c r="BT34" s="20">
        <v>29</v>
      </c>
      <c r="BU34" s="20">
        <v>41</v>
      </c>
      <c r="BV34" s="20">
        <v>204</v>
      </c>
      <c r="BW34" s="20">
        <v>155</v>
      </c>
      <c r="BX34" s="20">
        <v>78</v>
      </c>
      <c r="BY34" s="20">
        <v>15</v>
      </c>
      <c r="BZ34" s="20">
        <v>12</v>
      </c>
      <c r="CA34" s="20">
        <v>13</v>
      </c>
      <c r="CB34" s="20">
        <v>110</v>
      </c>
      <c r="CC34" s="20">
        <v>48</v>
      </c>
      <c r="CD34" s="21">
        <v>1258</v>
      </c>
      <c r="CE34" s="21">
        <f t="shared" si="95"/>
        <v>748</v>
      </c>
      <c r="CF34" s="19">
        <f t="shared" si="16"/>
        <v>0.59459459459459463</v>
      </c>
      <c r="CG34" s="20"/>
      <c r="CH34" s="20"/>
      <c r="CI34" s="20">
        <v>150</v>
      </c>
      <c r="CJ34" s="20"/>
      <c r="CK34" s="20">
        <v>100</v>
      </c>
      <c r="CL34" s="20">
        <v>99</v>
      </c>
      <c r="CM34" s="20">
        <v>100</v>
      </c>
      <c r="CN34" s="20"/>
      <c r="CO34" s="20"/>
      <c r="CP34" s="20">
        <v>100</v>
      </c>
      <c r="CQ34" s="20"/>
      <c r="CR34" s="20"/>
      <c r="CS34" s="20">
        <v>310.87945096285637</v>
      </c>
      <c r="CT34" s="20">
        <v>310.87945096285637</v>
      </c>
      <c r="CU34" s="20">
        <v>310.87945096285637</v>
      </c>
      <c r="CV34" s="20">
        <v>466.31917644428455</v>
      </c>
      <c r="CW34" s="20">
        <v>829.01186923428372</v>
      </c>
      <c r="CX34" s="20">
        <v>207.25296730857093</v>
      </c>
      <c r="CY34" s="20">
        <v>207.25296730857093</v>
      </c>
      <c r="CZ34" s="20">
        <v>1041.1870945164333</v>
      </c>
      <c r="DA34" s="20">
        <v>1554.397254814282</v>
      </c>
      <c r="DB34" s="20">
        <v>310.87945096285637</v>
      </c>
      <c r="DC34" s="20">
        <v>362.69269278999911</v>
      </c>
      <c r="DD34" s="20">
        <v>362.69269278999911</v>
      </c>
      <c r="DE34" s="14">
        <v>2209.0334298743383</v>
      </c>
      <c r="DF34" s="14">
        <v>6108.9378234693331</v>
      </c>
      <c r="DG34" s="19">
        <f t="shared" si="18"/>
        <v>2.7654347556962242</v>
      </c>
      <c r="DH34" s="20"/>
      <c r="DI34" s="20"/>
      <c r="DJ34" s="20">
        <v>61.199999999999989</v>
      </c>
      <c r="DK34" s="20">
        <v>602.20000000000005</v>
      </c>
      <c r="DL34" s="20">
        <v>383</v>
      </c>
      <c r="DM34" s="20">
        <v>15</v>
      </c>
      <c r="DN34" s="20">
        <v>42</v>
      </c>
      <c r="DO34" s="20">
        <v>15</v>
      </c>
      <c r="DP34" s="20">
        <v>220</v>
      </c>
      <c r="DQ34" s="20">
        <v>152</v>
      </c>
      <c r="DR34" s="20">
        <v>47</v>
      </c>
      <c r="DS34" s="20"/>
      <c r="DT34" s="20">
        <v>17.46254456775112</v>
      </c>
      <c r="DU34" s="20">
        <v>15.4081275597804</v>
      </c>
      <c r="DV34" s="20">
        <v>346.78559094545756</v>
      </c>
      <c r="DW34" s="20">
        <v>32.87067212753152</v>
      </c>
      <c r="DX34" s="20">
        <v>0</v>
      </c>
      <c r="DY34" s="20">
        <v>51.360425199268001</v>
      </c>
      <c r="DZ34" s="20">
        <v>0</v>
      </c>
      <c r="EA34" s="20">
        <v>0</v>
      </c>
      <c r="EB34" s="20">
        <v>0</v>
      </c>
      <c r="EC34" s="20">
        <v>0</v>
      </c>
      <c r="ED34" s="20">
        <v>0</v>
      </c>
      <c r="EE34" s="20">
        <v>0</v>
      </c>
      <c r="EF34" s="14">
        <v>0</v>
      </c>
      <c r="EG34" s="14">
        <f t="shared" si="23"/>
        <v>463.88736039978858</v>
      </c>
      <c r="EH34" s="19"/>
      <c r="EI34" s="19"/>
      <c r="EJ34" s="19"/>
      <c r="EK34" s="20"/>
      <c r="EL34" s="32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>
        <v>20.011568069930025</v>
      </c>
      <c r="EY34" s="20">
        <v>1032.5969124083892</v>
      </c>
      <c r="EZ34" s="20">
        <v>624.86121298356511</v>
      </c>
      <c r="FA34" s="20">
        <v>0</v>
      </c>
      <c r="FB34" s="20">
        <v>30.017352104895039</v>
      </c>
      <c r="FC34" s="20">
        <v>34.019665718881043</v>
      </c>
      <c r="FD34" s="20">
        <v>0</v>
      </c>
      <c r="FE34" s="20">
        <v>45.026028157342559</v>
      </c>
      <c r="FF34" s="20">
        <v>0</v>
      </c>
      <c r="FG34" s="20">
        <v>0</v>
      </c>
      <c r="FH34" s="20">
        <v>50.028920174825082</v>
      </c>
      <c r="FI34" s="23">
        <v>1948.1864514173394</v>
      </c>
      <c r="FJ34" s="24">
        <v>1836.5616596178281</v>
      </c>
      <c r="FK34" s="19"/>
      <c r="FL34" s="20"/>
      <c r="FM34" s="20"/>
      <c r="FN34" s="20"/>
      <c r="FO34" s="20">
        <v>711.24</v>
      </c>
      <c r="FP34" s="20">
        <v>843.26700000000005</v>
      </c>
      <c r="FQ34" s="20">
        <v>508.15</v>
      </c>
      <c r="FR34" s="20">
        <v>978.77599999999995</v>
      </c>
      <c r="FS34" s="20">
        <v>855.07799999999997</v>
      </c>
      <c r="FT34" s="20">
        <v>1002</v>
      </c>
      <c r="FU34" s="20">
        <v>299</v>
      </c>
      <c r="FV34" s="20">
        <v>659.79</v>
      </c>
      <c r="FW34" s="20">
        <v>1734.8600000000001</v>
      </c>
      <c r="FX34" s="20">
        <v>735.24240067646258</v>
      </c>
      <c r="FY34" s="20">
        <v>887.60051779283731</v>
      </c>
      <c r="FZ34" s="20">
        <v>984.22404236655154</v>
      </c>
      <c r="GA34" s="20">
        <v>1865.916470061477</v>
      </c>
      <c r="GB34" s="20">
        <v>252.45669298193175</v>
      </c>
      <c r="GC34" s="20">
        <v>309.68691541488761</v>
      </c>
      <c r="GD34" s="20">
        <v>195.6287919720547</v>
      </c>
      <c r="GE34" s="20">
        <v>137.04073473620798</v>
      </c>
      <c r="GF34" s="20">
        <v>576.32543856034624</v>
      </c>
      <c r="GG34" s="20">
        <v>454.62320807901654</v>
      </c>
      <c r="GH34" s="20">
        <v>329.90356692459608</v>
      </c>
      <c r="GI34" s="20">
        <v>203.67522043363022</v>
      </c>
      <c r="GJ34" s="22">
        <v>7911.7300000000023</v>
      </c>
      <c r="GK34" s="22">
        <v>6932.3239999999987</v>
      </c>
      <c r="GL34" s="19">
        <f t="shared" si="117"/>
        <v>0.87620836403668945</v>
      </c>
    </row>
    <row r="35" spans="1:194" s="11" customFormat="1" ht="24.95" customHeight="1">
      <c r="A35" s="15">
        <f t="shared" si="24"/>
        <v>2</v>
      </c>
      <c r="B35" s="16" t="s">
        <v>46</v>
      </c>
      <c r="C35" s="17">
        <v>11412</v>
      </c>
      <c r="D35" s="17"/>
      <c r="E35" s="17"/>
      <c r="F35" s="17"/>
      <c r="G35" s="20">
        <v>144</v>
      </c>
      <c r="H35" s="20">
        <v>64</v>
      </c>
      <c r="I35" s="20">
        <v>105</v>
      </c>
      <c r="J35" s="20">
        <v>81</v>
      </c>
      <c r="K35" s="20">
        <v>104</v>
      </c>
      <c r="L35" s="20">
        <v>121</v>
      </c>
      <c r="M35" s="20">
        <v>107</v>
      </c>
      <c r="N35" s="20">
        <v>100</v>
      </c>
      <c r="O35" s="20">
        <v>107</v>
      </c>
      <c r="P35" s="20">
        <v>25</v>
      </c>
      <c r="Q35" s="20">
        <v>96</v>
      </c>
      <c r="R35" s="20">
        <v>135</v>
      </c>
      <c r="S35" s="20">
        <v>42</v>
      </c>
      <c r="T35" s="20">
        <v>16</v>
      </c>
      <c r="U35" s="20">
        <v>36</v>
      </c>
      <c r="V35" s="20">
        <v>38</v>
      </c>
      <c r="W35" s="20">
        <v>86</v>
      </c>
      <c r="X35" s="20">
        <v>36</v>
      </c>
      <c r="Y35" s="20">
        <v>78</v>
      </c>
      <c r="Z35" s="20">
        <v>240</v>
      </c>
      <c r="AA35" s="20">
        <v>18</v>
      </c>
      <c r="AB35" s="18">
        <v>1001</v>
      </c>
      <c r="AC35" s="18">
        <f t="shared" si="25"/>
        <v>846</v>
      </c>
      <c r="AD35" s="19">
        <f t="shared" si="10"/>
        <v>0.84515484515484518</v>
      </c>
      <c r="AE35" s="20"/>
      <c r="AF35" s="20"/>
      <c r="AG35" s="20"/>
      <c r="AH35" s="20"/>
      <c r="AI35" s="20"/>
      <c r="AJ35" s="20"/>
      <c r="AK35" s="20">
        <v>138</v>
      </c>
      <c r="AL35" s="20">
        <v>281</v>
      </c>
      <c r="AM35" s="20">
        <v>1</v>
      </c>
      <c r="AN35" s="20"/>
      <c r="AO35" s="20">
        <v>42</v>
      </c>
      <c r="AP35" s="20"/>
      <c r="AQ35" s="20">
        <v>22</v>
      </c>
      <c r="AR35" s="20">
        <v>84</v>
      </c>
      <c r="AS35" s="20">
        <v>80</v>
      </c>
      <c r="AT35" s="20">
        <v>53</v>
      </c>
      <c r="AU35" s="20">
        <v>61</v>
      </c>
      <c r="AV35" s="20">
        <v>31</v>
      </c>
      <c r="AW35" s="20">
        <v>48</v>
      </c>
      <c r="AX35" s="20">
        <v>44</v>
      </c>
      <c r="AY35" s="20">
        <v>73</v>
      </c>
      <c r="AZ35" s="20">
        <v>36</v>
      </c>
      <c r="BA35" s="20">
        <v>20</v>
      </c>
      <c r="BB35" s="20">
        <v>25</v>
      </c>
      <c r="BC35" s="27">
        <v>570</v>
      </c>
      <c r="BD35" s="27">
        <f t="shared" si="13"/>
        <v>577</v>
      </c>
      <c r="BE35" s="19">
        <f t="shared" si="14"/>
        <v>1.012280701754386</v>
      </c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>
        <v>172</v>
      </c>
      <c r="BS35" s="20">
        <v>109</v>
      </c>
      <c r="BT35" s="20">
        <v>60</v>
      </c>
      <c r="BU35" s="20">
        <v>107</v>
      </c>
      <c r="BV35" s="20">
        <v>256</v>
      </c>
      <c r="BW35" s="20">
        <v>203</v>
      </c>
      <c r="BX35" s="20">
        <v>189</v>
      </c>
      <c r="BY35" s="20">
        <v>287</v>
      </c>
      <c r="BZ35" s="20">
        <v>97</v>
      </c>
      <c r="CA35" s="20">
        <v>53</v>
      </c>
      <c r="CB35" s="20">
        <v>28</v>
      </c>
      <c r="CC35" s="20">
        <v>79</v>
      </c>
      <c r="CD35" s="21">
        <v>1680</v>
      </c>
      <c r="CE35" s="21">
        <f t="shared" si="95"/>
        <v>1640</v>
      </c>
      <c r="CF35" s="19">
        <f t="shared" si="16"/>
        <v>0.97619047619047616</v>
      </c>
      <c r="CG35" s="20"/>
      <c r="CH35" s="20"/>
      <c r="CI35" s="20">
        <v>200</v>
      </c>
      <c r="CJ35" s="20">
        <v>298</v>
      </c>
      <c r="CK35" s="20">
        <v>639.74</v>
      </c>
      <c r="CL35" s="20">
        <v>100</v>
      </c>
      <c r="CM35" s="20">
        <v>200</v>
      </c>
      <c r="CN35" s="20">
        <v>150</v>
      </c>
      <c r="CO35" s="20"/>
      <c r="CP35" s="20">
        <v>100</v>
      </c>
      <c r="CQ35" s="20">
        <v>100</v>
      </c>
      <c r="CR35" s="20"/>
      <c r="CS35" s="20">
        <v>238.34008339298734</v>
      </c>
      <c r="CT35" s="20">
        <v>712.12036666038045</v>
      </c>
      <c r="CU35" s="20">
        <v>770.98103838788381</v>
      </c>
      <c r="CV35" s="20">
        <v>691.87225040497242</v>
      </c>
      <c r="CW35" s="20">
        <v>614.12839812292975</v>
      </c>
      <c r="CX35" s="20">
        <v>445.37626409775351</v>
      </c>
      <c r="CY35" s="20">
        <v>621.87807238191522</v>
      </c>
      <c r="CZ35" s="20">
        <v>290.15415423199931</v>
      </c>
      <c r="DA35" s="20">
        <v>414.50593461714186</v>
      </c>
      <c r="DB35" s="20">
        <v>1031.4980182947575</v>
      </c>
      <c r="DC35" s="20">
        <v>1055.9538684371689</v>
      </c>
      <c r="DD35" s="20">
        <v>103.62648365428547</v>
      </c>
      <c r="DE35" s="14">
        <v>6674.9336795036861</v>
      </c>
      <c r="DF35" s="14">
        <v>6806.1720800485627</v>
      </c>
      <c r="DG35" s="19">
        <f t="shared" si="18"/>
        <v>1.0196613789509044</v>
      </c>
      <c r="DH35" s="20"/>
      <c r="DI35" s="20"/>
      <c r="DJ35" s="20">
        <v>47.599999999999994</v>
      </c>
      <c r="DK35" s="20">
        <v>570.29999999999995</v>
      </c>
      <c r="DL35" s="20">
        <v>215.4</v>
      </c>
      <c r="DM35" s="20">
        <v>62</v>
      </c>
      <c r="DN35" s="20">
        <v>31.6</v>
      </c>
      <c r="DO35" s="20"/>
      <c r="DP35" s="20">
        <v>170</v>
      </c>
      <c r="DQ35" s="20">
        <v>140</v>
      </c>
      <c r="DR35" s="20">
        <v>67</v>
      </c>
      <c r="DS35" s="20"/>
      <c r="DT35" s="20">
        <v>67.795761263033768</v>
      </c>
      <c r="DU35" s="20">
        <v>492.03287340898743</v>
      </c>
      <c r="DV35" s="20">
        <v>46.224382679341204</v>
      </c>
      <c r="DW35" s="20">
        <v>134.05070977008947</v>
      </c>
      <c r="DX35" s="20">
        <v>115.560956698353</v>
      </c>
      <c r="DY35" s="20">
        <v>186.95194772533551</v>
      </c>
      <c r="DZ35" s="20">
        <v>135.3860808252704</v>
      </c>
      <c r="EA35" s="20">
        <v>233.68993465666941</v>
      </c>
      <c r="EB35" s="20">
        <v>213.14576457696219</v>
      </c>
      <c r="EC35" s="20">
        <v>602.45778758741392</v>
      </c>
      <c r="ED35" s="20">
        <v>427.83234190990242</v>
      </c>
      <c r="EE35" s="20">
        <v>5.1360425199268001</v>
      </c>
      <c r="EF35" s="14">
        <v>2152.7697525471785</v>
      </c>
      <c r="EG35" s="14">
        <f t="shared" si="23"/>
        <v>2660.2645836212855</v>
      </c>
      <c r="EH35" s="19">
        <f t="shared" si="20"/>
        <v>1.2357404132391001</v>
      </c>
      <c r="EI35" s="19"/>
      <c r="EJ35" s="19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>
        <v>1060.6131077062914</v>
      </c>
      <c r="EY35" s="20">
        <v>2337.3511505678271</v>
      </c>
      <c r="EZ35" s="20">
        <v>2120.2256370090863</v>
      </c>
      <c r="FA35" s="20">
        <v>2338.1516132906245</v>
      </c>
      <c r="FB35" s="20">
        <v>1268.7334156335637</v>
      </c>
      <c r="FC35" s="20">
        <v>1467.8485179293673</v>
      </c>
      <c r="FD35" s="20">
        <v>1373.2938587989481</v>
      </c>
      <c r="FE35" s="20">
        <v>588.840390457691</v>
      </c>
      <c r="FF35" s="20">
        <v>112.06478119160815</v>
      </c>
      <c r="FG35" s="20">
        <v>296.57143879636294</v>
      </c>
      <c r="FH35" s="20">
        <v>212.12262154126188</v>
      </c>
      <c r="FI35" s="14">
        <v>11488.393929261887</v>
      </c>
      <c r="FJ35" s="24">
        <v>13175.816532922632</v>
      </c>
      <c r="FK35" s="19">
        <v>1.0544873236218963</v>
      </c>
      <c r="FL35" s="20"/>
      <c r="FM35" s="20">
        <v>250.99949999999998</v>
      </c>
      <c r="FN35" s="20">
        <v>419.05</v>
      </c>
      <c r="FO35" s="20">
        <v>2921.3680000000004</v>
      </c>
      <c r="FP35" s="20">
        <v>1836.65</v>
      </c>
      <c r="FQ35" s="20">
        <v>787.36800000000005</v>
      </c>
      <c r="FR35" s="20">
        <v>1796.2470000000001</v>
      </c>
      <c r="FS35" s="20">
        <v>1509.8090000000002</v>
      </c>
      <c r="FT35" s="20">
        <v>1541.65</v>
      </c>
      <c r="FU35" s="20">
        <v>1309.0934999999999</v>
      </c>
      <c r="FV35" s="20">
        <v>1194.72</v>
      </c>
      <c r="FW35" s="20">
        <v>1776.5119999999999</v>
      </c>
      <c r="FX35" s="20">
        <v>556.66166458599457</v>
      </c>
      <c r="FY35" s="20">
        <v>1740.4904563022585</v>
      </c>
      <c r="FZ35" s="20">
        <v>1843.9292265162289</v>
      </c>
      <c r="GA35" s="20">
        <v>1971.7357357232029</v>
      </c>
      <c r="GB35" s="20">
        <v>1009.2627026840669</v>
      </c>
      <c r="GC35" s="20">
        <v>710.52094268958297</v>
      </c>
      <c r="GD35" s="20">
        <v>792.76644988967587</v>
      </c>
      <c r="GE35" s="20">
        <v>949.6347099639994</v>
      </c>
      <c r="GF35" s="20">
        <v>3314.6142994425732</v>
      </c>
      <c r="GG35" s="20">
        <v>2146.4071391243756</v>
      </c>
      <c r="GH35" s="20">
        <v>856.50671796974791</v>
      </c>
      <c r="GI35" s="20">
        <v>690.08995510829163</v>
      </c>
      <c r="GJ35" s="22">
        <v>17311.799999999996</v>
      </c>
      <c r="GK35" s="22">
        <v>16582.62</v>
      </c>
      <c r="GL35" s="19">
        <f t="shared" si="117"/>
        <v>0.95787959657574617</v>
      </c>
    </row>
    <row r="36" spans="1:194" s="11" customFormat="1" ht="24.95" customHeight="1">
      <c r="A36" s="15">
        <f t="shared" si="24"/>
        <v>3</v>
      </c>
      <c r="B36" s="16" t="s">
        <v>47</v>
      </c>
      <c r="C36" s="17">
        <v>11413</v>
      </c>
      <c r="D36" s="17"/>
      <c r="E36" s="17"/>
      <c r="F36" s="17"/>
      <c r="G36" s="20">
        <v>227</v>
      </c>
      <c r="H36" s="20">
        <v>132</v>
      </c>
      <c r="I36" s="20">
        <v>127</v>
      </c>
      <c r="J36" s="20">
        <v>130</v>
      </c>
      <c r="K36" s="20">
        <v>110</v>
      </c>
      <c r="L36" s="20">
        <v>117</v>
      </c>
      <c r="M36" s="20">
        <v>102</v>
      </c>
      <c r="N36" s="20">
        <v>98</v>
      </c>
      <c r="O36" s="20">
        <v>73</v>
      </c>
      <c r="P36" s="20">
        <v>43</v>
      </c>
      <c r="Q36" s="20">
        <v>224</v>
      </c>
      <c r="R36" s="20">
        <v>122</v>
      </c>
      <c r="S36" s="20">
        <v>67</v>
      </c>
      <c r="T36" s="20">
        <v>82</v>
      </c>
      <c r="U36" s="20">
        <v>88</v>
      </c>
      <c r="V36" s="20">
        <v>150</v>
      </c>
      <c r="W36" s="20">
        <v>94</v>
      </c>
      <c r="X36" s="20">
        <v>99</v>
      </c>
      <c r="Y36" s="20">
        <v>18</v>
      </c>
      <c r="Z36" s="20">
        <v>83</v>
      </c>
      <c r="AA36" s="20">
        <v>18</v>
      </c>
      <c r="AB36" s="18">
        <v>1031</v>
      </c>
      <c r="AC36" s="18">
        <f t="shared" si="25"/>
        <v>1088</v>
      </c>
      <c r="AD36" s="19">
        <f t="shared" si="10"/>
        <v>1.055286129970902</v>
      </c>
      <c r="AE36" s="20"/>
      <c r="AF36" s="20"/>
      <c r="AG36" s="20"/>
      <c r="AH36" s="20"/>
      <c r="AI36" s="20"/>
      <c r="AJ36" s="20"/>
      <c r="AK36" s="20">
        <v>106</v>
      </c>
      <c r="AL36" s="20">
        <v>225</v>
      </c>
      <c r="AM36" s="20">
        <v>9</v>
      </c>
      <c r="AN36" s="20">
        <v>2</v>
      </c>
      <c r="AO36" s="20">
        <v>1</v>
      </c>
      <c r="AP36" s="20"/>
      <c r="AQ36" s="20">
        <v>23</v>
      </c>
      <c r="AR36" s="20">
        <v>50</v>
      </c>
      <c r="AS36" s="20">
        <v>90</v>
      </c>
      <c r="AT36" s="20">
        <v>52</v>
      </c>
      <c r="AU36" s="20">
        <v>47</v>
      </c>
      <c r="AV36" s="20">
        <v>42</v>
      </c>
      <c r="AW36" s="20">
        <v>46</v>
      </c>
      <c r="AX36" s="20">
        <v>39</v>
      </c>
      <c r="AY36" s="20">
        <v>42</v>
      </c>
      <c r="AZ36" s="20">
        <v>13</v>
      </c>
      <c r="BA36" s="20">
        <v>7</v>
      </c>
      <c r="BB36" s="20">
        <v>61</v>
      </c>
      <c r="BC36" s="27">
        <v>463</v>
      </c>
      <c r="BD36" s="27">
        <f t="shared" si="13"/>
        <v>512</v>
      </c>
      <c r="BE36" s="19">
        <f t="shared" si="14"/>
        <v>1.1058315334773219</v>
      </c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>
        <v>52</v>
      </c>
      <c r="BS36" s="20">
        <v>130</v>
      </c>
      <c r="BT36" s="20">
        <v>72</v>
      </c>
      <c r="BU36" s="20">
        <v>137</v>
      </c>
      <c r="BV36" s="20">
        <v>199</v>
      </c>
      <c r="BW36" s="20">
        <v>211</v>
      </c>
      <c r="BX36" s="20">
        <v>83</v>
      </c>
      <c r="BY36" s="20">
        <v>47</v>
      </c>
      <c r="BZ36" s="20">
        <v>168</v>
      </c>
      <c r="CA36" s="20">
        <v>141</v>
      </c>
      <c r="CB36" s="20">
        <v>63</v>
      </c>
      <c r="CC36" s="20">
        <v>112</v>
      </c>
      <c r="CD36" s="21">
        <v>1565</v>
      </c>
      <c r="CE36" s="21">
        <f t="shared" si="95"/>
        <v>1415</v>
      </c>
      <c r="CF36" s="19">
        <f t="shared" si="16"/>
        <v>0.90415335463258784</v>
      </c>
      <c r="CG36" s="20"/>
      <c r="CH36" s="20"/>
      <c r="CI36" s="20">
        <v>600</v>
      </c>
      <c r="CJ36" s="20">
        <v>700</v>
      </c>
      <c r="CK36" s="20">
        <v>300</v>
      </c>
      <c r="CL36" s="20">
        <v>1210</v>
      </c>
      <c r="CM36" s="20">
        <v>671</v>
      </c>
      <c r="CN36" s="20">
        <v>900</v>
      </c>
      <c r="CO36" s="20">
        <v>800</v>
      </c>
      <c r="CP36" s="20">
        <v>200</v>
      </c>
      <c r="CQ36" s="20"/>
      <c r="CR36" s="20"/>
      <c r="CS36" s="20">
        <v>200.77009449115883</v>
      </c>
      <c r="CT36" s="20">
        <v>742.89826131757241</v>
      </c>
      <c r="CU36" s="20">
        <v>1236.2639499956256</v>
      </c>
      <c r="CV36" s="20">
        <v>556.0788614630751</v>
      </c>
      <c r="CW36" s="20">
        <v>397.82207074880188</v>
      </c>
      <c r="CX36" s="20">
        <v>440.20530256340464</v>
      </c>
      <c r="CY36" s="20">
        <v>275.64644652039931</v>
      </c>
      <c r="CZ36" s="20">
        <v>737.56149740937678</v>
      </c>
      <c r="DA36" s="20">
        <v>1191.3936825733199</v>
      </c>
      <c r="DB36" s="20">
        <v>2096.363764326195</v>
      </c>
      <c r="DC36" s="20">
        <v>1552.5941539986973</v>
      </c>
      <c r="DD36" s="20">
        <v>245.97411898322366</v>
      </c>
      <c r="DE36" s="14">
        <v>9309.6392714587892</v>
      </c>
      <c r="DF36" s="14">
        <v>9418.5837771009355</v>
      </c>
      <c r="DG36" s="19">
        <f t="shared" si="18"/>
        <v>1.011702333728026</v>
      </c>
      <c r="DH36" s="20"/>
      <c r="DI36" s="20"/>
      <c r="DJ36" s="20">
        <v>13.6</v>
      </c>
      <c r="DK36" s="20">
        <v>64.399999999999991</v>
      </c>
      <c r="DL36" s="20">
        <v>76.199999999999989</v>
      </c>
      <c r="DM36" s="20">
        <v>57.6</v>
      </c>
      <c r="DN36" s="20">
        <v>17</v>
      </c>
      <c r="DO36" s="20"/>
      <c r="DP36" s="20">
        <v>185</v>
      </c>
      <c r="DQ36" s="20">
        <v>100</v>
      </c>
      <c r="DR36" s="20">
        <v>74.8</v>
      </c>
      <c r="DS36" s="20">
        <v>76</v>
      </c>
      <c r="DT36" s="20">
        <v>52.387633703253357</v>
      </c>
      <c r="DU36" s="20">
        <v>442.72686521769015</v>
      </c>
      <c r="DV36" s="20">
        <v>225.98587087677919</v>
      </c>
      <c r="DW36" s="20">
        <v>159.2173181177308</v>
      </c>
      <c r="DX36" s="20">
        <v>210.57774331699881</v>
      </c>
      <c r="DY36" s="20">
        <v>282.482338595974</v>
      </c>
      <c r="DZ36" s="20">
        <v>172.05742441754779</v>
      </c>
      <c r="EA36" s="20">
        <v>61.632510239121601</v>
      </c>
      <c r="EB36" s="20">
        <v>180.78869670142336</v>
      </c>
      <c r="EC36" s="20">
        <v>138.67314803802361</v>
      </c>
      <c r="ED36" s="20">
        <v>92.448765358682408</v>
      </c>
      <c r="EE36" s="20">
        <v>143.80919055795039</v>
      </c>
      <c r="EF36" s="14">
        <v>1889.0024845605553</v>
      </c>
      <c r="EG36" s="14">
        <f t="shared" si="23"/>
        <v>2162.7875051411752</v>
      </c>
      <c r="EH36" s="19">
        <f t="shared" si="20"/>
        <v>1.1449362945884698</v>
      </c>
      <c r="EI36" s="19"/>
      <c r="EJ36" s="19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>
        <v>263.15212011957982</v>
      </c>
      <c r="EY36" s="20">
        <v>716.41413690349498</v>
      </c>
      <c r="EZ36" s="20">
        <v>809.46792842866955</v>
      </c>
      <c r="FA36" s="20">
        <v>1113.6437630916059</v>
      </c>
      <c r="FB36" s="20">
        <v>850.49164297202606</v>
      </c>
      <c r="FC36" s="20">
        <v>909.52576877831962</v>
      </c>
      <c r="FD36" s="20">
        <v>921.53270962027773</v>
      </c>
      <c r="FE36" s="20">
        <v>632.86584021153703</v>
      </c>
      <c r="FF36" s="20">
        <v>812.46966363915908</v>
      </c>
      <c r="FG36" s="20">
        <v>380.21979332867051</v>
      </c>
      <c r="FH36" s="20">
        <v>339.19607878531377</v>
      </c>
      <c r="FI36" s="14">
        <v>6135.6805811903741</v>
      </c>
      <c r="FJ36" s="24">
        <v>7748.9794458786546</v>
      </c>
      <c r="FK36" s="19">
        <v>1.0688736259921188</v>
      </c>
      <c r="FL36" s="20"/>
      <c r="FM36" s="20">
        <v>135</v>
      </c>
      <c r="FN36" s="20">
        <v>559.19999999999993</v>
      </c>
      <c r="FO36" s="20">
        <v>1892.5</v>
      </c>
      <c r="FP36" s="20">
        <v>1597.4449999999999</v>
      </c>
      <c r="FQ36" s="20">
        <v>1380.5</v>
      </c>
      <c r="FR36" s="20">
        <v>587</v>
      </c>
      <c r="FS36" s="20">
        <v>901.10400000000004</v>
      </c>
      <c r="FT36" s="20">
        <v>1201.98</v>
      </c>
      <c r="FU36" s="20">
        <v>583.5</v>
      </c>
      <c r="FV36" s="20">
        <v>1510.1929</v>
      </c>
      <c r="FW36" s="20">
        <v>681.49400000000003</v>
      </c>
      <c r="FX36" s="20">
        <v>444.85259019134151</v>
      </c>
      <c r="FY36" s="20">
        <v>928.17837492785259</v>
      </c>
      <c r="FZ36" s="20">
        <v>1487.1928871471168</v>
      </c>
      <c r="GA36" s="20">
        <v>3081.9540135807856</v>
      </c>
      <c r="GB36" s="20">
        <v>695.12925914510174</v>
      </c>
      <c r="GC36" s="20">
        <v>565.74681900364351</v>
      </c>
      <c r="GD36" s="20">
        <v>1313.1112247897067</v>
      </c>
      <c r="GE36" s="20">
        <v>880.9657863056832</v>
      </c>
      <c r="GF36" s="20">
        <v>1533.2020061172959</v>
      </c>
      <c r="GG36" s="20">
        <v>915.79563160779242</v>
      </c>
      <c r="GH36" s="20">
        <v>580.51279088919762</v>
      </c>
      <c r="GI36" s="20">
        <v>235.25906429448384</v>
      </c>
      <c r="GJ36" s="22">
        <v>13103.283110885228</v>
      </c>
      <c r="GK36" s="22">
        <v>12661.900448000002</v>
      </c>
      <c r="GL36" s="19">
        <f t="shared" si="117"/>
        <v>0.96631510903411999</v>
      </c>
    </row>
    <row r="37" spans="1:194" s="11" customFormat="1" ht="24.95" customHeight="1">
      <c r="A37" s="15">
        <f t="shared" si="24"/>
        <v>4</v>
      </c>
      <c r="B37" s="16" t="s">
        <v>80</v>
      </c>
      <c r="C37" s="17">
        <v>11787</v>
      </c>
      <c r="D37" s="17"/>
      <c r="E37" s="17"/>
      <c r="F37" s="17"/>
      <c r="G37" s="20">
        <v>91</v>
      </c>
      <c r="H37" s="20">
        <v>149</v>
      </c>
      <c r="I37" s="20">
        <v>133</v>
      </c>
      <c r="J37" s="20">
        <v>131</v>
      </c>
      <c r="K37" s="20">
        <v>123</v>
      </c>
      <c r="L37" s="20">
        <v>116</v>
      </c>
      <c r="M37" s="20">
        <v>122</v>
      </c>
      <c r="N37" s="20">
        <v>53</v>
      </c>
      <c r="O37" s="20">
        <v>113</v>
      </c>
      <c r="P37" s="20">
        <v>2</v>
      </c>
      <c r="Q37" s="20">
        <v>154</v>
      </c>
      <c r="R37" s="20">
        <v>59</v>
      </c>
      <c r="S37" s="20">
        <v>150</v>
      </c>
      <c r="T37" s="20">
        <v>59</v>
      </c>
      <c r="U37" s="20">
        <v>55</v>
      </c>
      <c r="V37" s="20">
        <v>168</v>
      </c>
      <c r="W37" s="20">
        <v>235</v>
      </c>
      <c r="X37" s="20">
        <v>158</v>
      </c>
      <c r="Y37" s="20">
        <v>2</v>
      </c>
      <c r="Z37" s="20">
        <v>95</v>
      </c>
      <c r="AA37" s="20">
        <v>2</v>
      </c>
      <c r="AB37" s="18">
        <v>1081</v>
      </c>
      <c r="AC37" s="18">
        <f t="shared" si="25"/>
        <v>1139</v>
      </c>
      <c r="AD37" s="19">
        <f t="shared" si="10"/>
        <v>1.053654024051804</v>
      </c>
      <c r="AE37" s="20"/>
      <c r="AF37" s="20"/>
      <c r="AG37" s="20"/>
      <c r="AH37" s="20"/>
      <c r="AI37" s="20"/>
      <c r="AJ37" s="20">
        <v>56</v>
      </c>
      <c r="AK37" s="20">
        <v>44</v>
      </c>
      <c r="AL37" s="20">
        <v>181</v>
      </c>
      <c r="AM37" s="20">
        <v>23</v>
      </c>
      <c r="AN37" s="20"/>
      <c r="AO37" s="20">
        <v>24</v>
      </c>
      <c r="AP37" s="20"/>
      <c r="AQ37" s="20">
        <v>19</v>
      </c>
      <c r="AR37" s="20">
        <v>62</v>
      </c>
      <c r="AS37" s="20">
        <v>64</v>
      </c>
      <c r="AT37" s="20">
        <v>43</v>
      </c>
      <c r="AU37" s="20">
        <v>56</v>
      </c>
      <c r="AV37" s="20">
        <v>40</v>
      </c>
      <c r="AW37" s="20">
        <v>29</v>
      </c>
      <c r="AX37" s="20">
        <v>20</v>
      </c>
      <c r="AY37" s="20">
        <v>40</v>
      </c>
      <c r="AZ37" s="20">
        <v>34</v>
      </c>
      <c r="BA37" s="20">
        <v>21</v>
      </c>
      <c r="BB37" s="20">
        <v>31</v>
      </c>
      <c r="BC37" s="27">
        <v>430</v>
      </c>
      <c r="BD37" s="27">
        <f t="shared" si="13"/>
        <v>459</v>
      </c>
      <c r="BE37" s="19">
        <f t="shared" si="14"/>
        <v>1.0674418604651164</v>
      </c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>
        <v>107</v>
      </c>
      <c r="BS37" s="20">
        <v>136</v>
      </c>
      <c r="BT37" s="20">
        <v>118</v>
      </c>
      <c r="BU37" s="20">
        <v>232</v>
      </c>
      <c r="BV37" s="20">
        <v>413</v>
      </c>
      <c r="BW37" s="20">
        <v>110</v>
      </c>
      <c r="BX37" s="20">
        <v>62</v>
      </c>
      <c r="BY37" s="20">
        <v>166</v>
      </c>
      <c r="BZ37" s="20">
        <v>124</v>
      </c>
      <c r="CA37" s="20">
        <v>130</v>
      </c>
      <c r="CB37" s="20">
        <v>118</v>
      </c>
      <c r="CC37" s="20">
        <v>209</v>
      </c>
      <c r="CD37" s="21">
        <v>2137</v>
      </c>
      <c r="CE37" s="21">
        <f t="shared" si="95"/>
        <v>1925</v>
      </c>
      <c r="CF37" s="19">
        <f t="shared" si="16"/>
        <v>0.90079550772110439</v>
      </c>
      <c r="CG37" s="20"/>
      <c r="CH37" s="20"/>
      <c r="CI37" s="20">
        <v>60</v>
      </c>
      <c r="CJ37" s="20">
        <v>711.99990000000003</v>
      </c>
      <c r="CK37" s="20">
        <v>865.73630000000003</v>
      </c>
      <c r="CL37" s="20">
        <v>500</v>
      </c>
      <c r="CM37" s="20">
        <v>340</v>
      </c>
      <c r="CN37" s="20">
        <v>700</v>
      </c>
      <c r="CO37" s="20">
        <v>797.67000000000007</v>
      </c>
      <c r="CP37" s="20"/>
      <c r="CQ37" s="20"/>
      <c r="CR37" s="20"/>
      <c r="CS37" s="20">
        <v>0</v>
      </c>
      <c r="CT37" s="20">
        <v>310.87945096285637</v>
      </c>
      <c r="CU37" s="20">
        <v>414.50593461714186</v>
      </c>
      <c r="CV37" s="20">
        <v>373.05534115542764</v>
      </c>
      <c r="CW37" s="20">
        <v>180.88002721855528</v>
      </c>
      <c r="CX37" s="20">
        <v>0</v>
      </c>
      <c r="CY37" s="20">
        <v>207.25296730857093</v>
      </c>
      <c r="CZ37" s="20">
        <v>0</v>
      </c>
      <c r="DA37" s="20">
        <v>409.3246104344276</v>
      </c>
      <c r="DB37" s="20">
        <v>103.62648365428547</v>
      </c>
      <c r="DC37" s="20">
        <v>310.87945096285637</v>
      </c>
      <c r="DD37" s="20">
        <v>0</v>
      </c>
      <c r="DE37" s="14">
        <v>7116.8112406183072</v>
      </c>
      <c r="DF37" s="14">
        <v>2249.5036664298373</v>
      </c>
      <c r="DG37" s="19">
        <f t="shared" si="18"/>
        <v>0.31608308698579463</v>
      </c>
      <c r="DH37" s="20"/>
      <c r="DI37" s="20"/>
      <c r="DJ37" s="20">
        <v>67.999999999999986</v>
      </c>
      <c r="DK37" s="20">
        <v>927.29999999999984</v>
      </c>
      <c r="DL37" s="20">
        <v>572.5</v>
      </c>
      <c r="DM37" s="20">
        <v>155.80000000000001</v>
      </c>
      <c r="DN37" s="20">
        <v>124.8</v>
      </c>
      <c r="DO37" s="20">
        <v>173</v>
      </c>
      <c r="DP37" s="20">
        <v>65</v>
      </c>
      <c r="DQ37" s="20"/>
      <c r="DR37" s="20">
        <v>129</v>
      </c>
      <c r="DS37" s="20">
        <v>68</v>
      </c>
      <c r="DT37" s="20">
        <v>67.795761263033768</v>
      </c>
      <c r="DU37" s="20">
        <v>413.24598115331037</v>
      </c>
      <c r="DV37" s="20">
        <v>898.76224381301483</v>
      </c>
      <c r="DW37" s="20">
        <v>394.9616697823709</v>
      </c>
      <c r="DX37" s="20">
        <v>92.448765358682408</v>
      </c>
      <c r="DY37" s="20">
        <v>274.26467056409138</v>
      </c>
      <c r="DZ37" s="20">
        <v>375.95831245864179</v>
      </c>
      <c r="EA37" s="20">
        <v>502.81856270083375</v>
      </c>
      <c r="EB37" s="20">
        <v>223.93145386880849</v>
      </c>
      <c r="EC37" s="20">
        <v>304.05371717966659</v>
      </c>
      <c r="ED37" s="20">
        <v>391.81841176017576</v>
      </c>
      <c r="EE37" s="20">
        <v>25.680212599634</v>
      </c>
      <c r="EF37" s="14">
        <v>2340.0984901990541</v>
      </c>
      <c r="EG37" s="14">
        <f t="shared" si="23"/>
        <v>3965.7397625022645</v>
      </c>
      <c r="EH37" s="19">
        <f t="shared" si="20"/>
        <v>1.6946892530856381</v>
      </c>
      <c r="EI37" s="19"/>
      <c r="EJ37" s="19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>
        <v>420.24292946853052</v>
      </c>
      <c r="EY37" s="20">
        <v>1746.0093141013947</v>
      </c>
      <c r="EZ37" s="20">
        <v>3992.7580902326135</v>
      </c>
      <c r="FA37" s="20">
        <v>2557.3783414967079</v>
      </c>
      <c r="FB37" s="20">
        <v>1006.081584715732</v>
      </c>
      <c r="FC37" s="20">
        <v>1185.6854081433539</v>
      </c>
      <c r="FD37" s="20">
        <v>930.5379152517462</v>
      </c>
      <c r="FE37" s="20">
        <v>1090.6306599268671</v>
      </c>
      <c r="FF37" s="20">
        <v>200.11568069930027</v>
      </c>
      <c r="FG37" s="20">
        <v>250.14460087412533</v>
      </c>
      <c r="FH37" s="20">
        <v>150.0867605244739</v>
      </c>
      <c r="FI37" s="14">
        <v>11577.204220244734</v>
      </c>
      <c r="FJ37" s="24">
        <v>13529.671285434844</v>
      </c>
      <c r="FK37" s="19">
        <v>1.0688707752444555</v>
      </c>
      <c r="FL37" s="20"/>
      <c r="FM37" s="20">
        <v>28.938000000000002</v>
      </c>
      <c r="FN37" s="20">
        <v>316.84399999999999</v>
      </c>
      <c r="FO37" s="20">
        <v>716.55</v>
      </c>
      <c r="FP37" s="20">
        <v>1250.0999999999999</v>
      </c>
      <c r="FQ37" s="20">
        <v>1270.3039999999999</v>
      </c>
      <c r="FR37" s="20">
        <v>1861.2</v>
      </c>
      <c r="FS37" s="20">
        <v>2167.6039999999998</v>
      </c>
      <c r="FT37" s="20">
        <v>1457.2</v>
      </c>
      <c r="FU37" s="20">
        <v>550.25</v>
      </c>
      <c r="FV37" s="20">
        <v>607.5</v>
      </c>
      <c r="FW37" s="20">
        <v>736.59999999999991</v>
      </c>
      <c r="FX37" s="20">
        <v>386.79835859783753</v>
      </c>
      <c r="FY37" s="20">
        <v>1450.0930174272814</v>
      </c>
      <c r="FZ37" s="20">
        <v>1560.4189320505366</v>
      </c>
      <c r="GA37" s="20">
        <v>2757.6798996915691</v>
      </c>
      <c r="GB37" s="20">
        <v>1474.5434836184402</v>
      </c>
      <c r="GC37" s="20">
        <v>1077.0229943548077</v>
      </c>
      <c r="GD37" s="20">
        <v>913.53555240652906</v>
      </c>
      <c r="GE37" s="20">
        <v>850.75597525793796</v>
      </c>
      <c r="GF37" s="20">
        <v>1974.0745244501034</v>
      </c>
      <c r="GG37" s="20">
        <v>1610.3237364422926</v>
      </c>
      <c r="GH37" s="20">
        <v>1005.0744913824639</v>
      </c>
      <c r="GI37" s="20">
        <v>927.91523332020085</v>
      </c>
      <c r="GJ37" s="22">
        <v>16839.555600292413</v>
      </c>
      <c r="GK37" s="22">
        <v>15988.236198999999</v>
      </c>
      <c r="GL37" s="19">
        <f t="shared" si="117"/>
        <v>0.94944525725621698</v>
      </c>
    </row>
    <row r="38" spans="1:194" s="11" customFormat="1" ht="24.95" customHeight="1">
      <c r="A38" s="15">
        <f t="shared" si="24"/>
        <v>5</v>
      </c>
      <c r="B38" s="16" t="s">
        <v>81</v>
      </c>
      <c r="C38" s="17">
        <v>11785</v>
      </c>
      <c r="D38" s="17"/>
      <c r="E38" s="17"/>
      <c r="F38" s="17"/>
      <c r="G38" s="20">
        <v>145</v>
      </c>
      <c r="H38" s="20">
        <v>140</v>
      </c>
      <c r="I38" s="20">
        <v>114</v>
      </c>
      <c r="J38" s="20">
        <v>145</v>
      </c>
      <c r="K38" s="20">
        <v>107</v>
      </c>
      <c r="L38" s="20">
        <v>102</v>
      </c>
      <c r="M38" s="20">
        <v>105</v>
      </c>
      <c r="N38" s="20">
        <v>105</v>
      </c>
      <c r="O38" s="20">
        <v>100</v>
      </c>
      <c r="P38" s="20">
        <v>17</v>
      </c>
      <c r="Q38" s="20">
        <v>175</v>
      </c>
      <c r="R38" s="20">
        <v>74</v>
      </c>
      <c r="S38" s="20">
        <v>125</v>
      </c>
      <c r="T38" s="20">
        <v>69</v>
      </c>
      <c r="U38" s="20">
        <v>117</v>
      </c>
      <c r="V38" s="20">
        <v>77</v>
      </c>
      <c r="W38" s="20">
        <v>109</v>
      </c>
      <c r="X38" s="20">
        <v>50</v>
      </c>
      <c r="Y38" s="20">
        <v>96</v>
      </c>
      <c r="Z38" s="20">
        <v>117</v>
      </c>
      <c r="AA38" s="20">
        <v>16</v>
      </c>
      <c r="AB38" s="18">
        <v>1013</v>
      </c>
      <c r="AC38" s="18">
        <f t="shared" si="25"/>
        <v>1042</v>
      </c>
      <c r="AD38" s="19">
        <f t="shared" si="10"/>
        <v>1.0286278381046396</v>
      </c>
      <c r="AE38" s="20"/>
      <c r="AF38" s="20"/>
      <c r="AG38" s="20"/>
      <c r="AH38" s="20"/>
      <c r="AI38" s="20"/>
      <c r="AJ38" s="20"/>
      <c r="AK38" s="20">
        <v>154</v>
      </c>
      <c r="AL38" s="20">
        <v>258</v>
      </c>
      <c r="AM38" s="20">
        <v>75</v>
      </c>
      <c r="AN38" s="20">
        <v>5</v>
      </c>
      <c r="AO38" s="20">
        <v>7</v>
      </c>
      <c r="AP38" s="20"/>
      <c r="AQ38" s="20">
        <v>34</v>
      </c>
      <c r="AR38" s="20">
        <v>133</v>
      </c>
      <c r="AS38" s="20">
        <v>120</v>
      </c>
      <c r="AT38" s="20">
        <v>73</v>
      </c>
      <c r="AU38" s="20">
        <v>70</v>
      </c>
      <c r="AV38" s="20">
        <v>57</v>
      </c>
      <c r="AW38" s="20">
        <v>67</v>
      </c>
      <c r="AX38" s="20">
        <v>43</v>
      </c>
      <c r="AY38" s="20">
        <v>63</v>
      </c>
      <c r="AZ38" s="20">
        <v>30</v>
      </c>
      <c r="BA38" s="20">
        <v>32</v>
      </c>
      <c r="BB38" s="20">
        <v>29</v>
      </c>
      <c r="BC38" s="27">
        <v>696</v>
      </c>
      <c r="BD38" s="27">
        <f t="shared" si="13"/>
        <v>751</v>
      </c>
      <c r="BE38" s="19">
        <f t="shared" si="14"/>
        <v>1.0790229885057472</v>
      </c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>
        <v>105</v>
      </c>
      <c r="BS38" s="20">
        <v>282</v>
      </c>
      <c r="BT38" s="20">
        <v>125</v>
      </c>
      <c r="BU38" s="20">
        <v>442</v>
      </c>
      <c r="BV38" s="20">
        <v>696</v>
      </c>
      <c r="BW38" s="20">
        <v>642</v>
      </c>
      <c r="BX38" s="20">
        <v>756</v>
      </c>
      <c r="BY38" s="20">
        <v>697</v>
      </c>
      <c r="BZ38" s="20">
        <v>477</v>
      </c>
      <c r="CA38" s="20">
        <v>291</v>
      </c>
      <c r="CB38" s="20">
        <v>348</v>
      </c>
      <c r="CC38" s="20">
        <v>267</v>
      </c>
      <c r="CD38" s="21">
        <v>2197</v>
      </c>
      <c r="CE38" s="21">
        <f t="shared" si="95"/>
        <v>5128</v>
      </c>
      <c r="CF38" s="19">
        <f t="shared" si="16"/>
        <v>2.334091943559399</v>
      </c>
      <c r="CG38" s="20"/>
      <c r="CH38" s="20">
        <v>100</v>
      </c>
      <c r="CI38" s="20">
        <v>220</v>
      </c>
      <c r="CJ38" s="20">
        <v>849</v>
      </c>
      <c r="CK38" s="20">
        <v>1650</v>
      </c>
      <c r="CL38" s="20">
        <v>1300</v>
      </c>
      <c r="CM38" s="20">
        <v>1960</v>
      </c>
      <c r="CN38" s="20">
        <v>2500</v>
      </c>
      <c r="CO38" s="20">
        <v>950</v>
      </c>
      <c r="CP38" s="20">
        <v>500</v>
      </c>
      <c r="CQ38" s="20">
        <v>200</v>
      </c>
      <c r="CR38" s="20"/>
      <c r="CS38" s="20">
        <v>466.31917644428455</v>
      </c>
      <c r="CT38" s="20">
        <v>1244.3053651271982</v>
      </c>
      <c r="CU38" s="20">
        <v>1617.0912774251246</v>
      </c>
      <c r="CV38" s="20">
        <v>852.32782805649788</v>
      </c>
      <c r="CW38" s="20">
        <v>1594.2540729573932</v>
      </c>
      <c r="CX38" s="20">
        <v>825.39634121958568</v>
      </c>
      <c r="CY38" s="20">
        <v>1547.6615333767534</v>
      </c>
      <c r="CZ38" s="20">
        <v>1488.3084285989248</v>
      </c>
      <c r="DA38" s="20">
        <v>1464.3137163087749</v>
      </c>
      <c r="DB38" s="20">
        <v>1848.5171945757304</v>
      </c>
      <c r="DC38" s="20">
        <v>1745.028796319709</v>
      </c>
      <c r="DD38" s="20">
        <v>437.30376102108465</v>
      </c>
      <c r="DE38" s="14">
        <v>14194.710998081529</v>
      </c>
      <c r="DF38" s="14">
        <v>17207.649455555133</v>
      </c>
      <c r="DG38" s="19">
        <f t="shared" si="18"/>
        <v>1.2122578232047707</v>
      </c>
      <c r="DH38" s="20"/>
      <c r="DI38" s="20"/>
      <c r="DJ38" s="20"/>
      <c r="DK38" s="20">
        <v>20.399999999999999</v>
      </c>
      <c r="DL38" s="20">
        <v>34</v>
      </c>
      <c r="DM38" s="20">
        <v>81</v>
      </c>
      <c r="DN38" s="20">
        <v>74.8</v>
      </c>
      <c r="DO38" s="20">
        <v>34</v>
      </c>
      <c r="DP38" s="20">
        <v>17</v>
      </c>
      <c r="DQ38" s="20">
        <v>34</v>
      </c>
      <c r="DR38" s="20"/>
      <c r="DS38" s="20"/>
      <c r="DT38" s="20">
        <v>251.46064177561615</v>
      </c>
      <c r="DU38" s="20">
        <v>928.39104590196837</v>
      </c>
      <c r="DV38" s="20">
        <v>933.32164672109798</v>
      </c>
      <c r="DW38" s="20">
        <v>504.35937545681179</v>
      </c>
      <c r="DX38" s="20">
        <v>67.795761263033768</v>
      </c>
      <c r="DY38" s="20">
        <v>41.0883401594144</v>
      </c>
      <c r="DZ38" s="20">
        <v>355.10495261923506</v>
      </c>
      <c r="EA38" s="20">
        <v>275.29187906807647</v>
      </c>
      <c r="EB38" s="20">
        <v>49.819612443289962</v>
      </c>
      <c r="EC38" s="20">
        <v>90.394348350711681</v>
      </c>
      <c r="ED38" s="20">
        <v>122.23781197425784</v>
      </c>
      <c r="EE38" s="20">
        <v>58.550884727165524</v>
      </c>
      <c r="EF38" s="14">
        <v>2352.8875583110994</v>
      </c>
      <c r="EG38" s="14">
        <f t="shared" si="23"/>
        <v>3677.816300460679</v>
      </c>
      <c r="EH38" s="19">
        <f t="shared" si="20"/>
        <v>1.5631075473494418</v>
      </c>
      <c r="EI38" s="19"/>
      <c r="EJ38" s="19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>
        <v>1139.658801582515</v>
      </c>
      <c r="EY38" s="20">
        <v>2846.645557947546</v>
      </c>
      <c r="EZ38" s="20">
        <v>4268.4674693160741</v>
      </c>
      <c r="FA38" s="20">
        <v>2406.3910604090856</v>
      </c>
      <c r="FB38" s="20">
        <v>1558.901152647549</v>
      </c>
      <c r="FC38" s="20">
        <v>1666.9636202251711</v>
      </c>
      <c r="FD38" s="20">
        <v>1867.0793009244715</v>
      </c>
      <c r="FE38" s="20">
        <v>1258.7276315985987</v>
      </c>
      <c r="FF38" s="20">
        <v>801.46330120069752</v>
      </c>
      <c r="FG38" s="20">
        <v>520.3007698181807</v>
      </c>
      <c r="FH38" s="20">
        <v>200.11568069929785</v>
      </c>
      <c r="FI38" s="14">
        <v>16361.951935320665</v>
      </c>
      <c r="FJ38" s="24">
        <v>18534.714346369186</v>
      </c>
      <c r="FK38" s="19">
        <v>1.0685917121692337</v>
      </c>
      <c r="FL38" s="20"/>
      <c r="FM38" s="20">
        <v>7</v>
      </c>
      <c r="FN38" s="20">
        <v>652.31524999999988</v>
      </c>
      <c r="FO38" s="20">
        <v>1620.54855</v>
      </c>
      <c r="FP38" s="20">
        <v>4736.0680000000011</v>
      </c>
      <c r="FQ38" s="20">
        <v>2496.665</v>
      </c>
      <c r="FR38" s="20">
        <v>2815.7481000000002</v>
      </c>
      <c r="FS38" s="20">
        <v>2510.1997999999999</v>
      </c>
      <c r="FT38" s="20">
        <v>1427.548</v>
      </c>
      <c r="FU38" s="20">
        <v>1012.9</v>
      </c>
      <c r="FV38" s="20">
        <v>1082.8</v>
      </c>
      <c r="FW38" s="20">
        <v>2103.3870000000006</v>
      </c>
      <c r="FX38" s="20">
        <v>1379.263645630381</v>
      </c>
      <c r="FY38" s="20">
        <v>1211.0794951040309</v>
      </c>
      <c r="FZ38" s="20">
        <v>1844.9143860363063</v>
      </c>
      <c r="GA38" s="20">
        <v>3431.6656304661728</v>
      </c>
      <c r="GB38" s="20">
        <v>456.65466277595158</v>
      </c>
      <c r="GC38" s="20">
        <v>285.87085832031005</v>
      </c>
      <c r="GD38" s="20">
        <v>578.31927621259183</v>
      </c>
      <c r="GE38" s="20">
        <v>532.7823253297106</v>
      </c>
      <c r="GF38" s="20">
        <v>2289.6942263406927</v>
      </c>
      <c r="GG38" s="20">
        <v>720.89040976568378</v>
      </c>
      <c r="GH38" s="20">
        <v>691.65568729887411</v>
      </c>
      <c r="GI38" s="20">
        <v>502.44459671929326</v>
      </c>
      <c r="GJ38" s="22">
        <v>13469.165224525672</v>
      </c>
      <c r="GK38" s="22">
        <v>13925.235199999999</v>
      </c>
      <c r="GL38" s="19">
        <f t="shared" si="117"/>
        <v>1.0338603000165059</v>
      </c>
    </row>
    <row r="39" spans="1:194" s="11" customFormat="1" ht="24.95" customHeight="1">
      <c r="A39" s="15">
        <f t="shared" si="24"/>
        <v>6</v>
      </c>
      <c r="B39" s="16" t="s">
        <v>62</v>
      </c>
      <c r="C39" s="17">
        <v>11943</v>
      </c>
      <c r="D39" s="17"/>
      <c r="E39" s="17"/>
      <c r="F39" s="17"/>
      <c r="G39" s="20">
        <v>180</v>
      </c>
      <c r="H39" s="20">
        <v>21</v>
      </c>
      <c r="I39" s="20">
        <v>135</v>
      </c>
      <c r="J39" s="20">
        <v>132</v>
      </c>
      <c r="K39" s="20">
        <v>125</v>
      </c>
      <c r="L39" s="20">
        <v>140</v>
      </c>
      <c r="M39" s="20">
        <v>117</v>
      </c>
      <c r="N39" s="20">
        <v>130</v>
      </c>
      <c r="O39" s="20">
        <v>118</v>
      </c>
      <c r="P39" s="20">
        <v>16</v>
      </c>
      <c r="Q39" s="20">
        <v>160</v>
      </c>
      <c r="R39" s="20">
        <v>173</v>
      </c>
      <c r="S39" s="20">
        <v>334</v>
      </c>
      <c r="T39" s="20">
        <v>472</v>
      </c>
      <c r="U39" s="20">
        <v>312</v>
      </c>
      <c r="V39" s="20">
        <v>250</v>
      </c>
      <c r="W39" s="20">
        <v>242</v>
      </c>
      <c r="X39" s="20">
        <v>9</v>
      </c>
      <c r="Y39" s="20"/>
      <c r="Z39" s="20"/>
      <c r="AA39" s="20"/>
      <c r="AB39" s="18">
        <v>1218</v>
      </c>
      <c r="AC39" s="18">
        <f t="shared" si="25"/>
        <v>1968</v>
      </c>
      <c r="AD39" s="19">
        <f t="shared" si="10"/>
        <v>1.6157635467980296</v>
      </c>
      <c r="AE39" s="20"/>
      <c r="AF39" s="20"/>
      <c r="AG39" s="20"/>
      <c r="AH39" s="20"/>
      <c r="AI39" s="20"/>
      <c r="AJ39" s="20">
        <v>6</v>
      </c>
      <c r="AK39" s="20">
        <v>301</v>
      </c>
      <c r="AL39" s="20">
        <v>662</v>
      </c>
      <c r="AM39" s="20">
        <v>109</v>
      </c>
      <c r="AN39" s="20"/>
      <c r="AO39" s="20">
        <v>19</v>
      </c>
      <c r="AP39" s="20">
        <v>13</v>
      </c>
      <c r="AQ39" s="20">
        <v>51</v>
      </c>
      <c r="AR39" s="20">
        <v>162</v>
      </c>
      <c r="AS39" s="20">
        <v>223</v>
      </c>
      <c r="AT39" s="20">
        <v>206</v>
      </c>
      <c r="AU39" s="20">
        <v>144</v>
      </c>
      <c r="AV39" s="20">
        <v>133</v>
      </c>
      <c r="AW39" s="20">
        <v>47</v>
      </c>
      <c r="AX39" s="20">
        <v>122</v>
      </c>
      <c r="AY39" s="20">
        <v>123</v>
      </c>
      <c r="AZ39" s="20">
        <v>131</v>
      </c>
      <c r="BA39" s="20">
        <v>38</v>
      </c>
      <c r="BB39" s="20">
        <v>40</v>
      </c>
      <c r="BC39" s="27">
        <v>1280</v>
      </c>
      <c r="BD39" s="27">
        <f t="shared" si="13"/>
        <v>1420</v>
      </c>
      <c r="BE39" s="19">
        <f t="shared" si="14"/>
        <v>1.109375</v>
      </c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>
        <v>292</v>
      </c>
      <c r="BS39" s="20">
        <v>509</v>
      </c>
      <c r="BT39" s="20">
        <v>781</v>
      </c>
      <c r="BU39" s="20">
        <v>663</v>
      </c>
      <c r="BV39" s="20">
        <v>905</v>
      </c>
      <c r="BW39" s="20">
        <v>860</v>
      </c>
      <c r="BX39" s="20">
        <v>758</v>
      </c>
      <c r="BY39" s="20">
        <v>75</v>
      </c>
      <c r="BZ39" s="20">
        <v>637</v>
      </c>
      <c r="CA39" s="20">
        <v>44</v>
      </c>
      <c r="CB39" s="20">
        <v>158</v>
      </c>
      <c r="CC39" s="20">
        <v>81</v>
      </c>
      <c r="CD39" s="21">
        <v>2375</v>
      </c>
      <c r="CE39" s="21">
        <f t="shared" si="95"/>
        <v>5763</v>
      </c>
      <c r="CF39" s="19">
        <f t="shared" si="16"/>
        <v>2.4265263157894736</v>
      </c>
      <c r="CG39" s="20"/>
      <c r="CH39" s="20"/>
      <c r="CI39" s="20">
        <v>5</v>
      </c>
      <c r="CJ39" s="20">
        <v>168</v>
      </c>
      <c r="CK39" s="20">
        <v>654.30499999999995</v>
      </c>
      <c r="CL39" s="20">
        <v>400</v>
      </c>
      <c r="CM39" s="20">
        <v>730</v>
      </c>
      <c r="CN39" s="20">
        <v>1309.808</v>
      </c>
      <c r="CO39" s="20">
        <v>805</v>
      </c>
      <c r="CP39" s="20">
        <v>100</v>
      </c>
      <c r="CQ39" s="20">
        <v>100</v>
      </c>
      <c r="CR39" s="20"/>
      <c r="CS39" s="20">
        <v>103.62648365428547</v>
      </c>
      <c r="CT39" s="20">
        <v>430.59912752865233</v>
      </c>
      <c r="CU39" s="20">
        <v>271.91589310884507</v>
      </c>
      <c r="CV39" s="20">
        <v>665.929690583352</v>
      </c>
      <c r="CW39" s="20">
        <v>103.62648365428547</v>
      </c>
      <c r="CX39" s="20">
        <v>259.06620913571368</v>
      </c>
      <c r="CY39" s="20">
        <v>384.19518814826336</v>
      </c>
      <c r="CZ39" s="20">
        <v>364.76451365793667</v>
      </c>
      <c r="DA39" s="20">
        <v>483.93567866551308</v>
      </c>
      <c r="DB39" s="20">
        <v>443.93585597495888</v>
      </c>
      <c r="DC39" s="20">
        <v>226.94199920288517</v>
      </c>
      <c r="DD39" s="20">
        <v>176.16502221228529</v>
      </c>
      <c r="DE39" s="14">
        <v>3729.2404817195275</v>
      </c>
      <c r="DF39" s="14">
        <v>3811.5134038392584</v>
      </c>
      <c r="DG39" s="19">
        <f t="shared" si="18"/>
        <v>1.022061575949051</v>
      </c>
      <c r="DH39" s="20"/>
      <c r="DI39" s="20"/>
      <c r="DJ39" s="20">
        <v>99.499999999999972</v>
      </c>
      <c r="DK39" s="20">
        <v>1551.1</v>
      </c>
      <c r="DL39" s="20">
        <v>828.08699999999988</v>
      </c>
      <c r="DM39" s="20">
        <v>113.8</v>
      </c>
      <c r="DN39" s="20">
        <v>402.90000000000003</v>
      </c>
      <c r="DO39" s="20">
        <v>66.599999999999994</v>
      </c>
      <c r="DP39" s="20">
        <v>136</v>
      </c>
      <c r="DQ39" s="20">
        <v>80</v>
      </c>
      <c r="DR39" s="20">
        <v>203</v>
      </c>
      <c r="DS39" s="20">
        <v>62.5</v>
      </c>
      <c r="DT39" s="20">
        <v>55.469259215209441</v>
      </c>
      <c r="DU39" s="20">
        <v>922.63867827965032</v>
      </c>
      <c r="DV39" s="20">
        <v>729.93436293199682</v>
      </c>
      <c r="DW39" s="20">
        <v>741.64453987743013</v>
      </c>
      <c r="DX39" s="20">
        <v>167.43498614961368</v>
      </c>
      <c r="DY39" s="20">
        <v>494.08729041695818</v>
      </c>
      <c r="DZ39" s="20">
        <v>0</v>
      </c>
      <c r="EA39" s="20">
        <v>65.741344255063041</v>
      </c>
      <c r="EB39" s="20">
        <v>35.438693387494922</v>
      </c>
      <c r="EC39" s="20">
        <v>82.176680318828801</v>
      </c>
      <c r="ED39" s="20">
        <v>77.040637798901997</v>
      </c>
      <c r="EE39" s="20">
        <v>345.96382414226946</v>
      </c>
      <c r="EF39" s="14">
        <v>2665.9810413703076</v>
      </c>
      <c r="EG39" s="14">
        <f t="shared" si="23"/>
        <v>3717.5702967734169</v>
      </c>
      <c r="EH39" s="19">
        <f t="shared" si="20"/>
        <v>1.3944473869411296</v>
      </c>
      <c r="EI39" s="19"/>
      <c r="EJ39" s="19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>
        <v>114.06593799860114</v>
      </c>
      <c r="EY39" s="20">
        <v>910.52634718181616</v>
      </c>
      <c r="EZ39" s="20">
        <v>909.52576877831962</v>
      </c>
      <c r="FA39" s="20">
        <v>1384.7004525988082</v>
      </c>
      <c r="FB39" s="20">
        <v>756.43727304335493</v>
      </c>
      <c r="FC39" s="20">
        <v>81.046850683216604</v>
      </c>
      <c r="FD39" s="20">
        <v>844.48817255104711</v>
      </c>
      <c r="FE39" s="20">
        <v>423.04454899832075</v>
      </c>
      <c r="FF39" s="20">
        <v>728.42107774545298</v>
      </c>
      <c r="FG39" s="20">
        <v>417.24119425804105</v>
      </c>
      <c r="FH39" s="20">
        <v>172.09948540139777</v>
      </c>
      <c r="FI39" s="14">
        <v>5876.7820335317138</v>
      </c>
      <c r="FJ39" s="24">
        <v>6741.5971092383761</v>
      </c>
      <c r="FK39" s="19">
        <v>1.0363344441111688</v>
      </c>
      <c r="FL39" s="20"/>
      <c r="FM39" s="20"/>
      <c r="FN39" s="20">
        <v>162.86099999999999</v>
      </c>
      <c r="FO39" s="20">
        <v>573.35415599999999</v>
      </c>
      <c r="FP39" s="20">
        <v>766.22199999999998</v>
      </c>
      <c r="FQ39" s="20">
        <v>596.798</v>
      </c>
      <c r="FR39" s="20">
        <v>1140.3499999999999</v>
      </c>
      <c r="FS39" s="20">
        <v>733.1</v>
      </c>
      <c r="FT39" s="20">
        <v>468.50400000000002</v>
      </c>
      <c r="FU39" s="20">
        <v>180</v>
      </c>
      <c r="FV39" s="20">
        <v>619.44799999999998</v>
      </c>
      <c r="FW39" s="20">
        <v>545</v>
      </c>
      <c r="FX39" s="20">
        <v>302.48740117879538</v>
      </c>
      <c r="FY39" s="20">
        <v>653.78572494674677</v>
      </c>
      <c r="FZ39" s="20">
        <v>624.73069753530842</v>
      </c>
      <c r="GA39" s="20">
        <v>2335.9083405808497</v>
      </c>
      <c r="GB39" s="20">
        <v>349.39399619260456</v>
      </c>
      <c r="GC39" s="20">
        <v>333.25732568571721</v>
      </c>
      <c r="GD39" s="20">
        <v>169.48515420587901</v>
      </c>
      <c r="GE39" s="20">
        <v>78.177658356348701</v>
      </c>
      <c r="GF39" s="20">
        <v>265.60358287733851</v>
      </c>
      <c r="GG39" s="20">
        <v>431.98167630238834</v>
      </c>
      <c r="GH39" s="20">
        <v>85.193602054995381</v>
      </c>
      <c r="GI39" s="20">
        <v>354.60584008302783</v>
      </c>
      <c r="GJ39" s="22">
        <v>7248.8499999999985</v>
      </c>
      <c r="GK39" s="22">
        <v>5984.6110000000008</v>
      </c>
      <c r="GL39" s="19">
        <f t="shared" si="117"/>
        <v>0.82559454258261677</v>
      </c>
    </row>
    <row r="40" spans="1:194" s="11" customFormat="1" ht="24.95" customHeight="1">
      <c r="A40" s="15">
        <f t="shared" si="24"/>
        <v>7</v>
      </c>
      <c r="B40" s="16" t="s">
        <v>45</v>
      </c>
      <c r="C40" s="17">
        <v>11247</v>
      </c>
      <c r="D40" s="17"/>
      <c r="E40" s="17"/>
      <c r="F40" s="17"/>
      <c r="G40" s="20">
        <v>9</v>
      </c>
      <c r="H40" s="20">
        <v>4</v>
      </c>
      <c r="I40" s="20">
        <v>37</v>
      </c>
      <c r="J40" s="20">
        <v>53</v>
      </c>
      <c r="K40" s="20">
        <v>38</v>
      </c>
      <c r="L40" s="20">
        <v>37</v>
      </c>
      <c r="M40" s="20">
        <v>25</v>
      </c>
      <c r="N40" s="20">
        <v>40</v>
      </c>
      <c r="O40" s="20">
        <v>35</v>
      </c>
      <c r="P40" s="20">
        <v>61</v>
      </c>
      <c r="Q40" s="20">
        <v>106</v>
      </c>
      <c r="R40" s="20">
        <v>37</v>
      </c>
      <c r="S40" s="20">
        <v>76</v>
      </c>
      <c r="T40" s="20">
        <v>53</v>
      </c>
      <c r="U40" s="20">
        <v>97</v>
      </c>
      <c r="V40" s="20">
        <v>35</v>
      </c>
      <c r="W40" s="20">
        <v>42</v>
      </c>
      <c r="X40" s="20">
        <v>76</v>
      </c>
      <c r="Y40" s="20">
        <v>103</v>
      </c>
      <c r="Z40" s="20">
        <v>41</v>
      </c>
      <c r="AA40" s="20">
        <v>13</v>
      </c>
      <c r="AB40" s="18">
        <v>628</v>
      </c>
      <c r="AC40" s="18">
        <f t="shared" si="25"/>
        <v>740</v>
      </c>
      <c r="AD40" s="19">
        <f t="shared" si="10"/>
        <v>1.1783439490445859</v>
      </c>
      <c r="AE40" s="20"/>
      <c r="AF40" s="20"/>
      <c r="AG40" s="20"/>
      <c r="AH40" s="20"/>
      <c r="AI40" s="20"/>
      <c r="AJ40" s="20"/>
      <c r="AK40" s="20">
        <v>114</v>
      </c>
      <c r="AL40" s="20">
        <v>275</v>
      </c>
      <c r="AM40" s="20">
        <v>8</v>
      </c>
      <c r="AN40" s="20">
        <v>7</v>
      </c>
      <c r="AO40" s="20">
        <v>1</v>
      </c>
      <c r="AP40" s="20"/>
      <c r="AQ40" s="20">
        <v>11</v>
      </c>
      <c r="AR40" s="20">
        <v>43</v>
      </c>
      <c r="AS40" s="20">
        <v>26</v>
      </c>
      <c r="AT40" s="20">
        <v>33</v>
      </c>
      <c r="AU40" s="20">
        <v>38</v>
      </c>
      <c r="AV40" s="20">
        <v>49</v>
      </c>
      <c r="AW40" s="20">
        <v>27</v>
      </c>
      <c r="AX40" s="20">
        <v>13</v>
      </c>
      <c r="AY40" s="20">
        <v>20</v>
      </c>
      <c r="AZ40" s="20">
        <v>27</v>
      </c>
      <c r="BA40" s="20">
        <v>21</v>
      </c>
      <c r="BB40" s="20">
        <v>4</v>
      </c>
      <c r="BC40" s="27">
        <v>335</v>
      </c>
      <c r="BD40" s="27">
        <f t="shared" si="13"/>
        <v>312</v>
      </c>
      <c r="BE40" s="19">
        <f t="shared" si="14"/>
        <v>0.93134328358208951</v>
      </c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>
        <v>173</v>
      </c>
      <c r="BS40" s="20">
        <v>262</v>
      </c>
      <c r="BT40" s="20">
        <v>101</v>
      </c>
      <c r="BU40" s="20">
        <v>62</v>
      </c>
      <c r="BV40" s="20">
        <v>210</v>
      </c>
      <c r="BW40" s="20">
        <v>216</v>
      </c>
      <c r="BX40" s="20">
        <v>187</v>
      </c>
      <c r="BY40" s="20">
        <v>148</v>
      </c>
      <c r="BZ40" s="20">
        <v>126</v>
      </c>
      <c r="CA40" s="20">
        <v>67</v>
      </c>
      <c r="CB40" s="20">
        <v>82</v>
      </c>
      <c r="CC40" s="20">
        <v>32</v>
      </c>
      <c r="CD40" s="21">
        <v>1621</v>
      </c>
      <c r="CE40" s="21">
        <f t="shared" si="95"/>
        <v>1666</v>
      </c>
      <c r="CF40" s="19">
        <f t="shared" si="16"/>
        <v>1.0277606415792722</v>
      </c>
      <c r="CG40" s="20"/>
      <c r="CH40" s="20"/>
      <c r="CI40" s="20">
        <v>31.5</v>
      </c>
      <c r="CJ40" s="20"/>
      <c r="CK40" s="20">
        <v>300</v>
      </c>
      <c r="CL40" s="20"/>
      <c r="CM40" s="20">
        <v>400</v>
      </c>
      <c r="CN40" s="20">
        <v>500</v>
      </c>
      <c r="CO40" s="20">
        <v>100</v>
      </c>
      <c r="CP40" s="20">
        <v>200</v>
      </c>
      <c r="CQ40" s="20"/>
      <c r="CR40" s="20"/>
      <c r="CS40" s="20">
        <v>0</v>
      </c>
      <c r="CT40" s="20">
        <v>103.62648365428547</v>
      </c>
      <c r="CU40" s="20">
        <v>207.25296730857093</v>
      </c>
      <c r="CV40" s="20">
        <v>0</v>
      </c>
      <c r="CW40" s="20">
        <v>155.43972548142818</v>
      </c>
      <c r="CX40" s="20">
        <v>0</v>
      </c>
      <c r="CY40" s="20">
        <v>0</v>
      </c>
      <c r="CZ40" s="20">
        <v>414.50593461714186</v>
      </c>
      <c r="DA40" s="20">
        <v>414.50593461714186</v>
      </c>
      <c r="DB40" s="20">
        <v>155.43972548142818</v>
      </c>
      <c r="DC40" s="20">
        <v>590.67095682942715</v>
      </c>
      <c r="DD40" s="20">
        <v>207.25296730857093</v>
      </c>
      <c r="DE40" s="14"/>
      <c r="DF40" s="14">
        <v>2189.4207154595078</v>
      </c>
      <c r="DG40" s="19">
        <v>0</v>
      </c>
      <c r="DH40" s="20"/>
      <c r="DI40" s="20"/>
      <c r="DJ40" s="20"/>
      <c r="DK40" s="20">
        <v>318.80000000000007</v>
      </c>
      <c r="DL40" s="20">
        <v>111.8</v>
      </c>
      <c r="DM40" s="20"/>
      <c r="DN40" s="20">
        <v>6.8</v>
      </c>
      <c r="DO40" s="20"/>
      <c r="DP40" s="20"/>
      <c r="DQ40" s="20"/>
      <c r="DR40" s="20">
        <v>34</v>
      </c>
      <c r="DS40" s="20"/>
      <c r="DT40" s="20">
        <v>22.084982835685238</v>
      </c>
      <c r="DU40" s="20">
        <v>216.74099434091096</v>
      </c>
      <c r="DV40" s="20">
        <v>148.94523307787719</v>
      </c>
      <c r="DW40" s="20">
        <v>197.94205150947496</v>
      </c>
      <c r="DX40" s="20">
        <v>364.86446061559991</v>
      </c>
      <c r="DY40" s="20">
        <v>45.19717417535584</v>
      </c>
      <c r="DZ40" s="20">
        <v>123.984066431033</v>
      </c>
      <c r="EA40" s="20">
        <v>89.367139846726317</v>
      </c>
      <c r="EB40" s="20">
        <v>30.8162551195608</v>
      </c>
      <c r="EC40" s="20">
        <v>280.4279215880033</v>
      </c>
      <c r="ED40" s="20">
        <v>5.1360425199268001</v>
      </c>
      <c r="EE40" s="20">
        <v>0</v>
      </c>
      <c r="EF40" s="14">
        <v>1947.8452631578944</v>
      </c>
      <c r="EG40" s="14">
        <f t="shared" si="23"/>
        <v>1525.5063220601544</v>
      </c>
      <c r="EH40" s="19">
        <f t="shared" si="20"/>
        <v>0.78317633895978278</v>
      </c>
      <c r="EI40" s="19"/>
      <c r="EJ40" s="19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>
        <v>82.047429086713109</v>
      </c>
      <c r="EY40" s="20">
        <v>184.10642624335622</v>
      </c>
      <c r="EZ40" s="20">
        <v>250.24465871447498</v>
      </c>
      <c r="FA40" s="20">
        <v>184.10642624335622</v>
      </c>
      <c r="FB40" s="20">
        <v>50.028920174825068</v>
      </c>
      <c r="FC40" s="20">
        <v>432.24987031048857</v>
      </c>
      <c r="FD40" s="20">
        <v>400</v>
      </c>
      <c r="FE40" s="20">
        <v>124.07172203356616</v>
      </c>
      <c r="FF40" s="20">
        <v>310.17930508391538</v>
      </c>
      <c r="FG40" s="20">
        <v>50.028920174825068</v>
      </c>
      <c r="FH40" s="20">
        <v>102.29035855524327</v>
      </c>
      <c r="FI40" s="14">
        <v>2012.9613489595333</v>
      </c>
      <c r="FJ40" s="24">
        <v>2169.3540366207644</v>
      </c>
      <c r="FK40" s="19">
        <v>1.0165808285824978</v>
      </c>
      <c r="FL40" s="20"/>
      <c r="FM40" s="20"/>
      <c r="FN40" s="20">
        <v>512.48192800000004</v>
      </c>
      <c r="FO40" s="20">
        <v>912.36000000000013</v>
      </c>
      <c r="FP40" s="20">
        <v>1366.1949999999999</v>
      </c>
      <c r="FQ40" s="20">
        <v>1266.6640000000002</v>
      </c>
      <c r="FR40" s="20">
        <v>1328.2700000000002</v>
      </c>
      <c r="FS40" s="20">
        <v>1435.144</v>
      </c>
      <c r="FT40" s="20">
        <v>670.65000000000009</v>
      </c>
      <c r="FU40" s="20">
        <v>447.70000000000005</v>
      </c>
      <c r="FV40" s="20">
        <v>693.25</v>
      </c>
      <c r="FW40" s="20">
        <v>2131.8940000000002</v>
      </c>
      <c r="FX40" s="20">
        <v>313.32</v>
      </c>
      <c r="FY40" s="20">
        <v>780.78</v>
      </c>
      <c r="FZ40" s="20">
        <v>574.69000000000005</v>
      </c>
      <c r="GA40" s="20">
        <v>1541.5730000000001</v>
      </c>
      <c r="GB40" s="20">
        <v>80</v>
      </c>
      <c r="GC40" s="20">
        <v>59.97</v>
      </c>
      <c r="GD40" s="20">
        <v>128</v>
      </c>
      <c r="GE40" s="20">
        <v>10</v>
      </c>
      <c r="GF40" s="20">
        <v>820.60000000000014</v>
      </c>
      <c r="GG40" s="20">
        <v>710.33499999999992</v>
      </c>
      <c r="GH40" s="20">
        <v>10</v>
      </c>
      <c r="GI40" s="20">
        <v>0</v>
      </c>
      <c r="GJ40" s="22">
        <v>4956.55</v>
      </c>
      <c r="GK40" s="22">
        <v>5029.268</v>
      </c>
      <c r="GL40" s="19">
        <f t="shared" si="117"/>
        <v>1.0146710917876345</v>
      </c>
    </row>
    <row r="41" spans="1:194" s="11" customFormat="1" ht="24.95" customHeight="1">
      <c r="A41" s="15">
        <f t="shared" si="24"/>
        <v>8</v>
      </c>
      <c r="B41" s="16" t="s">
        <v>44</v>
      </c>
      <c r="C41" s="17">
        <v>10443</v>
      </c>
      <c r="D41" s="17"/>
      <c r="E41" s="17"/>
      <c r="F41" s="17"/>
      <c r="G41" s="20">
        <v>10</v>
      </c>
      <c r="H41" s="20">
        <v>31</v>
      </c>
      <c r="I41" s="20">
        <v>37</v>
      </c>
      <c r="J41" s="20">
        <v>39</v>
      </c>
      <c r="K41" s="20">
        <v>36</v>
      </c>
      <c r="L41" s="20">
        <v>69</v>
      </c>
      <c r="M41" s="20">
        <v>38</v>
      </c>
      <c r="N41" s="20">
        <v>67</v>
      </c>
      <c r="O41" s="20">
        <v>26</v>
      </c>
      <c r="P41" s="20">
        <v>167</v>
      </c>
      <c r="Q41" s="20">
        <v>14</v>
      </c>
      <c r="R41" s="20"/>
      <c r="S41" s="20">
        <v>114</v>
      </c>
      <c r="T41" s="20">
        <v>154</v>
      </c>
      <c r="U41" s="20">
        <v>66</v>
      </c>
      <c r="V41" s="20">
        <v>95</v>
      </c>
      <c r="W41" s="20">
        <v>53</v>
      </c>
      <c r="X41" s="20">
        <v>243</v>
      </c>
      <c r="Y41" s="20">
        <v>2</v>
      </c>
      <c r="Z41" s="20">
        <v>7</v>
      </c>
      <c r="AA41" s="20">
        <v>2</v>
      </c>
      <c r="AB41" s="18">
        <v>801</v>
      </c>
      <c r="AC41" s="18">
        <f t="shared" si="25"/>
        <v>917</v>
      </c>
      <c r="AD41" s="19">
        <f t="shared" si="10"/>
        <v>1.1448189762796503</v>
      </c>
      <c r="AE41" s="20"/>
      <c r="AF41" s="20"/>
      <c r="AG41" s="20"/>
      <c r="AH41" s="20"/>
      <c r="AI41" s="20"/>
      <c r="AJ41" s="20"/>
      <c r="AK41" s="20">
        <v>123</v>
      </c>
      <c r="AL41" s="20">
        <v>218</v>
      </c>
      <c r="AM41" s="20">
        <v>30</v>
      </c>
      <c r="AN41" s="20">
        <v>5</v>
      </c>
      <c r="AO41" s="20">
        <v>18</v>
      </c>
      <c r="AP41" s="20">
        <v>20</v>
      </c>
      <c r="AQ41" s="20">
        <v>19</v>
      </c>
      <c r="AR41" s="20">
        <v>53</v>
      </c>
      <c r="AS41" s="20">
        <v>85</v>
      </c>
      <c r="AT41" s="20">
        <v>48</v>
      </c>
      <c r="AU41" s="20">
        <v>48</v>
      </c>
      <c r="AV41" s="20">
        <v>39</v>
      </c>
      <c r="AW41" s="20">
        <v>28</v>
      </c>
      <c r="AX41" s="20">
        <v>10</v>
      </c>
      <c r="AY41" s="20">
        <v>37</v>
      </c>
      <c r="AZ41" s="20">
        <v>30</v>
      </c>
      <c r="BA41" s="20">
        <v>29</v>
      </c>
      <c r="BB41" s="20">
        <v>20</v>
      </c>
      <c r="BC41" s="27">
        <v>459</v>
      </c>
      <c r="BD41" s="27">
        <f t="shared" si="13"/>
        <v>446</v>
      </c>
      <c r="BE41" s="19">
        <f t="shared" si="14"/>
        <v>0.97167755991285398</v>
      </c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>
        <v>163</v>
      </c>
      <c r="BS41" s="20">
        <v>397</v>
      </c>
      <c r="BT41" s="20">
        <v>78</v>
      </c>
      <c r="BU41" s="20">
        <v>109</v>
      </c>
      <c r="BV41" s="20">
        <v>272</v>
      </c>
      <c r="BW41" s="20">
        <v>203</v>
      </c>
      <c r="BX41" s="20">
        <v>222</v>
      </c>
      <c r="BY41" s="20">
        <v>159</v>
      </c>
      <c r="BZ41" s="20">
        <v>81</v>
      </c>
      <c r="CA41" s="20">
        <v>59</v>
      </c>
      <c r="CB41" s="20">
        <v>29</v>
      </c>
      <c r="CC41" s="20">
        <v>0</v>
      </c>
      <c r="CD41" s="21">
        <v>1793</v>
      </c>
      <c r="CE41" s="21">
        <f t="shared" si="95"/>
        <v>1772</v>
      </c>
      <c r="CF41" s="19">
        <f t="shared" si="16"/>
        <v>0.98828778583379806</v>
      </c>
      <c r="CG41" s="20"/>
      <c r="CH41" s="20"/>
      <c r="CI41" s="20">
        <v>70</v>
      </c>
      <c r="CJ41" s="20">
        <v>258.99723025000003</v>
      </c>
      <c r="CK41" s="20">
        <v>100</v>
      </c>
      <c r="CL41" s="20">
        <v>200</v>
      </c>
      <c r="CM41" s="20">
        <v>195.33568</v>
      </c>
      <c r="CN41" s="20">
        <v>400</v>
      </c>
      <c r="CO41" s="20">
        <v>348.8</v>
      </c>
      <c r="CP41" s="20"/>
      <c r="CQ41" s="20"/>
      <c r="CR41" s="20"/>
      <c r="CS41" s="20">
        <v>0</v>
      </c>
      <c r="CT41" s="20">
        <v>103.62648365428547</v>
      </c>
      <c r="CU41" s="20">
        <v>103.62648365428547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20">
        <v>51.813241827142733</v>
      </c>
      <c r="DB41" s="20">
        <v>0</v>
      </c>
      <c r="DC41" s="20">
        <v>0</v>
      </c>
      <c r="DD41" s="20">
        <v>0</v>
      </c>
      <c r="DE41" s="14">
        <v>250</v>
      </c>
      <c r="DF41" s="14">
        <v>252.23740961515065</v>
      </c>
      <c r="DG41" s="19">
        <f t="shared" si="18"/>
        <v>1.0089496384606027</v>
      </c>
      <c r="DH41" s="20"/>
      <c r="DI41" s="20"/>
      <c r="DJ41" s="20">
        <v>6.8</v>
      </c>
      <c r="DK41" s="20">
        <v>190.60000000000008</v>
      </c>
      <c r="DL41" s="20">
        <v>391.20000000000005</v>
      </c>
      <c r="DM41" s="20"/>
      <c r="DN41" s="20"/>
      <c r="DO41" s="20"/>
      <c r="DP41" s="20">
        <v>17</v>
      </c>
      <c r="DQ41" s="20">
        <v>148</v>
      </c>
      <c r="DR41" s="20">
        <v>226</v>
      </c>
      <c r="DS41" s="20">
        <v>144</v>
      </c>
      <c r="DT41" s="20">
        <v>102.720850398536</v>
      </c>
      <c r="DU41" s="20">
        <v>355.82502578052873</v>
      </c>
      <c r="DV41" s="20">
        <v>7.7040637798902001</v>
      </c>
      <c r="DW41" s="20">
        <v>17.46254456775112</v>
      </c>
      <c r="DX41" s="20">
        <v>17.46254456775112</v>
      </c>
      <c r="DY41" s="20">
        <v>20.5441700797072</v>
      </c>
      <c r="DZ41" s="20">
        <v>17.462544567751177</v>
      </c>
      <c r="EA41" s="20">
        <v>68.822969767019117</v>
      </c>
      <c r="EB41" s="20">
        <v>10.2720850398536</v>
      </c>
      <c r="EC41" s="20">
        <v>5.1360425199268001</v>
      </c>
      <c r="ED41" s="20">
        <v>0</v>
      </c>
      <c r="EE41" s="20">
        <v>0</v>
      </c>
      <c r="EF41" s="14">
        <v>1249.062671698855</v>
      </c>
      <c r="EG41" s="14">
        <f t="shared" si="23"/>
        <v>623.41284106871501</v>
      </c>
      <c r="EH41" s="19">
        <f t="shared" si="20"/>
        <v>0.49910453269795407</v>
      </c>
      <c r="EI41" s="19"/>
      <c r="EJ41" s="19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>
        <v>90.052056314685117</v>
      </c>
      <c r="EY41" s="20">
        <v>312</v>
      </c>
      <c r="EZ41" s="20">
        <v>493.88549996587307</v>
      </c>
      <c r="FA41" s="20">
        <v>192.11105347132826</v>
      </c>
      <c r="FB41" s="20">
        <v>147.08502531398568</v>
      </c>
      <c r="FC41" s="20">
        <v>78.045115472727105</v>
      </c>
      <c r="FD41" s="20">
        <v>356.20591164475445</v>
      </c>
      <c r="FE41" s="20">
        <v>264.15269852307637</v>
      </c>
      <c r="FF41" s="20">
        <v>0</v>
      </c>
      <c r="FG41" s="20">
        <v>50.028920174825068</v>
      </c>
      <c r="FH41" s="20">
        <v>381.90112282482352</v>
      </c>
      <c r="FI41" s="14">
        <v>1949.9448891484337</v>
      </c>
      <c r="FJ41" s="24">
        <v>2365.4674037060786</v>
      </c>
      <c r="FK41" s="19">
        <v>1.0046121871207621</v>
      </c>
      <c r="FL41" s="20"/>
      <c r="FM41" s="20">
        <v>116.703</v>
      </c>
      <c r="FN41" s="20">
        <v>263.84000000000003</v>
      </c>
      <c r="FO41" s="20">
        <v>625.09840000000008</v>
      </c>
      <c r="FP41" s="20">
        <v>919.98400000000004</v>
      </c>
      <c r="FQ41" s="20">
        <v>447.8</v>
      </c>
      <c r="FR41" s="20">
        <v>810.5</v>
      </c>
      <c r="FS41" s="20">
        <v>828.41</v>
      </c>
      <c r="FT41" s="20">
        <v>650.98749999999995</v>
      </c>
      <c r="FU41" s="20">
        <v>301.70000000000005</v>
      </c>
      <c r="FV41" s="20">
        <v>217.04859999999999</v>
      </c>
      <c r="FW41" s="20">
        <v>393</v>
      </c>
      <c r="FX41" s="20">
        <v>301</v>
      </c>
      <c r="FY41" s="20">
        <v>924.6</v>
      </c>
      <c r="FZ41" s="20">
        <v>743.8</v>
      </c>
      <c r="GA41" s="20">
        <v>1341.0640000000001</v>
      </c>
      <c r="GB41" s="20">
        <v>337</v>
      </c>
      <c r="GC41" s="20">
        <v>157</v>
      </c>
      <c r="GD41" s="20">
        <v>138.9</v>
      </c>
      <c r="GE41" s="20">
        <v>80.900000000000006</v>
      </c>
      <c r="GF41" s="20">
        <v>55</v>
      </c>
      <c r="GG41" s="20">
        <v>155</v>
      </c>
      <c r="GH41" s="20">
        <v>55</v>
      </c>
      <c r="GI41" s="20">
        <v>0</v>
      </c>
      <c r="GJ41" s="22">
        <v>3666.6043505405032</v>
      </c>
      <c r="GK41" s="22">
        <v>4289.2640000000001</v>
      </c>
      <c r="GL41" s="19">
        <f t="shared" si="117"/>
        <v>1.1698191541630907</v>
      </c>
    </row>
    <row r="42" spans="1:194" s="11" customFormat="1" ht="24.95" customHeight="1">
      <c r="A42" s="15">
        <f t="shared" si="24"/>
        <v>9</v>
      </c>
      <c r="B42" s="16" t="s">
        <v>48</v>
      </c>
      <c r="C42" s="17">
        <v>10447</v>
      </c>
      <c r="D42" s="17"/>
      <c r="E42" s="17"/>
      <c r="F42" s="17"/>
      <c r="G42" s="20">
        <v>9</v>
      </c>
      <c r="H42" s="20">
        <v>2</v>
      </c>
      <c r="I42" s="20">
        <v>30</v>
      </c>
      <c r="J42" s="20">
        <v>25</v>
      </c>
      <c r="K42" s="20">
        <v>74</v>
      </c>
      <c r="L42" s="20">
        <v>71</v>
      </c>
      <c r="M42" s="20">
        <v>39</v>
      </c>
      <c r="N42" s="20">
        <v>38</v>
      </c>
      <c r="O42" s="20">
        <v>40</v>
      </c>
      <c r="P42" s="20">
        <v>11</v>
      </c>
      <c r="Q42" s="20">
        <v>29</v>
      </c>
      <c r="R42" s="20">
        <v>53</v>
      </c>
      <c r="S42" s="20">
        <v>105</v>
      </c>
      <c r="T42" s="20">
        <v>66</v>
      </c>
      <c r="U42" s="20">
        <v>40</v>
      </c>
      <c r="V42" s="20">
        <v>52</v>
      </c>
      <c r="W42" s="20">
        <v>131</v>
      </c>
      <c r="X42" s="20">
        <v>23</v>
      </c>
      <c r="Y42" s="20">
        <v>17</v>
      </c>
      <c r="Z42" s="20">
        <v>40</v>
      </c>
      <c r="AA42" s="20">
        <v>17</v>
      </c>
      <c r="AB42" s="18">
        <v>505</v>
      </c>
      <c r="AC42" s="18">
        <f t="shared" si="25"/>
        <v>584</v>
      </c>
      <c r="AD42" s="19">
        <f t="shared" si="10"/>
        <v>1.1564356435643564</v>
      </c>
      <c r="AE42" s="20"/>
      <c r="AF42" s="20"/>
      <c r="AG42" s="20"/>
      <c r="AH42" s="20"/>
      <c r="AI42" s="20"/>
      <c r="AJ42" s="20"/>
      <c r="AK42" s="20">
        <v>92</v>
      </c>
      <c r="AL42" s="20">
        <v>173</v>
      </c>
      <c r="AM42" s="20">
        <v>40</v>
      </c>
      <c r="AN42" s="20"/>
      <c r="AO42" s="20">
        <v>13</v>
      </c>
      <c r="AP42" s="20">
        <v>10</v>
      </c>
      <c r="AQ42" s="20">
        <v>18</v>
      </c>
      <c r="AR42" s="20">
        <v>52</v>
      </c>
      <c r="AS42" s="20">
        <v>75</v>
      </c>
      <c r="AT42" s="20">
        <v>33</v>
      </c>
      <c r="AU42" s="20">
        <v>48</v>
      </c>
      <c r="AV42" s="20">
        <v>23</v>
      </c>
      <c r="AW42" s="20">
        <v>30</v>
      </c>
      <c r="AX42" s="20">
        <v>25</v>
      </c>
      <c r="AY42" s="20">
        <v>49</v>
      </c>
      <c r="AZ42" s="20">
        <v>31</v>
      </c>
      <c r="BA42" s="20">
        <v>30</v>
      </c>
      <c r="BB42" s="20">
        <v>36</v>
      </c>
      <c r="BC42" s="27">
        <v>399</v>
      </c>
      <c r="BD42" s="27">
        <f t="shared" si="13"/>
        <v>450</v>
      </c>
      <c r="BE42" s="19">
        <f t="shared" si="14"/>
        <v>1.1278195488721805</v>
      </c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>
        <v>77</v>
      </c>
      <c r="BS42" s="20">
        <v>55</v>
      </c>
      <c r="BT42" s="20">
        <v>15</v>
      </c>
      <c r="BU42" s="20">
        <v>76</v>
      </c>
      <c r="BV42" s="20">
        <v>172</v>
      </c>
      <c r="BW42" s="20">
        <v>122</v>
      </c>
      <c r="BX42" s="20">
        <v>90</v>
      </c>
      <c r="BY42" s="20">
        <v>89</v>
      </c>
      <c r="BZ42" s="20">
        <v>85</v>
      </c>
      <c r="CA42" s="20">
        <v>39</v>
      </c>
      <c r="CB42" s="20">
        <v>85</v>
      </c>
      <c r="CC42" s="20">
        <v>82</v>
      </c>
      <c r="CD42" s="21">
        <v>1205</v>
      </c>
      <c r="CE42" s="21">
        <f t="shared" si="95"/>
        <v>987</v>
      </c>
      <c r="CF42" s="19">
        <f t="shared" si="16"/>
        <v>0.81908713692946056</v>
      </c>
      <c r="CG42" s="20"/>
      <c r="CH42" s="20"/>
      <c r="CI42" s="20"/>
      <c r="CJ42" s="20">
        <v>100</v>
      </c>
      <c r="CK42" s="20">
        <v>120</v>
      </c>
      <c r="CL42" s="20">
        <v>100</v>
      </c>
      <c r="CM42" s="20">
        <v>100</v>
      </c>
      <c r="CN42" s="20">
        <v>1175</v>
      </c>
      <c r="CO42" s="20">
        <v>300</v>
      </c>
      <c r="CP42" s="20"/>
      <c r="CQ42" s="20"/>
      <c r="CR42" s="20"/>
      <c r="CS42" s="20">
        <v>414.50593461714186</v>
      </c>
      <c r="CT42" s="20">
        <v>310.87945096285637</v>
      </c>
      <c r="CU42" s="20">
        <v>569.94566009856999</v>
      </c>
      <c r="CV42" s="20">
        <v>555.69701859610575</v>
      </c>
      <c r="CW42" s="20">
        <v>566.68764345247928</v>
      </c>
      <c r="CX42" s="20">
        <v>870.46246269599783</v>
      </c>
      <c r="CY42" s="20">
        <v>435.23123134799891</v>
      </c>
      <c r="CZ42" s="20">
        <v>1352.2116225564055</v>
      </c>
      <c r="DA42" s="20">
        <v>777.19862740714098</v>
      </c>
      <c r="DB42" s="20">
        <v>1145.0428517658038</v>
      </c>
      <c r="DC42" s="20">
        <v>189.6364650873424</v>
      </c>
      <c r="DD42" s="20">
        <v>321.03484636097636</v>
      </c>
      <c r="DE42" s="14">
        <v>2143.5856150699146</v>
      </c>
      <c r="DF42" s="14">
        <v>7310.6142472571746</v>
      </c>
      <c r="DG42" s="19">
        <f t="shared" si="18"/>
        <v>3.4104605833617399</v>
      </c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>
        <v>100</v>
      </c>
      <c r="DS42" s="20"/>
      <c r="DT42" s="20">
        <v>15.4081275597804</v>
      </c>
      <c r="DU42" s="20">
        <v>0</v>
      </c>
      <c r="DV42" s="20">
        <v>32.357067875538839</v>
      </c>
      <c r="DW42" s="20">
        <v>48.278799687311917</v>
      </c>
      <c r="DX42" s="20">
        <v>320.48905324343229</v>
      </c>
      <c r="DY42" s="20">
        <v>52.387633703253357</v>
      </c>
      <c r="DZ42" s="20">
        <v>174.62544567751121</v>
      </c>
      <c r="EA42" s="20">
        <v>341.54682757513223</v>
      </c>
      <c r="EB42" s="20">
        <v>0</v>
      </c>
      <c r="EC42" s="20">
        <v>93.475973862667757</v>
      </c>
      <c r="ED42" s="20">
        <v>65.145563322751613</v>
      </c>
      <c r="EE42" s="20">
        <v>40.061131655429037</v>
      </c>
      <c r="EF42" s="14">
        <v>1262.6703460094254</v>
      </c>
      <c r="EG42" s="14">
        <f t="shared" si="23"/>
        <v>1183.7756241628088</v>
      </c>
      <c r="EH42" s="19">
        <f t="shared" si="20"/>
        <v>0.93751756181179235</v>
      </c>
      <c r="EI42" s="19"/>
      <c r="EJ42" s="19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>
        <v>240.13881683916031</v>
      </c>
      <c r="EY42" s="20">
        <v>1345.7779527027942</v>
      </c>
      <c r="EZ42" s="20">
        <v>1483.8577723853114</v>
      </c>
      <c r="FA42" s="20">
        <v>999.57782509300478</v>
      </c>
      <c r="FB42" s="20">
        <v>445.35744739629274</v>
      </c>
      <c r="FC42" s="20">
        <v>985.5697274440538</v>
      </c>
      <c r="FD42" s="20">
        <v>518.29961301118772</v>
      </c>
      <c r="FE42" s="20">
        <v>290.1677370139854</v>
      </c>
      <c r="FF42" s="20">
        <v>228.13187599720229</v>
      </c>
      <c r="FG42" s="20">
        <v>220.12724876923028</v>
      </c>
      <c r="FH42" s="20">
        <v>300.17352104895031</v>
      </c>
      <c r="FI42" s="14">
        <v>5689.9619418109769</v>
      </c>
      <c r="FJ42" s="24">
        <v>7057.1795377011731</v>
      </c>
      <c r="FK42" s="19">
        <v>1.1036026418668925</v>
      </c>
      <c r="FL42" s="20"/>
      <c r="FM42" s="20">
        <v>130</v>
      </c>
      <c r="FN42" s="20">
        <v>998.65549999999985</v>
      </c>
      <c r="FO42" s="20">
        <v>2502.6109999999999</v>
      </c>
      <c r="FP42" s="20">
        <v>2826.473</v>
      </c>
      <c r="FQ42" s="20">
        <v>1993.0679999999998</v>
      </c>
      <c r="FR42" s="20">
        <v>1669.4959999999996</v>
      </c>
      <c r="FS42" s="20">
        <v>2126.3560000000002</v>
      </c>
      <c r="FT42" s="20">
        <v>1703.23685</v>
      </c>
      <c r="FU42" s="20">
        <v>657.03200000000004</v>
      </c>
      <c r="FV42" s="20">
        <v>1796.672</v>
      </c>
      <c r="FW42" s="20">
        <v>4149.4847599999994</v>
      </c>
      <c r="FX42" s="20">
        <v>426.70955300454943</v>
      </c>
      <c r="FY42" s="20">
        <v>1923.9440614657644</v>
      </c>
      <c r="FZ42" s="20">
        <v>2079.5902167414915</v>
      </c>
      <c r="GA42" s="20">
        <v>2197.2662454489273</v>
      </c>
      <c r="GB42" s="20">
        <v>771.05533521998655</v>
      </c>
      <c r="GC42" s="20">
        <v>557.60958401543428</v>
      </c>
      <c r="GD42" s="20">
        <v>362.18989205112848</v>
      </c>
      <c r="GE42" s="20">
        <v>257.74490236444444</v>
      </c>
      <c r="GF42" s="20">
        <v>2207.4131918002017</v>
      </c>
      <c r="GG42" s="20">
        <v>480.99079028175407</v>
      </c>
      <c r="GH42" s="20">
        <v>326.70473193621081</v>
      </c>
      <c r="GI42" s="20">
        <v>482.46749567010579</v>
      </c>
      <c r="GJ42" s="22">
        <v>11638.63977661969</v>
      </c>
      <c r="GK42" s="22">
        <v>12073.686</v>
      </c>
      <c r="GL42" s="19">
        <f t="shared" si="117"/>
        <v>1.0373794731798689</v>
      </c>
    </row>
    <row r="43" spans="1:194" s="11" customFormat="1" ht="24.95" customHeight="1">
      <c r="A43" s="15">
        <f t="shared" si="24"/>
        <v>10</v>
      </c>
      <c r="B43" s="16" t="s">
        <v>66</v>
      </c>
      <c r="C43" s="17">
        <v>11978</v>
      </c>
      <c r="D43" s="17"/>
      <c r="E43" s="17"/>
      <c r="F43" s="17"/>
      <c r="G43" s="20">
        <v>2</v>
      </c>
      <c r="H43" s="20">
        <v>25</v>
      </c>
      <c r="I43" s="20">
        <v>44</v>
      </c>
      <c r="J43" s="20">
        <v>71</v>
      </c>
      <c r="K43" s="20">
        <v>27</v>
      </c>
      <c r="L43" s="20">
        <v>41</v>
      </c>
      <c r="M43" s="20">
        <v>42</v>
      </c>
      <c r="N43" s="20">
        <v>102</v>
      </c>
      <c r="O43" s="20">
        <v>41</v>
      </c>
      <c r="P43" s="20">
        <v>12</v>
      </c>
      <c r="Q43" s="20">
        <v>115</v>
      </c>
      <c r="R43" s="20">
        <v>185</v>
      </c>
      <c r="S43" s="20">
        <v>56</v>
      </c>
      <c r="T43" s="20">
        <v>129</v>
      </c>
      <c r="U43" s="20">
        <v>96</v>
      </c>
      <c r="V43" s="20">
        <v>92</v>
      </c>
      <c r="W43" s="20">
        <v>74</v>
      </c>
      <c r="X43" s="20">
        <v>132</v>
      </c>
      <c r="Y43" s="20">
        <v>57</v>
      </c>
      <c r="Z43" s="20">
        <v>86</v>
      </c>
      <c r="AA43" s="20">
        <v>57</v>
      </c>
      <c r="AB43" s="18">
        <v>791</v>
      </c>
      <c r="AC43" s="18">
        <f t="shared" si="25"/>
        <v>1091</v>
      </c>
      <c r="AD43" s="19">
        <f t="shared" si="10"/>
        <v>1.3792667509481669</v>
      </c>
      <c r="AE43" s="20"/>
      <c r="AF43" s="20"/>
      <c r="AG43" s="20"/>
      <c r="AH43" s="20"/>
      <c r="AI43" s="20"/>
      <c r="AJ43" s="20"/>
      <c r="AK43" s="20">
        <v>141</v>
      </c>
      <c r="AL43" s="20">
        <v>261</v>
      </c>
      <c r="AM43" s="20">
        <v>69</v>
      </c>
      <c r="AN43" s="20"/>
      <c r="AO43" s="20">
        <v>22</v>
      </c>
      <c r="AP43" s="20">
        <v>24</v>
      </c>
      <c r="AQ43" s="20">
        <v>22</v>
      </c>
      <c r="AR43" s="20">
        <v>71</v>
      </c>
      <c r="AS43" s="20">
        <v>101</v>
      </c>
      <c r="AT43" s="20">
        <v>69</v>
      </c>
      <c r="AU43" s="20">
        <v>62</v>
      </c>
      <c r="AV43" s="20">
        <v>51</v>
      </c>
      <c r="AW43" s="20">
        <v>64</v>
      </c>
      <c r="AX43" s="20">
        <v>55</v>
      </c>
      <c r="AY43" s="20">
        <v>53</v>
      </c>
      <c r="AZ43" s="20">
        <v>41</v>
      </c>
      <c r="BA43" s="20">
        <v>32</v>
      </c>
      <c r="BB43" s="20">
        <v>25</v>
      </c>
      <c r="BC43" s="27">
        <v>568</v>
      </c>
      <c r="BD43" s="27">
        <f t="shared" si="13"/>
        <v>646</v>
      </c>
      <c r="BE43" s="19">
        <f t="shared" si="14"/>
        <v>1.1373239436619718</v>
      </c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>
        <v>114</v>
      </c>
      <c r="BS43" s="20">
        <v>67</v>
      </c>
      <c r="BT43" s="20">
        <v>85</v>
      </c>
      <c r="BU43" s="20">
        <v>126</v>
      </c>
      <c r="BV43" s="20">
        <v>210</v>
      </c>
      <c r="BW43" s="20">
        <v>303</v>
      </c>
      <c r="BX43" s="20">
        <v>262</v>
      </c>
      <c r="BY43" s="20">
        <v>94</v>
      </c>
      <c r="BZ43" s="20">
        <v>45</v>
      </c>
      <c r="CA43" s="20">
        <v>166</v>
      </c>
      <c r="CB43" s="20">
        <v>36</v>
      </c>
      <c r="CC43" s="20">
        <v>58</v>
      </c>
      <c r="CD43" s="21">
        <v>1663</v>
      </c>
      <c r="CE43" s="21">
        <f t="shared" si="95"/>
        <v>1566</v>
      </c>
      <c r="CF43" s="19">
        <f t="shared" si="16"/>
        <v>0.94167167769091997</v>
      </c>
      <c r="CG43" s="20"/>
      <c r="CH43" s="20"/>
      <c r="CI43" s="20"/>
      <c r="CJ43" s="20">
        <v>60</v>
      </c>
      <c r="CK43" s="20">
        <v>100</v>
      </c>
      <c r="CL43" s="20"/>
      <c r="CM43" s="20"/>
      <c r="CN43" s="20">
        <v>50</v>
      </c>
      <c r="CO43" s="20">
        <v>189</v>
      </c>
      <c r="CP43" s="20">
        <v>100</v>
      </c>
      <c r="CQ43" s="20"/>
      <c r="CR43" s="20"/>
      <c r="CS43" s="20">
        <v>0</v>
      </c>
      <c r="CT43" s="20">
        <v>103.62648365428547</v>
      </c>
      <c r="CU43" s="20">
        <v>103.62648365428547</v>
      </c>
      <c r="CV43" s="20">
        <v>0</v>
      </c>
      <c r="CW43" s="20">
        <v>0</v>
      </c>
      <c r="CX43" s="20">
        <v>0</v>
      </c>
      <c r="CY43" s="20">
        <v>0</v>
      </c>
      <c r="CZ43" s="20">
        <v>0</v>
      </c>
      <c r="DA43" s="20">
        <v>51.813241827142733</v>
      </c>
      <c r="DB43" s="20">
        <v>0</v>
      </c>
      <c r="DC43" s="20">
        <v>0</v>
      </c>
      <c r="DD43" s="20">
        <v>0</v>
      </c>
      <c r="DE43" s="14">
        <v>5907.9016145502665</v>
      </c>
      <c r="DF43" s="14">
        <v>252.23740961515065</v>
      </c>
      <c r="DG43" s="19">
        <f t="shared" si="18"/>
        <v>4.2694923861617488E-2</v>
      </c>
      <c r="DH43" s="20"/>
      <c r="DI43" s="20">
        <v>6.8</v>
      </c>
      <c r="DJ43" s="20">
        <v>39</v>
      </c>
      <c r="DK43" s="20">
        <v>508</v>
      </c>
      <c r="DL43" s="20">
        <v>147.80000000000001</v>
      </c>
      <c r="DM43" s="20"/>
      <c r="DN43" s="20">
        <v>42</v>
      </c>
      <c r="DO43" s="20">
        <v>150</v>
      </c>
      <c r="DP43" s="20">
        <v>310.8</v>
      </c>
      <c r="DQ43" s="20">
        <v>196</v>
      </c>
      <c r="DR43" s="20"/>
      <c r="DS43" s="20"/>
      <c r="DT43" s="20">
        <v>67.590319562236687</v>
      </c>
      <c r="DU43" s="20">
        <v>587.87142683082152</v>
      </c>
      <c r="DV43" s="20">
        <v>480.7335798651485</v>
      </c>
      <c r="DW43" s="20">
        <v>299.94488316372514</v>
      </c>
      <c r="DX43" s="20">
        <v>678.77937943352561</v>
      </c>
      <c r="DY43" s="20">
        <v>430.05522111252697</v>
      </c>
      <c r="DZ43" s="20">
        <v>909.59313027903625</v>
      </c>
      <c r="EA43" s="20">
        <v>831.83344652734422</v>
      </c>
      <c r="EB43" s="20">
        <v>231.12191339670599</v>
      </c>
      <c r="EC43" s="20">
        <v>87.312722838755604</v>
      </c>
      <c r="ED43" s="20">
        <v>73.959012286945921</v>
      </c>
      <c r="EE43" s="20">
        <v>30.8162551195608</v>
      </c>
      <c r="EF43" s="14">
        <v>3983.6823921456307</v>
      </c>
      <c r="EG43" s="14">
        <f t="shared" si="23"/>
        <v>4709.6112904163338</v>
      </c>
      <c r="EH43" s="19">
        <f t="shared" si="20"/>
        <v>1.1822255960219044</v>
      </c>
      <c r="EI43" s="19"/>
      <c r="EJ43" s="19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>
        <v>507.29325057272615</v>
      </c>
      <c r="EY43" s="20">
        <v>1512.8745460867099</v>
      </c>
      <c r="EZ43" s="20">
        <v>1724.9971676279681</v>
      </c>
      <c r="FA43" s="20">
        <v>1808.0451751181779</v>
      </c>
      <c r="FB43" s="20">
        <v>880.50899507692111</v>
      </c>
      <c r="FC43" s="20">
        <v>962.55642416363423</v>
      </c>
      <c r="FD43" s="20">
        <v>541.31291629160717</v>
      </c>
      <c r="FE43" s="20">
        <v>735.42512656992847</v>
      </c>
      <c r="FF43" s="20">
        <v>515.29787780069819</v>
      </c>
      <c r="FG43" s="20">
        <v>489.28283930978915</v>
      </c>
      <c r="FH43" s="20">
        <v>198.11452389230743</v>
      </c>
      <c r="FI43" s="14">
        <v>8458.9326691138267</v>
      </c>
      <c r="FJ43" s="24">
        <v>9875.7088425104685</v>
      </c>
      <c r="FK43" s="19">
        <v>1.0852173761773467</v>
      </c>
      <c r="FL43" s="20"/>
      <c r="FM43" s="20"/>
      <c r="FN43" s="20"/>
      <c r="FO43" s="20">
        <v>666.22050000000002</v>
      </c>
      <c r="FP43" s="20">
        <v>3359.9519999999993</v>
      </c>
      <c r="FQ43" s="20">
        <v>1820.47487372</v>
      </c>
      <c r="FR43" s="20">
        <v>3385.23</v>
      </c>
      <c r="FS43" s="20">
        <v>2123.96</v>
      </c>
      <c r="FT43" s="20">
        <v>2034.8449999999998</v>
      </c>
      <c r="FU43" s="20">
        <v>885.29921999999988</v>
      </c>
      <c r="FV43" s="20">
        <v>1463.9025000000001</v>
      </c>
      <c r="FW43" s="20">
        <v>1243.8830000000003</v>
      </c>
      <c r="FX43" s="20">
        <v>519.39210050563599</v>
      </c>
      <c r="FY43" s="20">
        <v>543.17576248465684</v>
      </c>
      <c r="FZ43" s="20">
        <v>714.14157685646933</v>
      </c>
      <c r="GA43" s="20">
        <v>3327.3482487587416</v>
      </c>
      <c r="GB43" s="20">
        <v>83.55917703257974</v>
      </c>
      <c r="GC43" s="20">
        <v>52.193902497238049</v>
      </c>
      <c r="GD43" s="20">
        <v>318.96719404386812</v>
      </c>
      <c r="GE43" s="20">
        <v>320.87237376308644</v>
      </c>
      <c r="GF43" s="20">
        <v>1049.693861719217</v>
      </c>
      <c r="GG43" s="20">
        <v>150.00783473424289</v>
      </c>
      <c r="GH43" s="20">
        <v>0</v>
      </c>
      <c r="GI43" s="20">
        <v>276.95296760426396</v>
      </c>
      <c r="GJ43" s="22">
        <v>7228</v>
      </c>
      <c r="GK43" s="22">
        <v>7356.3049999999994</v>
      </c>
      <c r="GL43" s="19">
        <f t="shared" si="117"/>
        <v>1.0177511068068621</v>
      </c>
    </row>
    <row r="44" spans="1:194" s="11" customFormat="1" ht="32.25" customHeight="1">
      <c r="A44" s="6"/>
      <c r="B44" s="7" t="s">
        <v>5</v>
      </c>
      <c r="C44" s="8"/>
      <c r="D44" s="8"/>
      <c r="E44" s="8"/>
      <c r="F44" s="9"/>
      <c r="G44" s="9">
        <f>+SUM(G45:G63)</f>
        <v>1390</v>
      </c>
      <c r="H44" s="9">
        <f t="shared" ref="H44:O44" si="118">+SUM(H45:H63)</f>
        <v>1240</v>
      </c>
      <c r="I44" s="9">
        <f t="shared" si="118"/>
        <v>1374</v>
      </c>
      <c r="J44" s="9">
        <f t="shared" si="118"/>
        <v>1469</v>
      </c>
      <c r="K44" s="9">
        <f t="shared" si="118"/>
        <v>1390</v>
      </c>
      <c r="L44" s="9">
        <f t="shared" si="118"/>
        <v>1616</v>
      </c>
      <c r="M44" s="9">
        <f t="shared" si="118"/>
        <v>1336</v>
      </c>
      <c r="N44" s="9">
        <f t="shared" si="118"/>
        <v>1345</v>
      </c>
      <c r="O44" s="9">
        <f t="shared" si="118"/>
        <v>1318</v>
      </c>
      <c r="P44" s="9">
        <f t="shared" ref="P44" si="119">+SUM(P45:P63)</f>
        <v>1220</v>
      </c>
      <c r="Q44" s="9">
        <f t="shared" ref="Q44" si="120">+SUM(Q45:Q63)</f>
        <v>1361</v>
      </c>
      <c r="R44" s="9">
        <f t="shared" ref="R44" si="121">+SUM(R45:R63)</f>
        <v>1251</v>
      </c>
      <c r="S44" s="9">
        <f t="shared" ref="S44" si="122">+SUM(S45:S63)</f>
        <v>864</v>
      </c>
      <c r="T44" s="9">
        <f t="shared" ref="T44" si="123">+SUM(T45:T63)</f>
        <v>1208</v>
      </c>
      <c r="U44" s="9">
        <f t="shared" ref="U44" si="124">+SUM(U45:U63)</f>
        <v>1180</v>
      </c>
      <c r="V44" s="9">
        <f t="shared" ref="V44" si="125">+SUM(V45:V63)</f>
        <v>1126</v>
      </c>
      <c r="W44" s="9">
        <f t="shared" ref="W44" si="126">+SUM(W45:W63)</f>
        <v>1612</v>
      </c>
      <c r="X44" s="9">
        <f t="shared" ref="X44" si="127">+SUM(X45:X63)</f>
        <v>1333</v>
      </c>
      <c r="Y44" s="9">
        <f t="shared" ref="Y44" si="128">+SUM(Y45:Y63)</f>
        <v>490</v>
      </c>
      <c r="Z44" s="9">
        <f t="shared" ref="Z44:AB44" si="129">+SUM(Z45:Z63)</f>
        <v>2006</v>
      </c>
      <c r="AA44" s="9">
        <f t="shared" ref="AA44" si="130">+SUM(AA45:AA63)</f>
        <v>582</v>
      </c>
      <c r="AB44" s="9">
        <f t="shared" si="129"/>
        <v>14472</v>
      </c>
      <c r="AC44" s="9">
        <f t="shared" si="25"/>
        <v>14233</v>
      </c>
      <c r="AD44" s="10">
        <f t="shared" si="10"/>
        <v>0.98348535102266443</v>
      </c>
      <c r="AE44" s="9"/>
      <c r="AF44" s="9"/>
      <c r="AG44" s="9"/>
      <c r="AH44" s="9"/>
      <c r="AI44" s="9">
        <f t="shared" ref="AI44:AP44" si="131">+SUM(AI45:AI63)</f>
        <v>0</v>
      </c>
      <c r="AJ44" s="9">
        <f t="shared" si="131"/>
        <v>210</v>
      </c>
      <c r="AK44" s="9">
        <f t="shared" si="131"/>
        <v>3012</v>
      </c>
      <c r="AL44" s="9">
        <f t="shared" si="131"/>
        <v>6236</v>
      </c>
      <c r="AM44" s="9">
        <f t="shared" si="131"/>
        <v>954</v>
      </c>
      <c r="AN44" s="9">
        <f t="shared" si="131"/>
        <v>68</v>
      </c>
      <c r="AO44" s="9">
        <f t="shared" si="131"/>
        <v>378</v>
      </c>
      <c r="AP44" s="9">
        <f t="shared" si="131"/>
        <v>122</v>
      </c>
      <c r="AQ44" s="9">
        <f t="shared" ref="AQ44:BC44" si="132">+SUM(AQ45:AQ63)</f>
        <v>553</v>
      </c>
      <c r="AR44" s="9">
        <f t="shared" si="132"/>
        <v>1664</v>
      </c>
      <c r="AS44" s="9">
        <f t="shared" si="132"/>
        <v>1342</v>
      </c>
      <c r="AT44" s="9">
        <f t="shared" si="132"/>
        <v>1303</v>
      </c>
      <c r="AU44" s="9">
        <f t="shared" si="132"/>
        <v>1164</v>
      </c>
      <c r="AV44" s="9">
        <f t="shared" si="132"/>
        <v>1138</v>
      </c>
      <c r="AW44" s="9">
        <f t="shared" si="132"/>
        <v>955</v>
      </c>
      <c r="AX44" s="9">
        <f t="shared" si="132"/>
        <v>715</v>
      </c>
      <c r="AY44" s="9">
        <f t="shared" si="132"/>
        <v>1147</v>
      </c>
      <c r="AZ44" s="9">
        <f t="shared" si="132"/>
        <v>1088</v>
      </c>
      <c r="BA44" s="9">
        <f t="shared" si="132"/>
        <v>922</v>
      </c>
      <c r="BB44" s="9">
        <f t="shared" si="132"/>
        <v>403</v>
      </c>
      <c r="BC44" s="9">
        <f t="shared" si="132"/>
        <v>11291</v>
      </c>
      <c r="BD44" s="9">
        <f t="shared" si="13"/>
        <v>12394</v>
      </c>
      <c r="BE44" s="10">
        <f t="shared" si="14"/>
        <v>1.0976884244088212</v>
      </c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>
        <f t="shared" ref="BR44:CD44" si="133">+SUM(BR45:BR63)</f>
        <v>2311</v>
      </c>
      <c r="BS44" s="9">
        <f t="shared" si="133"/>
        <v>2819</v>
      </c>
      <c r="BT44" s="9">
        <f t="shared" si="133"/>
        <v>1625</v>
      </c>
      <c r="BU44" s="9">
        <f t="shared" si="133"/>
        <v>1938</v>
      </c>
      <c r="BV44" s="9">
        <f t="shared" si="133"/>
        <v>3638</v>
      </c>
      <c r="BW44" s="9">
        <f t="shared" si="133"/>
        <v>3372</v>
      </c>
      <c r="BX44" s="9">
        <f t="shared" si="133"/>
        <v>2814</v>
      </c>
      <c r="BY44" s="9">
        <f t="shared" si="133"/>
        <v>1755</v>
      </c>
      <c r="BZ44" s="9">
        <f t="shared" si="133"/>
        <v>2057</v>
      </c>
      <c r="CA44" s="9">
        <f t="shared" si="133"/>
        <v>3064</v>
      </c>
      <c r="CB44" s="9">
        <f t="shared" si="133"/>
        <v>1409</v>
      </c>
      <c r="CC44" s="9">
        <f t="shared" si="133"/>
        <v>729</v>
      </c>
      <c r="CD44" s="9">
        <f t="shared" si="133"/>
        <v>24907</v>
      </c>
      <c r="CE44" s="9">
        <f>+SUM(CE45:CE63)</f>
        <v>27531</v>
      </c>
      <c r="CF44" s="10">
        <f t="shared" si="16"/>
        <v>1.1053519091018589</v>
      </c>
      <c r="CG44" s="9"/>
      <c r="CH44" s="9">
        <v>0</v>
      </c>
      <c r="CI44" s="9">
        <v>2393.98848</v>
      </c>
      <c r="CJ44" s="9">
        <v>5431.1220302499996</v>
      </c>
      <c r="CK44" s="9">
        <v>11735.4690923</v>
      </c>
      <c r="CL44" s="9">
        <v>8242.5995999999996</v>
      </c>
      <c r="CM44" s="9">
        <v>5528</v>
      </c>
      <c r="CN44" s="9">
        <v>7486.5810000000001</v>
      </c>
      <c r="CO44" s="9">
        <v>3819.8530000000001</v>
      </c>
      <c r="CP44" s="9">
        <v>4074.9990783499998</v>
      </c>
      <c r="CQ44" s="9">
        <v>5150.2249999999995</v>
      </c>
      <c r="CR44" s="9">
        <v>1684.242</v>
      </c>
      <c r="CS44" s="9">
        <f t="shared" ref="CS44:DF44" si="134">+SUM(CS45:CS63)</f>
        <v>867.35366818636942</v>
      </c>
      <c r="CT44" s="9">
        <f t="shared" si="134"/>
        <v>3848.8948558874704</v>
      </c>
      <c r="CU44" s="9">
        <f t="shared" si="134"/>
        <v>2828.9898908667515</v>
      </c>
      <c r="CV44" s="9">
        <f t="shared" si="134"/>
        <v>7135.6333974589825</v>
      </c>
      <c r="CW44" s="9">
        <f t="shared" si="134"/>
        <v>7297.2733524511268</v>
      </c>
      <c r="CX44" s="9">
        <f t="shared" si="134"/>
        <v>8350.222052862322</v>
      </c>
      <c r="CY44" s="9">
        <f t="shared" si="134"/>
        <v>12995.797315083939</v>
      </c>
      <c r="CZ44" s="9">
        <f t="shared" si="134"/>
        <v>13002.179753113391</v>
      </c>
      <c r="DA44" s="9">
        <f t="shared" si="134"/>
        <v>17509.559690097307</v>
      </c>
      <c r="DB44" s="9">
        <f t="shared" si="134"/>
        <v>14608.16322485443</v>
      </c>
      <c r="DC44" s="9">
        <f t="shared" si="134"/>
        <v>15917.013591952298</v>
      </c>
      <c r="DD44" s="9">
        <f t="shared" si="134"/>
        <v>9023.3796906805601</v>
      </c>
      <c r="DE44" s="9">
        <f t="shared" si="134"/>
        <v>104879.41206031543</v>
      </c>
      <c r="DF44" s="9">
        <f t="shared" si="134"/>
        <v>114253.22842900053</v>
      </c>
      <c r="DG44" s="10">
        <f t="shared" si="18"/>
        <v>1.0893770873095121</v>
      </c>
      <c r="DH44" s="9">
        <v>0</v>
      </c>
      <c r="DI44" s="9">
        <v>17</v>
      </c>
      <c r="DJ44" s="9">
        <v>578.65000000000009</v>
      </c>
      <c r="DK44" s="9">
        <v>6558.09</v>
      </c>
      <c r="DL44" s="9">
        <v>16475.644999999997</v>
      </c>
      <c r="DM44" s="9">
        <v>0</v>
      </c>
      <c r="DN44" s="9">
        <v>630</v>
      </c>
      <c r="DO44" s="9">
        <v>2182</v>
      </c>
      <c r="DP44" s="9">
        <v>1978.2</v>
      </c>
      <c r="DQ44" s="9">
        <v>2454</v>
      </c>
      <c r="DR44" s="9">
        <v>1556</v>
      </c>
      <c r="DS44" s="9">
        <v>1787.54</v>
      </c>
      <c r="DT44" s="9">
        <f t="shared" ref="DT44:EG44" si="135">+SUM(DT45:DT63)</f>
        <v>6069.2056718935346</v>
      </c>
      <c r="DU44" s="9">
        <f t="shared" si="135"/>
        <v>13920.365667560807</v>
      </c>
      <c r="DV44" s="9">
        <f t="shared" si="135"/>
        <v>16150.637403812667</v>
      </c>
      <c r="DW44" s="9">
        <f t="shared" si="135"/>
        <v>7152.3223101929998</v>
      </c>
      <c r="DX44" s="9">
        <f t="shared" si="135"/>
        <v>4437.5985056112877</v>
      </c>
      <c r="DY44" s="9">
        <f t="shared" si="135"/>
        <v>4415.072624872143</v>
      </c>
      <c r="DZ44" s="9">
        <f t="shared" si="135"/>
        <v>5513.0783464824917</v>
      </c>
      <c r="EA44" s="9">
        <f t="shared" si="135"/>
        <v>4331.7792519064733</v>
      </c>
      <c r="EB44" s="9">
        <f t="shared" si="135"/>
        <v>2293.1346592448172</v>
      </c>
      <c r="EC44" s="9">
        <f t="shared" si="135"/>
        <v>5702.714830844584</v>
      </c>
      <c r="ED44" s="9">
        <f t="shared" si="135"/>
        <v>2668.1119948978171</v>
      </c>
      <c r="EE44" s="9">
        <f t="shared" si="135"/>
        <v>3328.5917724771712</v>
      </c>
      <c r="EF44" s="9">
        <f t="shared" si="135"/>
        <v>61993.999999999978</v>
      </c>
      <c r="EG44" s="9">
        <f t="shared" si="135"/>
        <v>75982.613039796779</v>
      </c>
      <c r="EH44" s="10">
        <f t="shared" si="20"/>
        <v>1.2256446275413235</v>
      </c>
      <c r="EI44" s="10"/>
      <c r="EJ44" s="10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>
        <f t="shared" ref="EW44:FJ44" si="136">+SUM(EW45:EW63)</f>
        <v>4418.6484025293485</v>
      </c>
      <c r="EX44" s="9">
        <f t="shared" si="136"/>
        <v>4870.0603459535541</v>
      </c>
      <c r="EY44" s="9">
        <f t="shared" si="136"/>
        <v>6961.5660299845094</v>
      </c>
      <c r="EZ44" s="9">
        <f t="shared" si="136"/>
        <v>23483.118419996088</v>
      </c>
      <c r="FA44" s="9">
        <f t="shared" si="136"/>
        <v>17390.069529179054</v>
      </c>
      <c r="FB44" s="9">
        <f t="shared" si="136"/>
        <v>19801.92464956316</v>
      </c>
      <c r="FC44" s="9">
        <f t="shared" si="136"/>
        <v>35064.194651822312</v>
      </c>
      <c r="FD44" s="9">
        <f t="shared" si="136"/>
        <v>39235.665092870746</v>
      </c>
      <c r="FE44" s="9">
        <f t="shared" si="136"/>
        <v>31230.264414832985</v>
      </c>
      <c r="FF44" s="9">
        <f t="shared" si="136"/>
        <v>27801.213833734659</v>
      </c>
      <c r="FG44" s="9">
        <f t="shared" si="136"/>
        <v>12613.870805296188</v>
      </c>
      <c r="FH44" s="9">
        <v>9323.1509707572804</v>
      </c>
      <c r="FI44" s="9">
        <f>+SUM(FI45:FI63)</f>
        <v>192171.09361529819</v>
      </c>
      <c r="FJ44" s="9">
        <v>232193.74714651989</v>
      </c>
      <c r="FK44" s="10">
        <v>1.1192733125982997</v>
      </c>
      <c r="FL44" s="9">
        <f>+SUM(FL45:FL63)</f>
        <v>264</v>
      </c>
      <c r="FM44" s="9">
        <f t="shared" ref="FM44:GJ44" si="137">+SUM(FM45:FM63)</f>
        <v>7227.4381799999992</v>
      </c>
      <c r="FN44" s="9">
        <f t="shared" si="137"/>
        <v>14688.026816720001</v>
      </c>
      <c r="FO44" s="9">
        <f t="shared" si="137"/>
        <v>33572.355800000005</v>
      </c>
      <c r="FP44" s="9">
        <f t="shared" si="137"/>
        <v>36462.371328000001</v>
      </c>
      <c r="FQ44" s="9">
        <f t="shared" si="137"/>
        <v>14694.412224000002</v>
      </c>
      <c r="FR44" s="9">
        <f t="shared" si="137"/>
        <v>19908.451047999999</v>
      </c>
      <c r="FS44" s="9">
        <f t="shared" si="137"/>
        <v>23521.8328</v>
      </c>
      <c r="FT44" s="9">
        <f t="shared" si="137"/>
        <v>23938.0687</v>
      </c>
      <c r="FU44" s="9">
        <f t="shared" si="137"/>
        <v>13575.412999999999</v>
      </c>
      <c r="FV44" s="9">
        <f t="shared" si="137"/>
        <v>14659.349999999999</v>
      </c>
      <c r="FW44" s="9">
        <f t="shared" si="137"/>
        <v>22278.703800000003</v>
      </c>
      <c r="FX44" s="9">
        <f t="shared" si="137"/>
        <v>6317.7123074942001</v>
      </c>
      <c r="FY44" s="9">
        <f t="shared" si="137"/>
        <v>23552.489290593869</v>
      </c>
      <c r="FZ44" s="9">
        <f t="shared" si="137"/>
        <v>25092.133317245421</v>
      </c>
      <c r="GA44" s="9">
        <f t="shared" si="137"/>
        <v>59570.100050809415</v>
      </c>
      <c r="GB44" s="9">
        <f t="shared" si="137"/>
        <v>14878.130902522</v>
      </c>
      <c r="GC44" s="9">
        <f t="shared" si="137"/>
        <v>11853.503014821221</v>
      </c>
      <c r="GD44" s="9">
        <f t="shared" si="137"/>
        <v>13813.758305401954</v>
      </c>
      <c r="GE44" s="9">
        <f t="shared" si="137"/>
        <v>11357.485409243394</v>
      </c>
      <c r="GF44" s="9">
        <f t="shared" si="137"/>
        <v>26188.91326564661</v>
      </c>
      <c r="GG44" s="9">
        <f t="shared" si="137"/>
        <v>20140.496625660617</v>
      </c>
      <c r="GH44" s="9">
        <f t="shared" si="137"/>
        <v>11105.264986196204</v>
      </c>
      <c r="GI44" s="9">
        <f t="shared" si="137"/>
        <v>15822.224246365067</v>
      </c>
      <c r="GJ44" s="9">
        <f t="shared" si="137"/>
        <v>248390.19033412123</v>
      </c>
      <c r="GK44" s="9">
        <f t="shared" si="116"/>
        <v>239692.21172199998</v>
      </c>
      <c r="GL44" s="10">
        <f t="shared" si="117"/>
        <v>0.96498260015654724</v>
      </c>
    </row>
    <row r="45" spans="1:194" s="11" customFormat="1" ht="24.95" customHeight="1">
      <c r="A45" s="15">
        <f t="shared" ref="A45:A63" si="138">+A44+1</f>
        <v>1</v>
      </c>
      <c r="B45" s="16" t="s">
        <v>41</v>
      </c>
      <c r="C45" s="17">
        <v>11349</v>
      </c>
      <c r="D45" s="17"/>
      <c r="E45" s="17"/>
      <c r="F45" s="17"/>
      <c r="G45" s="20">
        <v>67</v>
      </c>
      <c r="H45" s="20">
        <v>76</v>
      </c>
      <c r="I45" s="20">
        <v>82</v>
      </c>
      <c r="J45" s="20">
        <v>85</v>
      </c>
      <c r="K45" s="20">
        <v>80</v>
      </c>
      <c r="L45" s="20">
        <v>184</v>
      </c>
      <c r="M45" s="20">
        <v>70</v>
      </c>
      <c r="N45" s="20">
        <v>70</v>
      </c>
      <c r="O45" s="20">
        <v>69</v>
      </c>
      <c r="P45" s="20">
        <v>94</v>
      </c>
      <c r="Q45" s="20">
        <v>20</v>
      </c>
      <c r="R45" s="20">
        <v>61</v>
      </c>
      <c r="S45" s="20">
        <v>30</v>
      </c>
      <c r="T45" s="20">
        <v>19</v>
      </c>
      <c r="U45" s="20">
        <v>44</v>
      </c>
      <c r="V45" s="20">
        <v>53</v>
      </c>
      <c r="W45" s="20">
        <v>45</v>
      </c>
      <c r="X45" s="20">
        <v>23</v>
      </c>
      <c r="Y45" s="20">
        <v>75</v>
      </c>
      <c r="Z45" s="20">
        <v>83</v>
      </c>
      <c r="AA45" s="20">
        <v>6</v>
      </c>
      <c r="AB45" s="18">
        <v>734</v>
      </c>
      <c r="AC45" s="18">
        <f t="shared" si="25"/>
        <v>553</v>
      </c>
      <c r="AD45" s="19">
        <f t="shared" si="10"/>
        <v>0.75340599455040869</v>
      </c>
      <c r="AE45" s="20"/>
      <c r="AF45" s="20"/>
      <c r="AG45" s="20"/>
      <c r="AH45" s="20"/>
      <c r="AI45" s="20"/>
      <c r="AJ45" s="20"/>
      <c r="AK45" s="20">
        <v>179</v>
      </c>
      <c r="AL45" s="20">
        <v>368</v>
      </c>
      <c r="AM45" s="20">
        <v>50</v>
      </c>
      <c r="AN45" s="20">
        <v>1</v>
      </c>
      <c r="AO45" s="20">
        <v>5</v>
      </c>
      <c r="AP45" s="20"/>
      <c r="AQ45" s="20">
        <v>11</v>
      </c>
      <c r="AR45" s="20">
        <v>64</v>
      </c>
      <c r="AS45" s="20">
        <v>54</v>
      </c>
      <c r="AT45" s="20">
        <v>60</v>
      </c>
      <c r="AU45" s="20">
        <v>62</v>
      </c>
      <c r="AV45" s="20">
        <v>58</v>
      </c>
      <c r="AW45" s="20">
        <v>40</v>
      </c>
      <c r="AX45" s="20">
        <v>46</v>
      </c>
      <c r="AY45" s="20">
        <v>69</v>
      </c>
      <c r="AZ45" s="20">
        <v>56</v>
      </c>
      <c r="BA45" s="20">
        <v>52</v>
      </c>
      <c r="BB45" s="20">
        <v>11</v>
      </c>
      <c r="BC45" s="27">
        <v>515</v>
      </c>
      <c r="BD45" s="27">
        <f t="shared" si="13"/>
        <v>583</v>
      </c>
      <c r="BE45" s="19">
        <f t="shared" si="14"/>
        <v>1.1320388349514563</v>
      </c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>
        <v>65</v>
      </c>
      <c r="BS45" s="20">
        <v>145</v>
      </c>
      <c r="BT45" s="20">
        <v>69</v>
      </c>
      <c r="BU45" s="20">
        <v>69</v>
      </c>
      <c r="BV45" s="20">
        <v>263</v>
      </c>
      <c r="BW45" s="20">
        <v>239</v>
      </c>
      <c r="BX45" s="20">
        <v>224</v>
      </c>
      <c r="BY45" s="20">
        <v>83</v>
      </c>
      <c r="BZ45" s="20">
        <v>50</v>
      </c>
      <c r="CA45" s="20">
        <v>160</v>
      </c>
      <c r="CB45" s="20">
        <v>51</v>
      </c>
      <c r="CC45" s="20">
        <v>91</v>
      </c>
      <c r="CD45" s="21">
        <v>1368</v>
      </c>
      <c r="CE45" s="21">
        <f t="shared" si="95"/>
        <v>1509</v>
      </c>
      <c r="CF45" s="19">
        <f t="shared" si="16"/>
        <v>1.1030701754385965</v>
      </c>
      <c r="CG45" s="20"/>
      <c r="CH45" s="20"/>
      <c r="CI45" s="20">
        <v>198.8</v>
      </c>
      <c r="CJ45" s="20">
        <v>345</v>
      </c>
      <c r="CK45" s="20">
        <v>796</v>
      </c>
      <c r="CL45" s="20">
        <v>500</v>
      </c>
      <c r="CM45" s="20">
        <v>100</v>
      </c>
      <c r="CN45" s="20"/>
      <c r="CO45" s="20">
        <v>25</v>
      </c>
      <c r="CP45" s="20"/>
      <c r="CQ45" s="20"/>
      <c r="CR45" s="20"/>
      <c r="CS45" s="20">
        <v>103.62648365428547</v>
      </c>
      <c r="CT45" s="20">
        <v>155.43972548142818</v>
      </c>
      <c r="CU45" s="20">
        <v>647.66552283928411</v>
      </c>
      <c r="CV45" s="20">
        <v>186.52767057771382</v>
      </c>
      <c r="CW45" s="20">
        <v>155.43972548142818</v>
      </c>
      <c r="CX45" s="20">
        <v>207.25296730857093</v>
      </c>
      <c r="CY45" s="20">
        <v>326.42342351099921</v>
      </c>
      <c r="CZ45" s="20">
        <v>453.47052873598972</v>
      </c>
      <c r="DA45" s="20">
        <v>862.1723440036551</v>
      </c>
      <c r="DB45" s="20">
        <v>725.38538557999823</v>
      </c>
      <c r="DC45" s="20">
        <v>621.75890192571273</v>
      </c>
      <c r="DD45" s="20">
        <v>300.51680259742784</v>
      </c>
      <c r="DE45" s="14">
        <v>4124.6965149721318</v>
      </c>
      <c r="DF45" s="14">
        <v>4782.0415563208353</v>
      </c>
      <c r="DG45" s="19">
        <f t="shared" si="18"/>
        <v>1.159368098710444</v>
      </c>
      <c r="DH45" s="20"/>
      <c r="DI45" s="20"/>
      <c r="DJ45" s="20"/>
      <c r="DK45" s="20">
        <v>17</v>
      </c>
      <c r="DL45" s="20"/>
      <c r="DM45" s="20"/>
      <c r="DN45" s="20"/>
      <c r="DO45" s="20"/>
      <c r="DP45" s="20"/>
      <c r="DQ45" s="20">
        <v>17</v>
      </c>
      <c r="DR45" s="20"/>
      <c r="DS45" s="20"/>
      <c r="DT45" s="20">
        <v>72.292361441902671</v>
      </c>
      <c r="DU45" s="20">
        <v>925.65654107131911</v>
      </c>
      <c r="DV45" s="20">
        <v>918.84639108041517</v>
      </c>
      <c r="DW45" s="20">
        <v>529.18951519317648</v>
      </c>
      <c r="DX45" s="20">
        <v>304.88517651585045</v>
      </c>
      <c r="DY45" s="20">
        <v>273.45371501937097</v>
      </c>
      <c r="DZ45" s="20">
        <v>369.84353027524122</v>
      </c>
      <c r="EA45" s="20">
        <v>227.35423815786785</v>
      </c>
      <c r="EB45" s="20">
        <v>192.77963051174046</v>
      </c>
      <c r="EC45" s="20">
        <v>249.35626120540343</v>
      </c>
      <c r="ED45" s="20">
        <v>91.25600987811184</v>
      </c>
      <c r="EE45" s="20">
        <v>132.01213828521361</v>
      </c>
      <c r="EF45" s="14">
        <v>5186.0599477967444</v>
      </c>
      <c r="EG45" s="14">
        <f t="shared" si="23"/>
        <v>4286.9255086356134</v>
      </c>
      <c r="EH45" s="19">
        <f t="shared" si="20"/>
        <v>0.82662475015486059</v>
      </c>
      <c r="EI45" s="19"/>
      <c r="EJ45" s="19"/>
      <c r="EK45" s="14"/>
      <c r="EL45" s="32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>
        <v>83.018288445830876</v>
      </c>
      <c r="EX45" s="20">
        <v>83.018288445830876</v>
      </c>
      <c r="EY45" s="20">
        <v>428.10870985746067</v>
      </c>
      <c r="EZ45" s="20">
        <v>5149.4782370889361</v>
      </c>
      <c r="FA45" s="20">
        <v>399.50352367640903</v>
      </c>
      <c r="FB45" s="20">
        <v>2706.2696481797225</v>
      </c>
      <c r="FC45" s="20">
        <v>6030.8683636421856</v>
      </c>
      <c r="FD45" s="20">
        <v>4000.1500402130259</v>
      </c>
      <c r="FE45" s="20">
        <v>963.16747318932039</v>
      </c>
      <c r="FF45" s="20">
        <v>2192.871844406201</v>
      </c>
      <c r="FG45" s="20">
        <v>873.33620588389397</v>
      </c>
      <c r="FH45" s="20">
        <v>72.6410023901052</v>
      </c>
      <c r="FI45" s="14">
        <v>18901.663596075916</v>
      </c>
      <c r="FJ45" s="24">
        <v>22982.431625418922</v>
      </c>
      <c r="FK45" s="19">
        <v>1.0871359484346572</v>
      </c>
      <c r="FL45" s="20"/>
      <c r="FM45" s="20">
        <v>54.4</v>
      </c>
      <c r="FN45" s="20">
        <v>563.87699999999995</v>
      </c>
      <c r="FO45" s="20">
        <v>2309.7806740000001</v>
      </c>
      <c r="FP45" s="20">
        <v>3252.5657999999999</v>
      </c>
      <c r="FQ45" s="20">
        <v>1043.354</v>
      </c>
      <c r="FR45" s="20">
        <v>2013.92</v>
      </c>
      <c r="FS45" s="20">
        <v>2247.096</v>
      </c>
      <c r="FT45" s="20">
        <v>1906.12</v>
      </c>
      <c r="FU45" s="20">
        <v>1322.1200000000001</v>
      </c>
      <c r="FV45" s="20">
        <v>1132.5039999999999</v>
      </c>
      <c r="FW45" s="20">
        <v>1524.69</v>
      </c>
      <c r="FX45" s="20">
        <v>358.72821271238632</v>
      </c>
      <c r="FY45" s="20">
        <v>1035.7803734345146</v>
      </c>
      <c r="FZ45" s="20">
        <v>1076.0723473560247</v>
      </c>
      <c r="GA45" s="20">
        <v>5128.3710146413659</v>
      </c>
      <c r="GB45" s="20">
        <v>422.62166717773522</v>
      </c>
      <c r="GC45" s="20">
        <v>261.53543751433756</v>
      </c>
      <c r="GD45" s="20">
        <v>291.95603094887025</v>
      </c>
      <c r="GE45" s="20">
        <v>247.03971849519789</v>
      </c>
      <c r="GF45" s="20">
        <v>2485.9647705183083</v>
      </c>
      <c r="GG45" s="20">
        <v>917.87505324362473</v>
      </c>
      <c r="GH45" s="20">
        <v>899.09390968629134</v>
      </c>
      <c r="GI45" s="20">
        <v>987.40346327134341</v>
      </c>
      <c r="GJ45" s="22">
        <v>14733</v>
      </c>
      <c r="GK45" s="22">
        <f t="shared" si="116"/>
        <v>14112.441998999999</v>
      </c>
      <c r="GL45" s="19">
        <f t="shared" si="117"/>
        <v>0.95787972571777635</v>
      </c>
    </row>
    <row r="46" spans="1:194" s="11" customFormat="1" ht="24.95" customHeight="1">
      <c r="A46" s="15">
        <f t="shared" si="138"/>
        <v>2</v>
      </c>
      <c r="B46" s="16" t="s">
        <v>49</v>
      </c>
      <c r="C46" s="17">
        <v>11385</v>
      </c>
      <c r="D46" s="17"/>
      <c r="E46" s="17"/>
      <c r="F46" s="17"/>
      <c r="G46" s="20">
        <v>84</v>
      </c>
      <c r="H46" s="20">
        <v>82</v>
      </c>
      <c r="I46" s="20">
        <v>86</v>
      </c>
      <c r="J46" s="20">
        <v>85</v>
      </c>
      <c r="K46" s="20">
        <v>80</v>
      </c>
      <c r="L46" s="20">
        <v>85</v>
      </c>
      <c r="M46" s="20">
        <v>75</v>
      </c>
      <c r="N46" s="20">
        <v>75</v>
      </c>
      <c r="O46" s="20">
        <v>74</v>
      </c>
      <c r="P46" s="20">
        <v>15</v>
      </c>
      <c r="Q46" s="20">
        <v>57</v>
      </c>
      <c r="R46" s="20">
        <v>14</v>
      </c>
      <c r="S46" s="20">
        <v>21</v>
      </c>
      <c r="T46" s="20">
        <v>15</v>
      </c>
      <c r="U46" s="20">
        <v>60</v>
      </c>
      <c r="V46" s="20">
        <v>21</v>
      </c>
      <c r="W46" s="20">
        <v>93</v>
      </c>
      <c r="X46" s="20">
        <v>25</v>
      </c>
      <c r="Y46" s="20">
        <v>14</v>
      </c>
      <c r="Z46" s="20">
        <v>126</v>
      </c>
      <c r="AA46" s="20">
        <v>40</v>
      </c>
      <c r="AB46" s="18">
        <v>534</v>
      </c>
      <c r="AC46" s="18">
        <f t="shared" si="25"/>
        <v>501</v>
      </c>
      <c r="AD46" s="19">
        <f t="shared" si="10"/>
        <v>0.9382022471910112</v>
      </c>
      <c r="AE46" s="20"/>
      <c r="AF46" s="20"/>
      <c r="AG46" s="20"/>
      <c r="AH46" s="20"/>
      <c r="AI46" s="20"/>
      <c r="AJ46" s="20"/>
      <c r="AK46" s="20">
        <v>38</v>
      </c>
      <c r="AL46" s="20">
        <v>127</v>
      </c>
      <c r="AM46" s="20">
        <v>1</v>
      </c>
      <c r="AN46" s="20">
        <v>1</v>
      </c>
      <c r="AO46" s="20">
        <v>1</v>
      </c>
      <c r="AP46" s="20"/>
      <c r="AQ46" s="20">
        <v>12</v>
      </c>
      <c r="AR46" s="20">
        <v>27</v>
      </c>
      <c r="AS46" s="20">
        <v>46</v>
      </c>
      <c r="AT46" s="20">
        <v>38</v>
      </c>
      <c r="AU46" s="20">
        <v>37</v>
      </c>
      <c r="AV46" s="20">
        <v>30</v>
      </c>
      <c r="AW46" s="20">
        <v>32</v>
      </c>
      <c r="AX46" s="20">
        <v>25</v>
      </c>
      <c r="AY46" s="20">
        <v>43</v>
      </c>
      <c r="AZ46" s="20">
        <v>30</v>
      </c>
      <c r="BA46" s="20">
        <v>10</v>
      </c>
      <c r="BB46" s="20">
        <v>20</v>
      </c>
      <c r="BC46" s="27">
        <v>283</v>
      </c>
      <c r="BD46" s="27">
        <f t="shared" si="13"/>
        <v>350</v>
      </c>
      <c r="BE46" s="19">
        <f t="shared" si="14"/>
        <v>1.2367491166077738</v>
      </c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>
        <v>23</v>
      </c>
      <c r="BS46" s="20">
        <v>22</v>
      </c>
      <c r="BT46" s="20">
        <v>28</v>
      </c>
      <c r="BU46" s="20">
        <v>39</v>
      </c>
      <c r="BV46" s="20">
        <v>125</v>
      </c>
      <c r="BW46" s="20">
        <v>98</v>
      </c>
      <c r="BX46" s="20">
        <v>54</v>
      </c>
      <c r="BY46" s="20">
        <v>84</v>
      </c>
      <c r="BZ46" s="20">
        <v>58</v>
      </c>
      <c r="CA46" s="20">
        <v>158</v>
      </c>
      <c r="CB46" s="20">
        <v>121</v>
      </c>
      <c r="CC46" s="20">
        <v>12</v>
      </c>
      <c r="CD46" s="21">
        <v>898</v>
      </c>
      <c r="CE46" s="21">
        <f t="shared" si="95"/>
        <v>822</v>
      </c>
      <c r="CF46" s="19">
        <f t="shared" si="16"/>
        <v>0.91536748329621376</v>
      </c>
      <c r="CG46" s="20"/>
      <c r="CH46" s="20"/>
      <c r="CI46" s="20">
        <v>150</v>
      </c>
      <c r="CJ46" s="20">
        <v>399.12479999999999</v>
      </c>
      <c r="CK46" s="20">
        <v>550</v>
      </c>
      <c r="CL46" s="20">
        <v>400</v>
      </c>
      <c r="CM46" s="20">
        <v>500</v>
      </c>
      <c r="CN46" s="20">
        <v>125</v>
      </c>
      <c r="CO46" s="20">
        <v>100</v>
      </c>
      <c r="CP46" s="20">
        <v>300</v>
      </c>
      <c r="CQ46" s="20"/>
      <c r="CR46" s="20"/>
      <c r="CS46" s="20">
        <v>0</v>
      </c>
      <c r="CT46" s="20">
        <v>103.62648365428547</v>
      </c>
      <c r="CU46" s="20">
        <v>155.43972548142818</v>
      </c>
      <c r="CV46" s="20">
        <v>911.91305615771205</v>
      </c>
      <c r="CW46" s="20">
        <v>1367.869584236568</v>
      </c>
      <c r="CX46" s="20">
        <v>1101.5495212450544</v>
      </c>
      <c r="CY46" s="20">
        <v>953.36364961942627</v>
      </c>
      <c r="CZ46" s="20">
        <v>1039.3736310524832</v>
      </c>
      <c r="DA46" s="20">
        <v>1617.609409843396</v>
      </c>
      <c r="DB46" s="20">
        <v>1170.9792652934257</v>
      </c>
      <c r="DC46" s="20">
        <v>1036.2648365428547</v>
      </c>
      <c r="DD46" s="20">
        <v>880.82511106142647</v>
      </c>
      <c r="DE46" s="14">
        <v>9589.0666530608341</v>
      </c>
      <c r="DF46" s="14">
        <v>10418.031747179059</v>
      </c>
      <c r="DG46" s="19">
        <f t="shared" si="18"/>
        <v>1.0864489865500746</v>
      </c>
      <c r="DH46" s="20"/>
      <c r="DI46" s="20"/>
      <c r="DJ46" s="20"/>
      <c r="DK46" s="20"/>
      <c r="DL46" s="20"/>
      <c r="DM46" s="20"/>
      <c r="DN46" s="20">
        <v>68</v>
      </c>
      <c r="DO46" s="20">
        <v>68</v>
      </c>
      <c r="DP46" s="20">
        <v>68</v>
      </c>
      <c r="DQ46" s="20">
        <v>81</v>
      </c>
      <c r="DR46" s="20">
        <v>17</v>
      </c>
      <c r="DS46" s="20"/>
      <c r="DT46" s="20">
        <v>0</v>
      </c>
      <c r="DU46" s="20">
        <v>1002.6636217376937</v>
      </c>
      <c r="DV46" s="20">
        <v>1196.4909676326502</v>
      </c>
      <c r="DW46" s="20">
        <v>262.97656118721119</v>
      </c>
      <c r="DX46" s="20">
        <v>13.620299981807753</v>
      </c>
      <c r="DY46" s="20">
        <v>35.622323029343349</v>
      </c>
      <c r="DZ46" s="20">
        <v>124.67813060270171</v>
      </c>
      <c r="EA46" s="20">
        <v>229.4496689242998</v>
      </c>
      <c r="EB46" s="20">
        <v>124.67813060270171</v>
      </c>
      <c r="EC46" s="20">
        <v>142.4892921173734</v>
      </c>
      <c r="ED46" s="20">
        <v>35.622323029343349</v>
      </c>
      <c r="EE46" s="20">
        <v>17.811161514671674</v>
      </c>
      <c r="EF46" s="14">
        <v>2966.7742636781604</v>
      </c>
      <c r="EG46" s="14">
        <f t="shared" si="23"/>
        <v>3186.1024803597984</v>
      </c>
      <c r="EH46" s="19">
        <f t="shared" si="20"/>
        <v>1.0739281782799741</v>
      </c>
      <c r="EI46" s="19"/>
      <c r="EJ46" s="19"/>
      <c r="EK46" s="14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>
        <v>1271.2175418267855</v>
      </c>
      <c r="EX46" s="20">
        <v>1094.8036788793947</v>
      </c>
      <c r="EY46" s="20">
        <v>1027.3513195171572</v>
      </c>
      <c r="EZ46" s="20">
        <v>1401.504537367272</v>
      </c>
      <c r="FA46" s="20">
        <v>668</v>
      </c>
      <c r="FB46" s="20">
        <v>669.3349505945115</v>
      </c>
      <c r="FC46" s="20">
        <v>759.61733927935256</v>
      </c>
      <c r="FD46" s="20">
        <v>1097.3442668061305</v>
      </c>
      <c r="FE46" s="20">
        <v>1460.3667371341</v>
      </c>
      <c r="FF46" s="20">
        <v>3859.1193096262864</v>
      </c>
      <c r="FG46" s="20">
        <v>1553.6499131471101</v>
      </c>
      <c r="FH46" s="20">
        <v>610.45754809415894</v>
      </c>
      <c r="FI46" s="14">
        <v>12605.53139009866</v>
      </c>
      <c r="FJ46" s="24">
        <v>15472.767142272261</v>
      </c>
      <c r="FK46" s="19">
        <v>1.0834040359215178</v>
      </c>
      <c r="FL46" s="20"/>
      <c r="FM46" s="20">
        <v>938.99668000000008</v>
      </c>
      <c r="FN46" s="20">
        <v>913.69600000000003</v>
      </c>
      <c r="FO46" s="20">
        <v>1775.7</v>
      </c>
      <c r="FP46" s="20">
        <v>1752.9459999999999</v>
      </c>
      <c r="FQ46" s="20">
        <v>671.9</v>
      </c>
      <c r="FR46" s="20">
        <v>952.7650000000001</v>
      </c>
      <c r="FS46" s="20">
        <v>1161.55</v>
      </c>
      <c r="FT46" s="20">
        <v>1569.94</v>
      </c>
      <c r="FU46" s="20">
        <v>1115</v>
      </c>
      <c r="FV46" s="20">
        <v>1067.2719999999999</v>
      </c>
      <c r="FW46" s="20">
        <v>1039.0999999999999</v>
      </c>
      <c r="FX46" s="20">
        <v>433.77011269755485</v>
      </c>
      <c r="FY46" s="20">
        <v>1507.0133557587001</v>
      </c>
      <c r="FZ46" s="20">
        <v>1591.8494446974548</v>
      </c>
      <c r="GA46" s="20">
        <v>3112.7891375430663</v>
      </c>
      <c r="GB46" s="20">
        <v>765.17190072556116</v>
      </c>
      <c r="GC46" s="20">
        <v>905.90515222140687</v>
      </c>
      <c r="GD46" s="20">
        <v>1717.9881367789167</v>
      </c>
      <c r="GE46" s="20">
        <v>2213.9425397355731</v>
      </c>
      <c r="GF46" s="20">
        <v>1649.1852138253921</v>
      </c>
      <c r="GG46" s="20">
        <v>1481.5250002100079</v>
      </c>
      <c r="GH46" s="20">
        <v>716.90560780513397</v>
      </c>
      <c r="GI46" s="20">
        <v>334.63239800123313</v>
      </c>
      <c r="GJ46" s="22">
        <v>16753.716889114774</v>
      </c>
      <c r="GK46" s="22">
        <f t="shared" si="116"/>
        <v>16430.678000000004</v>
      </c>
      <c r="GL46" s="19">
        <f t="shared" si="117"/>
        <v>0.98071837483868096</v>
      </c>
    </row>
    <row r="47" spans="1:194" s="11" customFormat="1" ht="24.95" customHeight="1">
      <c r="A47" s="15">
        <f t="shared" si="138"/>
        <v>3</v>
      </c>
      <c r="B47" s="16" t="s">
        <v>50</v>
      </c>
      <c r="C47" s="17">
        <v>11386</v>
      </c>
      <c r="D47" s="17"/>
      <c r="E47" s="17"/>
      <c r="F47" s="17"/>
      <c r="G47" s="20">
        <v>92</v>
      </c>
      <c r="H47" s="20">
        <v>72</v>
      </c>
      <c r="I47" s="20">
        <v>75</v>
      </c>
      <c r="J47" s="20">
        <v>80</v>
      </c>
      <c r="K47" s="20">
        <v>80</v>
      </c>
      <c r="L47" s="20">
        <v>107</v>
      </c>
      <c r="M47" s="20">
        <v>75</v>
      </c>
      <c r="N47" s="20">
        <v>75</v>
      </c>
      <c r="O47" s="20">
        <v>75</v>
      </c>
      <c r="P47" s="20">
        <v>11</v>
      </c>
      <c r="Q47" s="20">
        <v>73</v>
      </c>
      <c r="R47" s="20">
        <v>40</v>
      </c>
      <c r="S47" s="20">
        <v>26</v>
      </c>
      <c r="T47" s="20">
        <v>49</v>
      </c>
      <c r="U47" s="20">
        <v>42</v>
      </c>
      <c r="V47" s="20">
        <v>10</v>
      </c>
      <c r="W47" s="20">
        <v>65</v>
      </c>
      <c r="X47" s="20">
        <v>40</v>
      </c>
      <c r="Y47" s="20">
        <v>1</v>
      </c>
      <c r="Z47" s="20">
        <v>360</v>
      </c>
      <c r="AA47" s="20"/>
      <c r="AB47" s="18">
        <v>752</v>
      </c>
      <c r="AC47" s="18">
        <f t="shared" si="25"/>
        <v>717</v>
      </c>
      <c r="AD47" s="19">
        <f t="shared" si="10"/>
        <v>0.95345744680851063</v>
      </c>
      <c r="AE47" s="20"/>
      <c r="AF47" s="20"/>
      <c r="AG47" s="20"/>
      <c r="AH47" s="20"/>
      <c r="AI47" s="20"/>
      <c r="AJ47" s="20"/>
      <c r="AK47" s="20">
        <v>148</v>
      </c>
      <c r="AL47" s="20">
        <v>333</v>
      </c>
      <c r="AM47" s="20">
        <v>16</v>
      </c>
      <c r="AN47" s="20"/>
      <c r="AO47" s="20">
        <v>38</v>
      </c>
      <c r="AP47" s="20">
        <v>1</v>
      </c>
      <c r="AQ47" s="20">
        <v>49</v>
      </c>
      <c r="AR47" s="20">
        <v>77</v>
      </c>
      <c r="AS47" s="20">
        <v>57</v>
      </c>
      <c r="AT47" s="20">
        <v>80</v>
      </c>
      <c r="AU47" s="20">
        <v>41</v>
      </c>
      <c r="AV47" s="20">
        <v>86</v>
      </c>
      <c r="AW47" s="20">
        <v>46</v>
      </c>
      <c r="AX47" s="20">
        <v>49</v>
      </c>
      <c r="AY47" s="20">
        <v>57</v>
      </c>
      <c r="AZ47" s="20">
        <v>53</v>
      </c>
      <c r="BA47" s="20">
        <v>53</v>
      </c>
      <c r="BB47" s="20">
        <v>41</v>
      </c>
      <c r="BC47" s="27">
        <v>669</v>
      </c>
      <c r="BD47" s="27">
        <f t="shared" si="13"/>
        <v>689</v>
      </c>
      <c r="BE47" s="19">
        <f t="shared" si="14"/>
        <v>1.0298953662182362</v>
      </c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>
        <v>181</v>
      </c>
      <c r="BS47" s="20">
        <v>83</v>
      </c>
      <c r="BT47" s="20">
        <v>26</v>
      </c>
      <c r="BU47" s="20">
        <v>34</v>
      </c>
      <c r="BV47" s="20">
        <v>250</v>
      </c>
      <c r="BW47" s="20">
        <v>175</v>
      </c>
      <c r="BX47" s="20">
        <v>135</v>
      </c>
      <c r="BY47" s="20">
        <v>38</v>
      </c>
      <c r="BZ47" s="20">
        <v>80</v>
      </c>
      <c r="CA47" s="20">
        <v>169</v>
      </c>
      <c r="CB47" s="20">
        <v>61</v>
      </c>
      <c r="CC47" s="20">
        <v>97</v>
      </c>
      <c r="CD47" s="21">
        <v>1136</v>
      </c>
      <c r="CE47" s="21">
        <f t="shared" si="95"/>
        <v>1329</v>
      </c>
      <c r="CF47" s="19">
        <f t="shared" si="16"/>
        <v>1.169894366197183</v>
      </c>
      <c r="CG47" s="20"/>
      <c r="CH47" s="20"/>
      <c r="CI47" s="20">
        <v>435.4</v>
      </c>
      <c r="CJ47" s="20">
        <v>702</v>
      </c>
      <c r="CK47" s="20">
        <v>1576.1233</v>
      </c>
      <c r="CL47" s="20">
        <v>980</v>
      </c>
      <c r="CM47" s="20">
        <v>630</v>
      </c>
      <c r="CN47" s="20">
        <v>1260</v>
      </c>
      <c r="CO47" s="20">
        <v>570</v>
      </c>
      <c r="CP47" s="20">
        <v>100</v>
      </c>
      <c r="CQ47" s="20">
        <v>50</v>
      </c>
      <c r="CR47" s="20">
        <v>9</v>
      </c>
      <c r="CS47" s="20">
        <v>0</v>
      </c>
      <c r="CT47" s="20">
        <v>207.25296730857093</v>
      </c>
      <c r="CU47" s="20">
        <v>0</v>
      </c>
      <c r="CV47" s="20">
        <v>310.87945096285637</v>
      </c>
      <c r="CW47" s="20">
        <v>414.50593461714186</v>
      </c>
      <c r="CX47" s="20">
        <v>103.62648365428547</v>
      </c>
      <c r="CY47" s="20">
        <v>103.62648365428547</v>
      </c>
      <c r="CZ47" s="20">
        <v>829.01186923428372</v>
      </c>
      <c r="DA47" s="20">
        <v>207.25296730857093</v>
      </c>
      <c r="DB47" s="20">
        <v>419.68725879985612</v>
      </c>
      <c r="DC47" s="20">
        <v>2051.8043763548521</v>
      </c>
      <c r="DD47" s="20">
        <v>1295.3310456785682</v>
      </c>
      <c r="DE47" s="14">
        <v>5131.9997399830172</v>
      </c>
      <c r="DF47" s="14">
        <v>5988.5147910265514</v>
      </c>
      <c r="DG47" s="19">
        <f t="shared" si="18"/>
        <v>1.1668969396803532</v>
      </c>
      <c r="DH47" s="20"/>
      <c r="DI47" s="20"/>
      <c r="DJ47" s="20"/>
      <c r="DK47" s="20"/>
      <c r="DL47" s="20"/>
      <c r="DM47" s="20"/>
      <c r="DN47" s="20">
        <v>115</v>
      </c>
      <c r="DO47" s="20">
        <v>254.5</v>
      </c>
      <c r="DP47" s="20">
        <v>131</v>
      </c>
      <c r="DQ47" s="20">
        <v>219</v>
      </c>
      <c r="DR47" s="20">
        <v>96</v>
      </c>
      <c r="DS47" s="20">
        <v>90</v>
      </c>
      <c r="DT47" s="20">
        <v>666.34698372536377</v>
      </c>
      <c r="DU47" s="20">
        <v>644.34496067782823</v>
      </c>
      <c r="DV47" s="20">
        <v>681.01499909038751</v>
      </c>
      <c r="DW47" s="20">
        <v>361.46180720951338</v>
      </c>
      <c r="DX47" s="20">
        <v>356.22323029343346</v>
      </c>
      <c r="DY47" s="20">
        <v>361.46180720951338</v>
      </c>
      <c r="DZ47" s="20">
        <v>426.42016096890421</v>
      </c>
      <c r="EA47" s="20">
        <v>272.405999636155</v>
      </c>
      <c r="EB47" s="20">
        <v>359.36637644308144</v>
      </c>
      <c r="EC47" s="20">
        <v>1112.6737369753716</v>
      </c>
      <c r="ED47" s="20">
        <v>635.96323761210044</v>
      </c>
      <c r="EE47" s="20">
        <v>606.62720688205297</v>
      </c>
      <c r="EF47" s="14">
        <v>3879.6058953024221</v>
      </c>
      <c r="EG47" s="14">
        <f t="shared" si="23"/>
        <v>6484.3105067237057</v>
      </c>
      <c r="EH47" s="19">
        <f t="shared" si="20"/>
        <v>1.6713838162209107</v>
      </c>
      <c r="EI47" s="19"/>
      <c r="EJ47" s="19"/>
      <c r="EK47" s="14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>
        <v>103.77286055728861</v>
      </c>
      <c r="EX47" s="20">
        <v>155.65929083593289</v>
      </c>
      <c r="EY47" s="20">
        <v>186.7911490031195</v>
      </c>
      <c r="EZ47" s="20">
        <v>326.88451075545908</v>
      </c>
      <c r="FA47" s="20">
        <v>207.54572111457722</v>
      </c>
      <c r="FB47" s="20">
        <v>51.886430278644305</v>
      </c>
      <c r="FC47" s="20">
        <v>560.40834582236391</v>
      </c>
      <c r="FD47" s="20">
        <v>1373.952336516704</v>
      </c>
      <c r="FE47" s="20">
        <v>957.81526752956006</v>
      </c>
      <c r="FF47" s="20">
        <v>1293.211307175302</v>
      </c>
      <c r="FG47" s="20">
        <v>103.77286055728861</v>
      </c>
      <c r="FH47" s="20">
        <v>51.886430278644397</v>
      </c>
      <c r="FI47" s="14">
        <v>4548.5400383343758</v>
      </c>
      <c r="FJ47" s="24">
        <v>5373.5865104248842</v>
      </c>
      <c r="FK47" s="19">
        <v>1.0787081996268926</v>
      </c>
      <c r="FL47" s="20"/>
      <c r="FM47" s="20">
        <v>65.8</v>
      </c>
      <c r="FN47" s="20">
        <v>794.02800000000002</v>
      </c>
      <c r="FO47" s="20">
        <v>2318.6820000000007</v>
      </c>
      <c r="FP47" s="20">
        <v>2023.6619999999998</v>
      </c>
      <c r="FQ47" s="20">
        <v>1257.7679700000001</v>
      </c>
      <c r="FR47" s="20">
        <v>1573.429848</v>
      </c>
      <c r="FS47" s="20">
        <v>2224.375</v>
      </c>
      <c r="FT47" s="20">
        <v>1094.5996999999998</v>
      </c>
      <c r="FU47" s="20">
        <v>482.33500000000004</v>
      </c>
      <c r="FV47" s="20">
        <v>760.53499999999997</v>
      </c>
      <c r="FW47" s="20">
        <v>901.03599999999994</v>
      </c>
      <c r="FX47" s="20">
        <v>412.71832889338577</v>
      </c>
      <c r="FY47" s="20">
        <v>1428.1799311017012</v>
      </c>
      <c r="FZ47" s="20">
        <v>1570.8292630185977</v>
      </c>
      <c r="GA47" s="20">
        <v>4363.1511662071489</v>
      </c>
      <c r="GB47" s="20">
        <v>992.67666628429629</v>
      </c>
      <c r="GC47" s="20">
        <v>656.5664667520299</v>
      </c>
      <c r="GD47" s="20">
        <v>1227.0519806173838</v>
      </c>
      <c r="GE47" s="20">
        <v>409.1758168413574</v>
      </c>
      <c r="GF47" s="20">
        <v>1637.9154543802831</v>
      </c>
      <c r="GG47" s="20">
        <v>898.34970673019996</v>
      </c>
      <c r="GH47" s="20">
        <v>731.33019087072171</v>
      </c>
      <c r="GI47" s="20">
        <v>930.87602830289404</v>
      </c>
      <c r="GJ47" s="22">
        <v>16124</v>
      </c>
      <c r="GK47" s="22">
        <f t="shared" si="116"/>
        <v>15258.821</v>
      </c>
      <c r="GL47" s="19">
        <f t="shared" si="117"/>
        <v>0.94634216075415534</v>
      </c>
    </row>
    <row r="48" spans="1:194" s="11" customFormat="1" ht="24.95" customHeight="1">
      <c r="A48" s="15">
        <f t="shared" si="138"/>
        <v>4</v>
      </c>
      <c r="B48" s="16" t="s">
        <v>51</v>
      </c>
      <c r="C48" s="17">
        <v>11387</v>
      </c>
      <c r="D48" s="17"/>
      <c r="E48" s="17"/>
      <c r="F48" s="17"/>
      <c r="G48" s="20">
        <v>36</v>
      </c>
      <c r="H48" s="20">
        <v>37</v>
      </c>
      <c r="I48" s="20">
        <v>43</v>
      </c>
      <c r="J48" s="20">
        <v>50</v>
      </c>
      <c r="K48" s="20">
        <v>53</v>
      </c>
      <c r="L48" s="20">
        <v>69</v>
      </c>
      <c r="M48" s="20">
        <v>72</v>
      </c>
      <c r="N48" s="20">
        <v>75</v>
      </c>
      <c r="O48" s="20">
        <v>65</v>
      </c>
      <c r="P48" s="20">
        <v>24</v>
      </c>
      <c r="Q48" s="20">
        <v>77</v>
      </c>
      <c r="R48" s="20">
        <v>37</v>
      </c>
      <c r="S48" s="20">
        <v>32</v>
      </c>
      <c r="T48" s="20">
        <v>21</v>
      </c>
      <c r="U48" s="20">
        <v>40</v>
      </c>
      <c r="V48" s="20">
        <v>107</v>
      </c>
      <c r="W48" s="20">
        <v>164</v>
      </c>
      <c r="X48" s="20">
        <v>52</v>
      </c>
      <c r="Y48" s="20">
        <v>26</v>
      </c>
      <c r="Z48" s="20">
        <v>22</v>
      </c>
      <c r="AA48" s="20">
        <v>22</v>
      </c>
      <c r="AB48" s="18">
        <v>577</v>
      </c>
      <c r="AC48" s="18">
        <f t="shared" si="25"/>
        <v>624</v>
      </c>
      <c r="AD48" s="19">
        <f t="shared" si="10"/>
        <v>1.0814558058925476</v>
      </c>
      <c r="AE48" s="20"/>
      <c r="AF48" s="20"/>
      <c r="AG48" s="20"/>
      <c r="AH48" s="20"/>
      <c r="AI48" s="20"/>
      <c r="AJ48" s="20">
        <v>60</v>
      </c>
      <c r="AK48" s="20">
        <v>30</v>
      </c>
      <c r="AL48" s="20">
        <v>135</v>
      </c>
      <c r="AM48" s="20">
        <v>46</v>
      </c>
      <c r="AN48" s="20"/>
      <c r="AO48" s="20">
        <v>6</v>
      </c>
      <c r="AP48" s="20"/>
      <c r="AQ48" s="20">
        <v>18</v>
      </c>
      <c r="AR48" s="20">
        <v>67</v>
      </c>
      <c r="AS48" s="20">
        <v>48</v>
      </c>
      <c r="AT48" s="20">
        <v>41</v>
      </c>
      <c r="AU48" s="20">
        <v>55</v>
      </c>
      <c r="AV48" s="20">
        <v>35</v>
      </c>
      <c r="AW48" s="20">
        <v>31</v>
      </c>
      <c r="AX48" s="20">
        <v>16</v>
      </c>
      <c r="AY48" s="20">
        <v>27</v>
      </c>
      <c r="AZ48" s="20">
        <v>24</v>
      </c>
      <c r="BA48" s="20">
        <v>37</v>
      </c>
      <c r="BB48" s="20">
        <v>23</v>
      </c>
      <c r="BC48" s="27">
        <v>368</v>
      </c>
      <c r="BD48" s="27">
        <f t="shared" si="13"/>
        <v>422</v>
      </c>
      <c r="BE48" s="19">
        <f t="shared" si="14"/>
        <v>1.1467391304347827</v>
      </c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>
        <v>50</v>
      </c>
      <c r="BS48" s="20">
        <v>134</v>
      </c>
      <c r="BT48" s="20">
        <v>54</v>
      </c>
      <c r="BU48" s="20">
        <v>182</v>
      </c>
      <c r="BV48" s="20">
        <v>85</v>
      </c>
      <c r="BW48" s="20">
        <v>202</v>
      </c>
      <c r="BX48" s="20">
        <v>167</v>
      </c>
      <c r="BY48" s="20">
        <v>76</v>
      </c>
      <c r="BZ48" s="20">
        <v>85</v>
      </c>
      <c r="CA48" s="20">
        <v>91</v>
      </c>
      <c r="CB48" s="20">
        <v>22</v>
      </c>
      <c r="CC48" s="20">
        <v>52</v>
      </c>
      <c r="CD48" s="21">
        <v>1138</v>
      </c>
      <c r="CE48" s="21">
        <f t="shared" si="95"/>
        <v>1200</v>
      </c>
      <c r="CF48" s="19">
        <f t="shared" si="16"/>
        <v>1.0544815465729349</v>
      </c>
      <c r="CG48" s="20"/>
      <c r="CH48" s="20"/>
      <c r="CI48" s="20">
        <v>30</v>
      </c>
      <c r="CJ48" s="20"/>
      <c r="CK48" s="20"/>
      <c r="CL48" s="20">
        <v>100</v>
      </c>
      <c r="CM48" s="20"/>
      <c r="CN48" s="20">
        <v>500</v>
      </c>
      <c r="CO48" s="20">
        <v>234.99700000000001</v>
      </c>
      <c r="CP48" s="20">
        <v>100</v>
      </c>
      <c r="CQ48" s="20">
        <v>300</v>
      </c>
      <c r="CR48" s="20"/>
      <c r="CS48" s="20">
        <v>414.50593461714186</v>
      </c>
      <c r="CT48" s="20">
        <v>125.3880452216854</v>
      </c>
      <c r="CU48" s="20">
        <v>0</v>
      </c>
      <c r="CV48" s="20">
        <v>103.62648365428547</v>
      </c>
      <c r="CW48" s="20">
        <v>244.5585014241137</v>
      </c>
      <c r="CX48" s="20">
        <v>103.62648365428547</v>
      </c>
      <c r="CY48" s="20">
        <v>783.41621642639814</v>
      </c>
      <c r="CZ48" s="20">
        <v>725.38538557999823</v>
      </c>
      <c r="DA48" s="20">
        <v>1093.2594025527117</v>
      </c>
      <c r="DB48" s="20">
        <v>989.63291889842617</v>
      </c>
      <c r="DC48" s="20">
        <v>1264.2431005822825</v>
      </c>
      <c r="DD48" s="20">
        <v>259.06620913571368</v>
      </c>
      <c r="DE48" s="14">
        <v>5686.0690621692129</v>
      </c>
      <c r="DF48" s="14">
        <v>6153.4991566729668</v>
      </c>
      <c r="DG48" s="19">
        <f t="shared" si="18"/>
        <v>1.082206193662627</v>
      </c>
      <c r="DH48" s="20"/>
      <c r="DI48" s="20"/>
      <c r="DJ48" s="20"/>
      <c r="DK48" s="20"/>
      <c r="DL48" s="20"/>
      <c r="DM48" s="20"/>
      <c r="DN48" s="20"/>
      <c r="DO48" s="20">
        <v>399.5</v>
      </c>
      <c r="DP48" s="20">
        <v>680</v>
      </c>
      <c r="DQ48" s="20">
        <v>580</v>
      </c>
      <c r="DR48" s="20">
        <v>278</v>
      </c>
      <c r="DS48" s="20">
        <v>537</v>
      </c>
      <c r="DT48" s="20">
        <v>209.54307664319617</v>
      </c>
      <c r="DU48" s="20">
        <v>187.54105359566057</v>
      </c>
      <c r="DV48" s="20">
        <v>336.31663801232986</v>
      </c>
      <c r="DW48" s="20">
        <v>142.4892921173734</v>
      </c>
      <c r="DX48" s="20">
        <v>178.11161514671673</v>
      </c>
      <c r="DY48" s="20">
        <v>178.11161514671673</v>
      </c>
      <c r="DZ48" s="20">
        <v>152.96644594953321</v>
      </c>
      <c r="EA48" s="20">
        <v>300.6943149829865</v>
      </c>
      <c r="EB48" s="20">
        <v>71.244646058686698</v>
      </c>
      <c r="EC48" s="20">
        <v>178.11161514671673</v>
      </c>
      <c r="ED48" s="20">
        <v>106.86696908803005</v>
      </c>
      <c r="EE48" s="20">
        <v>231.54509969073177</v>
      </c>
      <c r="EF48" s="14">
        <v>2366.4617578511215</v>
      </c>
      <c r="EG48" s="14">
        <f t="shared" si="23"/>
        <v>2273.5423815786785</v>
      </c>
      <c r="EH48" s="19">
        <f t="shared" si="20"/>
        <v>0.9607348920961144</v>
      </c>
      <c r="EI48" s="19"/>
      <c r="EJ48" s="19"/>
      <c r="EK48" s="14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>
        <v>421.31781386259172</v>
      </c>
      <c r="EX48" s="20">
        <v>498.10973067498531</v>
      </c>
      <c r="EY48" s="20">
        <v>568.67527585394157</v>
      </c>
      <c r="EZ48" s="20">
        <v>800.08875489669515</v>
      </c>
      <c r="FA48" s="20">
        <v>816</v>
      </c>
      <c r="FB48" s="20">
        <v>2056.6538801313754</v>
      </c>
      <c r="FC48" s="20">
        <v>981.40040629838029</v>
      </c>
      <c r="FD48" s="20">
        <v>352.82772589478128</v>
      </c>
      <c r="FE48" s="20">
        <v>2028.2291757094026</v>
      </c>
      <c r="FF48" s="20">
        <v>394.33687011769672</v>
      </c>
      <c r="FG48" s="20">
        <v>188.86660621426526</v>
      </c>
      <c r="FH48" s="20">
        <v>309.80763699594456</v>
      </c>
      <c r="FI48" s="14">
        <v>8266.6883210067499</v>
      </c>
      <c r="FJ48" s="24">
        <v>9416.3138766500597</v>
      </c>
      <c r="FK48" s="19">
        <v>1.067897682199497</v>
      </c>
      <c r="FL48" s="20">
        <v>264</v>
      </c>
      <c r="FM48" s="20">
        <v>208.47</v>
      </c>
      <c r="FN48" s="20">
        <v>412.6</v>
      </c>
      <c r="FO48" s="20">
        <v>1552</v>
      </c>
      <c r="FP48" s="20">
        <v>1366.7739999999999</v>
      </c>
      <c r="FQ48" s="20">
        <v>385.9</v>
      </c>
      <c r="FR48" s="20">
        <v>372.5</v>
      </c>
      <c r="FS48" s="20">
        <v>1169</v>
      </c>
      <c r="FT48" s="20">
        <v>1545.7</v>
      </c>
      <c r="FU48" s="20">
        <v>907</v>
      </c>
      <c r="FV48" s="20">
        <v>698.85</v>
      </c>
      <c r="FW48" s="20">
        <v>1214.4389999999999</v>
      </c>
      <c r="FX48" s="20">
        <v>392.74679378810356</v>
      </c>
      <c r="FY48" s="20">
        <v>1078.7597698231696</v>
      </c>
      <c r="FZ48" s="20">
        <v>1197.2572663411161</v>
      </c>
      <c r="GA48" s="20">
        <v>1935.1535592311427</v>
      </c>
      <c r="GB48" s="20">
        <v>612.14041159352473</v>
      </c>
      <c r="GC48" s="20">
        <v>458.8454867886947</v>
      </c>
      <c r="GD48" s="20">
        <v>685.7219754998431</v>
      </c>
      <c r="GE48" s="20">
        <v>266.05763220363724</v>
      </c>
      <c r="GF48" s="20">
        <v>1116.1949101043219</v>
      </c>
      <c r="GG48" s="20">
        <v>1236.8063176531364</v>
      </c>
      <c r="GH48" s="20">
        <v>308.66842486125103</v>
      </c>
      <c r="GI48" s="20">
        <v>750.6774521120592</v>
      </c>
      <c r="GJ48" s="22">
        <v>10232.204399707585</v>
      </c>
      <c r="GK48" s="22">
        <f t="shared" si="116"/>
        <v>10039.030000000001</v>
      </c>
      <c r="GL48" s="19">
        <f t="shared" si="117"/>
        <v>0.98112094010620965</v>
      </c>
    </row>
    <row r="49" spans="1:194" s="11" customFormat="1" ht="24.95" customHeight="1">
      <c r="A49" s="15">
        <f t="shared" si="138"/>
        <v>5</v>
      </c>
      <c r="B49" s="16" t="s">
        <v>52</v>
      </c>
      <c r="C49" s="17">
        <v>11388</v>
      </c>
      <c r="D49" s="17"/>
      <c r="E49" s="17"/>
      <c r="F49" s="17"/>
      <c r="G49" s="20">
        <v>50</v>
      </c>
      <c r="H49" s="20">
        <v>44</v>
      </c>
      <c r="I49" s="20">
        <v>48</v>
      </c>
      <c r="J49" s="20">
        <v>60</v>
      </c>
      <c r="K49" s="20">
        <v>60</v>
      </c>
      <c r="L49" s="20">
        <v>60</v>
      </c>
      <c r="M49" s="20">
        <v>60</v>
      </c>
      <c r="N49" s="20">
        <v>55</v>
      </c>
      <c r="O49" s="20">
        <v>53</v>
      </c>
      <c r="P49" s="20">
        <v>7</v>
      </c>
      <c r="Q49" s="20">
        <v>20</v>
      </c>
      <c r="R49" s="20">
        <v>33</v>
      </c>
      <c r="S49" s="20">
        <v>15</v>
      </c>
      <c r="T49" s="20">
        <v>41</v>
      </c>
      <c r="U49" s="20">
        <v>20</v>
      </c>
      <c r="V49" s="20">
        <v>17</v>
      </c>
      <c r="W49" s="20">
        <v>69</v>
      </c>
      <c r="X49" s="20">
        <v>26</v>
      </c>
      <c r="Y49" s="20">
        <v>3</v>
      </c>
      <c r="Z49" s="20">
        <v>77</v>
      </c>
      <c r="AA49" s="20">
        <v>38</v>
      </c>
      <c r="AB49" s="18">
        <v>481</v>
      </c>
      <c r="AC49" s="18">
        <f t="shared" si="25"/>
        <v>366</v>
      </c>
      <c r="AD49" s="19">
        <f t="shared" si="10"/>
        <v>0.76091476091476096</v>
      </c>
      <c r="AE49" s="20"/>
      <c r="AF49" s="20"/>
      <c r="AG49" s="20"/>
      <c r="AH49" s="20"/>
      <c r="AI49" s="20"/>
      <c r="AJ49" s="20"/>
      <c r="AK49" s="20">
        <v>45</v>
      </c>
      <c r="AL49" s="20">
        <v>97</v>
      </c>
      <c r="AM49" s="20">
        <v>12</v>
      </c>
      <c r="AN49" s="20"/>
      <c r="AO49" s="20">
        <v>14</v>
      </c>
      <c r="AP49" s="20"/>
      <c r="AQ49" s="20">
        <v>18</v>
      </c>
      <c r="AR49" s="20">
        <v>27</v>
      </c>
      <c r="AS49" s="20">
        <v>12</v>
      </c>
      <c r="AT49" s="20">
        <v>19</v>
      </c>
      <c r="AU49" s="20">
        <v>22</v>
      </c>
      <c r="AV49" s="20">
        <v>15</v>
      </c>
      <c r="AW49" s="20">
        <v>20</v>
      </c>
      <c r="AX49" s="20">
        <v>8</v>
      </c>
      <c r="AY49" s="20">
        <v>29</v>
      </c>
      <c r="AZ49" s="20">
        <v>21</v>
      </c>
      <c r="BA49" s="20">
        <v>19</v>
      </c>
      <c r="BB49" s="20">
        <v>18</v>
      </c>
      <c r="BC49" s="27">
        <v>215</v>
      </c>
      <c r="BD49" s="27">
        <f t="shared" si="13"/>
        <v>228</v>
      </c>
      <c r="BE49" s="19">
        <f t="shared" si="14"/>
        <v>1.0604651162790697</v>
      </c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>
        <v>41</v>
      </c>
      <c r="BS49" s="20">
        <v>62</v>
      </c>
      <c r="BT49" s="20">
        <v>27</v>
      </c>
      <c r="BU49" s="20">
        <v>20</v>
      </c>
      <c r="BV49" s="20">
        <v>149</v>
      </c>
      <c r="BW49" s="20">
        <v>146</v>
      </c>
      <c r="BX49" s="20">
        <v>153</v>
      </c>
      <c r="BY49" s="20">
        <v>95</v>
      </c>
      <c r="BZ49" s="20">
        <v>42</v>
      </c>
      <c r="CA49" s="20">
        <v>43</v>
      </c>
      <c r="CB49" s="20">
        <v>13</v>
      </c>
      <c r="CC49" s="20">
        <v>0</v>
      </c>
      <c r="CD49" s="21">
        <v>847</v>
      </c>
      <c r="CE49" s="21">
        <f t="shared" si="95"/>
        <v>791</v>
      </c>
      <c r="CF49" s="19">
        <f t="shared" si="16"/>
        <v>0.93388429752066116</v>
      </c>
      <c r="CG49" s="20"/>
      <c r="CH49" s="20"/>
      <c r="CI49" s="20">
        <v>30</v>
      </c>
      <c r="CJ49" s="20">
        <v>800</v>
      </c>
      <c r="CK49" s="20">
        <v>850</v>
      </c>
      <c r="CL49" s="20">
        <v>500</v>
      </c>
      <c r="CM49" s="20">
        <v>335</v>
      </c>
      <c r="CN49" s="20"/>
      <c r="CO49" s="20">
        <v>425</v>
      </c>
      <c r="CP49" s="20">
        <v>300</v>
      </c>
      <c r="CQ49" s="20">
        <v>781.42499999999995</v>
      </c>
      <c r="CR49" s="20">
        <v>225.24199999999999</v>
      </c>
      <c r="CS49" s="20">
        <v>0</v>
      </c>
      <c r="CT49" s="20">
        <v>207.25296730857093</v>
      </c>
      <c r="CU49" s="20">
        <v>0</v>
      </c>
      <c r="CV49" s="20">
        <v>715.0227372145697</v>
      </c>
      <c r="CW49" s="20">
        <v>561.55191492257291</v>
      </c>
      <c r="CX49" s="20">
        <v>207.25296730857093</v>
      </c>
      <c r="CY49" s="20">
        <v>103.62648365428547</v>
      </c>
      <c r="CZ49" s="20">
        <v>103.62648365428547</v>
      </c>
      <c r="DA49" s="20">
        <v>766.83597904171245</v>
      </c>
      <c r="DB49" s="20">
        <v>740.92935812814108</v>
      </c>
      <c r="DC49" s="20">
        <v>922.27570452314058</v>
      </c>
      <c r="DD49" s="20">
        <v>207.25296730857093</v>
      </c>
      <c r="DE49" s="14">
        <v>4224.0760988881239</v>
      </c>
      <c r="DF49" s="14">
        <v>4570.3801898594784</v>
      </c>
      <c r="DG49" s="19">
        <f t="shared" si="18"/>
        <v>1.081983393022325</v>
      </c>
      <c r="DH49" s="20"/>
      <c r="DI49" s="20"/>
      <c r="DJ49" s="20"/>
      <c r="DK49" s="20"/>
      <c r="DL49" s="20"/>
      <c r="DM49" s="20"/>
      <c r="DN49" s="20"/>
      <c r="DO49" s="20"/>
      <c r="DP49" s="20">
        <v>68</v>
      </c>
      <c r="DQ49" s="20">
        <v>68</v>
      </c>
      <c r="DR49" s="20"/>
      <c r="DS49" s="20">
        <v>34</v>
      </c>
      <c r="DT49" s="20">
        <v>262.97656118721119</v>
      </c>
      <c r="DU49" s="20">
        <v>620.14273532553898</v>
      </c>
      <c r="DV49" s="20">
        <v>508.24673239807231</v>
      </c>
      <c r="DW49" s="20">
        <v>149.82329979988526</v>
      </c>
      <c r="DX49" s="20">
        <v>187.01719590405258</v>
      </c>
      <c r="DY49" s="20">
        <v>142.4892921173734</v>
      </c>
      <c r="DZ49" s="20">
        <v>146.68015365023732</v>
      </c>
      <c r="EA49" s="20">
        <v>86.960376806926405</v>
      </c>
      <c r="EB49" s="20">
        <v>103.7238229383821</v>
      </c>
      <c r="EC49" s="20">
        <v>278.69229193545095</v>
      </c>
      <c r="ED49" s="20">
        <v>99.532961405518193</v>
      </c>
      <c r="EE49" s="20">
        <v>117.34412292018986</v>
      </c>
      <c r="EF49" s="14">
        <v>2644.5499710848167</v>
      </c>
      <c r="EG49" s="14">
        <f t="shared" si="23"/>
        <v>2703.6295463888387</v>
      </c>
      <c r="EH49" s="19">
        <f t="shared" si="20"/>
        <v>1.0223401243878887</v>
      </c>
      <c r="EI49" s="19"/>
      <c r="EJ49" s="19"/>
      <c r="EK49" s="14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>
        <v>103.77286055728861</v>
      </c>
      <c r="EX49" s="20">
        <v>0</v>
      </c>
      <c r="EY49" s="20">
        <v>140.0933617523396</v>
      </c>
      <c r="EZ49" s="20">
        <v>200</v>
      </c>
      <c r="FA49" s="20">
        <v>280.18672350467915</v>
      </c>
      <c r="FB49" s="20">
        <v>180</v>
      </c>
      <c r="FC49" s="20">
        <v>93.39557450155975</v>
      </c>
      <c r="FD49" s="20">
        <v>87.169202868122426</v>
      </c>
      <c r="FE49" s="20">
        <v>1932.063197904117</v>
      </c>
      <c r="FF49" s="20">
        <v>51.886430278644305</v>
      </c>
      <c r="FG49" s="20">
        <v>0</v>
      </c>
      <c r="FH49" s="20">
        <v>102.02876650716019</v>
      </c>
      <c r="FI49" s="14">
        <v>3004.5179000247886</v>
      </c>
      <c r="FJ49" s="24">
        <v>3170.5961178739112</v>
      </c>
      <c r="FK49" s="19">
        <v>1.0787081996268926</v>
      </c>
      <c r="FL49" s="20"/>
      <c r="FM49" s="20">
        <v>290</v>
      </c>
      <c r="FN49" s="20">
        <v>257.5</v>
      </c>
      <c r="FO49" s="20">
        <v>944.05</v>
      </c>
      <c r="FP49" s="20">
        <v>1086.7550000000001</v>
      </c>
      <c r="FQ49" s="20">
        <v>301.45</v>
      </c>
      <c r="FR49" s="20">
        <v>643.4</v>
      </c>
      <c r="FS49" s="20">
        <v>857.09799999999996</v>
      </c>
      <c r="FT49" s="20">
        <v>847.58</v>
      </c>
      <c r="FU49" s="20">
        <v>631.5</v>
      </c>
      <c r="FV49" s="20">
        <v>663.66000000000008</v>
      </c>
      <c r="FW49" s="20">
        <v>1234.6000000000001</v>
      </c>
      <c r="FX49" s="20">
        <v>373.30870453827464</v>
      </c>
      <c r="FY49" s="20">
        <v>695.262238641419</v>
      </c>
      <c r="FZ49" s="20">
        <v>776.38121119514142</v>
      </c>
      <c r="GA49" s="20">
        <v>1079.9719928047816</v>
      </c>
      <c r="GB49" s="20">
        <v>434.95508790932485</v>
      </c>
      <c r="GC49" s="20">
        <v>302.22870930929776</v>
      </c>
      <c r="GD49" s="20">
        <v>697.68370050869441</v>
      </c>
      <c r="GE49" s="20">
        <v>637.651625049161</v>
      </c>
      <c r="GF49" s="20">
        <v>679.22005377072026</v>
      </c>
      <c r="GG49" s="20">
        <v>1107.0116503226889</v>
      </c>
      <c r="GH49" s="20">
        <v>457.05092744821189</v>
      </c>
      <c r="GI49" s="20">
        <v>583.77409850228571</v>
      </c>
      <c r="GJ49" s="22">
        <v>8395.83</v>
      </c>
      <c r="GK49" s="22">
        <f t="shared" ref="GK49:GK63" si="139">+FX49+FY49+FZ49+GA49+GB49+GC49+GD49+GE49+GF49+GG49+GH49+GI49</f>
        <v>7824.5000000000018</v>
      </c>
      <c r="GL49" s="19">
        <f t="shared" si="117"/>
        <v>0.93195074221369445</v>
      </c>
    </row>
    <row r="50" spans="1:194" s="11" customFormat="1" ht="24.95" customHeight="1">
      <c r="A50" s="15">
        <f t="shared" si="138"/>
        <v>6</v>
      </c>
      <c r="B50" s="16" t="s">
        <v>53</v>
      </c>
      <c r="C50" s="17">
        <v>11487</v>
      </c>
      <c r="D50" s="17"/>
      <c r="E50" s="17"/>
      <c r="F50" s="17"/>
      <c r="G50" s="20">
        <v>128</v>
      </c>
      <c r="H50" s="20">
        <v>99</v>
      </c>
      <c r="I50" s="20">
        <v>102</v>
      </c>
      <c r="J50" s="20">
        <v>92</v>
      </c>
      <c r="K50" s="20">
        <v>81</v>
      </c>
      <c r="L50" s="20">
        <v>81</v>
      </c>
      <c r="M50" s="20">
        <v>75</v>
      </c>
      <c r="N50" s="20">
        <v>72</v>
      </c>
      <c r="O50" s="20">
        <v>69</v>
      </c>
      <c r="P50" s="20">
        <v>13</v>
      </c>
      <c r="Q50" s="20">
        <v>31</v>
      </c>
      <c r="R50" s="20">
        <v>80</v>
      </c>
      <c r="S50" s="20">
        <v>22</v>
      </c>
      <c r="T50" s="20">
        <v>8</v>
      </c>
      <c r="U50" s="20">
        <v>94</v>
      </c>
      <c r="V50" s="20">
        <v>13</v>
      </c>
      <c r="W50" s="20">
        <v>0</v>
      </c>
      <c r="X50" s="20">
        <v>72</v>
      </c>
      <c r="Y50" s="20">
        <v>93</v>
      </c>
      <c r="Z50" s="20">
        <v>167</v>
      </c>
      <c r="AA50" s="20">
        <v>68</v>
      </c>
      <c r="AB50" s="18">
        <v>749</v>
      </c>
      <c r="AC50" s="18">
        <f t="shared" si="25"/>
        <v>661</v>
      </c>
      <c r="AD50" s="19">
        <f t="shared" si="10"/>
        <v>0.88251001335113488</v>
      </c>
      <c r="AE50" s="20"/>
      <c r="AF50" s="20"/>
      <c r="AG50" s="20"/>
      <c r="AH50" s="20"/>
      <c r="AI50" s="20"/>
      <c r="AJ50" s="20"/>
      <c r="AK50" s="20">
        <v>217</v>
      </c>
      <c r="AL50" s="20">
        <v>346</v>
      </c>
      <c r="AM50" s="20">
        <v>121</v>
      </c>
      <c r="AN50" s="20"/>
      <c r="AO50" s="20">
        <v>7</v>
      </c>
      <c r="AP50" s="20"/>
      <c r="AQ50" s="20">
        <v>40</v>
      </c>
      <c r="AR50" s="20">
        <v>146</v>
      </c>
      <c r="AS50" s="20">
        <v>96</v>
      </c>
      <c r="AT50" s="20">
        <v>86</v>
      </c>
      <c r="AU50" s="20">
        <v>74</v>
      </c>
      <c r="AV50" s="20">
        <v>66</v>
      </c>
      <c r="AW50" s="20">
        <v>77</v>
      </c>
      <c r="AX50" s="20">
        <v>48</v>
      </c>
      <c r="AY50" s="20">
        <v>88</v>
      </c>
      <c r="AZ50" s="20">
        <v>91</v>
      </c>
      <c r="BA50" s="20">
        <v>73</v>
      </c>
      <c r="BB50" s="20">
        <v>44</v>
      </c>
      <c r="BC50" s="27">
        <v>815</v>
      </c>
      <c r="BD50" s="27">
        <f t="shared" si="13"/>
        <v>929</v>
      </c>
      <c r="BE50" s="19">
        <f t="shared" si="14"/>
        <v>1.139877300613497</v>
      </c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>
        <v>68</v>
      </c>
      <c r="BS50" s="20">
        <v>204</v>
      </c>
      <c r="BT50" s="20">
        <v>113</v>
      </c>
      <c r="BU50" s="20">
        <v>171</v>
      </c>
      <c r="BV50" s="20">
        <v>332</v>
      </c>
      <c r="BW50" s="20">
        <v>373</v>
      </c>
      <c r="BX50" s="20">
        <v>198</v>
      </c>
      <c r="BY50" s="20">
        <v>126</v>
      </c>
      <c r="BZ50" s="20">
        <v>110</v>
      </c>
      <c r="CA50" s="20">
        <v>458</v>
      </c>
      <c r="CB50" s="20">
        <v>217</v>
      </c>
      <c r="CC50" s="20">
        <v>23</v>
      </c>
      <c r="CD50" s="21">
        <v>1612</v>
      </c>
      <c r="CE50" s="21">
        <f t="shared" si="95"/>
        <v>2393</v>
      </c>
      <c r="CF50" s="19">
        <f t="shared" si="16"/>
        <v>1.4844913151364765</v>
      </c>
      <c r="CG50" s="20"/>
      <c r="CH50" s="20"/>
      <c r="CI50" s="20">
        <v>200</v>
      </c>
      <c r="CJ50" s="20">
        <v>300</v>
      </c>
      <c r="CK50" s="20">
        <v>721.3</v>
      </c>
      <c r="CL50" s="20">
        <v>770</v>
      </c>
      <c r="CM50" s="20">
        <v>700</v>
      </c>
      <c r="CN50" s="20">
        <v>200</v>
      </c>
      <c r="CO50" s="20">
        <v>300</v>
      </c>
      <c r="CP50" s="20">
        <v>550</v>
      </c>
      <c r="CQ50" s="20">
        <v>50</v>
      </c>
      <c r="CR50" s="20">
        <v>1400</v>
      </c>
      <c r="CS50" s="20">
        <v>0</v>
      </c>
      <c r="CT50" s="20">
        <v>414.50593461714186</v>
      </c>
      <c r="CU50" s="20">
        <v>279.77839297132914</v>
      </c>
      <c r="CV50" s="20">
        <v>725.38409232148217</v>
      </c>
      <c r="CW50" s="20">
        <v>0</v>
      </c>
      <c r="CX50" s="20">
        <v>663.20949538742695</v>
      </c>
      <c r="CY50" s="20">
        <v>310.87945096285637</v>
      </c>
      <c r="CZ50" s="20">
        <v>701.55129433951254</v>
      </c>
      <c r="DA50" s="20">
        <v>1036.2648365428547</v>
      </c>
      <c r="DB50" s="20">
        <v>829.01186923428372</v>
      </c>
      <c r="DC50" s="20">
        <v>466.31917644428455</v>
      </c>
      <c r="DD50" s="20">
        <v>166.83863868339958</v>
      </c>
      <c r="DE50" s="14">
        <v>5089.712623052812</v>
      </c>
      <c r="DF50" s="14">
        <v>5636.6032414348201</v>
      </c>
      <c r="DG50" s="19">
        <f t="shared" si="18"/>
        <v>1.1074501958921961</v>
      </c>
      <c r="DH50" s="20"/>
      <c r="DI50" s="20"/>
      <c r="DJ50" s="20"/>
      <c r="DK50" s="20"/>
      <c r="DL50" s="20"/>
      <c r="DM50" s="20"/>
      <c r="DN50" s="20">
        <v>238</v>
      </c>
      <c r="DO50" s="20">
        <v>256</v>
      </c>
      <c r="DP50" s="20">
        <v>114.2</v>
      </c>
      <c r="DQ50" s="20">
        <v>391</v>
      </c>
      <c r="DR50" s="20">
        <v>306</v>
      </c>
      <c r="DS50" s="20">
        <v>299</v>
      </c>
      <c r="DT50" s="20">
        <v>381.36839949061704</v>
      </c>
      <c r="DU50" s="20">
        <v>654.82211450998807</v>
      </c>
      <c r="DV50" s="20">
        <v>1230.0178598955615</v>
      </c>
      <c r="DW50" s="20">
        <v>872.22305652730404</v>
      </c>
      <c r="DX50" s="20">
        <v>409.65671483744853</v>
      </c>
      <c r="DY50" s="20">
        <v>481.94907627935117</v>
      </c>
      <c r="DZ50" s="20">
        <v>685.20586062325151</v>
      </c>
      <c r="EA50" s="20">
        <v>534.33484544015016</v>
      </c>
      <c r="EB50" s="20">
        <v>71.244646058686698</v>
      </c>
      <c r="EC50" s="20">
        <v>422.22929943604026</v>
      </c>
      <c r="ED50" s="20">
        <v>320.60090726409015</v>
      </c>
      <c r="EE50" s="20">
        <v>498.71252241080686</v>
      </c>
      <c r="EF50" s="14">
        <v>3910.3394232642486</v>
      </c>
      <c r="EG50" s="14">
        <f t="shared" si="23"/>
        <v>6562.3653027732962</v>
      </c>
      <c r="EH50" s="19">
        <f t="shared" si="20"/>
        <v>1.6782086137410563</v>
      </c>
      <c r="EI50" s="19"/>
      <c r="EJ50" s="19"/>
      <c r="EK50" s="14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>
        <v>155.65929083593289</v>
      </c>
      <c r="EX50" s="20">
        <v>352.82772589478128</v>
      </c>
      <c r="EY50" s="20">
        <v>591.50530517654499</v>
      </c>
      <c r="EZ50" s="20">
        <v>441.03465736847659</v>
      </c>
      <c r="FA50" s="20">
        <v>487.73244461925646</v>
      </c>
      <c r="FB50" s="20">
        <v>692.95443195380449</v>
      </c>
      <c r="FC50" s="20">
        <v>518.86430278644298</v>
      </c>
      <c r="FD50" s="20">
        <v>1692.0995096750364</v>
      </c>
      <c r="FE50" s="20">
        <v>345.26180229084019</v>
      </c>
      <c r="FF50" s="20">
        <v>2566.495888158785</v>
      </c>
      <c r="FG50" s="20">
        <v>349.19567577527613</v>
      </c>
      <c r="FH50" s="20">
        <v>238.67757928176553</v>
      </c>
      <c r="FI50" s="14">
        <v>6315.7112470628754</v>
      </c>
      <c r="FJ50" s="24">
        <v>8432.3086138169419</v>
      </c>
      <c r="FK50" s="19">
        <v>1.091024880359498</v>
      </c>
      <c r="FL50" s="20"/>
      <c r="FM50" s="20">
        <v>11.5</v>
      </c>
      <c r="FN50" s="20">
        <v>387.36293871999999</v>
      </c>
      <c r="FO50" s="20">
        <v>491.47449999999998</v>
      </c>
      <c r="FP50" s="20">
        <v>1232.1420000000001</v>
      </c>
      <c r="FQ50" s="20">
        <v>371.565</v>
      </c>
      <c r="FR50" s="20">
        <v>537.79999999999995</v>
      </c>
      <c r="FS50" s="20">
        <v>629.20000000000005</v>
      </c>
      <c r="FT50" s="20">
        <v>953.29</v>
      </c>
      <c r="FU50" s="20">
        <v>407</v>
      </c>
      <c r="FV50" s="20">
        <v>370.9</v>
      </c>
      <c r="FW50" s="20">
        <v>730.39850000000001</v>
      </c>
      <c r="FX50" s="20">
        <v>150.95212451336579</v>
      </c>
      <c r="FY50" s="20">
        <v>809.02644331744193</v>
      </c>
      <c r="FZ50" s="20">
        <v>998.85557374169468</v>
      </c>
      <c r="GA50" s="20">
        <v>2815.7359977939554</v>
      </c>
      <c r="GB50" s="20">
        <v>388.36509029729791</v>
      </c>
      <c r="GC50" s="20">
        <v>134.65212984760328</v>
      </c>
      <c r="GD50" s="20">
        <v>251.68811639183591</v>
      </c>
      <c r="GE50" s="20">
        <v>185.27323129407068</v>
      </c>
      <c r="GF50" s="20">
        <v>1249.3282774878007</v>
      </c>
      <c r="GG50" s="20">
        <v>710.62914632579873</v>
      </c>
      <c r="GH50" s="20">
        <v>302.10673343251739</v>
      </c>
      <c r="GI50" s="20">
        <v>259.55463555661692</v>
      </c>
      <c r="GJ50" s="22">
        <v>7283.8358093124207</v>
      </c>
      <c r="GK50" s="22">
        <f t="shared" si="139"/>
        <v>8256.1674999999996</v>
      </c>
      <c r="GL50" s="19">
        <f t="shared" si="117"/>
        <v>1.1334917090586321</v>
      </c>
    </row>
    <row r="51" spans="1:194" s="11" customFormat="1" ht="24.95" customHeight="1">
      <c r="A51" s="15">
        <f t="shared" si="138"/>
        <v>7</v>
      </c>
      <c r="B51" s="16" t="s">
        <v>48</v>
      </c>
      <c r="C51" s="17">
        <v>11488</v>
      </c>
      <c r="D51" s="17"/>
      <c r="E51" s="17"/>
      <c r="F51" s="17"/>
      <c r="G51" s="20">
        <v>92</v>
      </c>
      <c r="H51" s="20">
        <v>73</v>
      </c>
      <c r="I51" s="20">
        <v>76</v>
      </c>
      <c r="J51" s="20">
        <v>76</v>
      </c>
      <c r="K51" s="20">
        <v>92</v>
      </c>
      <c r="L51" s="20">
        <v>92</v>
      </c>
      <c r="M51" s="20">
        <v>75</v>
      </c>
      <c r="N51" s="20">
        <v>75</v>
      </c>
      <c r="O51" s="20">
        <v>75</v>
      </c>
      <c r="P51" s="20">
        <v>47</v>
      </c>
      <c r="Q51" s="20">
        <v>108</v>
      </c>
      <c r="R51" s="20">
        <v>67</v>
      </c>
      <c r="S51" s="20">
        <v>54</v>
      </c>
      <c r="T51" s="20">
        <v>53</v>
      </c>
      <c r="U51" s="20">
        <v>29</v>
      </c>
      <c r="V51" s="20">
        <v>55</v>
      </c>
      <c r="W51" s="20">
        <v>14</v>
      </c>
      <c r="X51" s="20">
        <v>24</v>
      </c>
      <c r="Y51" s="20">
        <v>46</v>
      </c>
      <c r="Z51" s="20">
        <v>40</v>
      </c>
      <c r="AA51" s="20">
        <v>39</v>
      </c>
      <c r="AB51" s="18">
        <v>742</v>
      </c>
      <c r="AC51" s="18">
        <f t="shared" si="25"/>
        <v>576</v>
      </c>
      <c r="AD51" s="19">
        <f t="shared" si="10"/>
        <v>0.77628032345013476</v>
      </c>
      <c r="AE51" s="20"/>
      <c r="AF51" s="20"/>
      <c r="AG51" s="20"/>
      <c r="AH51" s="20"/>
      <c r="AI51" s="20"/>
      <c r="AJ51" s="20"/>
      <c r="AK51" s="20">
        <v>113</v>
      </c>
      <c r="AL51" s="20">
        <v>240</v>
      </c>
      <c r="AM51" s="20">
        <v>41</v>
      </c>
      <c r="AN51" s="20">
        <v>13</v>
      </c>
      <c r="AO51" s="20">
        <v>13</v>
      </c>
      <c r="AP51" s="20">
        <v>8</v>
      </c>
      <c r="AQ51" s="20">
        <v>31</v>
      </c>
      <c r="AR51" s="20">
        <v>70</v>
      </c>
      <c r="AS51" s="20">
        <v>73</v>
      </c>
      <c r="AT51" s="20">
        <v>44</v>
      </c>
      <c r="AU51" s="20">
        <v>50</v>
      </c>
      <c r="AV51" s="20">
        <v>51</v>
      </c>
      <c r="AW51" s="20">
        <v>41</v>
      </c>
      <c r="AX51" s="20">
        <v>21</v>
      </c>
      <c r="AY51" s="20">
        <v>54</v>
      </c>
      <c r="AZ51" s="20">
        <v>45</v>
      </c>
      <c r="BA51" s="20">
        <v>53</v>
      </c>
      <c r="BB51" s="20">
        <v>20</v>
      </c>
      <c r="BC51" s="27">
        <v>522</v>
      </c>
      <c r="BD51" s="27">
        <f t="shared" si="13"/>
        <v>553</v>
      </c>
      <c r="BE51" s="19">
        <f t="shared" si="14"/>
        <v>1.0593869731800767</v>
      </c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>
        <v>46</v>
      </c>
      <c r="BS51" s="20">
        <v>26</v>
      </c>
      <c r="BT51" s="20">
        <v>14</v>
      </c>
      <c r="BU51" s="20">
        <v>14</v>
      </c>
      <c r="BV51" s="20">
        <v>230</v>
      </c>
      <c r="BW51" s="20">
        <v>95</v>
      </c>
      <c r="BX51" s="20">
        <v>94</v>
      </c>
      <c r="BY51" s="20">
        <v>65</v>
      </c>
      <c r="BZ51" s="20">
        <v>100</v>
      </c>
      <c r="CA51" s="20">
        <v>134</v>
      </c>
      <c r="CB51" s="20">
        <v>91</v>
      </c>
      <c r="CC51" s="20">
        <v>39</v>
      </c>
      <c r="CD51" s="21">
        <v>882</v>
      </c>
      <c r="CE51" s="21">
        <f t="shared" si="95"/>
        <v>948</v>
      </c>
      <c r="CF51" s="19">
        <f t="shared" si="16"/>
        <v>1.0748299319727892</v>
      </c>
      <c r="CG51" s="20"/>
      <c r="CH51" s="20"/>
      <c r="CI51" s="20">
        <v>50</v>
      </c>
      <c r="CJ51" s="20">
        <v>380</v>
      </c>
      <c r="CK51" s="20">
        <v>665</v>
      </c>
      <c r="CL51" s="20">
        <v>1300</v>
      </c>
      <c r="CM51" s="20">
        <v>200</v>
      </c>
      <c r="CN51" s="20">
        <v>460</v>
      </c>
      <c r="CO51" s="20">
        <v>175</v>
      </c>
      <c r="CP51" s="20">
        <v>225</v>
      </c>
      <c r="CQ51" s="20"/>
      <c r="CR51" s="20"/>
      <c r="CS51" s="20">
        <v>0</v>
      </c>
      <c r="CT51" s="20">
        <v>356.47510377074201</v>
      </c>
      <c r="CU51" s="20">
        <v>67.357214375285551</v>
      </c>
      <c r="CV51" s="20">
        <v>103.62648365428547</v>
      </c>
      <c r="CW51" s="20">
        <v>41.450593461714185</v>
      </c>
      <c r="CX51" s="20">
        <v>331.60474769371348</v>
      </c>
      <c r="CY51" s="20">
        <v>310.87945096285637</v>
      </c>
      <c r="CZ51" s="20">
        <v>528.49506663685588</v>
      </c>
      <c r="DA51" s="20">
        <v>563.72807107931294</v>
      </c>
      <c r="DB51" s="20">
        <v>725.38538557999823</v>
      </c>
      <c r="DC51" s="20">
        <v>896.3690836095692</v>
      </c>
      <c r="DD51" s="20">
        <v>668.39081957014128</v>
      </c>
      <c r="DE51" s="14">
        <v>4099.5128591736075</v>
      </c>
      <c r="DF51" s="14">
        <v>4628.9600817124146</v>
      </c>
      <c r="DG51" s="19">
        <f t="shared" si="18"/>
        <v>1.1291488137069863</v>
      </c>
      <c r="DH51" s="20"/>
      <c r="DI51" s="20"/>
      <c r="DJ51" s="20"/>
      <c r="DK51" s="20"/>
      <c r="DL51" s="20"/>
      <c r="DM51" s="20"/>
      <c r="DN51" s="20"/>
      <c r="DO51" s="20">
        <v>391</v>
      </c>
      <c r="DP51" s="20">
        <v>148</v>
      </c>
      <c r="DQ51" s="20">
        <v>310</v>
      </c>
      <c r="DR51" s="20">
        <v>170</v>
      </c>
      <c r="DS51" s="20">
        <v>270</v>
      </c>
      <c r="DT51" s="20">
        <v>495.56937626115894</v>
      </c>
      <c r="DU51" s="20">
        <v>521.76226084155849</v>
      </c>
      <c r="DV51" s="20">
        <v>889.5103603503677</v>
      </c>
      <c r="DW51" s="20">
        <v>249.35626120540343</v>
      </c>
      <c r="DX51" s="20">
        <v>249.35626120540343</v>
      </c>
      <c r="DY51" s="20">
        <v>124.67813060270171</v>
      </c>
      <c r="DZ51" s="20">
        <v>356.22323029343346</v>
      </c>
      <c r="EA51" s="20">
        <v>249.35626120540343</v>
      </c>
      <c r="EB51" s="20">
        <v>0</v>
      </c>
      <c r="EC51" s="20">
        <v>195.92277666138841</v>
      </c>
      <c r="ED51" s="20">
        <v>89.055807573358365</v>
      </c>
      <c r="EE51" s="20">
        <v>71.244646058686698</v>
      </c>
      <c r="EF51" s="14">
        <v>2113.0724526240815</v>
      </c>
      <c r="EG51" s="14">
        <f t="shared" si="23"/>
        <v>3492.0353722588643</v>
      </c>
      <c r="EH51" s="19">
        <f t="shared" si="20"/>
        <v>1.6525866720387852</v>
      </c>
      <c r="EI51" s="19"/>
      <c r="EJ51" s="19"/>
      <c r="EK51" s="14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>
        <v>285.37536653254364</v>
      </c>
      <c r="EX51" s="20">
        <v>300.94129561613693</v>
      </c>
      <c r="EY51" s="20">
        <v>612.25987728800271</v>
      </c>
      <c r="EZ51" s="20">
        <v>1077.1568963959066</v>
      </c>
      <c r="FA51" s="20">
        <v>352.82772589478128</v>
      </c>
      <c r="FB51" s="20">
        <v>1170.9771405747251</v>
      </c>
      <c r="FC51" s="20">
        <v>296.79038119384541</v>
      </c>
      <c r="FD51" s="20">
        <v>2635.9904683603886</v>
      </c>
      <c r="FE51" s="20">
        <v>1319.8180044758831</v>
      </c>
      <c r="FF51" s="20">
        <v>259.43215139322149</v>
      </c>
      <c r="FG51" s="20">
        <v>207.33817539346265</v>
      </c>
      <c r="FH51" s="20">
        <v>77.829645417965111</v>
      </c>
      <c r="FI51" s="14">
        <v>6367.9311263773043</v>
      </c>
      <c r="FJ51" s="24">
        <v>8596.7371285368627</v>
      </c>
      <c r="FK51" s="19">
        <v>1.1678913638413437</v>
      </c>
      <c r="FL51" s="20"/>
      <c r="FM51" s="20">
        <v>33</v>
      </c>
      <c r="FN51" s="20">
        <v>516.22856000000002</v>
      </c>
      <c r="FO51" s="20">
        <v>644.81098999999995</v>
      </c>
      <c r="FP51" s="20">
        <v>899.82369999999992</v>
      </c>
      <c r="FQ51" s="20">
        <v>400.48400000000004</v>
      </c>
      <c r="FR51" s="20">
        <v>739.13599999999997</v>
      </c>
      <c r="FS51" s="20">
        <v>1225.4276000000002</v>
      </c>
      <c r="FT51" s="20">
        <v>946.51199999999994</v>
      </c>
      <c r="FU51" s="20">
        <v>467.04399999999998</v>
      </c>
      <c r="FV51" s="20">
        <v>656.24700000000007</v>
      </c>
      <c r="FW51" s="20">
        <v>1313.3696</v>
      </c>
      <c r="FX51" s="20">
        <v>150.29076084170435</v>
      </c>
      <c r="FY51" s="20">
        <v>963.86474619813055</v>
      </c>
      <c r="FZ51" s="20">
        <v>993.88282083024694</v>
      </c>
      <c r="GA51" s="20">
        <v>927.42725220126215</v>
      </c>
      <c r="GB51" s="20">
        <v>198.38380431104974</v>
      </c>
      <c r="GC51" s="20">
        <v>338.65518109664043</v>
      </c>
      <c r="GD51" s="20">
        <v>194.37605068860427</v>
      </c>
      <c r="GE51" s="20">
        <v>125.90358004912378</v>
      </c>
      <c r="GF51" s="20">
        <v>853.8579208924366</v>
      </c>
      <c r="GG51" s="20">
        <v>170.83049815673726</v>
      </c>
      <c r="GH51" s="20">
        <v>34.065905790786317</v>
      </c>
      <c r="GI51" s="20">
        <v>217.34047794327833</v>
      </c>
      <c r="GJ51" s="22">
        <v>4779.3602233803085</v>
      </c>
      <c r="GK51" s="22">
        <f t="shared" si="139"/>
        <v>5168.8789990000005</v>
      </c>
      <c r="GL51" s="19">
        <f t="shared" si="117"/>
        <v>1.0815001919533482</v>
      </c>
    </row>
    <row r="52" spans="1:194" s="11" customFormat="1" ht="24.95" customHeight="1">
      <c r="A52" s="15">
        <f t="shared" si="138"/>
        <v>8</v>
      </c>
      <c r="B52" s="16" t="s">
        <v>54</v>
      </c>
      <c r="C52" s="17">
        <v>11489</v>
      </c>
      <c r="D52" s="17"/>
      <c r="E52" s="17"/>
      <c r="F52" s="17"/>
      <c r="G52" s="20">
        <v>71</v>
      </c>
      <c r="H52" s="20">
        <v>67</v>
      </c>
      <c r="I52" s="20">
        <v>71</v>
      </c>
      <c r="J52" s="20">
        <v>75</v>
      </c>
      <c r="K52" s="20">
        <v>75</v>
      </c>
      <c r="L52" s="20">
        <v>65</v>
      </c>
      <c r="M52" s="20">
        <v>65</v>
      </c>
      <c r="N52" s="20">
        <v>66</v>
      </c>
      <c r="O52" s="20">
        <v>65</v>
      </c>
      <c r="P52" s="20">
        <v>21</v>
      </c>
      <c r="Q52" s="20">
        <v>99</v>
      </c>
      <c r="R52" s="20">
        <v>23</v>
      </c>
      <c r="S52" s="20">
        <v>21</v>
      </c>
      <c r="T52" s="20">
        <v>68</v>
      </c>
      <c r="U52" s="20">
        <v>29</v>
      </c>
      <c r="V52" s="20">
        <v>66</v>
      </c>
      <c r="W52" s="20">
        <v>43</v>
      </c>
      <c r="X52" s="20">
        <v>28</v>
      </c>
      <c r="Y52" s="20">
        <v>15</v>
      </c>
      <c r="Z52" s="20">
        <v>64</v>
      </c>
      <c r="AA52" s="20">
        <v>8</v>
      </c>
      <c r="AB52" s="18">
        <v>546</v>
      </c>
      <c r="AC52" s="18">
        <f t="shared" si="25"/>
        <v>485</v>
      </c>
      <c r="AD52" s="19">
        <f t="shared" si="10"/>
        <v>0.88827838827838823</v>
      </c>
      <c r="AE52" s="20"/>
      <c r="AF52" s="20"/>
      <c r="AG52" s="20"/>
      <c r="AH52" s="20"/>
      <c r="AI52" s="20"/>
      <c r="AJ52" s="20"/>
      <c r="AK52" s="20">
        <v>188</v>
      </c>
      <c r="AL52" s="20">
        <v>379</v>
      </c>
      <c r="AM52" s="20">
        <v>37</v>
      </c>
      <c r="AN52" s="20">
        <v>3</v>
      </c>
      <c r="AO52" s="20">
        <v>76</v>
      </c>
      <c r="AP52" s="20">
        <v>5</v>
      </c>
      <c r="AQ52" s="20">
        <v>21</v>
      </c>
      <c r="AR52" s="20">
        <v>124</v>
      </c>
      <c r="AS52" s="20">
        <v>121</v>
      </c>
      <c r="AT52" s="20">
        <v>81</v>
      </c>
      <c r="AU52" s="20">
        <v>58</v>
      </c>
      <c r="AV52" s="20">
        <v>69</v>
      </c>
      <c r="AW52" s="20">
        <v>64</v>
      </c>
      <c r="AX52" s="20">
        <v>69</v>
      </c>
      <c r="AY52" s="20">
        <v>79</v>
      </c>
      <c r="AZ52" s="20">
        <v>85</v>
      </c>
      <c r="BA52" s="20">
        <v>52</v>
      </c>
      <c r="BB52" s="20">
        <v>27</v>
      </c>
      <c r="BC52" s="27">
        <v>770</v>
      </c>
      <c r="BD52" s="27">
        <f t="shared" si="13"/>
        <v>850</v>
      </c>
      <c r="BE52" s="19">
        <f t="shared" si="14"/>
        <v>1.1038961038961039</v>
      </c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>
        <v>131</v>
      </c>
      <c r="BS52" s="20">
        <v>258</v>
      </c>
      <c r="BT52" s="20">
        <v>178</v>
      </c>
      <c r="BU52" s="20">
        <v>318</v>
      </c>
      <c r="BV52" s="20">
        <v>287</v>
      </c>
      <c r="BW52" s="20">
        <v>294</v>
      </c>
      <c r="BX52" s="20">
        <v>237</v>
      </c>
      <c r="BY52" s="20">
        <v>188</v>
      </c>
      <c r="BZ52" s="20">
        <v>267</v>
      </c>
      <c r="CA52" s="20">
        <v>387</v>
      </c>
      <c r="CB52" s="20">
        <v>117</v>
      </c>
      <c r="CC52" s="20">
        <v>65</v>
      </c>
      <c r="CD52" s="21">
        <v>1914</v>
      </c>
      <c r="CE52" s="21">
        <f t="shared" si="95"/>
        <v>2727</v>
      </c>
      <c r="CF52" s="19">
        <f t="shared" si="16"/>
        <v>1.4247648902821317</v>
      </c>
      <c r="CG52" s="20"/>
      <c r="CH52" s="20"/>
      <c r="CI52" s="20">
        <v>150.65600000000001</v>
      </c>
      <c r="CJ52" s="20">
        <v>340</v>
      </c>
      <c r="CK52" s="20">
        <v>450</v>
      </c>
      <c r="CL52" s="20">
        <v>449.09999999999997</v>
      </c>
      <c r="CM52" s="20">
        <v>250</v>
      </c>
      <c r="CN52" s="20"/>
      <c r="CO52" s="20">
        <v>200</v>
      </c>
      <c r="CP52" s="20">
        <v>125</v>
      </c>
      <c r="CQ52" s="20">
        <v>162.9</v>
      </c>
      <c r="CR52" s="20"/>
      <c r="CS52" s="20">
        <v>103.62648365428547</v>
      </c>
      <c r="CT52" s="20">
        <v>341.967396059142</v>
      </c>
      <c r="CU52" s="20">
        <v>0</v>
      </c>
      <c r="CV52" s="20">
        <v>51.813241827142733</v>
      </c>
      <c r="CW52" s="20">
        <v>165.80237384685674</v>
      </c>
      <c r="CX52" s="20">
        <v>341.967396059142</v>
      </c>
      <c r="CY52" s="20">
        <v>103.62648365428547</v>
      </c>
      <c r="CZ52" s="20">
        <v>1347.144287505711</v>
      </c>
      <c r="DA52" s="20">
        <v>683.93479211828401</v>
      </c>
      <c r="DB52" s="20">
        <v>766.83597904171245</v>
      </c>
      <c r="DC52" s="20">
        <v>331.60474769371348</v>
      </c>
      <c r="DD52" s="20">
        <v>595.85228101214136</v>
      </c>
      <c r="DE52" s="14">
        <v>4272.788358073688</v>
      </c>
      <c r="DF52" s="14">
        <v>4871.2156059527215</v>
      </c>
      <c r="DG52" s="19">
        <f t="shared" si="18"/>
        <v>1.1400554386805211</v>
      </c>
      <c r="DH52" s="20"/>
      <c r="DI52" s="20"/>
      <c r="DJ52" s="20"/>
      <c r="DK52" s="20"/>
      <c r="DL52" s="20"/>
      <c r="DM52" s="20"/>
      <c r="DN52" s="20">
        <v>51</v>
      </c>
      <c r="DO52" s="20">
        <v>257</v>
      </c>
      <c r="DP52" s="20">
        <v>135</v>
      </c>
      <c r="DQ52" s="20">
        <v>108</v>
      </c>
      <c r="DR52" s="20">
        <v>119</v>
      </c>
      <c r="DS52" s="20">
        <v>71</v>
      </c>
      <c r="DT52" s="20">
        <v>56.576630693662963</v>
      </c>
      <c r="DU52" s="20">
        <v>822.45657582454498</v>
      </c>
      <c r="DV52" s="20">
        <v>809.8839912259532</v>
      </c>
      <c r="DW52" s="20">
        <v>639.10638376174825</v>
      </c>
      <c r="DX52" s="20">
        <v>204.30449972711625</v>
      </c>
      <c r="DY52" s="20">
        <v>134.10756905164556</v>
      </c>
      <c r="DZ52" s="20">
        <v>245.16539967253951</v>
      </c>
      <c r="EA52" s="20">
        <v>305.93289189906642</v>
      </c>
      <c r="EB52" s="20">
        <v>206.39993049354823</v>
      </c>
      <c r="EC52" s="20">
        <v>434.80188403463205</v>
      </c>
      <c r="ED52" s="20">
        <v>416.9907225199604</v>
      </c>
      <c r="EE52" s="20">
        <v>648.53582221069212</v>
      </c>
      <c r="EF52" s="14">
        <v>3332.6464684156231</v>
      </c>
      <c r="EG52" s="14">
        <f t="shared" si="23"/>
        <v>4924.2623011151109</v>
      </c>
      <c r="EH52" s="19">
        <f t="shared" si="20"/>
        <v>1.4775831603452854</v>
      </c>
      <c r="EI52" s="19"/>
      <c r="EJ52" s="19"/>
      <c r="EK52" s="14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>
        <v>103.77286055728861</v>
      </c>
      <c r="EX52" s="20">
        <v>217.92300717030608</v>
      </c>
      <c r="EY52" s="20">
        <v>51.886430278644305</v>
      </c>
      <c r="EZ52" s="20">
        <v>2105</v>
      </c>
      <c r="FA52" s="20">
        <v>1717.3852718562978</v>
      </c>
      <c r="FB52" s="20">
        <v>689.18804267766507</v>
      </c>
      <c r="FC52" s="20">
        <v>1452.8396608726857</v>
      </c>
      <c r="FD52" s="20">
        <v>1976.5227602119669</v>
      </c>
      <c r="FE52" s="20">
        <v>544.80751792576518</v>
      </c>
      <c r="FF52" s="20">
        <v>311.31858167186579</v>
      </c>
      <c r="FG52" s="20">
        <v>297.82810979941831</v>
      </c>
      <c r="FH52" s="20">
        <v>1428.7729243609219</v>
      </c>
      <c r="FI52" s="14">
        <v>11878.485349526833</v>
      </c>
      <c r="FJ52" s="24">
        <v>10897.245167382825</v>
      </c>
      <c r="FK52" s="19">
        <v>1.0820753699345791</v>
      </c>
      <c r="FL52" s="20"/>
      <c r="FM52" s="20">
        <v>190</v>
      </c>
      <c r="FN52" s="20">
        <v>1350.7519</v>
      </c>
      <c r="FO52" s="20">
        <v>2420.4349099999999</v>
      </c>
      <c r="FP52" s="20">
        <v>3753.4539680000007</v>
      </c>
      <c r="FQ52" s="20">
        <v>2310.19</v>
      </c>
      <c r="FR52" s="20">
        <v>2629.5212000000001</v>
      </c>
      <c r="FS52" s="20">
        <v>2154.4928000000004</v>
      </c>
      <c r="FT52" s="20">
        <v>2329.1799999999998</v>
      </c>
      <c r="FU52" s="20">
        <v>1749.538</v>
      </c>
      <c r="FV52" s="20">
        <v>1872.992</v>
      </c>
      <c r="FW52" s="20">
        <v>2708.08</v>
      </c>
      <c r="FX52" s="20">
        <v>1090.3880845625422</v>
      </c>
      <c r="FY52" s="20">
        <v>2995.1929554348844</v>
      </c>
      <c r="FZ52" s="20">
        <v>2711.2345868686389</v>
      </c>
      <c r="GA52" s="20">
        <v>4364.9318973496702</v>
      </c>
      <c r="GB52" s="20">
        <v>1481.0103464463564</v>
      </c>
      <c r="GC52" s="20">
        <v>1062.3931364418095</v>
      </c>
      <c r="GD52" s="20">
        <v>1295.9436985206175</v>
      </c>
      <c r="GE52" s="20">
        <v>1313.1838066340965</v>
      </c>
      <c r="GF52" s="20">
        <v>1438.0864190254326</v>
      </c>
      <c r="GG52" s="20">
        <v>2340.795906671277</v>
      </c>
      <c r="GH52" s="20">
        <v>2105.699751265809</v>
      </c>
      <c r="GI52" s="20">
        <v>2060.9709027788526</v>
      </c>
      <c r="GJ52" s="22">
        <v>25283.300000000003</v>
      </c>
      <c r="GK52" s="22">
        <f t="shared" si="139"/>
        <v>24259.831491999987</v>
      </c>
      <c r="GL52" s="19">
        <f t="shared" si="117"/>
        <v>0.95951997927485666</v>
      </c>
    </row>
    <row r="53" spans="1:194" s="11" customFormat="1" ht="24.95" customHeight="1">
      <c r="A53" s="15">
        <f t="shared" si="138"/>
        <v>9</v>
      </c>
      <c r="B53" s="16" t="s">
        <v>55</v>
      </c>
      <c r="C53" s="17">
        <v>11490</v>
      </c>
      <c r="D53" s="17"/>
      <c r="E53" s="17"/>
      <c r="F53" s="17"/>
      <c r="G53" s="20">
        <v>45</v>
      </c>
      <c r="H53" s="20">
        <v>56</v>
      </c>
      <c r="I53" s="20">
        <v>74</v>
      </c>
      <c r="J53" s="20">
        <v>85</v>
      </c>
      <c r="K53" s="20">
        <v>43</v>
      </c>
      <c r="L53" s="20">
        <v>80</v>
      </c>
      <c r="M53" s="20">
        <v>80</v>
      </c>
      <c r="N53" s="20">
        <v>75</v>
      </c>
      <c r="O53" s="20">
        <v>76</v>
      </c>
      <c r="P53" s="20">
        <v>114</v>
      </c>
      <c r="Q53" s="20">
        <v>181</v>
      </c>
      <c r="R53" s="20">
        <v>65</v>
      </c>
      <c r="S53" s="20">
        <v>49</v>
      </c>
      <c r="T53" s="20">
        <v>63</v>
      </c>
      <c r="U53" s="20">
        <v>77</v>
      </c>
      <c r="V53" s="20">
        <v>73</v>
      </c>
      <c r="W53" s="20">
        <v>73</v>
      </c>
      <c r="X53" s="20">
        <v>64</v>
      </c>
      <c r="Y53" s="20"/>
      <c r="Z53" s="20">
        <v>90</v>
      </c>
      <c r="AA53" s="20">
        <v>41</v>
      </c>
      <c r="AB53" s="18">
        <v>825</v>
      </c>
      <c r="AC53" s="18">
        <f t="shared" si="25"/>
        <v>890</v>
      </c>
      <c r="AD53" s="19">
        <f t="shared" si="10"/>
        <v>1.0787878787878789</v>
      </c>
      <c r="AE53" s="20"/>
      <c r="AF53" s="20"/>
      <c r="AG53" s="20"/>
      <c r="AH53" s="20"/>
      <c r="AI53" s="20"/>
      <c r="AJ53" s="20"/>
      <c r="AK53" s="20">
        <v>342</v>
      </c>
      <c r="AL53" s="20">
        <v>585</v>
      </c>
      <c r="AM53" s="20">
        <v>261</v>
      </c>
      <c r="AN53" s="20">
        <v>23</v>
      </c>
      <c r="AO53" s="20">
        <v>59</v>
      </c>
      <c r="AP53" s="20"/>
      <c r="AQ53" s="20">
        <v>60</v>
      </c>
      <c r="AR53" s="20">
        <v>194</v>
      </c>
      <c r="AS53" s="20">
        <v>155</v>
      </c>
      <c r="AT53" s="20">
        <v>105</v>
      </c>
      <c r="AU53" s="20">
        <v>88</v>
      </c>
      <c r="AV53" s="20">
        <v>105</v>
      </c>
      <c r="AW53" s="20">
        <v>109</v>
      </c>
      <c r="AX53" s="20">
        <v>84</v>
      </c>
      <c r="AY53" s="20">
        <v>83</v>
      </c>
      <c r="AZ53" s="20">
        <v>87</v>
      </c>
      <c r="BA53" s="20">
        <v>103</v>
      </c>
      <c r="BB53" s="20">
        <v>30</v>
      </c>
      <c r="BC53" s="27">
        <v>1078</v>
      </c>
      <c r="BD53" s="27">
        <f t="shared" si="13"/>
        <v>1203</v>
      </c>
      <c r="BE53" s="19">
        <f t="shared" si="14"/>
        <v>1.1159554730983303</v>
      </c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>
        <v>94</v>
      </c>
      <c r="BS53" s="20">
        <v>202</v>
      </c>
      <c r="BT53" s="20">
        <v>124</v>
      </c>
      <c r="BU53" s="20">
        <v>148</v>
      </c>
      <c r="BV53" s="20">
        <v>285</v>
      </c>
      <c r="BW53" s="20">
        <v>167</v>
      </c>
      <c r="BX53" s="20">
        <v>45</v>
      </c>
      <c r="BY53" s="20">
        <v>60</v>
      </c>
      <c r="BZ53" s="20">
        <v>118</v>
      </c>
      <c r="CA53" s="20">
        <v>63</v>
      </c>
      <c r="CB53" s="20">
        <v>37</v>
      </c>
      <c r="CC53" s="20">
        <v>17</v>
      </c>
      <c r="CD53" s="21">
        <v>1672</v>
      </c>
      <c r="CE53" s="21">
        <f t="shared" si="95"/>
        <v>1360</v>
      </c>
      <c r="CF53" s="19">
        <f t="shared" si="16"/>
        <v>0.8133971291866029</v>
      </c>
      <c r="CG53" s="20"/>
      <c r="CH53" s="20"/>
      <c r="CI53" s="20">
        <v>100</v>
      </c>
      <c r="CJ53" s="20">
        <v>400</v>
      </c>
      <c r="CK53" s="20">
        <v>1550.5519999999999</v>
      </c>
      <c r="CL53" s="20">
        <v>700</v>
      </c>
      <c r="CM53" s="20">
        <v>300</v>
      </c>
      <c r="CN53" s="20">
        <v>1141.5810000000001</v>
      </c>
      <c r="CO53" s="20">
        <v>725</v>
      </c>
      <c r="CP53" s="20">
        <v>199.99907834999999</v>
      </c>
      <c r="CQ53" s="20">
        <v>100</v>
      </c>
      <c r="CR53" s="20"/>
      <c r="CS53" s="20">
        <v>0</v>
      </c>
      <c r="CT53" s="20">
        <v>207.25296730857093</v>
      </c>
      <c r="CU53" s="20">
        <v>62.175890192571273</v>
      </c>
      <c r="CV53" s="20">
        <v>72.538538557999829</v>
      </c>
      <c r="CW53" s="20">
        <v>0</v>
      </c>
      <c r="CX53" s="20">
        <v>0</v>
      </c>
      <c r="CY53" s="20">
        <v>51.813241827142733</v>
      </c>
      <c r="CZ53" s="20">
        <v>533.67639081957009</v>
      </c>
      <c r="DA53" s="20">
        <v>1025.9021881774261</v>
      </c>
      <c r="DB53" s="20">
        <v>632.12155029114126</v>
      </c>
      <c r="DC53" s="20">
        <v>663.20949538742695</v>
      </c>
      <c r="DD53" s="20">
        <v>186.52767057771382</v>
      </c>
      <c r="DE53" s="14">
        <v>3205.976236052687</v>
      </c>
      <c r="DF53" s="14">
        <v>3461.5390640371434</v>
      </c>
      <c r="DG53" s="19">
        <f t="shared" si="18"/>
        <v>1.0797145110155635</v>
      </c>
      <c r="DH53" s="20"/>
      <c r="DI53" s="20"/>
      <c r="DJ53" s="20"/>
      <c r="DK53" s="20"/>
      <c r="DL53" s="20"/>
      <c r="DM53" s="20"/>
      <c r="DN53" s="20"/>
      <c r="DO53" s="20"/>
      <c r="DP53" s="20">
        <v>17</v>
      </c>
      <c r="DQ53" s="20"/>
      <c r="DR53" s="20">
        <v>17</v>
      </c>
      <c r="DS53" s="20">
        <v>34</v>
      </c>
      <c r="DT53" s="20">
        <v>106.86696908803005</v>
      </c>
      <c r="DU53" s="20">
        <v>376.12982257453717</v>
      </c>
      <c r="DV53" s="20">
        <v>209.54307664319617</v>
      </c>
      <c r="DW53" s="20">
        <v>53.433484544015023</v>
      </c>
      <c r="DX53" s="20">
        <v>142.4892921173734</v>
      </c>
      <c r="DY53" s="20">
        <v>302.78974574941844</v>
      </c>
      <c r="DZ53" s="20">
        <v>160.30045363204508</v>
      </c>
      <c r="EA53" s="20">
        <v>165.539030548125</v>
      </c>
      <c r="EB53" s="20">
        <v>106.86696908803005</v>
      </c>
      <c r="EC53" s="20">
        <v>195.92277666138841</v>
      </c>
      <c r="ED53" s="20">
        <v>17.811161514671674</v>
      </c>
      <c r="EE53" s="20">
        <v>0</v>
      </c>
      <c r="EF53" s="14">
        <v>2003.9526722637859</v>
      </c>
      <c r="EG53" s="14">
        <f t="shared" si="23"/>
        <v>1837.6927821608306</v>
      </c>
      <c r="EH53" s="19">
        <f t="shared" si="20"/>
        <v>0.91703402360538877</v>
      </c>
      <c r="EI53" s="19"/>
      <c r="EJ53" s="19"/>
      <c r="EK53" s="14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>
        <v>207.54572111457722</v>
      </c>
      <c r="EX53" s="20">
        <v>140.0933617523396</v>
      </c>
      <c r="EY53" s="20">
        <v>259.43215139322149</v>
      </c>
      <c r="EZ53" s="20">
        <v>1029.1248122322818</v>
      </c>
      <c r="FA53" s="20">
        <v>1511.4589781171492</v>
      </c>
      <c r="FB53" s="20">
        <v>294.50846787662095</v>
      </c>
      <c r="FC53" s="20">
        <v>2507.9537488661767</v>
      </c>
      <c r="FD53" s="20">
        <v>3759</v>
      </c>
      <c r="FE53" s="20">
        <v>1616.2865445199961</v>
      </c>
      <c r="FF53" s="20">
        <v>1511.7740532763714</v>
      </c>
      <c r="FG53" s="20">
        <v>715.78964991943599</v>
      </c>
      <c r="FH53" s="20">
        <v>1332.8539251633558</v>
      </c>
      <c r="FI53" s="14">
        <v>12241.023427222424</v>
      </c>
      <c r="FJ53" s="24">
        <v>14885.821414231525</v>
      </c>
      <c r="FK53" s="19">
        <v>1.2283554314467957</v>
      </c>
      <c r="FL53" s="20"/>
      <c r="FM53" s="20">
        <v>235.99799999999999</v>
      </c>
      <c r="FN53" s="20">
        <v>914.73999000000003</v>
      </c>
      <c r="FO53" s="20">
        <v>1096</v>
      </c>
      <c r="FP53" s="20">
        <v>1593.7620000000002</v>
      </c>
      <c r="FQ53" s="20">
        <v>858.48749999999995</v>
      </c>
      <c r="FR53" s="20">
        <v>727.5</v>
      </c>
      <c r="FS53" s="20">
        <v>1187.3399999999997</v>
      </c>
      <c r="FT53" s="20">
        <v>1172.72</v>
      </c>
      <c r="FU53" s="20">
        <v>390</v>
      </c>
      <c r="FV53" s="20">
        <v>628.4</v>
      </c>
      <c r="FW53" s="20">
        <v>801.90480000000002</v>
      </c>
      <c r="FX53" s="20">
        <v>272.25433323585912</v>
      </c>
      <c r="FY53" s="20">
        <v>1415.9937324943282</v>
      </c>
      <c r="FZ53" s="20">
        <v>1736.180095916556</v>
      </c>
      <c r="GA53" s="20">
        <v>4032.588394608616</v>
      </c>
      <c r="GB53" s="20">
        <v>870.6011559940265</v>
      </c>
      <c r="GC53" s="20">
        <v>521.50691686426137</v>
      </c>
      <c r="GD53" s="20">
        <v>408.90883254129585</v>
      </c>
      <c r="GE53" s="20">
        <v>399.15568893044843</v>
      </c>
      <c r="GF53" s="20">
        <v>1883.4113822685656</v>
      </c>
      <c r="GG53" s="20">
        <v>1365.6184946334979</v>
      </c>
      <c r="GH53" s="20">
        <v>275.67948459662017</v>
      </c>
      <c r="GI53" s="20">
        <v>381.83908791592637</v>
      </c>
      <c r="GJ53" s="22">
        <v>13892</v>
      </c>
      <c r="GK53" s="22">
        <f t="shared" si="139"/>
        <v>13563.737600000002</v>
      </c>
      <c r="GL53" s="19">
        <f t="shared" si="117"/>
        <v>0.9763704002303486</v>
      </c>
    </row>
    <row r="54" spans="1:194" s="11" customFormat="1" ht="24.95" customHeight="1">
      <c r="A54" s="15">
        <f t="shared" si="138"/>
        <v>10</v>
      </c>
      <c r="B54" s="16" t="s">
        <v>56</v>
      </c>
      <c r="C54" s="17">
        <v>11579</v>
      </c>
      <c r="D54" s="17"/>
      <c r="E54" s="17"/>
      <c r="F54" s="17"/>
      <c r="G54" s="20">
        <v>55</v>
      </c>
      <c r="H54" s="20">
        <v>35</v>
      </c>
      <c r="I54" s="20">
        <v>85</v>
      </c>
      <c r="J54" s="20">
        <v>75</v>
      </c>
      <c r="K54" s="20">
        <v>65</v>
      </c>
      <c r="L54" s="20">
        <v>84</v>
      </c>
      <c r="M54" s="20">
        <v>45</v>
      </c>
      <c r="N54" s="20">
        <v>78</v>
      </c>
      <c r="O54" s="20">
        <v>75</v>
      </c>
      <c r="P54" s="20">
        <v>54</v>
      </c>
      <c r="Q54" s="20">
        <v>118</v>
      </c>
      <c r="R54" s="20">
        <v>103</v>
      </c>
      <c r="S54" s="20">
        <v>26</v>
      </c>
      <c r="T54" s="20">
        <v>81</v>
      </c>
      <c r="U54" s="20">
        <v>61</v>
      </c>
      <c r="V54" s="20">
        <v>51</v>
      </c>
      <c r="W54" s="20">
        <v>178</v>
      </c>
      <c r="X54" s="20">
        <v>173</v>
      </c>
      <c r="Y54" s="20">
        <v>1</v>
      </c>
      <c r="Z54" s="20">
        <v>157</v>
      </c>
      <c r="AA54" s="20">
        <v>52</v>
      </c>
      <c r="AB54" s="18">
        <v>988</v>
      </c>
      <c r="AC54" s="18">
        <f t="shared" si="25"/>
        <v>1055</v>
      </c>
      <c r="AD54" s="19">
        <f t="shared" si="10"/>
        <v>1.0678137651821862</v>
      </c>
      <c r="AE54" s="20"/>
      <c r="AF54" s="20"/>
      <c r="AG54" s="20"/>
      <c r="AH54" s="20"/>
      <c r="AI54" s="20"/>
      <c r="AJ54" s="20">
        <v>80</v>
      </c>
      <c r="AK54" s="20">
        <v>304</v>
      </c>
      <c r="AL54" s="20">
        <v>754</v>
      </c>
      <c r="AM54" s="20">
        <v>40</v>
      </c>
      <c r="AN54" s="20">
        <v>10</v>
      </c>
      <c r="AO54" s="20">
        <v>5</v>
      </c>
      <c r="AP54" s="20"/>
      <c r="AQ54" s="20">
        <v>35</v>
      </c>
      <c r="AR54" s="20">
        <v>166</v>
      </c>
      <c r="AS54" s="20">
        <v>153</v>
      </c>
      <c r="AT54" s="20">
        <v>180</v>
      </c>
      <c r="AU54" s="20">
        <v>124</v>
      </c>
      <c r="AV54" s="20">
        <v>63</v>
      </c>
      <c r="AW54" s="20">
        <v>59</v>
      </c>
      <c r="AX54" s="20">
        <v>38</v>
      </c>
      <c r="AY54" s="20">
        <v>144</v>
      </c>
      <c r="AZ54" s="20">
        <v>100</v>
      </c>
      <c r="BA54" s="20">
        <v>84</v>
      </c>
      <c r="BB54" s="20">
        <v>11</v>
      </c>
      <c r="BC54" s="27">
        <v>1068</v>
      </c>
      <c r="BD54" s="27">
        <f t="shared" si="13"/>
        <v>1157</v>
      </c>
      <c r="BE54" s="19">
        <f t="shared" si="14"/>
        <v>1.0833333333333333</v>
      </c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>
        <v>541</v>
      </c>
      <c r="BS54" s="20">
        <v>39</v>
      </c>
      <c r="BT54" s="20">
        <v>28</v>
      </c>
      <c r="BU54" s="20">
        <v>24</v>
      </c>
      <c r="BV54" s="20">
        <v>87</v>
      </c>
      <c r="BW54" s="20">
        <v>57</v>
      </c>
      <c r="BX54" s="20">
        <v>42</v>
      </c>
      <c r="BY54" s="20">
        <v>49</v>
      </c>
      <c r="BZ54" s="20">
        <v>101</v>
      </c>
      <c r="CA54" s="20">
        <v>212</v>
      </c>
      <c r="CB54" s="20">
        <v>59</v>
      </c>
      <c r="CC54" s="20">
        <v>19</v>
      </c>
      <c r="CD54" s="21">
        <v>1042</v>
      </c>
      <c r="CE54" s="21">
        <f t="shared" si="95"/>
        <v>1258</v>
      </c>
      <c r="CF54" s="19">
        <f t="shared" si="16"/>
        <v>1.2072936660268714</v>
      </c>
      <c r="CG54" s="20"/>
      <c r="CH54" s="20"/>
      <c r="CI54" s="20">
        <v>119.93248</v>
      </c>
      <c r="CJ54" s="20">
        <v>245</v>
      </c>
      <c r="CK54" s="20">
        <v>1352.4803830000001</v>
      </c>
      <c r="CL54" s="20">
        <v>425.19960000000003</v>
      </c>
      <c r="CM54" s="20">
        <v>166</v>
      </c>
      <c r="CN54" s="20">
        <v>300</v>
      </c>
      <c r="CO54" s="20">
        <v>100</v>
      </c>
      <c r="CP54" s="20">
        <v>150</v>
      </c>
      <c r="CQ54" s="20">
        <v>2150</v>
      </c>
      <c r="CR54" s="20"/>
      <c r="CS54" s="20">
        <v>102.59021881774261</v>
      </c>
      <c r="CT54" s="20">
        <v>687.04358662791265</v>
      </c>
      <c r="CU54" s="20">
        <v>310.87945096285637</v>
      </c>
      <c r="CV54" s="20">
        <v>333.59230365020267</v>
      </c>
      <c r="CW54" s="20">
        <v>129.53310456785684</v>
      </c>
      <c r="CX54" s="20">
        <v>274.61018168385647</v>
      </c>
      <c r="CY54" s="20">
        <v>466.31917644428455</v>
      </c>
      <c r="CZ54" s="20">
        <v>621.75890192571273</v>
      </c>
      <c r="DA54" s="20">
        <v>1398.9575293328537</v>
      </c>
      <c r="DB54" s="20">
        <v>1036.2648365428547</v>
      </c>
      <c r="DC54" s="20">
        <v>658.02817120471263</v>
      </c>
      <c r="DD54" s="20">
        <v>362.69269278999911</v>
      </c>
      <c r="DE54" s="14">
        <v>5749.6799673987844</v>
      </c>
      <c r="DF54" s="14">
        <v>6431.1720208752677</v>
      </c>
      <c r="DG54" s="19">
        <f t="shared" si="18"/>
        <v>1.1185269540810281</v>
      </c>
      <c r="DH54" s="20"/>
      <c r="DI54" s="20"/>
      <c r="DJ54" s="20"/>
      <c r="DK54" s="20"/>
      <c r="DL54" s="20"/>
      <c r="DM54" s="20"/>
      <c r="DN54" s="20"/>
      <c r="DO54" s="20"/>
      <c r="DP54" s="20"/>
      <c r="DQ54" s="20">
        <v>51</v>
      </c>
      <c r="DR54" s="20">
        <v>104</v>
      </c>
      <c r="DS54" s="20">
        <v>85</v>
      </c>
      <c r="DT54" s="20">
        <v>104.77153832159809</v>
      </c>
      <c r="DU54" s="20">
        <v>313.26689958157829</v>
      </c>
      <c r="DV54" s="20">
        <v>471.47192244719139</v>
      </c>
      <c r="DW54" s="20">
        <v>198.01820742782039</v>
      </c>
      <c r="DX54" s="20">
        <v>71.244646058686698</v>
      </c>
      <c r="DY54" s="20">
        <v>124.67813060270171</v>
      </c>
      <c r="DZ54" s="20">
        <v>106.86696908803005</v>
      </c>
      <c r="EA54" s="20">
        <v>71.244646058686698</v>
      </c>
      <c r="EB54" s="20">
        <v>35.622323029343349</v>
      </c>
      <c r="EC54" s="20">
        <v>124.67813060270171</v>
      </c>
      <c r="ED54" s="20">
        <v>35.622323029343349</v>
      </c>
      <c r="EE54" s="20">
        <v>35.622323029343349</v>
      </c>
      <c r="EF54" s="14">
        <v>1989.475164695556</v>
      </c>
      <c r="EG54" s="14">
        <f t="shared" si="23"/>
        <v>1693.1080592770249</v>
      </c>
      <c r="EH54" s="19">
        <f t="shared" si="20"/>
        <v>0.85103251818482317</v>
      </c>
      <c r="EI54" s="19"/>
      <c r="EJ54" s="19"/>
      <c r="EK54" s="14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>
        <v>322.73359633316755</v>
      </c>
      <c r="EX54" s="20">
        <v>397.45005593441533</v>
      </c>
      <c r="EY54" s="20">
        <v>522.9535242431333</v>
      </c>
      <c r="EZ54" s="20">
        <v>103.77286055728861</v>
      </c>
      <c r="FA54" s="20">
        <v>1595.084197703877</v>
      </c>
      <c r="FB54" s="20">
        <v>1118.4713108459864</v>
      </c>
      <c r="FC54" s="20">
        <v>5805.0538299520103</v>
      </c>
      <c r="FD54" s="20">
        <v>8101.9944328500942</v>
      </c>
      <c r="FE54" s="20">
        <v>5271.5925564128565</v>
      </c>
      <c r="FF54" s="20">
        <v>2864.0960868132038</v>
      </c>
      <c r="FG54" s="20">
        <v>2413.6660722897209</v>
      </c>
      <c r="FH54" s="20">
        <v>30.094129561612135</v>
      </c>
      <c r="FI54" s="14">
        <v>23006.763217618056</v>
      </c>
      <c r="FJ54" s="24">
        <v>28546.962653497365</v>
      </c>
      <c r="FK54" s="19">
        <v>1.1064463857418281</v>
      </c>
      <c r="FL54" s="20"/>
      <c r="FM54" s="20">
        <v>192.5</v>
      </c>
      <c r="FN54" s="20">
        <v>458.73399999999998</v>
      </c>
      <c r="FO54" s="20">
        <v>1034.8500000000001</v>
      </c>
      <c r="FP54" s="20">
        <v>905.70236000000023</v>
      </c>
      <c r="FQ54" s="20">
        <v>409.15100000000001</v>
      </c>
      <c r="FR54" s="20">
        <v>750.02600000000007</v>
      </c>
      <c r="FS54" s="20">
        <v>877.43200000000002</v>
      </c>
      <c r="FT54" s="20">
        <v>832.80500000000006</v>
      </c>
      <c r="FU54" s="20">
        <v>419.01949999999994</v>
      </c>
      <c r="FV54" s="20">
        <v>338.34700000000004</v>
      </c>
      <c r="FW54" s="20">
        <v>271.64400000000001</v>
      </c>
      <c r="FX54" s="20">
        <v>214.79927450609785</v>
      </c>
      <c r="FY54" s="20">
        <v>865.39767764823591</v>
      </c>
      <c r="FZ54" s="20">
        <v>910.23677266116374</v>
      </c>
      <c r="GA54" s="20">
        <v>3880.3945311922844</v>
      </c>
      <c r="GB54" s="20">
        <v>595.63696838017643</v>
      </c>
      <c r="GC54" s="20">
        <v>380.11256884446652</v>
      </c>
      <c r="GD54" s="20">
        <v>219.09525999621982</v>
      </c>
      <c r="GE54" s="20">
        <v>323.17757700890303</v>
      </c>
      <c r="GF54" s="20">
        <v>2123.5403120693991</v>
      </c>
      <c r="GG54" s="20">
        <v>589.23761322373889</v>
      </c>
      <c r="GH54" s="20">
        <v>263.13418207437269</v>
      </c>
      <c r="GI54" s="20">
        <v>817.24126239494251</v>
      </c>
      <c r="GJ54" s="22">
        <v>11598</v>
      </c>
      <c r="GK54" s="22">
        <f t="shared" si="139"/>
        <v>11182.004000000003</v>
      </c>
      <c r="GL54" s="19">
        <f t="shared" si="117"/>
        <v>0.9641320917399554</v>
      </c>
    </row>
    <row r="55" spans="1:194" s="11" customFormat="1" ht="24.95" customHeight="1">
      <c r="A55" s="15">
        <f t="shared" si="138"/>
        <v>11</v>
      </c>
      <c r="B55" s="16" t="s">
        <v>44</v>
      </c>
      <c r="C55" s="17">
        <v>11580</v>
      </c>
      <c r="D55" s="17"/>
      <c r="E55" s="17"/>
      <c r="F55" s="17"/>
      <c r="G55" s="20">
        <v>71</v>
      </c>
      <c r="H55" s="20">
        <v>77</v>
      </c>
      <c r="I55" s="20">
        <v>68</v>
      </c>
      <c r="J55" s="20">
        <v>77</v>
      </c>
      <c r="K55" s="20">
        <v>75</v>
      </c>
      <c r="L55" s="20">
        <v>97</v>
      </c>
      <c r="M55" s="20">
        <v>77</v>
      </c>
      <c r="N55" s="20">
        <v>70</v>
      </c>
      <c r="O55" s="20">
        <v>76</v>
      </c>
      <c r="P55" s="20">
        <v>121</v>
      </c>
      <c r="Q55" s="20">
        <v>126</v>
      </c>
      <c r="R55" s="20">
        <v>144</v>
      </c>
      <c r="S55" s="20">
        <v>68</v>
      </c>
      <c r="T55" s="20">
        <v>22</v>
      </c>
      <c r="U55" s="20">
        <v>82</v>
      </c>
      <c r="V55" s="20">
        <v>120</v>
      </c>
      <c r="W55" s="20">
        <v>110</v>
      </c>
      <c r="X55" s="20">
        <v>50</v>
      </c>
      <c r="Y55" s="20">
        <v>5</v>
      </c>
      <c r="Z55" s="20">
        <v>42</v>
      </c>
      <c r="AA55" s="20">
        <v>30</v>
      </c>
      <c r="AB55" s="18">
        <v>937</v>
      </c>
      <c r="AC55" s="18">
        <f t="shared" si="25"/>
        <v>920</v>
      </c>
      <c r="AD55" s="19">
        <f t="shared" si="10"/>
        <v>0.98185699039487728</v>
      </c>
      <c r="AE55" s="20"/>
      <c r="AF55" s="20"/>
      <c r="AG55" s="20"/>
      <c r="AH55" s="20"/>
      <c r="AI55" s="20"/>
      <c r="AJ55" s="20"/>
      <c r="AK55" s="20">
        <v>156</v>
      </c>
      <c r="AL55" s="20">
        <v>271</v>
      </c>
      <c r="AM55" s="20">
        <v>40</v>
      </c>
      <c r="AN55" s="20">
        <v>1</v>
      </c>
      <c r="AO55" s="20">
        <v>11</v>
      </c>
      <c r="AP55" s="20">
        <v>78</v>
      </c>
      <c r="AQ55" s="20">
        <v>20</v>
      </c>
      <c r="AR55" s="20">
        <v>48</v>
      </c>
      <c r="AS55" s="20">
        <v>39</v>
      </c>
      <c r="AT55" s="20">
        <v>46</v>
      </c>
      <c r="AU55" s="20">
        <v>48</v>
      </c>
      <c r="AV55" s="20">
        <v>46</v>
      </c>
      <c r="AW55" s="20">
        <v>24</v>
      </c>
      <c r="AX55" s="20">
        <v>15</v>
      </c>
      <c r="AY55" s="20">
        <v>29</v>
      </c>
      <c r="AZ55" s="20">
        <v>42</v>
      </c>
      <c r="BA55" s="20">
        <v>52</v>
      </c>
      <c r="BB55" s="20">
        <v>11</v>
      </c>
      <c r="BC55" s="27">
        <v>402</v>
      </c>
      <c r="BD55" s="27">
        <f t="shared" si="13"/>
        <v>420</v>
      </c>
      <c r="BE55" s="19">
        <f t="shared" si="14"/>
        <v>1.044776119402985</v>
      </c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>
        <v>118</v>
      </c>
      <c r="BS55" s="20">
        <v>395</v>
      </c>
      <c r="BT55" s="20">
        <v>152</v>
      </c>
      <c r="BU55" s="20">
        <v>107</v>
      </c>
      <c r="BV55" s="20">
        <v>188</v>
      </c>
      <c r="BW55" s="20">
        <v>63</v>
      </c>
      <c r="BX55" s="20">
        <v>60</v>
      </c>
      <c r="BY55" s="20">
        <v>81</v>
      </c>
      <c r="BZ55" s="20">
        <v>80</v>
      </c>
      <c r="CA55" s="20">
        <v>81</v>
      </c>
      <c r="CB55" s="20">
        <v>38</v>
      </c>
      <c r="CC55" s="20">
        <v>6</v>
      </c>
      <c r="CD55" s="21">
        <v>1537</v>
      </c>
      <c r="CE55" s="21">
        <f t="shared" si="95"/>
        <v>1369</v>
      </c>
      <c r="CF55" s="19">
        <f t="shared" si="16"/>
        <v>0.89069616135328566</v>
      </c>
      <c r="CG55" s="20"/>
      <c r="CH55" s="20"/>
      <c r="CI55" s="20">
        <v>70</v>
      </c>
      <c r="CJ55" s="20">
        <v>100</v>
      </c>
      <c r="CK55" s="20">
        <v>550</v>
      </c>
      <c r="CL55" s="20">
        <v>200</v>
      </c>
      <c r="CM55" s="20"/>
      <c r="CN55" s="20">
        <v>200</v>
      </c>
      <c r="CO55" s="20">
        <v>50</v>
      </c>
      <c r="CP55" s="20">
        <v>100</v>
      </c>
      <c r="CQ55" s="20">
        <v>100</v>
      </c>
      <c r="CR55" s="20"/>
      <c r="CS55" s="20">
        <v>0</v>
      </c>
      <c r="CT55" s="20">
        <v>207.25296730857093</v>
      </c>
      <c r="CU55" s="20">
        <v>176.16502221228529</v>
      </c>
      <c r="CV55" s="20">
        <v>621.75890192571273</v>
      </c>
      <c r="CW55" s="20">
        <v>932.6383528885691</v>
      </c>
      <c r="CX55" s="20">
        <v>569.94566009856999</v>
      </c>
      <c r="CY55" s="20">
        <v>414.50593461714186</v>
      </c>
      <c r="CZ55" s="20">
        <v>724.92942905191933</v>
      </c>
      <c r="DA55" s="20">
        <v>538.85771500228441</v>
      </c>
      <c r="DB55" s="20">
        <v>782.37995158985518</v>
      </c>
      <c r="DC55" s="20">
        <v>544.03903918499873</v>
      </c>
      <c r="DD55" s="20">
        <v>310.87945096285637</v>
      </c>
      <c r="DE55" s="14">
        <v>5311.8039391683133</v>
      </c>
      <c r="DF55" s="14">
        <v>5867.9717836200807</v>
      </c>
      <c r="DG55" s="19">
        <f t="shared" si="18"/>
        <v>1.1047041364517773</v>
      </c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>
        <v>27</v>
      </c>
      <c r="DS55" s="20">
        <v>17</v>
      </c>
      <c r="DT55" s="20">
        <v>1072.8605524131644</v>
      </c>
      <c r="DU55" s="20">
        <v>910.46466801468728</v>
      </c>
      <c r="DV55" s="20">
        <v>660.06069142606793</v>
      </c>
      <c r="DW55" s="20">
        <v>140.39386135094142</v>
      </c>
      <c r="DX55" s="20">
        <v>106.86696908803005</v>
      </c>
      <c r="DY55" s="20">
        <v>17.811161514671674</v>
      </c>
      <c r="DZ55" s="20">
        <v>17.811161514671674</v>
      </c>
      <c r="EA55" s="20">
        <v>0</v>
      </c>
      <c r="EB55" s="20">
        <v>0</v>
      </c>
      <c r="EC55" s="20">
        <v>10.477153832159809</v>
      </c>
      <c r="ED55" s="20">
        <v>17.811161514671674</v>
      </c>
      <c r="EE55" s="20">
        <v>35.622323029343349</v>
      </c>
      <c r="EF55" s="14">
        <v>3511.0894033577542</v>
      </c>
      <c r="EG55" s="14">
        <f t="shared" si="23"/>
        <v>2990.1797036984094</v>
      </c>
      <c r="EH55" s="19">
        <f t="shared" si="20"/>
        <v>0.85163872524545114</v>
      </c>
      <c r="EI55" s="19"/>
      <c r="EJ55" s="19"/>
      <c r="EK55" s="14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>
        <v>145.28200478020403</v>
      </c>
      <c r="EX55" s="20">
        <v>259.43215139322149</v>
      </c>
      <c r="EY55" s="20">
        <v>678.24359124120326</v>
      </c>
      <c r="EZ55" s="20">
        <v>4375.0020199227547</v>
      </c>
      <c r="FA55" s="20">
        <v>882.58817903973954</v>
      </c>
      <c r="FB55" s="20">
        <v>3371.7950804595157</v>
      </c>
      <c r="FC55" s="20">
        <v>5534</v>
      </c>
      <c r="FD55" s="20">
        <v>1616.4110096889485</v>
      </c>
      <c r="FE55" s="20">
        <v>733.89966407516556</v>
      </c>
      <c r="FF55" s="20">
        <v>2203.2791208186309</v>
      </c>
      <c r="FG55" s="20">
        <v>213.84075924984529</v>
      </c>
      <c r="FH55" s="20">
        <v>1432.5828874190074</v>
      </c>
      <c r="FI55" s="14">
        <v>19222.451584597231</v>
      </c>
      <c r="FJ55" s="24">
        <v>21446.356468088241</v>
      </c>
      <c r="FK55" s="19">
        <v>1.1010196654608491</v>
      </c>
      <c r="FL55" s="20"/>
      <c r="FM55" s="20">
        <v>271.65499999999997</v>
      </c>
      <c r="FN55" s="20">
        <v>575.24795999999992</v>
      </c>
      <c r="FO55" s="20">
        <v>652.4</v>
      </c>
      <c r="FP55" s="20">
        <v>704.59699999999998</v>
      </c>
      <c r="FQ55" s="20">
        <v>620.89800000000002</v>
      </c>
      <c r="FR55" s="20">
        <v>463.82099999999997</v>
      </c>
      <c r="FS55" s="20">
        <v>730.35</v>
      </c>
      <c r="FT55" s="20">
        <v>1091</v>
      </c>
      <c r="FU55" s="20">
        <v>573.99250000000006</v>
      </c>
      <c r="FV55" s="20">
        <v>528.27199999999993</v>
      </c>
      <c r="FW55" s="20">
        <v>1155.75</v>
      </c>
      <c r="FX55" s="20">
        <v>391.5327131520956</v>
      </c>
      <c r="FY55" s="20">
        <v>924.04642189813592</v>
      </c>
      <c r="FZ55" s="20">
        <v>755.83507280864217</v>
      </c>
      <c r="GA55" s="20">
        <v>1891.0080432322527</v>
      </c>
      <c r="GB55" s="20">
        <v>639.26399916338994</v>
      </c>
      <c r="GC55" s="20">
        <v>546.8289206619196</v>
      </c>
      <c r="GD55" s="20">
        <v>338.75614873933637</v>
      </c>
      <c r="GE55" s="20">
        <v>313.49401006425563</v>
      </c>
      <c r="GF55" s="20">
        <v>540.75180376779372</v>
      </c>
      <c r="GG55" s="20">
        <v>280.01406724185938</v>
      </c>
      <c r="GH55" s="20">
        <v>190.73421971546944</v>
      </c>
      <c r="GI55" s="20">
        <v>512.34457955485141</v>
      </c>
      <c r="GJ55" s="22">
        <v>7810.6356494594966</v>
      </c>
      <c r="GK55" s="22">
        <f t="shared" si="139"/>
        <v>7324.6100000000015</v>
      </c>
      <c r="GL55" s="19">
        <f t="shared" si="117"/>
        <v>0.93777386741972424</v>
      </c>
    </row>
    <row r="56" spans="1:194" s="11" customFormat="1" ht="24.95" customHeight="1">
      <c r="A56" s="15">
        <f t="shared" si="138"/>
        <v>12</v>
      </c>
      <c r="B56" s="16" t="s">
        <v>40</v>
      </c>
      <c r="C56" s="17">
        <v>11581</v>
      </c>
      <c r="D56" s="17"/>
      <c r="E56" s="17"/>
      <c r="F56" s="17"/>
      <c r="G56" s="20">
        <v>73</v>
      </c>
      <c r="H56" s="20">
        <v>55</v>
      </c>
      <c r="I56" s="20">
        <v>59</v>
      </c>
      <c r="J56" s="20">
        <v>66</v>
      </c>
      <c r="K56" s="20">
        <v>68</v>
      </c>
      <c r="L56" s="20">
        <v>68</v>
      </c>
      <c r="M56" s="20">
        <v>68</v>
      </c>
      <c r="N56" s="20">
        <v>69</v>
      </c>
      <c r="O56" s="20">
        <v>68</v>
      </c>
      <c r="P56" s="20">
        <v>115</v>
      </c>
      <c r="Q56" s="20">
        <v>77</v>
      </c>
      <c r="R56" s="20">
        <v>41</v>
      </c>
      <c r="S56" s="20">
        <v>51</v>
      </c>
      <c r="T56" s="20">
        <v>75</v>
      </c>
      <c r="U56" s="20">
        <v>76</v>
      </c>
      <c r="V56" s="20">
        <v>52</v>
      </c>
      <c r="W56" s="20">
        <v>30</v>
      </c>
      <c r="X56" s="20"/>
      <c r="Y56" s="20">
        <v>40</v>
      </c>
      <c r="Z56" s="20">
        <v>99</v>
      </c>
      <c r="AA56" s="20"/>
      <c r="AB56" s="18">
        <v>836</v>
      </c>
      <c r="AC56" s="18">
        <f t="shared" si="25"/>
        <v>656</v>
      </c>
      <c r="AD56" s="19">
        <f t="shared" si="10"/>
        <v>0.78468899521531099</v>
      </c>
      <c r="AE56" s="20"/>
      <c r="AF56" s="20"/>
      <c r="AG56" s="20"/>
      <c r="AH56" s="20"/>
      <c r="AI56" s="20"/>
      <c r="AJ56" s="20">
        <v>44</v>
      </c>
      <c r="AK56" s="20">
        <v>105</v>
      </c>
      <c r="AL56" s="20">
        <v>318</v>
      </c>
      <c r="AM56" s="20">
        <v>42</v>
      </c>
      <c r="AN56" s="20">
        <v>5</v>
      </c>
      <c r="AO56" s="20">
        <v>17</v>
      </c>
      <c r="AP56" s="20">
        <v>9</v>
      </c>
      <c r="AQ56" s="20">
        <v>12</v>
      </c>
      <c r="AR56" s="20">
        <v>67</v>
      </c>
      <c r="AS56" s="20">
        <v>47</v>
      </c>
      <c r="AT56" s="20">
        <v>34</v>
      </c>
      <c r="AU56" s="20">
        <v>46</v>
      </c>
      <c r="AV56" s="20">
        <v>62</v>
      </c>
      <c r="AW56" s="20">
        <v>63</v>
      </c>
      <c r="AX56" s="20">
        <v>35</v>
      </c>
      <c r="AY56" s="20">
        <v>32</v>
      </c>
      <c r="AZ56" s="20">
        <v>17</v>
      </c>
      <c r="BA56" s="20">
        <v>21</v>
      </c>
      <c r="BB56" s="20">
        <v>18</v>
      </c>
      <c r="BC56" s="27">
        <v>373</v>
      </c>
      <c r="BD56" s="27">
        <f t="shared" si="13"/>
        <v>454</v>
      </c>
      <c r="BE56" s="19">
        <f t="shared" si="14"/>
        <v>1.2171581769436997</v>
      </c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>
        <v>90</v>
      </c>
      <c r="BS56" s="20">
        <v>365</v>
      </c>
      <c r="BT56" s="20">
        <v>137</v>
      </c>
      <c r="BU56" s="20">
        <v>135</v>
      </c>
      <c r="BV56" s="20">
        <v>108</v>
      </c>
      <c r="BW56" s="20">
        <v>86</v>
      </c>
      <c r="BX56" s="20">
        <v>478</v>
      </c>
      <c r="BY56" s="20">
        <v>158</v>
      </c>
      <c r="BZ56" s="20">
        <v>92</v>
      </c>
      <c r="CA56" s="20">
        <v>40</v>
      </c>
      <c r="CB56" s="20">
        <v>67</v>
      </c>
      <c r="CC56" s="20">
        <v>50</v>
      </c>
      <c r="CD56" s="21">
        <v>1843</v>
      </c>
      <c r="CE56" s="21">
        <f t="shared" si="95"/>
        <v>1806</v>
      </c>
      <c r="CF56" s="19">
        <f t="shared" si="16"/>
        <v>0.97992403689636465</v>
      </c>
      <c r="CG56" s="20"/>
      <c r="CH56" s="20"/>
      <c r="CI56" s="20">
        <v>250</v>
      </c>
      <c r="CJ56" s="20">
        <v>250</v>
      </c>
      <c r="CK56" s="20">
        <v>377</v>
      </c>
      <c r="CL56" s="20">
        <v>300</v>
      </c>
      <c r="CM56" s="20">
        <v>200</v>
      </c>
      <c r="CN56" s="20">
        <v>800</v>
      </c>
      <c r="CO56" s="20"/>
      <c r="CP56" s="20">
        <v>200</v>
      </c>
      <c r="CQ56" s="20">
        <v>100</v>
      </c>
      <c r="CR56" s="20">
        <v>50</v>
      </c>
      <c r="CS56" s="20">
        <v>0</v>
      </c>
      <c r="CT56" s="20">
        <v>103.62648365428547</v>
      </c>
      <c r="CU56" s="20">
        <v>93.26383528885691</v>
      </c>
      <c r="CV56" s="20">
        <v>103.62648365428547</v>
      </c>
      <c r="CW56" s="20">
        <v>310.87945096285637</v>
      </c>
      <c r="CX56" s="20">
        <v>310.87945096285637</v>
      </c>
      <c r="CY56" s="20">
        <v>2865.2722730409932</v>
      </c>
      <c r="CZ56" s="20">
        <v>249.73982560682796</v>
      </c>
      <c r="DA56" s="20">
        <v>1170.9792652934257</v>
      </c>
      <c r="DB56" s="20">
        <v>735.74803394542676</v>
      </c>
      <c r="DC56" s="20">
        <v>457.15466059166141</v>
      </c>
      <c r="DD56" s="20">
        <v>1589.630259256739</v>
      </c>
      <c r="DE56" s="14">
        <v>7575.8390026814859</v>
      </c>
      <c r="DF56" s="14">
        <v>8052.0266743821521</v>
      </c>
      <c r="DG56" s="19">
        <f t="shared" si="18"/>
        <v>1.0628560970649084</v>
      </c>
      <c r="DH56" s="20"/>
      <c r="DI56" s="20"/>
      <c r="DJ56" s="20"/>
      <c r="DK56" s="20"/>
      <c r="DL56" s="20"/>
      <c r="DM56" s="20"/>
      <c r="DN56" s="20"/>
      <c r="DO56" s="20">
        <v>136</v>
      </c>
      <c r="DP56" s="20">
        <v>44</v>
      </c>
      <c r="DQ56" s="20">
        <v>168</v>
      </c>
      <c r="DR56" s="20">
        <v>114</v>
      </c>
      <c r="DS56" s="20">
        <v>68</v>
      </c>
      <c r="DT56" s="20">
        <v>1310.6919444031919</v>
      </c>
      <c r="DU56" s="20">
        <v>1253.0675983263131</v>
      </c>
      <c r="DV56" s="20">
        <v>3556.9937260182546</v>
      </c>
      <c r="DW56" s="20">
        <v>334.22120724589786</v>
      </c>
      <c r="DX56" s="20">
        <v>300.6943149829865</v>
      </c>
      <c r="DY56" s="20">
        <v>124.67813060270171</v>
      </c>
      <c r="DZ56" s="20">
        <v>213.73393817606009</v>
      </c>
      <c r="EA56" s="20">
        <v>0</v>
      </c>
      <c r="EB56" s="20">
        <v>35.622323029343349</v>
      </c>
      <c r="EC56" s="20">
        <v>178.11161514671673</v>
      </c>
      <c r="ED56" s="20">
        <v>124.67813060270171</v>
      </c>
      <c r="EE56" s="20">
        <v>89.055807573358365</v>
      </c>
      <c r="EF56" s="14">
        <v>5051.2938963658544</v>
      </c>
      <c r="EG56" s="14">
        <f t="shared" si="23"/>
        <v>7521.5487361075257</v>
      </c>
      <c r="EH56" s="19">
        <f t="shared" si="20"/>
        <v>1.4890340753126425</v>
      </c>
      <c r="EI56" s="19"/>
      <c r="EJ56" s="19"/>
      <c r="EK56" s="14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>
        <v>518.86430278644298</v>
      </c>
      <c r="EX56" s="20">
        <v>290.56400956040807</v>
      </c>
      <c r="EY56" s="20">
        <v>570.75073306508727</v>
      </c>
      <c r="EZ56" s="20">
        <v>2185</v>
      </c>
      <c r="FA56" s="20">
        <v>1839.8928176807269</v>
      </c>
      <c r="FB56" s="20">
        <v>155.65929083593289</v>
      </c>
      <c r="FC56" s="20">
        <v>1241.6641508492351</v>
      </c>
      <c r="FD56" s="20">
        <v>83.018288445830876</v>
      </c>
      <c r="FE56" s="20">
        <v>551.27074592478152</v>
      </c>
      <c r="FF56" s="20">
        <v>0</v>
      </c>
      <c r="FG56" s="20">
        <v>486.72781955620133</v>
      </c>
      <c r="FH56" s="20">
        <v>379.0198386494875</v>
      </c>
      <c r="FI56" s="14">
        <v>7412.3685325170618</v>
      </c>
      <c r="FJ56" s="24">
        <v>8302.4319973541333</v>
      </c>
      <c r="FK56" s="19">
        <v>1.0544274958669719</v>
      </c>
      <c r="FL56" s="20"/>
      <c r="FM56" s="20">
        <v>235.9</v>
      </c>
      <c r="FN56" s="20">
        <v>831.55099999999993</v>
      </c>
      <c r="FO56" s="20">
        <v>814.35</v>
      </c>
      <c r="FP56" s="20">
        <v>673.15000000000009</v>
      </c>
      <c r="FQ56" s="20">
        <v>847.04</v>
      </c>
      <c r="FR56" s="20">
        <v>956.86899999999991</v>
      </c>
      <c r="FS56" s="20">
        <v>1490.2750000000001</v>
      </c>
      <c r="FT56" s="20">
        <v>1294.83</v>
      </c>
      <c r="FU56" s="20">
        <v>777.29</v>
      </c>
      <c r="FV56" s="20">
        <v>503.5</v>
      </c>
      <c r="FW56" s="20">
        <v>828</v>
      </c>
      <c r="FX56" s="20">
        <v>324.43175089241095</v>
      </c>
      <c r="FY56" s="20">
        <v>1202.4267660994763</v>
      </c>
      <c r="FZ56" s="20">
        <v>1406.5653472259141</v>
      </c>
      <c r="GA56" s="20">
        <v>3284.9236086125406</v>
      </c>
      <c r="GB56" s="20">
        <v>938.86347726507393</v>
      </c>
      <c r="GC56" s="20">
        <v>662.39208710185937</v>
      </c>
      <c r="GD56" s="20">
        <v>1063.5655010953142</v>
      </c>
      <c r="GE56" s="20">
        <v>694.99292615532147</v>
      </c>
      <c r="GF56" s="20">
        <v>1615.943742711145</v>
      </c>
      <c r="GG56" s="20">
        <v>1482.6922632726569</v>
      </c>
      <c r="GH56" s="20">
        <v>841.82385025414419</v>
      </c>
      <c r="GI56" s="20">
        <v>1190.2510393141424</v>
      </c>
      <c r="GJ56" s="22">
        <v>15246</v>
      </c>
      <c r="GK56" s="22">
        <f t="shared" si="139"/>
        <v>14708.872359999998</v>
      </c>
      <c r="GL56" s="19">
        <f t="shared" si="117"/>
        <v>0.96476927456381989</v>
      </c>
    </row>
    <row r="57" spans="1:194" s="11" customFormat="1" ht="24.95" customHeight="1">
      <c r="A57" s="15">
        <f t="shared" si="138"/>
        <v>13</v>
      </c>
      <c r="B57" s="16" t="s">
        <v>45</v>
      </c>
      <c r="C57" s="17">
        <v>11582</v>
      </c>
      <c r="D57" s="17"/>
      <c r="E57" s="17"/>
      <c r="F57" s="17"/>
      <c r="G57" s="20">
        <v>49</v>
      </c>
      <c r="H57" s="20">
        <v>47</v>
      </c>
      <c r="I57" s="20">
        <v>49</v>
      </c>
      <c r="J57" s="20">
        <v>65</v>
      </c>
      <c r="K57" s="20">
        <v>65</v>
      </c>
      <c r="L57" s="20">
        <v>52</v>
      </c>
      <c r="M57" s="20">
        <v>52</v>
      </c>
      <c r="N57" s="20">
        <v>52</v>
      </c>
      <c r="O57" s="20">
        <v>55</v>
      </c>
      <c r="P57" s="20">
        <v>142</v>
      </c>
      <c r="Q57" s="20">
        <v>165</v>
      </c>
      <c r="R57" s="20">
        <v>85</v>
      </c>
      <c r="S57" s="20">
        <v>75</v>
      </c>
      <c r="T57" s="20">
        <v>73</v>
      </c>
      <c r="U57" s="20">
        <v>62</v>
      </c>
      <c r="V57" s="20">
        <v>67</v>
      </c>
      <c r="W57" s="20">
        <v>113</v>
      </c>
      <c r="X57" s="20">
        <v>93</v>
      </c>
      <c r="Y57" s="20"/>
      <c r="Z57" s="20">
        <v>11</v>
      </c>
      <c r="AA57" s="20">
        <v>57</v>
      </c>
      <c r="AB57" s="18">
        <v>864</v>
      </c>
      <c r="AC57" s="18">
        <f t="shared" si="25"/>
        <v>943</v>
      </c>
      <c r="AD57" s="19">
        <f t="shared" si="10"/>
        <v>1.0914351851851851</v>
      </c>
      <c r="AE57" s="20"/>
      <c r="AF57" s="20"/>
      <c r="AG57" s="20"/>
      <c r="AH57" s="20"/>
      <c r="AI57" s="20"/>
      <c r="AJ57" s="20"/>
      <c r="AK57" s="20">
        <v>202</v>
      </c>
      <c r="AL57" s="20">
        <v>476</v>
      </c>
      <c r="AM57" s="20">
        <v>17</v>
      </c>
      <c r="AN57" s="20"/>
      <c r="AO57" s="20">
        <v>2</v>
      </c>
      <c r="AP57" s="20"/>
      <c r="AQ57" s="20">
        <v>56</v>
      </c>
      <c r="AR57" s="20">
        <v>116</v>
      </c>
      <c r="AS57" s="20">
        <v>40</v>
      </c>
      <c r="AT57" s="20">
        <v>84</v>
      </c>
      <c r="AU57" s="20">
        <v>82</v>
      </c>
      <c r="AV57" s="20">
        <v>110</v>
      </c>
      <c r="AW57" s="20">
        <v>61</v>
      </c>
      <c r="AX57" s="20">
        <v>29</v>
      </c>
      <c r="AY57" s="20">
        <v>60</v>
      </c>
      <c r="AZ57" s="20">
        <v>120</v>
      </c>
      <c r="BA57" s="20">
        <v>24</v>
      </c>
      <c r="BB57" s="20">
        <v>6</v>
      </c>
      <c r="BC57" s="27">
        <v>749</v>
      </c>
      <c r="BD57" s="27">
        <f t="shared" si="13"/>
        <v>788</v>
      </c>
      <c r="BE57" s="19">
        <f t="shared" si="14"/>
        <v>1.0520694259012016</v>
      </c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>
        <v>300</v>
      </c>
      <c r="BS57" s="20">
        <v>207</v>
      </c>
      <c r="BT57" s="20">
        <v>242</v>
      </c>
      <c r="BU57" s="20">
        <v>99</v>
      </c>
      <c r="BV57" s="20">
        <v>120</v>
      </c>
      <c r="BW57" s="20">
        <v>124</v>
      </c>
      <c r="BX57" s="20">
        <v>49</v>
      </c>
      <c r="BY57" s="20">
        <v>30</v>
      </c>
      <c r="BZ57" s="20">
        <v>60</v>
      </c>
      <c r="CA57" s="20">
        <v>49</v>
      </c>
      <c r="CB57" s="20">
        <v>28</v>
      </c>
      <c r="CC57" s="20">
        <v>4</v>
      </c>
      <c r="CD57" s="21">
        <v>1393</v>
      </c>
      <c r="CE57" s="21">
        <f t="shared" si="95"/>
        <v>1312</v>
      </c>
      <c r="CF57" s="19">
        <f t="shared" si="16"/>
        <v>0.94185211773151467</v>
      </c>
      <c r="CG57" s="20"/>
      <c r="CH57" s="20"/>
      <c r="CI57" s="20">
        <v>50</v>
      </c>
      <c r="CJ57" s="20">
        <v>349.99723025000003</v>
      </c>
      <c r="CK57" s="20">
        <v>385</v>
      </c>
      <c r="CL57" s="20">
        <v>200</v>
      </c>
      <c r="CM57" s="20">
        <v>375</v>
      </c>
      <c r="CN57" s="20">
        <v>1150</v>
      </c>
      <c r="CO57" s="20">
        <v>100</v>
      </c>
      <c r="CP57" s="20"/>
      <c r="CQ57" s="20">
        <v>260</v>
      </c>
      <c r="CR57" s="20"/>
      <c r="CS57" s="20">
        <v>0</v>
      </c>
      <c r="CT57" s="20">
        <v>203.31516092970807</v>
      </c>
      <c r="CU57" s="20">
        <v>207.25296730857093</v>
      </c>
      <c r="CV57" s="20">
        <v>590.67095682942715</v>
      </c>
      <c r="CW57" s="20">
        <v>963.7262979848548</v>
      </c>
      <c r="CX57" s="20">
        <v>487.04447317514166</v>
      </c>
      <c r="CY57" s="20">
        <v>1583.412670237482</v>
      </c>
      <c r="CZ57" s="20">
        <v>1119.1660234662829</v>
      </c>
      <c r="DA57" s="20">
        <v>1316.0563424094253</v>
      </c>
      <c r="DB57" s="20">
        <v>808.28657250342656</v>
      </c>
      <c r="DC57" s="20">
        <v>990.66918373496901</v>
      </c>
      <c r="DD57" s="20">
        <v>559.58301173314146</v>
      </c>
      <c r="DE57" s="14">
        <v>8140.5480327970345</v>
      </c>
      <c r="DF57" s="14">
        <v>8896.8341277252712</v>
      </c>
      <c r="DG57" s="19">
        <f t="shared" si="18"/>
        <v>1.0929035848546407</v>
      </c>
      <c r="DH57" s="20"/>
      <c r="DI57" s="20"/>
      <c r="DJ57" s="20"/>
      <c r="DK57" s="20"/>
      <c r="DL57" s="20"/>
      <c r="DM57" s="20"/>
      <c r="DN57" s="20">
        <v>129</v>
      </c>
      <c r="DO57" s="20">
        <v>205</v>
      </c>
      <c r="DP57" s="20">
        <v>389</v>
      </c>
      <c r="DQ57" s="20">
        <v>168</v>
      </c>
      <c r="DR57" s="20">
        <v>162</v>
      </c>
      <c r="DS57" s="20">
        <v>173.54</v>
      </c>
      <c r="DT57" s="20">
        <v>462.04248399824758</v>
      </c>
      <c r="DU57" s="20">
        <v>1288.6899213556565</v>
      </c>
      <c r="DV57" s="20">
        <v>1404.9863288926304</v>
      </c>
      <c r="DW57" s="20">
        <v>365.65266874237733</v>
      </c>
      <c r="DX57" s="20">
        <v>204.30449972711625</v>
      </c>
      <c r="DY57" s="20">
        <v>231.54509969073177</v>
      </c>
      <c r="DZ57" s="20">
        <v>270.31056886972306</v>
      </c>
      <c r="EA57" s="20">
        <v>124.67813060270171</v>
      </c>
      <c r="EB57" s="20">
        <v>53.433484544015023</v>
      </c>
      <c r="EC57" s="20">
        <v>54.48119992723101</v>
      </c>
      <c r="ED57" s="20">
        <v>53.433484544015023</v>
      </c>
      <c r="EE57" s="20">
        <v>59.71977684331091</v>
      </c>
      <c r="EF57" s="14">
        <v>3398.118336631801</v>
      </c>
      <c r="EG57" s="14">
        <f t="shared" si="23"/>
        <v>4573.2776477377565</v>
      </c>
      <c r="EH57" s="19">
        <f t="shared" si="20"/>
        <v>1.3458264823910659</v>
      </c>
      <c r="EI57" s="19"/>
      <c r="EJ57" s="19"/>
      <c r="EK57" s="14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>
        <v>197.16843505884836</v>
      </c>
      <c r="EX57" s="20">
        <v>311.31858167186579</v>
      </c>
      <c r="EY57" s="20">
        <v>306.12993864400136</v>
      </c>
      <c r="EZ57" s="20">
        <v>658.95766453878264</v>
      </c>
      <c r="FA57" s="20">
        <v>695.2781657338337</v>
      </c>
      <c r="FB57" s="20">
        <v>919.42754453757698</v>
      </c>
      <c r="FC57" s="20">
        <v>685.93860828367769</v>
      </c>
      <c r="FD57" s="20">
        <v>771.03235394065427</v>
      </c>
      <c r="FE57" s="20">
        <v>1573.845270954411</v>
      </c>
      <c r="FF57" s="20">
        <v>462.54386572190691</v>
      </c>
      <c r="FG57" s="20">
        <v>1050.9933195871913</v>
      </c>
      <c r="FH57" s="20">
        <v>358.01636892264446</v>
      </c>
      <c r="FI57" s="14">
        <v>6892.3061785862874</v>
      </c>
      <c r="FJ57" s="24">
        <v>7990.6501175953945</v>
      </c>
      <c r="FK57" s="19">
        <v>1.2225234514194721</v>
      </c>
      <c r="FL57" s="20"/>
      <c r="FM57" s="20">
        <v>258.15000000000003</v>
      </c>
      <c r="FN57" s="20">
        <v>269.34999999999997</v>
      </c>
      <c r="FO57" s="20">
        <v>797.98700000000008</v>
      </c>
      <c r="FP57" s="20">
        <v>543.84199999999998</v>
      </c>
      <c r="FQ57" s="20">
        <v>213.63</v>
      </c>
      <c r="FR57" s="20">
        <v>226.4</v>
      </c>
      <c r="FS57" s="20">
        <v>489.22300000000001</v>
      </c>
      <c r="FT57" s="20">
        <v>559.54999999999995</v>
      </c>
      <c r="FU57" s="20">
        <v>221.59</v>
      </c>
      <c r="FV57" s="20">
        <v>214.352</v>
      </c>
      <c r="FW57" s="20">
        <v>376.50599999999997</v>
      </c>
      <c r="FX57" s="20">
        <v>281.62000000000006</v>
      </c>
      <c r="FY57" s="20">
        <v>534.56500000000017</v>
      </c>
      <c r="FZ57" s="20">
        <v>393.30000000000013</v>
      </c>
      <c r="GA57" s="20">
        <v>2564.5000000000005</v>
      </c>
      <c r="GB57" s="20">
        <v>189.50000000000003</v>
      </c>
      <c r="GC57" s="20">
        <v>225.85000000000008</v>
      </c>
      <c r="GD57" s="20">
        <v>170.00000000000003</v>
      </c>
      <c r="GE57" s="20">
        <v>121.80000000000003</v>
      </c>
      <c r="GF57" s="20">
        <v>520.74000000000012</v>
      </c>
      <c r="GG57" s="20">
        <v>370.51400000000007</v>
      </c>
      <c r="GH57" s="20">
        <v>66.02500000000002</v>
      </c>
      <c r="GI57" s="20">
        <v>59.000000000000014</v>
      </c>
      <c r="GJ57" s="22">
        <v>5631.45</v>
      </c>
      <c r="GK57" s="22">
        <f t="shared" si="139"/>
        <v>5497.4140000000007</v>
      </c>
      <c r="GL57" s="19">
        <f t="shared" si="117"/>
        <v>0.97619866996954618</v>
      </c>
    </row>
    <row r="58" spans="1:194" s="11" customFormat="1" ht="24.95" customHeight="1">
      <c r="A58" s="15">
        <f t="shared" si="138"/>
        <v>14</v>
      </c>
      <c r="B58" s="16" t="s">
        <v>93</v>
      </c>
      <c r="C58" s="17">
        <v>11633</v>
      </c>
      <c r="D58" s="17"/>
      <c r="E58" s="17"/>
      <c r="F58" s="17"/>
      <c r="G58" s="20">
        <v>78</v>
      </c>
      <c r="H58" s="20">
        <v>60</v>
      </c>
      <c r="I58" s="20">
        <v>67</v>
      </c>
      <c r="J58" s="20">
        <v>86</v>
      </c>
      <c r="K58" s="20">
        <v>80</v>
      </c>
      <c r="L58" s="20">
        <v>112</v>
      </c>
      <c r="M58" s="20">
        <v>79</v>
      </c>
      <c r="N58" s="20">
        <v>79</v>
      </c>
      <c r="O58" s="20">
        <v>78</v>
      </c>
      <c r="P58" s="20">
        <v>64</v>
      </c>
      <c r="Q58" s="20">
        <v>82</v>
      </c>
      <c r="R58" s="20">
        <v>201</v>
      </c>
      <c r="S58" s="20">
        <v>103</v>
      </c>
      <c r="T58" s="20">
        <v>87</v>
      </c>
      <c r="U58" s="20">
        <v>72</v>
      </c>
      <c r="V58" s="20">
        <v>48</v>
      </c>
      <c r="W58" s="20">
        <v>155</v>
      </c>
      <c r="X58" s="20">
        <v>284</v>
      </c>
      <c r="Y58" s="20">
        <v>3</v>
      </c>
      <c r="Z58" s="20">
        <v>153</v>
      </c>
      <c r="AA58" s="20">
        <v>31</v>
      </c>
      <c r="AB58" s="18">
        <v>1232</v>
      </c>
      <c r="AC58" s="18">
        <f t="shared" si="25"/>
        <v>1283</v>
      </c>
      <c r="AD58" s="19">
        <f t="shared" si="10"/>
        <v>1.0413961038961039</v>
      </c>
      <c r="AE58" s="20"/>
      <c r="AF58" s="20"/>
      <c r="AG58" s="20"/>
      <c r="AH58" s="20"/>
      <c r="AI58" s="20"/>
      <c r="AJ58" s="20">
        <v>7</v>
      </c>
      <c r="AK58" s="20">
        <v>43</v>
      </c>
      <c r="AL58" s="20">
        <v>71</v>
      </c>
      <c r="AM58" s="20">
        <v>31</v>
      </c>
      <c r="AN58" s="20"/>
      <c r="AO58" s="20">
        <v>1</v>
      </c>
      <c r="AP58" s="20"/>
      <c r="AQ58" s="20">
        <v>9</v>
      </c>
      <c r="AR58" s="20">
        <v>16</v>
      </c>
      <c r="AS58" s="20">
        <v>17</v>
      </c>
      <c r="AT58" s="20">
        <v>18</v>
      </c>
      <c r="AU58" s="20">
        <v>21</v>
      </c>
      <c r="AV58" s="20">
        <v>5</v>
      </c>
      <c r="AW58" s="20">
        <v>15</v>
      </c>
      <c r="AX58" s="20">
        <v>7</v>
      </c>
      <c r="AY58" s="20">
        <v>16</v>
      </c>
      <c r="AZ58" s="20">
        <v>10</v>
      </c>
      <c r="BA58" s="20">
        <v>17</v>
      </c>
      <c r="BB58" s="20">
        <v>8</v>
      </c>
      <c r="BC58" s="27">
        <v>174</v>
      </c>
      <c r="BD58" s="27">
        <f t="shared" si="13"/>
        <v>159</v>
      </c>
      <c r="BE58" s="19">
        <f t="shared" si="14"/>
        <v>0.91379310344827591</v>
      </c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>
        <v>0</v>
      </c>
      <c r="BS58" s="20">
        <v>2</v>
      </c>
      <c r="BT58" s="20">
        <v>79</v>
      </c>
      <c r="BU58" s="20">
        <v>53</v>
      </c>
      <c r="BV58" s="20">
        <v>130</v>
      </c>
      <c r="BW58" s="20">
        <v>116</v>
      </c>
      <c r="BX58" s="20">
        <v>177</v>
      </c>
      <c r="BY58" s="20">
        <v>24</v>
      </c>
      <c r="BZ58" s="20">
        <v>55</v>
      </c>
      <c r="CA58" s="20">
        <v>62</v>
      </c>
      <c r="CB58" s="20">
        <v>15</v>
      </c>
      <c r="CC58" s="20">
        <v>23</v>
      </c>
      <c r="CD58" s="21">
        <v>801</v>
      </c>
      <c r="CE58" s="21">
        <f t="shared" si="95"/>
        <v>736</v>
      </c>
      <c r="CF58" s="19">
        <f t="shared" si="16"/>
        <v>0.91885143570536831</v>
      </c>
      <c r="CG58" s="20"/>
      <c r="CH58" s="20"/>
      <c r="CI58" s="20">
        <v>100</v>
      </c>
      <c r="CJ58" s="20"/>
      <c r="CK58" s="20">
        <v>200</v>
      </c>
      <c r="CL58" s="20">
        <v>300</v>
      </c>
      <c r="CM58" s="20">
        <v>200</v>
      </c>
      <c r="CN58" s="20"/>
      <c r="CO58" s="20"/>
      <c r="CP58" s="20"/>
      <c r="CQ58" s="20">
        <v>445.9</v>
      </c>
      <c r="CR58" s="20"/>
      <c r="CS58" s="20">
        <v>0</v>
      </c>
      <c r="CT58" s="20">
        <v>321.24209932828495</v>
      </c>
      <c r="CU58" s="20">
        <v>414.50593461714186</v>
      </c>
      <c r="CV58" s="20">
        <v>708.80514819531254</v>
      </c>
      <c r="CW58" s="20">
        <v>279.79150586657073</v>
      </c>
      <c r="CX58" s="20">
        <v>1305.6936940439969</v>
      </c>
      <c r="CY58" s="20">
        <v>2421.7509230006513</v>
      </c>
      <c r="CZ58" s="20">
        <v>880.82511106142647</v>
      </c>
      <c r="DA58" s="20">
        <v>1036.2648365428547</v>
      </c>
      <c r="DB58" s="20">
        <v>829.01186923428372</v>
      </c>
      <c r="DC58" s="20">
        <v>621.75890192571273</v>
      </c>
      <c r="DD58" s="20">
        <v>373.05534115542764</v>
      </c>
      <c r="DE58" s="14">
        <v>8498.1500344523738</v>
      </c>
      <c r="DF58" s="14">
        <v>9263.1411876541479</v>
      </c>
      <c r="DG58" s="19">
        <f t="shared" si="18"/>
        <v>1.0900185511082319</v>
      </c>
      <c r="DH58" s="20"/>
      <c r="DI58" s="20"/>
      <c r="DJ58" s="20"/>
      <c r="DK58" s="20"/>
      <c r="DL58" s="20"/>
      <c r="DM58" s="20"/>
      <c r="DN58" s="20">
        <v>29</v>
      </c>
      <c r="DO58" s="20">
        <v>215</v>
      </c>
      <c r="DP58" s="20">
        <v>184</v>
      </c>
      <c r="DQ58" s="20">
        <v>293</v>
      </c>
      <c r="DR58" s="20">
        <v>146</v>
      </c>
      <c r="DS58" s="20">
        <v>109</v>
      </c>
      <c r="DT58" s="20">
        <v>0</v>
      </c>
      <c r="DU58" s="20">
        <v>846.55402963851247</v>
      </c>
      <c r="DV58" s="20">
        <v>166.58674593134094</v>
      </c>
      <c r="DW58" s="20">
        <v>108.96239985446202</v>
      </c>
      <c r="DX58" s="20">
        <v>86.960376806926405</v>
      </c>
      <c r="DY58" s="20">
        <v>127.82127675234966</v>
      </c>
      <c r="DZ58" s="20">
        <v>89.055807573358365</v>
      </c>
      <c r="EA58" s="20">
        <v>28.288315346831482</v>
      </c>
      <c r="EB58" s="20">
        <v>0</v>
      </c>
      <c r="EC58" s="20">
        <v>35.622323029343349</v>
      </c>
      <c r="ED58" s="20">
        <v>35.622323029343349</v>
      </c>
      <c r="EE58" s="20">
        <v>0</v>
      </c>
      <c r="EF58" s="14">
        <v>3025.3647645449173</v>
      </c>
      <c r="EG58" s="14">
        <f t="shared" si="23"/>
        <v>1525.4735979624679</v>
      </c>
      <c r="EH58" s="19">
        <f t="shared" si="20"/>
        <v>0.50422799122932649</v>
      </c>
      <c r="EI58" s="19"/>
      <c r="EJ58" s="19"/>
      <c r="EK58" s="14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>
        <v>223.11165019817051</v>
      </c>
      <c r="EX58" s="20">
        <v>300.94129561613693</v>
      </c>
      <c r="EY58" s="20">
        <v>453.89802984457634</v>
      </c>
      <c r="EZ58" s="20">
        <v>435.84601434061216</v>
      </c>
      <c r="FA58" s="20">
        <v>363.20501195051014</v>
      </c>
      <c r="FB58" s="20">
        <v>768.20428405831683</v>
      </c>
      <c r="FC58" s="20">
        <v>394.33687011769672</v>
      </c>
      <c r="FD58" s="20">
        <v>584.96794080821792</v>
      </c>
      <c r="FE58" s="20">
        <v>515</v>
      </c>
      <c r="FF58" s="20">
        <v>46.697787250779875</v>
      </c>
      <c r="FG58" s="20">
        <v>186.7911490031195</v>
      </c>
      <c r="FH58" s="20">
        <v>216.64325812706616</v>
      </c>
      <c r="FI58" s="14">
        <v>3572.1712774058615</v>
      </c>
      <c r="FJ58" s="24">
        <v>4489.643291315203</v>
      </c>
      <c r="FK58" s="19">
        <v>1.0754573679384178</v>
      </c>
      <c r="FL58" s="20"/>
      <c r="FM58" s="20">
        <v>269</v>
      </c>
      <c r="FN58" s="20">
        <v>715.1</v>
      </c>
      <c r="FO58" s="20">
        <v>1127.752</v>
      </c>
      <c r="FP58" s="20">
        <v>1330.67</v>
      </c>
      <c r="FQ58" s="20">
        <v>489.20000000000005</v>
      </c>
      <c r="FR58" s="20">
        <v>393.61</v>
      </c>
      <c r="FS58" s="20">
        <v>995.94799999999998</v>
      </c>
      <c r="FT58" s="20">
        <v>959.1</v>
      </c>
      <c r="FU58" s="20">
        <v>518.19000000000005</v>
      </c>
      <c r="FV58" s="20">
        <v>462</v>
      </c>
      <c r="FW58" s="20">
        <v>822.65599999999995</v>
      </c>
      <c r="FX58" s="20">
        <v>220.41115211843857</v>
      </c>
      <c r="FY58" s="20">
        <v>1137.1786858510663</v>
      </c>
      <c r="FZ58" s="20">
        <v>1145.2002231973765</v>
      </c>
      <c r="GA58" s="20">
        <v>1988.8024790686886</v>
      </c>
      <c r="GB58" s="20">
        <v>682.15210736655638</v>
      </c>
      <c r="GC58" s="20">
        <v>515.82332127717916</v>
      </c>
      <c r="GD58" s="20">
        <v>718.37708838602202</v>
      </c>
      <c r="GE58" s="20">
        <v>675.51936436299229</v>
      </c>
      <c r="GF58" s="20">
        <v>876.54249847101255</v>
      </c>
      <c r="GG58" s="20">
        <v>698.47885937532965</v>
      </c>
      <c r="GH58" s="20">
        <v>450.00610224181207</v>
      </c>
      <c r="GI58" s="20">
        <v>568.57811828352715</v>
      </c>
      <c r="GJ58" s="22">
        <v>10310</v>
      </c>
      <c r="GK58" s="22">
        <f t="shared" si="139"/>
        <v>9677.0700000000015</v>
      </c>
      <c r="GL58" s="19">
        <f t="shared" si="117"/>
        <v>0.93861008729388962</v>
      </c>
    </row>
    <row r="59" spans="1:194" s="11" customFormat="1" ht="24.95" customHeight="1">
      <c r="A59" s="15">
        <f t="shared" si="138"/>
        <v>15</v>
      </c>
      <c r="B59" s="16" t="s">
        <v>42</v>
      </c>
      <c r="C59" s="17">
        <v>11634</v>
      </c>
      <c r="D59" s="17"/>
      <c r="E59" s="17"/>
      <c r="F59" s="17"/>
      <c r="G59" s="20">
        <v>64</v>
      </c>
      <c r="H59" s="20">
        <v>71</v>
      </c>
      <c r="I59" s="20">
        <v>74</v>
      </c>
      <c r="J59" s="20">
        <v>75</v>
      </c>
      <c r="K59" s="20">
        <v>75</v>
      </c>
      <c r="L59" s="20">
        <v>75</v>
      </c>
      <c r="M59" s="20">
        <v>70</v>
      </c>
      <c r="N59" s="20">
        <v>70</v>
      </c>
      <c r="O59" s="20">
        <v>68</v>
      </c>
      <c r="P59" s="20">
        <v>30</v>
      </c>
      <c r="Q59" s="20">
        <v>3</v>
      </c>
      <c r="R59" s="20">
        <v>20</v>
      </c>
      <c r="S59" s="20">
        <v>90</v>
      </c>
      <c r="T59" s="20">
        <v>239</v>
      </c>
      <c r="U59" s="20">
        <v>203</v>
      </c>
      <c r="V59" s="20">
        <v>116</v>
      </c>
      <c r="W59" s="20">
        <v>87</v>
      </c>
      <c r="X59" s="20">
        <v>80</v>
      </c>
      <c r="Y59" s="20">
        <v>8</v>
      </c>
      <c r="Z59" s="20">
        <v>77</v>
      </c>
      <c r="AA59" s="20">
        <v>30</v>
      </c>
      <c r="AB59" s="18">
        <v>808</v>
      </c>
      <c r="AC59" s="18">
        <f t="shared" si="25"/>
        <v>983</v>
      </c>
      <c r="AD59" s="19">
        <f t="shared" si="10"/>
        <v>1.2165841584158417</v>
      </c>
      <c r="AE59" s="20"/>
      <c r="AF59" s="20"/>
      <c r="AG59" s="20"/>
      <c r="AH59" s="20"/>
      <c r="AI59" s="20"/>
      <c r="AJ59" s="20"/>
      <c r="AK59" s="20">
        <v>75</v>
      </c>
      <c r="AL59" s="20">
        <v>144</v>
      </c>
      <c r="AM59" s="20">
        <v>24</v>
      </c>
      <c r="AN59" s="20">
        <v>1</v>
      </c>
      <c r="AO59" s="20">
        <v>22</v>
      </c>
      <c r="AP59" s="20"/>
      <c r="AQ59" s="20">
        <v>16</v>
      </c>
      <c r="AR59" s="20">
        <v>39</v>
      </c>
      <c r="AS59" s="20">
        <v>42</v>
      </c>
      <c r="AT59" s="20">
        <v>33</v>
      </c>
      <c r="AU59" s="20">
        <v>29</v>
      </c>
      <c r="AV59" s="20">
        <v>26</v>
      </c>
      <c r="AW59" s="20">
        <v>9</v>
      </c>
      <c r="AX59" s="20">
        <v>17</v>
      </c>
      <c r="AY59" s="20">
        <v>23</v>
      </c>
      <c r="AZ59" s="20">
        <v>58</v>
      </c>
      <c r="BA59" s="20">
        <v>32</v>
      </c>
      <c r="BB59" s="20">
        <v>13</v>
      </c>
      <c r="BC59" s="27">
        <v>328</v>
      </c>
      <c r="BD59" s="27">
        <f t="shared" si="13"/>
        <v>337</v>
      </c>
      <c r="BE59" s="19">
        <f t="shared" si="14"/>
        <v>1.0274390243902438</v>
      </c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>
        <v>108</v>
      </c>
      <c r="BS59" s="20">
        <v>236</v>
      </c>
      <c r="BT59" s="20">
        <v>111</v>
      </c>
      <c r="BU59" s="20">
        <v>229</v>
      </c>
      <c r="BV59" s="20">
        <v>292</v>
      </c>
      <c r="BW59" s="20">
        <v>149</v>
      </c>
      <c r="BX59" s="20">
        <v>54</v>
      </c>
      <c r="BY59" s="20">
        <v>67</v>
      </c>
      <c r="BZ59" s="20">
        <v>139</v>
      </c>
      <c r="CA59" s="20">
        <v>313</v>
      </c>
      <c r="CB59" s="20">
        <v>150</v>
      </c>
      <c r="CC59" s="20">
        <v>85</v>
      </c>
      <c r="CD59" s="21">
        <v>1385</v>
      </c>
      <c r="CE59" s="21">
        <f t="shared" si="95"/>
        <v>1933</v>
      </c>
      <c r="CF59" s="19">
        <f t="shared" si="16"/>
        <v>1.3956678700361012</v>
      </c>
      <c r="CG59" s="20"/>
      <c r="CH59" s="20"/>
      <c r="CI59" s="20">
        <v>65</v>
      </c>
      <c r="CJ59" s="20">
        <v>150</v>
      </c>
      <c r="CK59" s="20">
        <v>200</v>
      </c>
      <c r="CL59" s="20">
        <v>200</v>
      </c>
      <c r="CM59" s="20">
        <v>100</v>
      </c>
      <c r="CN59" s="20">
        <v>200</v>
      </c>
      <c r="CO59" s="20">
        <v>360</v>
      </c>
      <c r="CP59" s="20"/>
      <c r="CQ59" s="20">
        <v>300</v>
      </c>
      <c r="CR59" s="20"/>
      <c r="CS59" s="20">
        <v>143.00454744291395</v>
      </c>
      <c r="CT59" s="20">
        <v>103.62648365428547</v>
      </c>
      <c r="CU59" s="20">
        <v>103.62648365428547</v>
      </c>
      <c r="CV59" s="20">
        <v>404.14328625171328</v>
      </c>
      <c r="CW59" s="20">
        <v>879.78884622488351</v>
      </c>
      <c r="CX59" s="20">
        <v>103.62648365428547</v>
      </c>
      <c r="CY59" s="20">
        <v>0</v>
      </c>
      <c r="CZ59" s="20">
        <v>476.67983518122696</v>
      </c>
      <c r="DA59" s="20">
        <v>673.36489078554689</v>
      </c>
      <c r="DB59" s="20">
        <v>461.13785226157029</v>
      </c>
      <c r="DC59" s="20">
        <v>607.0750291919004</v>
      </c>
      <c r="DD59" s="20">
        <v>414.50593461714186</v>
      </c>
      <c r="DE59" s="14">
        <v>4194.8408530275838</v>
      </c>
      <c r="DF59" s="14">
        <v>4404.0676791855121</v>
      </c>
      <c r="DG59" s="19">
        <f t="shared" si="18"/>
        <v>1.0498771785363255</v>
      </c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>
        <v>209.54307664319617</v>
      </c>
      <c r="DU59" s="20">
        <v>246.21311505575551</v>
      </c>
      <c r="DV59" s="20">
        <v>50.290338394367083</v>
      </c>
      <c r="DW59" s="20">
        <v>158.20502286561313</v>
      </c>
      <c r="DX59" s="20">
        <v>0</v>
      </c>
      <c r="DY59" s="20">
        <v>99.532961405518193</v>
      </c>
      <c r="DZ59" s="20">
        <v>86.960376806926405</v>
      </c>
      <c r="EA59" s="20">
        <v>124.67813060270171</v>
      </c>
      <c r="EB59" s="20">
        <v>89.055807573358365</v>
      </c>
      <c r="EC59" s="20">
        <v>209.54307664319617</v>
      </c>
      <c r="ED59" s="20">
        <v>35.622323029343349</v>
      </c>
      <c r="EE59" s="20">
        <v>71.244646058686698</v>
      </c>
      <c r="EF59" s="14">
        <v>1233.6953991322855</v>
      </c>
      <c r="EG59" s="14">
        <f t="shared" si="23"/>
        <v>1380.8888750786627</v>
      </c>
      <c r="EH59" s="19">
        <f t="shared" si="20"/>
        <v>1.1193110358115181</v>
      </c>
      <c r="EI59" s="19"/>
      <c r="EJ59" s="19"/>
      <c r="EK59" s="14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>
        <v>68.490087967810481</v>
      </c>
      <c r="EX59" s="20">
        <v>31.131858167186582</v>
      </c>
      <c r="EY59" s="20">
        <v>155.65929083593289</v>
      </c>
      <c r="EZ59" s="20">
        <v>286.68784416372807</v>
      </c>
      <c r="FA59" s="20">
        <v>207.54572111457722</v>
      </c>
      <c r="FB59" s="20">
        <v>489.14531211574388</v>
      </c>
      <c r="FC59" s="20">
        <v>831.23287694054238</v>
      </c>
      <c r="FD59" s="20">
        <v>715.46176088739014</v>
      </c>
      <c r="FE59" s="20">
        <v>1253</v>
      </c>
      <c r="FF59" s="20">
        <v>1199.0291032588598</v>
      </c>
      <c r="FG59" s="20">
        <v>611.49967882070428</v>
      </c>
      <c r="FH59" s="20">
        <v>757.22075518415863</v>
      </c>
      <c r="FI59" s="14">
        <v>4325.7840260197272</v>
      </c>
      <c r="FJ59" s="24">
        <v>6606.1042894566344</v>
      </c>
      <c r="FK59" s="19">
        <v>1.0038809562873994</v>
      </c>
      <c r="FL59" s="20"/>
      <c r="FM59" s="20"/>
      <c r="FN59" s="20">
        <v>302.065</v>
      </c>
      <c r="FO59" s="20">
        <v>771.32400000000007</v>
      </c>
      <c r="FP59" s="20">
        <v>835.03600000000006</v>
      </c>
      <c r="FQ59" s="20">
        <v>455.25</v>
      </c>
      <c r="FR59" s="20">
        <v>874.37499999999989</v>
      </c>
      <c r="FS59" s="20">
        <v>1108.0650000000001</v>
      </c>
      <c r="FT59" s="20">
        <v>674.01</v>
      </c>
      <c r="FU59" s="20">
        <v>309</v>
      </c>
      <c r="FV59" s="20">
        <v>386.9</v>
      </c>
      <c r="FW59" s="20">
        <v>632.70299999999997</v>
      </c>
      <c r="FX59" s="20">
        <v>450.9601558381238</v>
      </c>
      <c r="FY59" s="20">
        <v>942.84889638069649</v>
      </c>
      <c r="FZ59" s="20">
        <v>893.43833428087839</v>
      </c>
      <c r="GA59" s="20">
        <v>2510.5090620772567</v>
      </c>
      <c r="GB59" s="20">
        <v>613.82731150697998</v>
      </c>
      <c r="GC59" s="20">
        <v>572.73639230692595</v>
      </c>
      <c r="GD59" s="20">
        <v>418.74183141348891</v>
      </c>
      <c r="GE59" s="20">
        <v>923.78473905306657</v>
      </c>
      <c r="GF59" s="20">
        <v>2035.6644289826274</v>
      </c>
      <c r="GG59" s="20">
        <v>1188.7958031284766</v>
      </c>
      <c r="GH59" s="20">
        <v>444.39068171910282</v>
      </c>
      <c r="GI59" s="20">
        <v>1034.2533633123721</v>
      </c>
      <c r="GJ59" s="22">
        <v>13211.639999999998</v>
      </c>
      <c r="GK59" s="22">
        <f t="shared" si="139"/>
        <v>12029.950999999997</v>
      </c>
      <c r="GL59" s="19">
        <f t="shared" si="117"/>
        <v>0.91055697854316342</v>
      </c>
    </row>
    <row r="60" spans="1:194" s="11" customFormat="1" ht="24.95" customHeight="1">
      <c r="A60" s="15">
        <f t="shared" si="138"/>
        <v>16</v>
      </c>
      <c r="B60" s="16" t="s">
        <v>57</v>
      </c>
      <c r="C60" s="17">
        <v>11782</v>
      </c>
      <c r="D60" s="17"/>
      <c r="E60" s="17"/>
      <c r="F60" s="17"/>
      <c r="G60" s="20">
        <v>95</v>
      </c>
      <c r="H60" s="20">
        <v>84</v>
      </c>
      <c r="I60" s="20">
        <v>86</v>
      </c>
      <c r="J60" s="20">
        <v>95</v>
      </c>
      <c r="K60" s="20">
        <v>80</v>
      </c>
      <c r="L60" s="20">
        <v>70</v>
      </c>
      <c r="M60" s="20">
        <v>65</v>
      </c>
      <c r="N60" s="20">
        <v>68</v>
      </c>
      <c r="O60" s="20">
        <v>66</v>
      </c>
      <c r="P60" s="20">
        <v>65</v>
      </c>
      <c r="Q60" s="20">
        <v>81</v>
      </c>
      <c r="R60" s="20">
        <v>77</v>
      </c>
      <c r="S60" s="20">
        <v>38</v>
      </c>
      <c r="T60" s="20">
        <v>16</v>
      </c>
      <c r="U60" s="20">
        <v>49</v>
      </c>
      <c r="V60" s="20">
        <v>115</v>
      </c>
      <c r="W60" s="20">
        <v>158</v>
      </c>
      <c r="X60" s="20"/>
      <c r="Y60" s="20">
        <v>68</v>
      </c>
      <c r="Z60" s="20">
        <v>173</v>
      </c>
      <c r="AA60" s="20">
        <v>49</v>
      </c>
      <c r="AB60" s="18">
        <v>822</v>
      </c>
      <c r="AC60" s="18">
        <f t="shared" si="25"/>
        <v>889</v>
      </c>
      <c r="AD60" s="19">
        <f t="shared" si="10"/>
        <v>1.0815085158150852</v>
      </c>
      <c r="AE60" s="20"/>
      <c r="AF60" s="20"/>
      <c r="AG60" s="20"/>
      <c r="AH60" s="20"/>
      <c r="AI60" s="20"/>
      <c r="AJ60" s="20">
        <v>19</v>
      </c>
      <c r="AK60" s="20">
        <v>129</v>
      </c>
      <c r="AL60" s="20">
        <v>266</v>
      </c>
      <c r="AM60" s="20">
        <v>19</v>
      </c>
      <c r="AN60" s="20"/>
      <c r="AO60" s="20">
        <v>6</v>
      </c>
      <c r="AP60" s="20">
        <v>2</v>
      </c>
      <c r="AQ60" s="20">
        <v>23</v>
      </c>
      <c r="AR60" s="20">
        <v>62</v>
      </c>
      <c r="AS60" s="20">
        <v>93</v>
      </c>
      <c r="AT60" s="20">
        <v>84</v>
      </c>
      <c r="AU60" s="20">
        <v>32</v>
      </c>
      <c r="AV60" s="20">
        <v>53</v>
      </c>
      <c r="AW60" s="20">
        <v>42</v>
      </c>
      <c r="AX60" s="20">
        <v>67</v>
      </c>
      <c r="AY60" s="20">
        <v>42</v>
      </c>
      <c r="AZ60" s="20">
        <v>22</v>
      </c>
      <c r="BA60" s="20">
        <v>36</v>
      </c>
      <c r="BB60" s="20">
        <v>11</v>
      </c>
      <c r="BC60" s="27">
        <v>514</v>
      </c>
      <c r="BD60" s="27">
        <f t="shared" si="13"/>
        <v>567</v>
      </c>
      <c r="BE60" s="19">
        <f t="shared" si="14"/>
        <v>1.1031128404669261</v>
      </c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>
        <v>189</v>
      </c>
      <c r="BS60" s="20">
        <v>166</v>
      </c>
      <c r="BT60" s="20">
        <v>60</v>
      </c>
      <c r="BU60" s="20">
        <v>47</v>
      </c>
      <c r="BV60" s="20">
        <v>232</v>
      </c>
      <c r="BW60" s="20">
        <v>237</v>
      </c>
      <c r="BX60" s="20">
        <v>66</v>
      </c>
      <c r="BY60" s="20">
        <v>53</v>
      </c>
      <c r="BZ60" s="20">
        <v>67</v>
      </c>
      <c r="CA60" s="20">
        <v>226</v>
      </c>
      <c r="CB60" s="20">
        <v>74</v>
      </c>
      <c r="CC60" s="20">
        <v>74</v>
      </c>
      <c r="CD60" s="21">
        <v>1380</v>
      </c>
      <c r="CE60" s="21">
        <f t="shared" si="95"/>
        <v>1491</v>
      </c>
      <c r="CF60" s="19">
        <f t="shared" si="16"/>
        <v>1.0804347826086957</v>
      </c>
      <c r="CG60" s="20"/>
      <c r="CH60" s="20"/>
      <c r="CI60" s="20">
        <v>294.20000000000005</v>
      </c>
      <c r="CJ60" s="20">
        <v>200</v>
      </c>
      <c r="CK60" s="20">
        <v>1099.9899599999999</v>
      </c>
      <c r="CL60" s="20">
        <v>100</v>
      </c>
      <c r="CM60" s="20">
        <v>300</v>
      </c>
      <c r="CN60" s="20">
        <v>350</v>
      </c>
      <c r="CO60" s="20">
        <v>304.85599999999999</v>
      </c>
      <c r="CP60" s="20"/>
      <c r="CQ60" s="20">
        <v>100</v>
      </c>
      <c r="CR60" s="20"/>
      <c r="CS60" s="20">
        <v>0</v>
      </c>
      <c r="CT60" s="20">
        <v>103.62648365428547</v>
      </c>
      <c r="CU60" s="20">
        <v>207.25296730857093</v>
      </c>
      <c r="CV60" s="20">
        <v>725.38538557999823</v>
      </c>
      <c r="CW60" s="20">
        <v>103.62648365428547</v>
      </c>
      <c r="CX60" s="20">
        <v>1015.5395398119975</v>
      </c>
      <c r="CY60" s="20">
        <v>673.57214375285548</v>
      </c>
      <c r="CZ60" s="20">
        <v>1004.1406266100262</v>
      </c>
      <c r="DA60" s="20">
        <v>1699.4743319302816</v>
      </c>
      <c r="DB60" s="20">
        <v>507.76976990599877</v>
      </c>
      <c r="DC60" s="20">
        <v>913.98558583079773</v>
      </c>
      <c r="DD60" s="20">
        <v>614.09054213529566</v>
      </c>
      <c r="DE60" s="14">
        <v>7202.6251821338101</v>
      </c>
      <c r="DF60" s="14">
        <v>7626.4545122478685</v>
      </c>
      <c r="DG60" s="19">
        <f t="shared" si="18"/>
        <v>1.0588437298063729</v>
      </c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>
        <v>419.08615328639235</v>
      </c>
      <c r="DU60" s="20">
        <v>475.66278398005528</v>
      </c>
      <c r="DV60" s="20">
        <v>696.73072983862733</v>
      </c>
      <c r="DW60" s="20">
        <v>578.33889153522136</v>
      </c>
      <c r="DX60" s="20">
        <v>276.59686116901895</v>
      </c>
      <c r="DY60" s="20">
        <v>309.07603804871439</v>
      </c>
      <c r="DZ60" s="20">
        <v>463.09019938146355</v>
      </c>
      <c r="EA60" s="20">
        <v>480.9013608961352</v>
      </c>
      <c r="EB60" s="20">
        <v>124.67813060270171</v>
      </c>
      <c r="EC60" s="20">
        <v>249.35626120540343</v>
      </c>
      <c r="ED60" s="20">
        <v>116.82026522858186</v>
      </c>
      <c r="EE60" s="20">
        <v>71.244646058686698</v>
      </c>
      <c r="EF60" s="14">
        <v>2919.275065168385</v>
      </c>
      <c r="EG60" s="14">
        <f t="shared" si="23"/>
        <v>4261.5823212310024</v>
      </c>
      <c r="EH60" s="19">
        <f t="shared" si="20"/>
        <v>1.4598084202747754</v>
      </c>
      <c r="EI60" s="19"/>
      <c r="EJ60" s="19"/>
      <c r="EK60" s="14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>
        <v>155.65929083593289</v>
      </c>
      <c r="EX60" s="20">
        <v>300.94129561613693</v>
      </c>
      <c r="EY60" s="20">
        <v>117.26333242973612</v>
      </c>
      <c r="EZ60" s="20">
        <v>483.58153019696488</v>
      </c>
      <c r="FA60" s="20">
        <v>368.39365497837457</v>
      </c>
      <c r="FB60" s="20">
        <v>817.87199350317292</v>
      </c>
      <c r="FC60" s="20">
        <v>1065.4637704683114</v>
      </c>
      <c r="FD60" s="20">
        <v>4537</v>
      </c>
      <c r="FE60" s="20">
        <v>3348.4290850667089</v>
      </c>
      <c r="FF60" s="20">
        <v>3588.8089128439096</v>
      </c>
      <c r="FG60" s="20">
        <v>562.22314636236194</v>
      </c>
      <c r="FH60" s="20">
        <v>1504.338189146315</v>
      </c>
      <c r="FI60" s="14">
        <v>13898.692159412916</v>
      </c>
      <c r="FJ60" s="24">
        <v>16849.974201447927</v>
      </c>
      <c r="FK60" s="19">
        <v>1.1299372620983559</v>
      </c>
      <c r="FL60" s="20"/>
      <c r="FM60" s="20">
        <v>81.988</v>
      </c>
      <c r="FN60" s="20">
        <v>159.40049999999999</v>
      </c>
      <c r="FO60" s="20">
        <v>619.76800000000003</v>
      </c>
      <c r="FP60" s="20">
        <v>762.38900000000001</v>
      </c>
      <c r="FQ60" s="20">
        <v>581.13600000000008</v>
      </c>
      <c r="FR60" s="20">
        <v>753.4</v>
      </c>
      <c r="FS60" s="20">
        <v>696.5</v>
      </c>
      <c r="FT60" s="20">
        <v>686.19999999999993</v>
      </c>
      <c r="FU60" s="20">
        <v>176.3</v>
      </c>
      <c r="FV60" s="20">
        <v>343.322</v>
      </c>
      <c r="FW60" s="20">
        <v>673.59640000000002</v>
      </c>
      <c r="FX60" s="20">
        <v>339.89179770491063</v>
      </c>
      <c r="FY60" s="20">
        <v>989.96980916160862</v>
      </c>
      <c r="FZ60" s="20">
        <v>887.43289241657396</v>
      </c>
      <c r="GA60" s="20">
        <v>2554.8210337424921</v>
      </c>
      <c r="GB60" s="20">
        <v>198.97598484676544</v>
      </c>
      <c r="GC60" s="20">
        <v>173.46624319974424</v>
      </c>
      <c r="GD60" s="20">
        <v>118.87539607511884</v>
      </c>
      <c r="GE60" s="20">
        <v>76.529224941063632</v>
      </c>
      <c r="GF60" s="20">
        <v>1083.6538251654611</v>
      </c>
      <c r="GG60" s="20">
        <v>593.7647465760657</v>
      </c>
      <c r="GH60" s="20">
        <v>61.223379952850905</v>
      </c>
      <c r="GI60" s="20">
        <v>1193.7436662173459</v>
      </c>
      <c r="GJ60" s="22">
        <v>9029.1500000000015</v>
      </c>
      <c r="GK60" s="22">
        <f t="shared" si="139"/>
        <v>8272.3480000000018</v>
      </c>
      <c r="GL60" s="19">
        <f t="shared" si="117"/>
        <v>0.91618236489592053</v>
      </c>
    </row>
    <row r="61" spans="1:194" s="11" customFormat="1" ht="24.95" customHeight="1">
      <c r="A61" s="15">
        <f t="shared" si="138"/>
        <v>17</v>
      </c>
      <c r="B61" s="16" t="s">
        <v>58</v>
      </c>
      <c r="C61" s="17">
        <v>11799</v>
      </c>
      <c r="D61" s="17"/>
      <c r="E61" s="17"/>
      <c r="F61" s="17"/>
      <c r="G61" s="20">
        <v>99</v>
      </c>
      <c r="H61" s="20">
        <v>76</v>
      </c>
      <c r="I61" s="20">
        <v>95</v>
      </c>
      <c r="J61" s="20">
        <v>97</v>
      </c>
      <c r="K61" s="20">
        <v>93</v>
      </c>
      <c r="L61" s="20">
        <v>100</v>
      </c>
      <c r="M61" s="20">
        <v>98</v>
      </c>
      <c r="N61" s="20">
        <v>96</v>
      </c>
      <c r="O61" s="20">
        <v>88</v>
      </c>
      <c r="P61" s="20">
        <v>242</v>
      </c>
      <c r="Q61" s="20"/>
      <c r="R61" s="20">
        <v>21</v>
      </c>
      <c r="S61" s="20">
        <v>52</v>
      </c>
      <c r="T61" s="20">
        <v>56</v>
      </c>
      <c r="U61" s="20">
        <v>39</v>
      </c>
      <c r="V61" s="20">
        <v>61</v>
      </c>
      <c r="W61" s="20">
        <v>87</v>
      </c>
      <c r="X61" s="20">
        <v>114</v>
      </c>
      <c r="Y61" s="20">
        <v>28</v>
      </c>
      <c r="Z61" s="20">
        <v>52</v>
      </c>
      <c r="AA61" s="20"/>
      <c r="AB61" s="18">
        <v>687</v>
      </c>
      <c r="AC61" s="18">
        <f t="shared" si="25"/>
        <v>752</v>
      </c>
      <c r="AD61" s="19">
        <f t="shared" si="10"/>
        <v>1.0946142649199417</v>
      </c>
      <c r="AE61" s="20"/>
      <c r="AF61" s="20"/>
      <c r="AG61" s="20"/>
      <c r="AH61" s="20"/>
      <c r="AI61" s="20"/>
      <c r="AJ61" s="20"/>
      <c r="AK61" s="20">
        <v>280</v>
      </c>
      <c r="AL61" s="20">
        <v>549</v>
      </c>
      <c r="AM61" s="20">
        <v>27</v>
      </c>
      <c r="AN61" s="20">
        <v>3</v>
      </c>
      <c r="AO61" s="20">
        <v>38</v>
      </c>
      <c r="AP61" s="20">
        <v>19</v>
      </c>
      <c r="AQ61" s="20">
        <v>64</v>
      </c>
      <c r="AR61" s="20">
        <v>165</v>
      </c>
      <c r="AS61" s="20">
        <v>108</v>
      </c>
      <c r="AT61" s="20">
        <v>129</v>
      </c>
      <c r="AU61" s="20">
        <v>126</v>
      </c>
      <c r="AV61" s="20">
        <v>114</v>
      </c>
      <c r="AW61" s="20">
        <v>97</v>
      </c>
      <c r="AX61" s="20">
        <v>59</v>
      </c>
      <c r="AY61" s="20">
        <v>133</v>
      </c>
      <c r="AZ61" s="20">
        <v>73</v>
      </c>
      <c r="BA61" s="20">
        <v>104</v>
      </c>
      <c r="BB61" s="20">
        <v>48</v>
      </c>
      <c r="BC61" s="27">
        <v>1085</v>
      </c>
      <c r="BD61" s="27">
        <f t="shared" si="13"/>
        <v>1220</v>
      </c>
      <c r="BE61" s="19">
        <f t="shared" si="14"/>
        <v>1.1244239631336406</v>
      </c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>
        <v>80</v>
      </c>
      <c r="BS61" s="20">
        <v>47</v>
      </c>
      <c r="BT61" s="20">
        <v>99</v>
      </c>
      <c r="BU61" s="20">
        <v>116</v>
      </c>
      <c r="BV61" s="20">
        <v>138</v>
      </c>
      <c r="BW61" s="20">
        <v>277</v>
      </c>
      <c r="BX61" s="20">
        <v>127</v>
      </c>
      <c r="BY61" s="20">
        <v>117</v>
      </c>
      <c r="BZ61" s="20">
        <v>157</v>
      </c>
      <c r="CA61" s="20">
        <v>93</v>
      </c>
      <c r="CB61" s="20">
        <v>82</v>
      </c>
      <c r="CC61" s="20">
        <v>20</v>
      </c>
      <c r="CD61" s="21">
        <v>1509</v>
      </c>
      <c r="CE61" s="21">
        <f t="shared" si="95"/>
        <v>1353</v>
      </c>
      <c r="CF61" s="19">
        <f t="shared" si="16"/>
        <v>0.89662027833001989</v>
      </c>
      <c r="CG61" s="20"/>
      <c r="CH61" s="20"/>
      <c r="CI61" s="20"/>
      <c r="CJ61" s="20">
        <v>300</v>
      </c>
      <c r="CK61" s="20">
        <v>260.02344930000004</v>
      </c>
      <c r="CL61" s="20">
        <v>300</v>
      </c>
      <c r="CM61" s="20">
        <v>272</v>
      </c>
      <c r="CN61" s="20"/>
      <c r="CO61" s="20"/>
      <c r="CP61" s="20">
        <v>875</v>
      </c>
      <c r="CQ61" s="20">
        <v>100</v>
      </c>
      <c r="CR61" s="20"/>
      <c r="CS61" s="20">
        <v>0</v>
      </c>
      <c r="CT61" s="20">
        <v>0</v>
      </c>
      <c r="CU61" s="20">
        <v>103.62648365428547</v>
      </c>
      <c r="CV61" s="20">
        <v>103.62648365428547</v>
      </c>
      <c r="CW61" s="20">
        <v>103.62648365428547</v>
      </c>
      <c r="CX61" s="20">
        <v>207.25296730857093</v>
      </c>
      <c r="CY61" s="20">
        <v>207.25296730857093</v>
      </c>
      <c r="CZ61" s="20">
        <v>569.94566009856999</v>
      </c>
      <c r="DA61" s="20">
        <v>414.50593461714186</v>
      </c>
      <c r="DB61" s="20">
        <v>608.22528316046316</v>
      </c>
      <c r="DC61" s="20">
        <v>362.69269278999911</v>
      </c>
      <c r="DD61" s="20">
        <v>0</v>
      </c>
      <c r="DE61" s="14">
        <v>2568.1550665865284</v>
      </c>
      <c r="DF61" s="14">
        <v>2701.2952839578425</v>
      </c>
      <c r="DG61" s="19">
        <f t="shared" si="18"/>
        <v>1.0518427485565651</v>
      </c>
      <c r="DH61" s="20"/>
      <c r="DI61" s="20">
        <v>17</v>
      </c>
      <c r="DJ61" s="20">
        <v>578.65000000000009</v>
      </c>
      <c r="DK61" s="20">
        <v>6541.09</v>
      </c>
      <c r="DL61" s="20">
        <v>16475.644999999997</v>
      </c>
      <c r="DM61" s="20"/>
      <c r="DN61" s="20"/>
      <c r="DO61" s="20"/>
      <c r="DP61" s="20"/>
      <c r="DQ61" s="20"/>
      <c r="DR61" s="20"/>
      <c r="DS61" s="20"/>
      <c r="DT61" s="20">
        <v>0</v>
      </c>
      <c r="DU61" s="20">
        <v>293.36030730047463</v>
      </c>
      <c r="DV61" s="20">
        <v>471.47192244719139</v>
      </c>
      <c r="DW61" s="20">
        <v>460.99476861503155</v>
      </c>
      <c r="DX61" s="20">
        <v>606.62720688205297</v>
      </c>
      <c r="DY61" s="20">
        <v>740.73477593369853</v>
      </c>
      <c r="DZ61" s="20">
        <v>886.3672142007199</v>
      </c>
      <c r="EA61" s="20">
        <v>562.62316078698177</v>
      </c>
      <c r="EB61" s="20">
        <v>267.16742272007508</v>
      </c>
      <c r="EC61" s="20">
        <v>783.69110664555365</v>
      </c>
      <c r="ED61" s="20">
        <v>231.54509969073177</v>
      </c>
      <c r="EE61" s="20">
        <v>284.97858423474679</v>
      </c>
      <c r="EF61" s="14">
        <v>4190.1995658353599</v>
      </c>
      <c r="EG61" s="14">
        <f t="shared" si="23"/>
        <v>5589.561569457258</v>
      </c>
      <c r="EH61" s="19">
        <f t="shared" si="20"/>
        <v>1.3339607056025553</v>
      </c>
      <c r="EI61" s="19"/>
      <c r="EJ61" s="19"/>
      <c r="EK61" s="14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>
        <v>0</v>
      </c>
      <c r="EX61" s="20">
        <v>41.509144222915438</v>
      </c>
      <c r="EY61" s="20">
        <v>103.77286055728861</v>
      </c>
      <c r="EZ61" s="20">
        <v>108.96150358515304</v>
      </c>
      <c r="FA61" s="20">
        <v>155.65929083593289</v>
      </c>
      <c r="FB61" s="20">
        <v>155.65929083593289</v>
      </c>
      <c r="FC61" s="20">
        <v>1678.6531028723673</v>
      </c>
      <c r="FD61" s="20">
        <v>1352.757067009675</v>
      </c>
      <c r="FE61" s="20">
        <v>1590.1722909519037</v>
      </c>
      <c r="FF61" s="20">
        <v>707.53178652268514</v>
      </c>
      <c r="FG61" s="20">
        <v>542.98828005824976</v>
      </c>
      <c r="FH61" s="20">
        <v>0</v>
      </c>
      <c r="FI61" s="14">
        <v>4223.4746841252545</v>
      </c>
      <c r="FJ61" s="24">
        <v>6437.6646174521038</v>
      </c>
      <c r="FK61" s="19">
        <v>1.0668722001922792</v>
      </c>
      <c r="FL61" s="20"/>
      <c r="FM61" s="20">
        <v>1004.188</v>
      </c>
      <c r="FN61" s="20">
        <v>1801.0759999999998</v>
      </c>
      <c r="FO61" s="20">
        <v>2207.4717309999996</v>
      </c>
      <c r="FP61" s="20">
        <v>3092.3230000000003</v>
      </c>
      <c r="FQ61" s="20">
        <v>1929.891754</v>
      </c>
      <c r="FR61" s="20">
        <v>2567.3160000000003</v>
      </c>
      <c r="FS61" s="20">
        <v>3065.0904</v>
      </c>
      <c r="FT61" s="20">
        <v>3205.1830000000004</v>
      </c>
      <c r="FU61" s="20">
        <v>1872.2189999999996</v>
      </c>
      <c r="FV61" s="20">
        <v>2568.6970000000001</v>
      </c>
      <c r="FW61" s="20">
        <v>3846.2905000000001</v>
      </c>
      <c r="FX61" s="20">
        <v>118.98731840526486</v>
      </c>
      <c r="FY61" s="20">
        <v>1614.2845285542885</v>
      </c>
      <c r="FZ61" s="20">
        <v>1496.2142413089618</v>
      </c>
      <c r="GA61" s="20">
        <v>4724.2950565230221</v>
      </c>
      <c r="GB61" s="20">
        <v>589.4918964565386</v>
      </c>
      <c r="GC61" s="20">
        <v>242.42640372327841</v>
      </c>
      <c r="GD61" s="20">
        <v>166.17194466942161</v>
      </c>
      <c r="GE61" s="20">
        <v>189.55705574703563</v>
      </c>
      <c r="GF61" s="20">
        <v>1013.3308791325611</v>
      </c>
      <c r="GG61" s="20">
        <v>1191.497976400527</v>
      </c>
      <c r="GH61" s="20">
        <v>411.73715179201128</v>
      </c>
      <c r="GI61" s="20">
        <v>496.75153928708329</v>
      </c>
      <c r="GJ61" s="22">
        <v>12942.037363146646</v>
      </c>
      <c r="GK61" s="22">
        <f t="shared" si="139"/>
        <v>12254.745991999996</v>
      </c>
      <c r="GL61" s="19">
        <f t="shared" si="117"/>
        <v>0.94689465407480899</v>
      </c>
    </row>
    <row r="62" spans="1:194" s="11" customFormat="1" ht="24.95" customHeight="1">
      <c r="A62" s="15">
        <f t="shared" si="138"/>
        <v>18</v>
      </c>
      <c r="B62" s="16" t="s">
        <v>59</v>
      </c>
      <c r="C62" s="17">
        <v>11800</v>
      </c>
      <c r="D62" s="17"/>
      <c r="E62" s="17"/>
      <c r="F62" s="17"/>
      <c r="G62" s="20">
        <v>67</v>
      </c>
      <c r="H62" s="20">
        <v>63</v>
      </c>
      <c r="I62" s="20">
        <v>64</v>
      </c>
      <c r="J62" s="20">
        <v>75</v>
      </c>
      <c r="K62" s="20">
        <v>75</v>
      </c>
      <c r="L62" s="20">
        <v>75</v>
      </c>
      <c r="M62" s="20">
        <v>75</v>
      </c>
      <c r="N62" s="20">
        <v>70</v>
      </c>
      <c r="O62" s="20">
        <v>69</v>
      </c>
      <c r="P62" s="20">
        <v>28</v>
      </c>
      <c r="Q62" s="20">
        <v>22</v>
      </c>
      <c r="R62" s="20">
        <v>67</v>
      </c>
      <c r="S62" s="20">
        <v>46</v>
      </c>
      <c r="T62" s="20">
        <v>125</v>
      </c>
      <c r="U62" s="20">
        <v>82</v>
      </c>
      <c r="V62" s="20">
        <v>56</v>
      </c>
      <c r="W62" s="20">
        <v>69</v>
      </c>
      <c r="X62" s="20">
        <v>80</v>
      </c>
      <c r="Y62" s="20">
        <v>14</v>
      </c>
      <c r="Z62" s="20">
        <v>103</v>
      </c>
      <c r="AA62" s="20">
        <v>71</v>
      </c>
      <c r="AB62" s="18">
        <v>717</v>
      </c>
      <c r="AC62" s="18">
        <f t="shared" si="25"/>
        <v>763</v>
      </c>
      <c r="AD62" s="19">
        <f t="shared" si="10"/>
        <v>1.0641562064156207</v>
      </c>
      <c r="AE62" s="20"/>
      <c r="AF62" s="20"/>
      <c r="AG62" s="20"/>
      <c r="AH62" s="20"/>
      <c r="AI62" s="20"/>
      <c r="AJ62" s="20"/>
      <c r="AK62" s="20">
        <v>272</v>
      </c>
      <c r="AL62" s="20">
        <v>500</v>
      </c>
      <c r="AM62" s="20">
        <v>53</v>
      </c>
      <c r="AN62" s="20">
        <v>6</v>
      </c>
      <c r="AO62" s="20">
        <v>12</v>
      </c>
      <c r="AP62" s="20"/>
      <c r="AQ62" s="20">
        <v>34</v>
      </c>
      <c r="AR62" s="20">
        <v>115</v>
      </c>
      <c r="AS62" s="20">
        <v>91</v>
      </c>
      <c r="AT62" s="20">
        <v>68</v>
      </c>
      <c r="AU62" s="20">
        <v>87</v>
      </c>
      <c r="AV62" s="20">
        <v>86</v>
      </c>
      <c r="AW62" s="20">
        <v>69</v>
      </c>
      <c r="AX62" s="20">
        <v>82</v>
      </c>
      <c r="AY62" s="20">
        <v>86</v>
      </c>
      <c r="AZ62" s="20">
        <v>63</v>
      </c>
      <c r="BA62" s="20">
        <v>37</v>
      </c>
      <c r="BB62" s="20">
        <v>14</v>
      </c>
      <c r="BC62" s="27">
        <v>789</v>
      </c>
      <c r="BD62" s="27">
        <f t="shared" si="13"/>
        <v>832</v>
      </c>
      <c r="BE62" s="19">
        <f t="shared" si="14"/>
        <v>1.0544993662864386</v>
      </c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>
        <v>62</v>
      </c>
      <c r="BS62" s="20">
        <v>96</v>
      </c>
      <c r="BT62" s="20">
        <v>40</v>
      </c>
      <c r="BU62" s="20">
        <v>62</v>
      </c>
      <c r="BV62" s="20">
        <v>257</v>
      </c>
      <c r="BW62" s="20">
        <v>246</v>
      </c>
      <c r="BX62" s="20">
        <v>245</v>
      </c>
      <c r="BY62" s="20">
        <v>237</v>
      </c>
      <c r="BZ62" s="20">
        <v>216</v>
      </c>
      <c r="CA62" s="20">
        <v>221</v>
      </c>
      <c r="CB62" s="20">
        <v>97</v>
      </c>
      <c r="CC62" s="20">
        <v>25</v>
      </c>
      <c r="CD62" s="21">
        <v>1312</v>
      </c>
      <c r="CE62" s="21">
        <f t="shared" si="95"/>
        <v>1804</v>
      </c>
      <c r="CF62" s="19">
        <f t="shared" si="16"/>
        <v>1.375</v>
      </c>
      <c r="CG62" s="20"/>
      <c r="CH62" s="20"/>
      <c r="CI62" s="20"/>
      <c r="CJ62" s="20"/>
      <c r="CK62" s="20"/>
      <c r="CL62" s="20"/>
      <c r="CM62" s="20"/>
      <c r="CN62" s="20"/>
      <c r="CO62" s="20"/>
      <c r="CP62" s="20">
        <v>650</v>
      </c>
      <c r="CQ62" s="20">
        <v>50</v>
      </c>
      <c r="CR62" s="20"/>
      <c r="CS62" s="20">
        <v>0</v>
      </c>
      <c r="CT62" s="20">
        <v>0</v>
      </c>
      <c r="CU62" s="20">
        <v>0</v>
      </c>
      <c r="CV62" s="20">
        <v>259.06620913571368</v>
      </c>
      <c r="CW62" s="20">
        <v>103.62648365428547</v>
      </c>
      <c r="CX62" s="20">
        <v>207.25296730857093</v>
      </c>
      <c r="CY62" s="20">
        <v>155.43972548142818</v>
      </c>
      <c r="CZ62" s="20">
        <v>533.67639081957009</v>
      </c>
      <c r="DA62" s="20">
        <v>507.76976990599877</v>
      </c>
      <c r="DB62" s="20">
        <v>1062.171457456426</v>
      </c>
      <c r="DC62" s="20">
        <v>984.45159471571185</v>
      </c>
      <c r="DD62" s="20">
        <v>103.62648365428547</v>
      </c>
      <c r="DE62" s="14">
        <v>4028.8089878387209</v>
      </c>
      <c r="DF62" s="14">
        <v>3947.0943173636206</v>
      </c>
      <c r="DG62" s="19">
        <f t="shared" si="18"/>
        <v>0.97971741258477074</v>
      </c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>
        <v>98.275702945659006</v>
      </c>
      <c r="DU62" s="20">
        <v>1761.2095591860639</v>
      </c>
      <c r="DV62" s="20">
        <v>1179.7275215011946</v>
      </c>
      <c r="DW62" s="20">
        <v>520.71454545834251</v>
      </c>
      <c r="DX62" s="20">
        <v>278.69229193545095</v>
      </c>
      <c r="DY62" s="20">
        <v>208.4953612599802</v>
      </c>
      <c r="DZ62" s="20">
        <v>455.75619169895168</v>
      </c>
      <c r="EA62" s="20">
        <v>372.46281873328121</v>
      </c>
      <c r="EB62" s="20">
        <v>260.88113042077924</v>
      </c>
      <c r="EC62" s="20">
        <v>377.17753795775309</v>
      </c>
      <c r="ED62" s="20">
        <v>135.15528443486153</v>
      </c>
      <c r="EE62" s="20">
        <v>157.15730748239713</v>
      </c>
      <c r="EF62" s="14">
        <v>4961.2030396435039</v>
      </c>
      <c r="EG62" s="14">
        <f t="shared" si="23"/>
        <v>5805.7052530147148</v>
      </c>
      <c r="EH62" s="19">
        <f t="shared" si="20"/>
        <v>1.1702212561394976</v>
      </c>
      <c r="EI62" s="19"/>
      <c r="EJ62" s="19"/>
      <c r="EK62" s="14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>
        <v>51.886430278644305</v>
      </c>
      <c r="EX62" s="20">
        <v>51.886430278644305</v>
      </c>
      <c r="EY62" s="20">
        <v>83.018288445830876</v>
      </c>
      <c r="EZ62" s="20">
        <v>1732.8708288593898</v>
      </c>
      <c r="FA62" s="20">
        <v>4509.5014018538932</v>
      </c>
      <c r="FB62" s="20">
        <v>3174.2971395874574</v>
      </c>
      <c r="FC62" s="20">
        <v>3878.5487230629992</v>
      </c>
      <c r="FD62" s="20">
        <v>3387.0924827382191</v>
      </c>
      <c r="FE62" s="20">
        <v>2992.8499919617425</v>
      </c>
      <c r="FF62" s="20">
        <v>2098.3307825229372</v>
      </c>
      <c r="FG62" s="20">
        <v>723.15832207002973</v>
      </c>
      <c r="FH62" s="20">
        <v>155.65929083593096</v>
      </c>
      <c r="FI62" s="14">
        <v>17454.702390386225</v>
      </c>
      <c r="FJ62" s="24">
        <v>22839.100112495722</v>
      </c>
      <c r="FK62" s="19">
        <v>1.2523669870172809</v>
      </c>
      <c r="FL62" s="20"/>
      <c r="FM62" s="20">
        <v>226</v>
      </c>
      <c r="FN62" s="20">
        <v>1092.9129679999999</v>
      </c>
      <c r="FO62" s="20">
        <v>2963.1949950000003</v>
      </c>
      <c r="FP62" s="20">
        <v>2595.2779999999998</v>
      </c>
      <c r="FQ62" s="20">
        <v>1514.117</v>
      </c>
      <c r="FR62" s="20">
        <v>2303.6619999999998</v>
      </c>
      <c r="FS62" s="20">
        <v>1213.3699999999999</v>
      </c>
      <c r="FT62" s="20">
        <v>2269.7489999999998</v>
      </c>
      <c r="FU62" s="20">
        <v>1236.2749999999999</v>
      </c>
      <c r="FV62" s="20">
        <v>1026.8000000000002</v>
      </c>
      <c r="FW62" s="20">
        <v>1731.4</v>
      </c>
      <c r="FX62" s="20">
        <v>339.92068909368083</v>
      </c>
      <c r="FY62" s="20">
        <v>2017.2537712216863</v>
      </c>
      <c r="FZ62" s="20">
        <v>2502.3490545787736</v>
      </c>
      <c r="GA62" s="20">
        <v>3881.9910476033497</v>
      </c>
      <c r="GB62" s="20">
        <v>944.44210518555622</v>
      </c>
      <c r="GC62" s="20">
        <v>934.88501102358043</v>
      </c>
      <c r="GD62" s="20">
        <v>1045.2442983466051</v>
      </c>
      <c r="GE62" s="20">
        <v>459.04232274836954</v>
      </c>
      <c r="GF62" s="20">
        <v>1948.5405981400766</v>
      </c>
      <c r="GG62" s="20">
        <v>1953.6320143036301</v>
      </c>
      <c r="GH62" s="20">
        <v>838.46902107792255</v>
      </c>
      <c r="GI62" s="20">
        <v>1212.5437466767692</v>
      </c>
      <c r="GJ62" s="22">
        <v>18719.03</v>
      </c>
      <c r="GK62" s="22">
        <f t="shared" si="139"/>
        <v>18078.313679999999</v>
      </c>
      <c r="GL62" s="19">
        <f t="shared" si="117"/>
        <v>0.96577192728469374</v>
      </c>
    </row>
    <row r="63" spans="1:194" s="11" customFormat="1" ht="24.95" customHeight="1">
      <c r="A63" s="15">
        <f t="shared" si="138"/>
        <v>19</v>
      </c>
      <c r="B63" s="16" t="s">
        <v>60</v>
      </c>
      <c r="C63" s="17">
        <v>11801</v>
      </c>
      <c r="D63" s="17"/>
      <c r="E63" s="17"/>
      <c r="F63" s="17"/>
      <c r="G63" s="20">
        <v>74</v>
      </c>
      <c r="H63" s="20">
        <v>66</v>
      </c>
      <c r="I63" s="20">
        <v>70</v>
      </c>
      <c r="J63" s="20">
        <v>70</v>
      </c>
      <c r="K63" s="20">
        <v>70</v>
      </c>
      <c r="L63" s="20">
        <v>60</v>
      </c>
      <c r="M63" s="20">
        <v>60</v>
      </c>
      <c r="N63" s="20">
        <v>55</v>
      </c>
      <c r="O63" s="20">
        <v>54</v>
      </c>
      <c r="P63" s="20">
        <v>13</v>
      </c>
      <c r="Q63" s="20">
        <v>21</v>
      </c>
      <c r="R63" s="20">
        <v>72</v>
      </c>
      <c r="S63" s="20">
        <v>45</v>
      </c>
      <c r="T63" s="20">
        <v>97</v>
      </c>
      <c r="U63" s="20">
        <v>19</v>
      </c>
      <c r="V63" s="20">
        <v>25</v>
      </c>
      <c r="W63" s="20">
        <v>59</v>
      </c>
      <c r="X63" s="20">
        <v>105</v>
      </c>
      <c r="Y63" s="20">
        <v>50</v>
      </c>
      <c r="Z63" s="20">
        <v>110</v>
      </c>
      <c r="AA63" s="20"/>
      <c r="AB63" s="18">
        <v>641</v>
      </c>
      <c r="AC63" s="18">
        <f t="shared" si="25"/>
        <v>616</v>
      </c>
      <c r="AD63" s="19">
        <f t="shared" si="10"/>
        <v>0.96099843993759748</v>
      </c>
      <c r="AE63" s="20"/>
      <c r="AF63" s="20"/>
      <c r="AG63" s="20"/>
      <c r="AH63" s="20"/>
      <c r="AI63" s="20"/>
      <c r="AJ63" s="20"/>
      <c r="AK63" s="20">
        <v>146</v>
      </c>
      <c r="AL63" s="20">
        <v>277</v>
      </c>
      <c r="AM63" s="20">
        <v>76</v>
      </c>
      <c r="AN63" s="20">
        <v>1</v>
      </c>
      <c r="AO63" s="20">
        <v>45</v>
      </c>
      <c r="AP63" s="20"/>
      <c r="AQ63" s="20">
        <v>24</v>
      </c>
      <c r="AR63" s="20">
        <v>74</v>
      </c>
      <c r="AS63" s="20">
        <v>50</v>
      </c>
      <c r="AT63" s="20">
        <v>73</v>
      </c>
      <c r="AU63" s="20">
        <v>82</v>
      </c>
      <c r="AV63" s="20">
        <v>58</v>
      </c>
      <c r="AW63" s="20">
        <v>56</v>
      </c>
      <c r="AX63" s="20"/>
      <c r="AY63" s="20">
        <v>53</v>
      </c>
      <c r="AZ63" s="20">
        <v>91</v>
      </c>
      <c r="BA63" s="20">
        <v>63</v>
      </c>
      <c r="BB63" s="20">
        <v>29</v>
      </c>
      <c r="BC63" s="27">
        <v>574</v>
      </c>
      <c r="BD63" s="27">
        <f t="shared" si="13"/>
        <v>653</v>
      </c>
      <c r="BE63" s="19">
        <f t="shared" si="14"/>
        <v>1.137630662020906</v>
      </c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>
        <v>124</v>
      </c>
      <c r="BS63" s="20">
        <v>130</v>
      </c>
      <c r="BT63" s="20">
        <v>44</v>
      </c>
      <c r="BU63" s="20">
        <v>71</v>
      </c>
      <c r="BV63" s="20">
        <v>80</v>
      </c>
      <c r="BW63" s="20">
        <v>228</v>
      </c>
      <c r="BX63" s="20">
        <v>209</v>
      </c>
      <c r="BY63" s="20">
        <v>124</v>
      </c>
      <c r="BZ63" s="20">
        <v>180</v>
      </c>
      <c r="CA63" s="20">
        <v>104</v>
      </c>
      <c r="CB63" s="20">
        <v>69</v>
      </c>
      <c r="CC63" s="20">
        <v>27</v>
      </c>
      <c r="CD63" s="21">
        <v>1238</v>
      </c>
      <c r="CE63" s="21">
        <f t="shared" si="95"/>
        <v>1390</v>
      </c>
      <c r="CF63" s="19">
        <f t="shared" si="16"/>
        <v>1.122778675282714</v>
      </c>
      <c r="CG63" s="20"/>
      <c r="CH63" s="20"/>
      <c r="CI63" s="20">
        <v>100</v>
      </c>
      <c r="CJ63" s="20">
        <v>170</v>
      </c>
      <c r="CK63" s="20">
        <v>152</v>
      </c>
      <c r="CL63" s="20">
        <v>518.29999999999995</v>
      </c>
      <c r="CM63" s="20">
        <v>900</v>
      </c>
      <c r="CN63" s="20">
        <v>800</v>
      </c>
      <c r="CO63" s="20">
        <v>150</v>
      </c>
      <c r="CP63" s="20">
        <v>200</v>
      </c>
      <c r="CQ63" s="20">
        <v>100</v>
      </c>
      <c r="CR63" s="20"/>
      <c r="CS63" s="20">
        <v>0</v>
      </c>
      <c r="CT63" s="20">
        <v>0</v>
      </c>
      <c r="CU63" s="20">
        <v>0</v>
      </c>
      <c r="CV63" s="20">
        <v>103.62648365428547</v>
      </c>
      <c r="CW63" s="20">
        <v>538.85771500228441</v>
      </c>
      <c r="CX63" s="20">
        <v>808.28657250342656</v>
      </c>
      <c r="CY63" s="20">
        <v>1160.6166169279973</v>
      </c>
      <c r="CZ63" s="20">
        <v>559.58301173314146</v>
      </c>
      <c r="DA63" s="20">
        <v>896.3690836095692</v>
      </c>
      <c r="DB63" s="20">
        <v>777.19862740714098</v>
      </c>
      <c r="DC63" s="20">
        <v>1523.3093097179963</v>
      </c>
      <c r="DD63" s="20">
        <v>134.7144287505711</v>
      </c>
      <c r="DE63" s="14">
        <v>6185.0628488046759</v>
      </c>
      <c r="DF63" s="14">
        <v>6552.3854077927826</v>
      </c>
      <c r="DG63" s="19">
        <f t="shared" si="18"/>
        <v>1.0593886542412574</v>
      </c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>
        <v>140.39386135094142</v>
      </c>
      <c r="DU63" s="20">
        <v>776.35709896304172</v>
      </c>
      <c r="DV63" s="20">
        <v>712.44646058686692</v>
      </c>
      <c r="DW63" s="20">
        <v>1026.7610755516612</v>
      </c>
      <c r="DX63" s="20">
        <v>459.94705323181557</v>
      </c>
      <c r="DY63" s="20">
        <v>396.03641485564077</v>
      </c>
      <c r="DZ63" s="20">
        <v>255.64255350469932</v>
      </c>
      <c r="EA63" s="20">
        <v>194.87506127817244</v>
      </c>
      <c r="EB63" s="20">
        <v>190.36988513034353</v>
      </c>
      <c r="EC63" s="20">
        <v>469.37649168075944</v>
      </c>
      <c r="ED63" s="20">
        <v>68.101499909038751</v>
      </c>
      <c r="EE63" s="20">
        <v>200.11363819425233</v>
      </c>
      <c r="EF63" s="14">
        <v>3310.8225123435645</v>
      </c>
      <c r="EG63" s="14">
        <f t="shared" si="23"/>
        <v>4890.4210942372329</v>
      </c>
      <c r="EH63" s="19">
        <f t="shared" si="20"/>
        <v>1.4771015589040291</v>
      </c>
      <c r="EI63" s="19"/>
      <c r="EJ63" s="19"/>
      <c r="EK63" s="14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>
        <v>0</v>
      </c>
      <c r="EX63" s="20">
        <v>41.509144222915438</v>
      </c>
      <c r="EY63" s="20">
        <v>103.77286055728861</v>
      </c>
      <c r="EZ63" s="20">
        <v>582.1657477263891</v>
      </c>
      <c r="FA63" s="20">
        <v>332.28069950443808</v>
      </c>
      <c r="FB63" s="20">
        <v>319.62041051644889</v>
      </c>
      <c r="FC63" s="20">
        <v>747.164596012478</v>
      </c>
      <c r="FD63" s="20">
        <v>1110.873445955566</v>
      </c>
      <c r="FE63" s="20">
        <v>2232.389088806427</v>
      </c>
      <c r="FF63" s="20">
        <v>2190.4499518773705</v>
      </c>
      <c r="FG63" s="20">
        <v>1532.2050616086117</v>
      </c>
      <c r="FH63" s="20">
        <v>264.62079442108779</v>
      </c>
      <c r="FI63" s="14">
        <v>8032.2871688996302</v>
      </c>
      <c r="FJ63" s="24">
        <v>9457.0518012090197</v>
      </c>
      <c r="FK63" s="19">
        <v>1.0678530872823868</v>
      </c>
      <c r="FL63" s="20"/>
      <c r="FM63" s="20">
        <v>2659.8924999999999</v>
      </c>
      <c r="FN63" s="20">
        <v>2371.8049999999998</v>
      </c>
      <c r="FO63" s="20">
        <v>9030.3250000000007</v>
      </c>
      <c r="FP63" s="20">
        <v>8057.4994999999972</v>
      </c>
      <c r="FQ63" s="20">
        <v>33</v>
      </c>
      <c r="FR63" s="20">
        <v>429</v>
      </c>
      <c r="FS63" s="20"/>
      <c r="FT63" s="20"/>
      <c r="FU63" s="20"/>
      <c r="FV63" s="20">
        <v>435.8</v>
      </c>
      <c r="FW63" s="20">
        <v>472.54</v>
      </c>
      <c r="FX63" s="20">
        <v>0</v>
      </c>
      <c r="FY63" s="20">
        <v>1395.4441875743821</v>
      </c>
      <c r="FZ63" s="20">
        <v>2049.0187688016626</v>
      </c>
      <c r="GA63" s="20">
        <v>4528.7347763765301</v>
      </c>
      <c r="GB63" s="20">
        <v>3320.050921611788</v>
      </c>
      <c r="GC63" s="20">
        <v>2956.6934498461865</v>
      </c>
      <c r="GD63" s="20">
        <v>2783.6123141843659</v>
      </c>
      <c r="GE63" s="20">
        <v>1782.2045499297196</v>
      </c>
      <c r="GF63" s="20">
        <v>1437.0407749332735</v>
      </c>
      <c r="GG63" s="20">
        <v>1562.4275081913695</v>
      </c>
      <c r="GH63" s="20">
        <v>1707.1204616111736</v>
      </c>
      <c r="GI63" s="20">
        <v>2230.4483869395449</v>
      </c>
      <c r="GJ63" s="22">
        <v>26415</v>
      </c>
      <c r="GK63" s="22">
        <f t="shared" si="139"/>
        <v>25752.796099999996</v>
      </c>
      <c r="GL63" s="19">
        <f t="shared" si="117"/>
        <v>0.97493076282415281</v>
      </c>
    </row>
    <row r="64" spans="1:194" s="11" customFormat="1" ht="32.25" customHeight="1">
      <c r="A64" s="6"/>
      <c r="B64" s="7" t="s">
        <v>94</v>
      </c>
      <c r="C64" s="8"/>
      <c r="D64" s="8"/>
      <c r="E64" s="8"/>
      <c r="F64" s="9"/>
      <c r="G64" s="9">
        <f>+SUM(G65:G68)</f>
        <v>972</v>
      </c>
      <c r="H64" s="9">
        <f t="shared" ref="H64:O64" si="140">+SUM(H65:H68)</f>
        <v>762</v>
      </c>
      <c r="I64" s="9">
        <f t="shared" si="140"/>
        <v>845</v>
      </c>
      <c r="J64" s="9">
        <f t="shared" si="140"/>
        <v>877</v>
      </c>
      <c r="K64" s="9">
        <f t="shared" si="140"/>
        <v>826</v>
      </c>
      <c r="L64" s="9">
        <f t="shared" si="140"/>
        <v>906</v>
      </c>
      <c r="M64" s="9">
        <f t="shared" si="140"/>
        <v>821</v>
      </c>
      <c r="N64" s="9">
        <f t="shared" si="140"/>
        <v>790</v>
      </c>
      <c r="O64" s="9">
        <f t="shared" si="140"/>
        <v>762</v>
      </c>
      <c r="P64" s="9">
        <f t="shared" ref="P64" si="141">+SUM(P65:P68)</f>
        <v>253</v>
      </c>
      <c r="Q64" s="9">
        <f t="shared" ref="Q64" si="142">+SUM(Q65:Q68)</f>
        <v>388</v>
      </c>
      <c r="R64" s="9">
        <f t="shared" ref="R64" si="143">+SUM(R65:R68)</f>
        <v>557</v>
      </c>
      <c r="S64" s="9">
        <f t="shared" ref="S64" si="144">+SUM(S65:S68)</f>
        <v>452</v>
      </c>
      <c r="T64" s="9">
        <f t="shared" ref="T64" si="145">+SUM(T65:T68)</f>
        <v>403</v>
      </c>
      <c r="U64" s="9">
        <f t="shared" ref="U64" si="146">+SUM(U65:U68)</f>
        <v>383</v>
      </c>
      <c r="V64" s="9">
        <f t="shared" ref="V64" si="147">+SUM(V65:V68)</f>
        <v>382</v>
      </c>
      <c r="W64" s="9">
        <f t="shared" ref="W64" si="148">+SUM(W65:W68)</f>
        <v>345</v>
      </c>
      <c r="X64" s="9">
        <f t="shared" ref="X64" si="149">+SUM(X65:X68)</f>
        <v>302</v>
      </c>
      <c r="Y64" s="9">
        <f t="shared" ref="Y64" si="150">+SUM(Y65:Y68)</f>
        <v>199</v>
      </c>
      <c r="Z64" s="9">
        <f t="shared" ref="Z64" si="151">+SUM(Z65:Z68)</f>
        <v>310</v>
      </c>
      <c r="AA64" s="9">
        <f t="shared" ref="AA64:AB64" si="152">+SUM(AA65:AA68)</f>
        <v>199</v>
      </c>
      <c r="AB64" s="9">
        <f t="shared" si="152"/>
        <v>3686</v>
      </c>
      <c r="AC64" s="9">
        <f t="shared" si="25"/>
        <v>4173</v>
      </c>
      <c r="AD64" s="10">
        <f t="shared" si="10"/>
        <v>1.1321215409658165</v>
      </c>
      <c r="AE64" s="9"/>
      <c r="AF64" s="9"/>
      <c r="AG64" s="9"/>
      <c r="AH64" s="9"/>
      <c r="AI64" s="9">
        <f>+SUM(AI65:AI68)</f>
        <v>0</v>
      </c>
      <c r="AJ64" s="9">
        <f t="shared" ref="AJ64:BC64" si="153">+SUM(AJ65:AJ68)</f>
        <v>39</v>
      </c>
      <c r="AK64" s="9">
        <f t="shared" si="153"/>
        <v>606</v>
      </c>
      <c r="AL64" s="9">
        <f t="shared" si="153"/>
        <v>1296</v>
      </c>
      <c r="AM64" s="9">
        <f t="shared" si="153"/>
        <v>142</v>
      </c>
      <c r="AN64" s="9">
        <f t="shared" si="153"/>
        <v>13</v>
      </c>
      <c r="AO64" s="9">
        <f t="shared" si="153"/>
        <v>19</v>
      </c>
      <c r="AP64" s="9">
        <f t="shared" si="153"/>
        <v>1</v>
      </c>
      <c r="AQ64" s="9">
        <f t="shared" si="153"/>
        <v>116</v>
      </c>
      <c r="AR64" s="9">
        <f t="shared" si="153"/>
        <v>352</v>
      </c>
      <c r="AS64" s="9">
        <f t="shared" si="153"/>
        <v>321</v>
      </c>
      <c r="AT64" s="9">
        <f t="shared" si="153"/>
        <v>266</v>
      </c>
      <c r="AU64" s="9">
        <f t="shared" si="153"/>
        <v>315</v>
      </c>
      <c r="AV64" s="9">
        <f t="shared" si="153"/>
        <v>187</v>
      </c>
      <c r="AW64" s="9">
        <f t="shared" si="153"/>
        <v>216</v>
      </c>
      <c r="AX64" s="9">
        <f t="shared" si="153"/>
        <v>165</v>
      </c>
      <c r="AY64" s="9">
        <f t="shared" si="153"/>
        <v>275</v>
      </c>
      <c r="AZ64" s="9">
        <f t="shared" si="153"/>
        <v>312</v>
      </c>
      <c r="BA64" s="9">
        <f t="shared" si="153"/>
        <v>224</v>
      </c>
      <c r="BB64" s="9">
        <f t="shared" si="153"/>
        <v>88</v>
      </c>
      <c r="BC64" s="9">
        <f t="shared" si="153"/>
        <v>2640</v>
      </c>
      <c r="BD64" s="9">
        <f t="shared" si="13"/>
        <v>2837</v>
      </c>
      <c r="BE64" s="10">
        <f t="shared" si="14"/>
        <v>1.0746212121212122</v>
      </c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>
        <f t="shared" ref="BR64:CD64" si="154">+SUM(BR65:BR68)</f>
        <v>881</v>
      </c>
      <c r="BS64" s="9">
        <f t="shared" si="154"/>
        <v>1934</v>
      </c>
      <c r="BT64" s="9">
        <f t="shared" si="154"/>
        <v>934</v>
      </c>
      <c r="BU64" s="9">
        <f t="shared" si="154"/>
        <v>752</v>
      </c>
      <c r="BV64" s="9">
        <f t="shared" si="154"/>
        <v>852</v>
      </c>
      <c r="BW64" s="9">
        <f t="shared" si="154"/>
        <v>585</v>
      </c>
      <c r="BX64" s="9">
        <f t="shared" si="154"/>
        <v>940</v>
      </c>
      <c r="BY64" s="9">
        <f t="shared" si="154"/>
        <v>626</v>
      </c>
      <c r="BZ64" s="9">
        <f t="shared" si="154"/>
        <v>657</v>
      </c>
      <c r="CA64" s="9">
        <f t="shared" si="154"/>
        <v>1412</v>
      </c>
      <c r="CB64" s="9">
        <f t="shared" si="154"/>
        <v>1253</v>
      </c>
      <c r="CC64" s="9">
        <f t="shared" si="154"/>
        <v>1700</v>
      </c>
      <c r="CD64" s="9">
        <f t="shared" si="154"/>
        <v>11572</v>
      </c>
      <c r="CE64" s="9">
        <f t="shared" ref="CE64" si="155">+SUM(CE65:CE68)</f>
        <v>12526</v>
      </c>
      <c r="CF64" s="10">
        <f t="shared" si="16"/>
        <v>1.082440373314898</v>
      </c>
      <c r="CG64" s="9"/>
      <c r="CH64" s="9">
        <v>2121.9992000000002</v>
      </c>
      <c r="CI64" s="9">
        <v>20338.717228000001</v>
      </c>
      <c r="CJ64" s="9">
        <v>44391.015565900001</v>
      </c>
      <c r="CK64" s="9">
        <v>34840.074695999996</v>
      </c>
      <c r="CL64" s="9">
        <v>17813.48</v>
      </c>
      <c r="CM64" s="9">
        <v>24916.257000000001</v>
      </c>
      <c r="CN64" s="9">
        <v>30245.265800000001</v>
      </c>
      <c r="CO64" s="9">
        <v>18696.650000000001</v>
      </c>
      <c r="CP64" s="9">
        <v>11030</v>
      </c>
      <c r="CQ64" s="9">
        <v>4830</v>
      </c>
      <c r="CR64" s="9">
        <v>1250</v>
      </c>
      <c r="CS64" s="9">
        <f t="shared" ref="CS64:DF64" si="156">+SUM(CS65:CS68)</f>
        <v>3330.8736028915782</v>
      </c>
      <c r="CT64" s="9">
        <f t="shared" si="156"/>
        <v>4238.512491780124</v>
      </c>
      <c r="CU64" s="9">
        <f t="shared" si="156"/>
        <v>4788.4664694262028</v>
      </c>
      <c r="CV64" s="9">
        <f t="shared" si="156"/>
        <v>5475.3995645821815</v>
      </c>
      <c r="CW64" s="9">
        <f t="shared" si="156"/>
        <v>4784.0506064437914</v>
      </c>
      <c r="CX64" s="9">
        <f t="shared" si="156"/>
        <v>6002.07354273278</v>
      </c>
      <c r="CY64" s="9">
        <f t="shared" si="156"/>
        <v>4668.8312749457582</v>
      </c>
      <c r="CZ64" s="9">
        <f t="shared" si="156"/>
        <v>5151.2778669088648</v>
      </c>
      <c r="DA64" s="9">
        <f t="shared" si="156"/>
        <v>9067.1191568013164</v>
      </c>
      <c r="DB64" s="9">
        <f t="shared" si="156"/>
        <v>14308.261062207788</v>
      </c>
      <c r="DC64" s="9">
        <f t="shared" si="156"/>
        <v>12683.313609451936</v>
      </c>
      <c r="DD64" s="9">
        <f t="shared" si="156"/>
        <v>7791.6114216957812</v>
      </c>
      <c r="DE64" s="9">
        <f t="shared" si="156"/>
        <v>73720.858069517344</v>
      </c>
      <c r="DF64" s="9">
        <f t="shared" si="156"/>
        <v>84131.000000000116</v>
      </c>
      <c r="DG64" s="10">
        <f t="shared" si="18"/>
        <v>1.1412102653589058</v>
      </c>
      <c r="DH64" s="9">
        <v>0</v>
      </c>
      <c r="DI64" s="9">
        <v>0</v>
      </c>
      <c r="DJ64" s="9">
        <v>103</v>
      </c>
      <c r="DK64" s="9">
        <v>470</v>
      </c>
      <c r="DL64" s="9">
        <v>2263</v>
      </c>
      <c r="DM64" s="9">
        <v>2241.5</v>
      </c>
      <c r="DN64" s="9">
        <v>4603.5</v>
      </c>
      <c r="DO64" s="9">
        <v>6940.5</v>
      </c>
      <c r="DP64" s="9">
        <v>4294.3999999999996</v>
      </c>
      <c r="DQ64" s="9">
        <v>2174</v>
      </c>
      <c r="DR64" s="9">
        <v>0</v>
      </c>
      <c r="DS64" s="9">
        <v>0</v>
      </c>
      <c r="DT64" s="9">
        <f t="shared" ref="DT64:EG64" si="157">+SUM(DT65:DT68)</f>
        <v>769.37916948503459</v>
      </c>
      <c r="DU64" s="9">
        <f t="shared" ref="DU64" si="158">+SUM(DU65:DU68)</f>
        <v>6994.2627036363174</v>
      </c>
      <c r="DV64" s="9">
        <f t="shared" ref="DV64" si="159">+SUM(DV65:DV68)</f>
        <v>4116.0244754693376</v>
      </c>
      <c r="DW64" s="9">
        <f t="shared" ref="DW64" si="160">+SUM(DW65:DW68)</f>
        <v>4888.4852704663281</v>
      </c>
      <c r="DX64" s="9">
        <f t="shared" ref="DX64" si="161">+SUM(DX65:DX68)</f>
        <v>2719.020910049248</v>
      </c>
      <c r="DY64" s="9">
        <f t="shared" ref="DY64" si="162">+SUM(DY65:DY68)</f>
        <v>1766.2301184829137</v>
      </c>
      <c r="DZ64" s="9">
        <f t="shared" ref="DZ64" si="163">+SUM(DZ65:DZ68)</f>
        <v>3273.7135022013422</v>
      </c>
      <c r="EA64" s="9">
        <f t="shared" ref="EA64" si="164">+SUM(EA65:EA68)</f>
        <v>2365.4557429774877</v>
      </c>
      <c r="EB64" s="9">
        <f t="shared" ref="EB64" si="165">+SUM(EB65:EB68)</f>
        <v>1350.2655784887556</v>
      </c>
      <c r="EC64" s="9">
        <f t="shared" ref="EC64" si="166">+SUM(EC65:EC68)</f>
        <v>5008.6686654326149</v>
      </c>
      <c r="ED64" s="9">
        <f t="shared" ref="ED64" si="167">+SUM(ED65:ED68)</f>
        <v>4003.0315400309482</v>
      </c>
      <c r="EE64" s="9">
        <f t="shared" ref="EE64" si="168">+SUM(EE65:EE68)</f>
        <v>2008.7062295433716</v>
      </c>
      <c r="EF64" s="9">
        <f t="shared" ref="EF64" si="169">+SUM(EF65:EF68)</f>
        <v>26466</v>
      </c>
      <c r="EG64" s="9">
        <f t="shared" ref="EG64" si="170">+SUM(EG65:EG68)</f>
        <v>39263.243906263699</v>
      </c>
      <c r="EH64" s="10">
        <f t="shared" si="20"/>
        <v>1.483535249235385</v>
      </c>
      <c r="EI64" s="10"/>
      <c r="EJ64" s="10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>
        <f>+SUM(EW65:EW68)</f>
        <v>63.524025738895411</v>
      </c>
      <c r="EX64" s="9">
        <f t="shared" ref="EX64:FH64" si="171">+SUM(EX65:EX68)</f>
        <v>5706.5749788774383</v>
      </c>
      <c r="EY64" s="9">
        <f t="shared" si="171"/>
        <v>18496.078827641715</v>
      </c>
      <c r="EZ64" s="9">
        <f t="shared" si="171"/>
        <v>22355.163391279613</v>
      </c>
      <c r="FA64" s="9">
        <f t="shared" si="171"/>
        <v>20512.437277970486</v>
      </c>
      <c r="FB64" s="9">
        <f t="shared" si="171"/>
        <v>7519.4448000892808</v>
      </c>
      <c r="FC64" s="9">
        <f t="shared" si="171"/>
        <v>12181.79066919551</v>
      </c>
      <c r="FD64" s="9">
        <f t="shared" si="171"/>
        <v>8230.5962682362151</v>
      </c>
      <c r="FE64" s="9">
        <f t="shared" si="171"/>
        <v>14481.360400943524</v>
      </c>
      <c r="FF64" s="9">
        <f t="shared" si="171"/>
        <v>27061.234964769446</v>
      </c>
      <c r="FG64" s="9">
        <f t="shared" si="171"/>
        <v>23492.243452005838</v>
      </c>
      <c r="FH64" s="9">
        <v>14454.150943252003</v>
      </c>
      <c r="FI64" s="9">
        <f>(+SUM(FI65:FI68))-14270.9530777134</f>
        <v>127119.11153331836</v>
      </c>
      <c r="FJ64" s="9">
        <v>174554.59999999998</v>
      </c>
      <c r="FK64" s="10">
        <v>0.91444728459413882</v>
      </c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>
        <v>0</v>
      </c>
      <c r="GJ64" s="9">
        <v>0</v>
      </c>
      <c r="GK64" s="9">
        <v>0</v>
      </c>
      <c r="GL64" s="10"/>
    </row>
    <row r="65" spans="1:194" s="11" customFormat="1" ht="24.95" customHeight="1">
      <c r="A65" s="15">
        <f t="shared" si="24"/>
        <v>1</v>
      </c>
      <c r="B65" s="16" t="s">
        <v>43</v>
      </c>
      <c r="C65" s="17">
        <v>12129</v>
      </c>
      <c r="D65" s="17"/>
      <c r="E65" s="17"/>
      <c r="F65" s="17"/>
      <c r="G65" s="20">
        <v>157</v>
      </c>
      <c r="H65" s="20">
        <v>199</v>
      </c>
      <c r="I65" s="20">
        <v>200</v>
      </c>
      <c r="J65" s="20">
        <v>273</v>
      </c>
      <c r="K65" s="20">
        <v>221</v>
      </c>
      <c r="L65" s="20">
        <v>262</v>
      </c>
      <c r="M65" s="20">
        <v>232</v>
      </c>
      <c r="N65" s="20">
        <v>204</v>
      </c>
      <c r="O65" s="20">
        <v>191</v>
      </c>
      <c r="P65" s="20">
        <v>4</v>
      </c>
      <c r="Q65" s="20">
        <v>70</v>
      </c>
      <c r="R65" s="20">
        <v>22</v>
      </c>
      <c r="S65" s="20">
        <v>32</v>
      </c>
      <c r="T65" s="20">
        <v>20</v>
      </c>
      <c r="U65" s="20">
        <v>8</v>
      </c>
      <c r="V65" s="20">
        <v>5</v>
      </c>
      <c r="W65" s="20">
        <v>99</v>
      </c>
      <c r="X65" s="20">
        <v>3</v>
      </c>
      <c r="Y65" s="20">
        <v>23</v>
      </c>
      <c r="Z65" s="20">
        <v>61</v>
      </c>
      <c r="AA65" s="20">
        <v>23</v>
      </c>
      <c r="AB65" s="18">
        <v>487</v>
      </c>
      <c r="AC65" s="18">
        <f t="shared" si="25"/>
        <v>370</v>
      </c>
      <c r="AD65" s="19">
        <f t="shared" si="10"/>
        <v>0.75975359342915816</v>
      </c>
      <c r="AE65" s="20"/>
      <c r="AF65" s="20"/>
      <c r="AG65" s="20"/>
      <c r="AH65" s="20"/>
      <c r="AI65" s="20"/>
      <c r="AJ65" s="20"/>
      <c r="AK65" s="20">
        <v>156</v>
      </c>
      <c r="AL65" s="20">
        <v>296</v>
      </c>
      <c r="AM65" s="20">
        <v>10</v>
      </c>
      <c r="AN65" s="20">
        <v>9</v>
      </c>
      <c r="AO65" s="20"/>
      <c r="AP65" s="20"/>
      <c r="AQ65" s="20">
        <v>27</v>
      </c>
      <c r="AR65" s="20">
        <v>60</v>
      </c>
      <c r="AS65" s="20">
        <v>96</v>
      </c>
      <c r="AT65" s="20">
        <v>62</v>
      </c>
      <c r="AU65" s="20">
        <v>54</v>
      </c>
      <c r="AV65" s="20">
        <v>45</v>
      </c>
      <c r="AW65" s="20">
        <v>47</v>
      </c>
      <c r="AX65" s="20">
        <v>47</v>
      </c>
      <c r="AY65" s="20">
        <v>79</v>
      </c>
      <c r="AZ65" s="20">
        <v>67</v>
      </c>
      <c r="BA65" s="20">
        <v>25</v>
      </c>
      <c r="BB65" s="20">
        <v>38</v>
      </c>
      <c r="BC65" s="27">
        <v>583</v>
      </c>
      <c r="BD65" s="27">
        <f t="shared" si="13"/>
        <v>647</v>
      </c>
      <c r="BE65" s="19">
        <f t="shared" si="14"/>
        <v>1.1097770154373927</v>
      </c>
      <c r="BF65" s="20">
        <f>+BF5-BC5</f>
        <v>-40960</v>
      </c>
      <c r="BG65" s="20">
        <f>+BG5-BD5</f>
        <v>-44399</v>
      </c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>
        <v>80</v>
      </c>
      <c r="BS65" s="20">
        <v>271</v>
      </c>
      <c r="BT65" s="20">
        <v>43</v>
      </c>
      <c r="BU65" s="20">
        <v>119</v>
      </c>
      <c r="BV65" s="20">
        <v>48</v>
      </c>
      <c r="BW65" s="20">
        <v>0</v>
      </c>
      <c r="BX65" s="20">
        <v>95</v>
      </c>
      <c r="BY65" s="20">
        <v>113</v>
      </c>
      <c r="BZ65" s="20">
        <v>56</v>
      </c>
      <c r="CA65" s="20">
        <v>295</v>
      </c>
      <c r="CB65" s="20">
        <v>172</v>
      </c>
      <c r="CC65" s="20">
        <v>206</v>
      </c>
      <c r="CD65" s="21">
        <v>2488</v>
      </c>
      <c r="CE65" s="21">
        <f>+SUM(BR65:CC65)</f>
        <v>1498</v>
      </c>
      <c r="CF65" s="19">
        <f t="shared" si="16"/>
        <v>0.60209003215434087</v>
      </c>
      <c r="CG65" s="20"/>
      <c r="CH65" s="20">
        <v>579.99919999999997</v>
      </c>
      <c r="CI65" s="20">
        <v>3232.0340000000001</v>
      </c>
      <c r="CJ65" s="20">
        <v>12320.8017999</v>
      </c>
      <c r="CK65" s="20">
        <v>11006.751364</v>
      </c>
      <c r="CL65" s="20">
        <v>3730</v>
      </c>
      <c r="CM65" s="20">
        <v>9250</v>
      </c>
      <c r="CN65" s="20">
        <v>9080</v>
      </c>
      <c r="CO65" s="20">
        <v>6240</v>
      </c>
      <c r="CP65" s="20">
        <v>2320</v>
      </c>
      <c r="CQ65" s="20">
        <v>1350</v>
      </c>
      <c r="CR65" s="20"/>
      <c r="CS65" s="20">
        <v>107.41288625899961</v>
      </c>
      <c r="CT65" s="20">
        <v>698.18376068349744</v>
      </c>
      <c r="CU65" s="20">
        <v>1256.7307692302954</v>
      </c>
      <c r="CV65" s="20">
        <v>966.71597633099645</v>
      </c>
      <c r="CW65" s="20">
        <v>644.47731755399775</v>
      </c>
      <c r="CX65" s="20">
        <v>1396.3675213669949</v>
      </c>
      <c r="CY65" s="20">
        <v>1450.0739644964947</v>
      </c>
      <c r="CZ65" s="20">
        <v>1826.0190664029935</v>
      </c>
      <c r="DA65" s="20">
        <v>1439.3326758705948</v>
      </c>
      <c r="DB65" s="20">
        <v>1826.0190664029935</v>
      </c>
      <c r="DC65" s="20">
        <v>1041.9049967122962</v>
      </c>
      <c r="DD65" s="20">
        <v>913.00953320149677</v>
      </c>
      <c r="DE65" s="14">
        <v>11882.77781521768</v>
      </c>
      <c r="DF65" s="14">
        <v>13869.7882451161</v>
      </c>
      <c r="DG65" s="19">
        <f t="shared" si="18"/>
        <v>1.1672176708844759</v>
      </c>
      <c r="DH65" s="20"/>
      <c r="DI65" s="20"/>
      <c r="DJ65" s="20">
        <v>8</v>
      </c>
      <c r="DK65" s="20">
        <v>90</v>
      </c>
      <c r="DL65" s="20">
        <v>1107</v>
      </c>
      <c r="DM65" s="20">
        <v>952</v>
      </c>
      <c r="DN65" s="20">
        <v>731.5</v>
      </c>
      <c r="DO65" s="20">
        <v>1348</v>
      </c>
      <c r="DP65" s="20">
        <v>1217.7</v>
      </c>
      <c r="DQ65" s="20">
        <v>423</v>
      </c>
      <c r="DR65" s="20"/>
      <c r="DS65" s="20"/>
      <c r="DT65" s="20">
        <v>15.4081275597804</v>
      </c>
      <c r="DU65" s="20">
        <v>550.58375813615294</v>
      </c>
      <c r="DV65" s="20">
        <v>331.78834678727128</v>
      </c>
      <c r="DW65" s="20">
        <v>255.77491749235463</v>
      </c>
      <c r="DX65" s="20">
        <v>393.42085702639287</v>
      </c>
      <c r="DY65" s="20">
        <v>95.530390870638485</v>
      </c>
      <c r="DZ65" s="20">
        <v>305.08092568365191</v>
      </c>
      <c r="EA65" s="20">
        <v>753.97104192525421</v>
      </c>
      <c r="EB65" s="20">
        <v>508.46820947275319</v>
      </c>
      <c r="EC65" s="20">
        <v>445.80849072964622</v>
      </c>
      <c r="ED65" s="20">
        <v>245.50283245250105</v>
      </c>
      <c r="EE65" s="20">
        <v>161.27173512570153</v>
      </c>
      <c r="EF65" s="14">
        <v>2616.9580164577405</v>
      </c>
      <c r="EG65" s="14">
        <f t="shared" si="23"/>
        <v>4062.6096332620987</v>
      </c>
      <c r="EH65" s="19">
        <f t="shared" si="20"/>
        <v>1.5524168166676062</v>
      </c>
      <c r="EI65" s="19"/>
      <c r="EJ65" s="19"/>
      <c r="EK65" s="20"/>
      <c r="EL65" s="32"/>
      <c r="EM65" s="32"/>
      <c r="EN65" s="20"/>
      <c r="EO65" s="20"/>
      <c r="EP65" s="20"/>
      <c r="EQ65" s="20"/>
      <c r="ER65" s="20"/>
      <c r="ES65" s="20"/>
      <c r="ET65" s="20"/>
      <c r="EU65" s="20"/>
      <c r="EV65" s="20"/>
      <c r="EW65" s="20">
        <v>0</v>
      </c>
      <c r="EX65" s="20">
        <v>978.26999637898939</v>
      </c>
      <c r="EY65" s="20">
        <v>4069.7725823385663</v>
      </c>
      <c r="EZ65" s="20">
        <v>4414.9197888532308</v>
      </c>
      <c r="FA65" s="20">
        <v>4532.439236470188</v>
      </c>
      <c r="FB65" s="20">
        <v>2252.9854462061571</v>
      </c>
      <c r="FC65" s="20">
        <v>1699.2676885154524</v>
      </c>
      <c r="FD65" s="20">
        <v>801.46145807239714</v>
      </c>
      <c r="FE65" s="20">
        <v>3404.8877796047941</v>
      </c>
      <c r="FF65" s="20">
        <v>4397.9800486561926</v>
      </c>
      <c r="FG65" s="20">
        <v>2899.8717749805755</v>
      </c>
      <c r="FH65" s="20">
        <v>536.7780174936679</v>
      </c>
      <c r="FI65" s="14">
        <v>29541.06760507077</v>
      </c>
      <c r="FJ65" s="14">
        <v>29988.633817570211</v>
      </c>
      <c r="FK65" s="19">
        <v>0.87471337261165361</v>
      </c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19"/>
    </row>
    <row r="66" spans="1:194" s="11" customFormat="1" ht="24.95" customHeight="1">
      <c r="A66" s="15">
        <f t="shared" si="24"/>
        <v>2</v>
      </c>
      <c r="B66" s="16" t="s">
        <v>41</v>
      </c>
      <c r="C66" s="17">
        <v>10820</v>
      </c>
      <c r="D66" s="17"/>
      <c r="E66" s="17"/>
      <c r="F66" s="17"/>
      <c r="G66" s="20">
        <v>402</v>
      </c>
      <c r="H66" s="20">
        <v>236</v>
      </c>
      <c r="I66" s="20">
        <v>243</v>
      </c>
      <c r="J66" s="20">
        <v>219</v>
      </c>
      <c r="K66" s="20">
        <v>198</v>
      </c>
      <c r="L66" s="20">
        <v>214</v>
      </c>
      <c r="M66" s="20">
        <v>205</v>
      </c>
      <c r="N66" s="20">
        <v>174</v>
      </c>
      <c r="O66" s="20">
        <v>190</v>
      </c>
      <c r="P66" s="20">
        <v>88</v>
      </c>
      <c r="Q66" s="20">
        <v>80</v>
      </c>
      <c r="R66" s="20">
        <v>80</v>
      </c>
      <c r="S66" s="20">
        <v>177</v>
      </c>
      <c r="T66" s="20">
        <v>149</v>
      </c>
      <c r="U66" s="20">
        <v>127</v>
      </c>
      <c r="V66" s="20">
        <v>109</v>
      </c>
      <c r="W66" s="20">
        <v>53</v>
      </c>
      <c r="X66" s="20">
        <v>104</v>
      </c>
      <c r="Y66" s="20">
        <v>50</v>
      </c>
      <c r="Z66" s="20">
        <v>131</v>
      </c>
      <c r="AA66" s="20">
        <v>50</v>
      </c>
      <c r="AB66" s="18">
        <v>1179</v>
      </c>
      <c r="AC66" s="18">
        <f t="shared" ref="AC66:AC105" si="172">+P66+Q66+R66+S66+T66+U66+V66+W66+X66+Y66+Z66+AA66</f>
        <v>1198</v>
      </c>
      <c r="AD66" s="19">
        <f t="shared" ref="AD66:AD105" si="173">+AC66/AB66</f>
        <v>1.0161153519932147</v>
      </c>
      <c r="AE66" s="20"/>
      <c r="AF66" s="20"/>
      <c r="AG66" s="20"/>
      <c r="AH66" s="20"/>
      <c r="AI66" s="20"/>
      <c r="AJ66" s="20"/>
      <c r="AK66" s="20">
        <v>319</v>
      </c>
      <c r="AL66" s="20">
        <v>744</v>
      </c>
      <c r="AM66" s="20">
        <v>48</v>
      </c>
      <c r="AN66" s="20">
        <v>4</v>
      </c>
      <c r="AO66" s="20">
        <v>18</v>
      </c>
      <c r="AP66" s="20">
        <v>1</v>
      </c>
      <c r="AQ66" s="20">
        <v>48</v>
      </c>
      <c r="AR66" s="20">
        <v>226</v>
      </c>
      <c r="AS66" s="20">
        <v>135</v>
      </c>
      <c r="AT66" s="20">
        <v>131</v>
      </c>
      <c r="AU66" s="20">
        <v>161</v>
      </c>
      <c r="AV66" s="20">
        <v>96</v>
      </c>
      <c r="AW66" s="20">
        <v>108</v>
      </c>
      <c r="AX66" s="20">
        <v>72</v>
      </c>
      <c r="AY66" s="20">
        <v>133</v>
      </c>
      <c r="AZ66" s="20">
        <v>168</v>
      </c>
      <c r="BA66" s="20">
        <v>150</v>
      </c>
      <c r="BB66" s="20">
        <v>30</v>
      </c>
      <c r="BC66" s="27">
        <v>1340</v>
      </c>
      <c r="BD66" s="27">
        <f t="shared" ref="BD66:BD105" si="174">+AQ66+AR66+AS66+AT66+AU66+AV66+AW66+AX66+AY66+AZ66+BA66+BB66</f>
        <v>1458</v>
      </c>
      <c r="BE66" s="19">
        <f t="shared" ref="BE66:BE105" si="175">+BD66/BC66</f>
        <v>1.0880597014925373</v>
      </c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>
        <v>455</v>
      </c>
      <c r="BS66" s="20">
        <v>1070</v>
      </c>
      <c r="BT66" s="20">
        <v>617</v>
      </c>
      <c r="BU66" s="20">
        <v>423</v>
      </c>
      <c r="BV66" s="20">
        <v>639</v>
      </c>
      <c r="BW66" s="20">
        <v>451</v>
      </c>
      <c r="BX66" s="20">
        <v>538</v>
      </c>
      <c r="BY66" s="20">
        <v>395</v>
      </c>
      <c r="BZ66" s="20">
        <v>416</v>
      </c>
      <c r="CA66" s="20">
        <v>140</v>
      </c>
      <c r="CB66" s="20">
        <v>369</v>
      </c>
      <c r="CC66" s="20">
        <v>617</v>
      </c>
      <c r="CD66" s="21">
        <v>5105</v>
      </c>
      <c r="CE66" s="21">
        <f t="shared" ref="CE66:CE70" si="176">+SUM(BR66:CC66)</f>
        <v>6130</v>
      </c>
      <c r="CF66" s="19">
        <f t="shared" si="16"/>
        <v>1.2007835455435847</v>
      </c>
      <c r="CG66" s="20"/>
      <c r="CH66" s="20">
        <v>570</v>
      </c>
      <c r="CI66" s="20">
        <v>5352.4023999999999</v>
      </c>
      <c r="CJ66" s="20">
        <v>9820.1447499999995</v>
      </c>
      <c r="CK66" s="20">
        <v>9599.5401920000004</v>
      </c>
      <c r="CL66" s="20">
        <v>4370</v>
      </c>
      <c r="CM66" s="20">
        <v>3798.5</v>
      </c>
      <c r="CN66" s="20">
        <v>5773</v>
      </c>
      <c r="CO66" s="20">
        <v>4445</v>
      </c>
      <c r="CP66" s="20">
        <v>1270</v>
      </c>
      <c r="CQ66" s="20">
        <v>1250</v>
      </c>
      <c r="CR66" s="20">
        <v>350</v>
      </c>
      <c r="CS66" s="20">
        <v>751.89020381299736</v>
      </c>
      <c r="CT66" s="20">
        <v>698.18376068349744</v>
      </c>
      <c r="CU66" s="20">
        <v>751.89020381299736</v>
      </c>
      <c r="CV66" s="20">
        <v>934.04718128343313</v>
      </c>
      <c r="CW66" s="20">
        <v>794.85535831659718</v>
      </c>
      <c r="CX66" s="20">
        <v>859.30309007199685</v>
      </c>
      <c r="CY66" s="20">
        <v>896.14698829366284</v>
      </c>
      <c r="CZ66" s="20">
        <v>665.89475856818251</v>
      </c>
      <c r="DA66" s="20">
        <v>2631.6157133454903</v>
      </c>
      <c r="DB66" s="20">
        <v>4079.7263238815981</v>
      </c>
      <c r="DC66" s="20">
        <v>5725.1068376046796</v>
      </c>
      <c r="DD66" s="20">
        <v>3114.973701510989</v>
      </c>
      <c r="DE66" s="14">
        <v>19620.227726821198</v>
      </c>
      <c r="DF66" s="14">
        <v>22393.721350469757</v>
      </c>
      <c r="DG66" s="19">
        <f t="shared" ref="DG66:DG105" si="177">+DF66/DE66</f>
        <v>1.1413588905421901</v>
      </c>
      <c r="DH66" s="20"/>
      <c r="DI66" s="20"/>
      <c r="DJ66" s="20">
        <v>35</v>
      </c>
      <c r="DK66" s="20">
        <v>140</v>
      </c>
      <c r="DL66" s="20">
        <v>821</v>
      </c>
      <c r="DM66" s="20">
        <v>933</v>
      </c>
      <c r="DN66" s="20">
        <v>3252</v>
      </c>
      <c r="DO66" s="20">
        <v>3816</v>
      </c>
      <c r="DP66" s="20">
        <v>1743.2</v>
      </c>
      <c r="DQ66" s="20">
        <v>894</v>
      </c>
      <c r="DR66" s="20"/>
      <c r="DS66" s="20"/>
      <c r="DT66" s="20">
        <v>565.99188569593332</v>
      </c>
      <c r="DU66" s="20">
        <v>3293.2304637770644</v>
      </c>
      <c r="DV66" s="20">
        <v>2414.9671928695816</v>
      </c>
      <c r="DW66" s="20">
        <v>2814.5513009198862</v>
      </c>
      <c r="DX66" s="20">
        <v>1415.4933184918261</v>
      </c>
      <c r="DY66" s="20">
        <v>1097.5173823884443</v>
      </c>
      <c r="DZ66" s="20">
        <v>2259.858708767792</v>
      </c>
      <c r="EA66" s="20">
        <v>486.89683088906065</v>
      </c>
      <c r="EB66" s="20">
        <v>160.24452662171615</v>
      </c>
      <c r="EC66" s="20">
        <v>2534.1233793318834</v>
      </c>
      <c r="ED66" s="20">
        <v>1656.8873169283856</v>
      </c>
      <c r="EE66" s="20">
        <v>404.72015057023185</v>
      </c>
      <c r="EF66" s="14">
        <v>14384.100376174851</v>
      </c>
      <c r="EG66" s="14">
        <f t="shared" si="23"/>
        <v>19104.482457251805</v>
      </c>
      <c r="EH66" s="19">
        <f t="shared" ref="EH66:EH90" si="178">+EG66/EF66</f>
        <v>1.3281666532927963</v>
      </c>
      <c r="EI66" s="19"/>
      <c r="EJ66" s="19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>
        <v>63.524025738895411</v>
      </c>
      <c r="EX66" s="20">
        <v>3076.6803132871678</v>
      </c>
      <c r="EY66" s="20">
        <v>8858.4253892889647</v>
      </c>
      <c r="EZ66" s="20">
        <v>13165.354334386075</v>
      </c>
      <c r="FA66" s="20">
        <v>11385.622879934688</v>
      </c>
      <c r="FB66" s="20">
        <v>2675.7378374985065</v>
      </c>
      <c r="FC66" s="20">
        <v>5237.5559221719268</v>
      </c>
      <c r="FD66" s="20">
        <v>2942.2211254731724</v>
      </c>
      <c r="FE66" s="20">
        <v>5224.8511170241482</v>
      </c>
      <c r="FF66" s="20">
        <v>10794.849440562961</v>
      </c>
      <c r="FG66" s="20">
        <v>8612.7991564319036</v>
      </c>
      <c r="FH66" s="20">
        <v>5280.2228927932065</v>
      </c>
      <c r="FI66" s="14">
        <v>73430.76912856783</v>
      </c>
      <c r="FJ66" s="14">
        <v>77317.844434591621</v>
      </c>
      <c r="FK66" s="19">
        <v>0.88644412974498654</v>
      </c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19"/>
    </row>
    <row r="67" spans="1:194" s="11" customFormat="1" ht="24.95" customHeight="1">
      <c r="A67" s="15">
        <f t="shared" si="24"/>
        <v>3</v>
      </c>
      <c r="B67" s="16" t="s">
        <v>93</v>
      </c>
      <c r="C67" s="17">
        <v>10819</v>
      </c>
      <c r="D67" s="17"/>
      <c r="E67" s="17"/>
      <c r="F67" s="17"/>
      <c r="G67" s="20">
        <v>257</v>
      </c>
      <c r="H67" s="20">
        <v>62</v>
      </c>
      <c r="I67" s="20">
        <v>211</v>
      </c>
      <c r="J67" s="20">
        <v>232</v>
      </c>
      <c r="K67" s="20">
        <v>229</v>
      </c>
      <c r="L67" s="20">
        <v>240</v>
      </c>
      <c r="M67" s="20">
        <v>263</v>
      </c>
      <c r="N67" s="20">
        <v>210</v>
      </c>
      <c r="O67" s="20">
        <v>191</v>
      </c>
      <c r="P67" s="20">
        <v>115</v>
      </c>
      <c r="Q67" s="20">
        <v>86</v>
      </c>
      <c r="R67" s="20">
        <v>389</v>
      </c>
      <c r="S67" s="20">
        <v>142</v>
      </c>
      <c r="T67" s="20">
        <v>141</v>
      </c>
      <c r="U67" s="20">
        <v>168</v>
      </c>
      <c r="V67" s="20">
        <v>144</v>
      </c>
      <c r="W67" s="20">
        <v>112</v>
      </c>
      <c r="X67" s="20">
        <v>185</v>
      </c>
      <c r="Y67" s="20">
        <v>95</v>
      </c>
      <c r="Z67" s="20">
        <v>59</v>
      </c>
      <c r="AA67" s="20">
        <v>95</v>
      </c>
      <c r="AB67" s="18">
        <v>1190</v>
      </c>
      <c r="AC67" s="18">
        <f t="shared" si="172"/>
        <v>1731</v>
      </c>
      <c r="AD67" s="19">
        <f t="shared" si="173"/>
        <v>1.4546218487394957</v>
      </c>
      <c r="AE67" s="20"/>
      <c r="AF67" s="20"/>
      <c r="AG67" s="20"/>
      <c r="AH67" s="20"/>
      <c r="AI67" s="20"/>
      <c r="AJ67" s="20">
        <v>39</v>
      </c>
      <c r="AK67" s="20">
        <v>131</v>
      </c>
      <c r="AL67" s="20">
        <v>256</v>
      </c>
      <c r="AM67" s="20">
        <v>84</v>
      </c>
      <c r="AN67" s="20"/>
      <c r="AO67" s="20">
        <v>1</v>
      </c>
      <c r="AP67" s="20"/>
      <c r="AQ67" s="20">
        <v>41</v>
      </c>
      <c r="AR67" s="20">
        <v>66</v>
      </c>
      <c r="AS67" s="20">
        <v>90</v>
      </c>
      <c r="AT67" s="20">
        <v>73</v>
      </c>
      <c r="AU67" s="20">
        <v>100</v>
      </c>
      <c r="AV67" s="20">
        <v>46</v>
      </c>
      <c r="AW67" s="20">
        <v>61</v>
      </c>
      <c r="AX67" s="20">
        <v>46</v>
      </c>
      <c r="AY67" s="20">
        <v>63</v>
      </c>
      <c r="AZ67" s="20">
        <v>77</v>
      </c>
      <c r="BA67" s="20">
        <v>49</v>
      </c>
      <c r="BB67" s="20">
        <v>20</v>
      </c>
      <c r="BC67" s="27">
        <v>717</v>
      </c>
      <c r="BD67" s="27">
        <f t="shared" si="174"/>
        <v>732</v>
      </c>
      <c r="BE67" s="19">
        <f t="shared" si="175"/>
        <v>1.0209205020920502</v>
      </c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>
        <v>190</v>
      </c>
      <c r="BS67" s="20">
        <v>404</v>
      </c>
      <c r="BT67" s="20">
        <v>269</v>
      </c>
      <c r="BU67" s="20">
        <v>175</v>
      </c>
      <c r="BV67" s="20">
        <v>157</v>
      </c>
      <c r="BW67" s="20">
        <v>134</v>
      </c>
      <c r="BX67" s="20">
        <v>179</v>
      </c>
      <c r="BY67" s="20">
        <v>95</v>
      </c>
      <c r="BZ67" s="20">
        <v>185</v>
      </c>
      <c r="CA67" s="20">
        <v>717</v>
      </c>
      <c r="CB67" s="20">
        <v>412</v>
      </c>
      <c r="CC67" s="20">
        <v>413</v>
      </c>
      <c r="CD67" s="21">
        <v>2060</v>
      </c>
      <c r="CE67" s="21">
        <f t="shared" si="176"/>
        <v>3330</v>
      </c>
      <c r="CF67" s="19">
        <f t="shared" si="16"/>
        <v>1.616504854368932</v>
      </c>
      <c r="CG67" s="20"/>
      <c r="CH67" s="20">
        <v>400</v>
      </c>
      <c r="CI67" s="20">
        <v>4613.113848</v>
      </c>
      <c r="CJ67" s="20">
        <v>7470.920016</v>
      </c>
      <c r="CK67" s="20">
        <v>5551.3141400000004</v>
      </c>
      <c r="CL67" s="20">
        <v>3406</v>
      </c>
      <c r="CM67" s="20">
        <v>2786.2</v>
      </c>
      <c r="CN67" s="20">
        <v>3251.2669999999998</v>
      </c>
      <c r="CO67" s="20">
        <v>700</v>
      </c>
      <c r="CP67" s="20">
        <v>2070</v>
      </c>
      <c r="CQ67" s="20">
        <v>1400</v>
      </c>
      <c r="CR67" s="20">
        <v>500</v>
      </c>
      <c r="CS67" s="20">
        <v>913.00953320149677</v>
      </c>
      <c r="CT67" s="20">
        <v>1026.8671926360362</v>
      </c>
      <c r="CU67" s="20">
        <v>1061.2393162389162</v>
      </c>
      <c r="CV67" s="20">
        <v>1147.1051775143605</v>
      </c>
      <c r="CW67" s="20">
        <v>1507.9575755443032</v>
      </c>
      <c r="CX67" s="20">
        <v>1383.3194335957967</v>
      </c>
      <c r="CY67" s="20">
        <v>1162.5511505584047</v>
      </c>
      <c r="CZ67" s="20">
        <v>833.34497553469578</v>
      </c>
      <c r="DA67" s="20">
        <v>2099.9219263634427</v>
      </c>
      <c r="DB67" s="20">
        <v>3845.3813280721856</v>
      </c>
      <c r="DC67" s="20">
        <v>2795.9574293217602</v>
      </c>
      <c r="DD67" s="20">
        <v>1830.1962343213024</v>
      </c>
      <c r="DE67" s="14">
        <v>17432.629098674995</v>
      </c>
      <c r="DF67" s="14">
        <v>20045.5486763632</v>
      </c>
      <c r="DG67" s="19">
        <f t="shared" si="177"/>
        <v>1.1498867189164717</v>
      </c>
      <c r="DH67" s="20"/>
      <c r="DI67" s="20"/>
      <c r="DJ67" s="20">
        <v>20</v>
      </c>
      <c r="DK67" s="20">
        <v>190</v>
      </c>
      <c r="DL67" s="20">
        <v>295</v>
      </c>
      <c r="DM67" s="20">
        <v>281</v>
      </c>
      <c r="DN67" s="20">
        <v>306</v>
      </c>
      <c r="DO67" s="20">
        <v>585.5</v>
      </c>
      <c r="DP67" s="20">
        <v>285</v>
      </c>
      <c r="DQ67" s="20">
        <v>215</v>
      </c>
      <c r="DR67" s="20"/>
      <c r="DS67" s="20"/>
      <c r="DT67" s="20">
        <v>136.61873103005288</v>
      </c>
      <c r="DU67" s="20">
        <v>1921.9071109566087</v>
      </c>
      <c r="DV67" s="20">
        <v>731.37245483757636</v>
      </c>
      <c r="DW67" s="20">
        <v>1330.2350126610413</v>
      </c>
      <c r="DX67" s="20">
        <v>756.02545893322497</v>
      </c>
      <c r="DY67" s="20">
        <v>573.18234522383091</v>
      </c>
      <c r="DZ67" s="20">
        <v>591.67209829556737</v>
      </c>
      <c r="EA67" s="20">
        <v>942.77196495776366</v>
      </c>
      <c r="EB67" s="20">
        <v>321.00265749542501</v>
      </c>
      <c r="EC67" s="20">
        <v>1334.3438466769817</v>
      </c>
      <c r="ED67" s="20">
        <v>1021.0452529614479</v>
      </c>
      <c r="EE67" s="20">
        <v>882.37210492342422</v>
      </c>
      <c r="EF67" s="14">
        <v>6723.9345646566953</v>
      </c>
      <c r="EG67" s="14">
        <f t="shared" si="23"/>
        <v>10542.549038952946</v>
      </c>
      <c r="EH67" s="19">
        <f t="shared" si="178"/>
        <v>1.567913687674505</v>
      </c>
      <c r="EI67" s="19"/>
      <c r="EJ67" s="19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>
        <v>0</v>
      </c>
      <c r="EX67" s="20">
        <v>846.98700985193886</v>
      </c>
      <c r="EY67" s="20">
        <v>1815.7284023700938</v>
      </c>
      <c r="EZ67" s="20">
        <v>1524.5766177334899</v>
      </c>
      <c r="FA67" s="20">
        <v>1598.6879810955345</v>
      </c>
      <c r="FB67" s="20">
        <v>1376.3538910094005</v>
      </c>
      <c r="FC67" s="20">
        <v>2034.8862911692831</v>
      </c>
      <c r="FD67" s="20">
        <v>2413.9129780780258</v>
      </c>
      <c r="FE67" s="20">
        <v>2779.1761260766743</v>
      </c>
      <c r="FF67" s="20">
        <v>4316.4575489579429</v>
      </c>
      <c r="FG67" s="20">
        <v>2750.5903144941713</v>
      </c>
      <c r="FH67" s="20">
        <v>1447.2890530844952</v>
      </c>
      <c r="FI67" s="14">
        <v>31482.739186788687</v>
      </c>
      <c r="FJ67" s="14">
        <v>22904.646213921053</v>
      </c>
      <c r="FK67" s="19">
        <v>0.62602278896728325</v>
      </c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19"/>
    </row>
    <row r="68" spans="1:194" s="11" customFormat="1" ht="24.95" customHeight="1">
      <c r="A68" s="15">
        <f t="shared" si="24"/>
        <v>4</v>
      </c>
      <c r="B68" s="16" t="s">
        <v>79</v>
      </c>
      <c r="C68" s="17">
        <v>10818</v>
      </c>
      <c r="D68" s="17"/>
      <c r="E68" s="17"/>
      <c r="F68" s="17"/>
      <c r="G68" s="20">
        <v>156</v>
      </c>
      <c r="H68" s="20">
        <v>265</v>
      </c>
      <c r="I68" s="20">
        <v>191</v>
      </c>
      <c r="J68" s="20">
        <v>153</v>
      </c>
      <c r="K68" s="20">
        <v>178</v>
      </c>
      <c r="L68" s="20">
        <v>190</v>
      </c>
      <c r="M68" s="20">
        <v>121</v>
      </c>
      <c r="N68" s="20">
        <v>202</v>
      </c>
      <c r="O68" s="20">
        <v>190</v>
      </c>
      <c r="P68" s="20">
        <v>46</v>
      </c>
      <c r="Q68" s="20">
        <v>152</v>
      </c>
      <c r="R68" s="20">
        <v>66</v>
      </c>
      <c r="S68" s="20">
        <v>101</v>
      </c>
      <c r="T68" s="20">
        <v>93</v>
      </c>
      <c r="U68" s="20">
        <v>80</v>
      </c>
      <c r="V68" s="20">
        <v>124</v>
      </c>
      <c r="W68" s="20">
        <v>81</v>
      </c>
      <c r="X68" s="20">
        <v>10</v>
      </c>
      <c r="Y68" s="20">
        <v>31</v>
      </c>
      <c r="Z68" s="20">
        <v>59</v>
      </c>
      <c r="AA68" s="20">
        <v>31</v>
      </c>
      <c r="AB68" s="18">
        <v>830</v>
      </c>
      <c r="AC68" s="18">
        <f t="shared" si="172"/>
        <v>874</v>
      </c>
      <c r="AD68" s="19">
        <f t="shared" si="173"/>
        <v>1.0530120481927712</v>
      </c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7"/>
      <c r="BD68" s="27">
        <f t="shared" si="174"/>
        <v>0</v>
      </c>
      <c r="BE68" s="19">
        <v>0</v>
      </c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>
        <v>156</v>
      </c>
      <c r="BS68" s="20">
        <v>189</v>
      </c>
      <c r="BT68" s="20">
        <v>5</v>
      </c>
      <c r="BU68" s="20">
        <v>35</v>
      </c>
      <c r="BV68" s="20">
        <v>8</v>
      </c>
      <c r="BW68" s="20">
        <v>0</v>
      </c>
      <c r="BX68" s="20">
        <v>128</v>
      </c>
      <c r="BY68" s="20">
        <v>23</v>
      </c>
      <c r="BZ68" s="20">
        <v>0</v>
      </c>
      <c r="CA68" s="20">
        <v>260</v>
      </c>
      <c r="CB68" s="20">
        <v>300</v>
      </c>
      <c r="CC68" s="20">
        <v>464</v>
      </c>
      <c r="CD68" s="21">
        <v>1919</v>
      </c>
      <c r="CE68" s="21">
        <f t="shared" si="176"/>
        <v>1568</v>
      </c>
      <c r="CF68" s="19">
        <f t="shared" ref="CF68:CF105" si="179">+CE68/CD68</f>
        <v>0.8170922355393434</v>
      </c>
      <c r="CG68" s="20"/>
      <c r="CH68" s="20">
        <v>572</v>
      </c>
      <c r="CI68" s="20">
        <v>7141.16698</v>
      </c>
      <c r="CJ68" s="20">
        <v>14779.148999999999</v>
      </c>
      <c r="CK68" s="20">
        <v>8682.4689999999991</v>
      </c>
      <c r="CL68" s="20">
        <v>6307.48</v>
      </c>
      <c r="CM68" s="20">
        <v>9081.5570000000007</v>
      </c>
      <c r="CN68" s="20">
        <v>12140.998799999999</v>
      </c>
      <c r="CO68" s="20">
        <v>7311.65</v>
      </c>
      <c r="CP68" s="20">
        <v>5370</v>
      </c>
      <c r="CQ68" s="20">
        <v>830</v>
      </c>
      <c r="CR68" s="20">
        <v>400</v>
      </c>
      <c r="CS68" s="20">
        <v>1558.5609796180845</v>
      </c>
      <c r="CT68" s="20">
        <v>1815.2777777770934</v>
      </c>
      <c r="CU68" s="20">
        <v>1718.6061801439937</v>
      </c>
      <c r="CV68" s="20">
        <v>2427.531229453391</v>
      </c>
      <c r="CW68" s="20">
        <v>1836.7603550288934</v>
      </c>
      <c r="CX68" s="20">
        <v>2363.0834976979913</v>
      </c>
      <c r="CY68" s="20">
        <v>1160.0591715971957</v>
      </c>
      <c r="CZ68" s="20">
        <v>1826.0190664029935</v>
      </c>
      <c r="DA68" s="20">
        <v>2896.2488412217876</v>
      </c>
      <c r="DB68" s="20">
        <v>4557.1343438510103</v>
      </c>
      <c r="DC68" s="20">
        <v>3120.3443458131978</v>
      </c>
      <c r="DD68" s="20">
        <v>1933.4319526619929</v>
      </c>
      <c r="DE68" s="14">
        <v>24785.223428803463</v>
      </c>
      <c r="DF68" s="14">
        <v>27821.941728051053</v>
      </c>
      <c r="DG68" s="19">
        <f t="shared" si="177"/>
        <v>1.1225213203330882</v>
      </c>
      <c r="DH68" s="20"/>
      <c r="DI68" s="20"/>
      <c r="DJ68" s="20">
        <v>40</v>
      </c>
      <c r="DK68" s="20">
        <v>50</v>
      </c>
      <c r="DL68" s="20">
        <v>40</v>
      </c>
      <c r="DM68" s="20">
        <v>75.5</v>
      </c>
      <c r="DN68" s="20">
        <v>314</v>
      </c>
      <c r="DO68" s="20">
        <v>1191</v>
      </c>
      <c r="DP68" s="20">
        <v>1048.5</v>
      </c>
      <c r="DQ68" s="20">
        <v>642</v>
      </c>
      <c r="DR68" s="20"/>
      <c r="DS68" s="20"/>
      <c r="DT68" s="20">
        <v>51.360425199268001</v>
      </c>
      <c r="DU68" s="20">
        <v>1228.5413707664907</v>
      </c>
      <c r="DV68" s="20">
        <v>637.89648097490851</v>
      </c>
      <c r="DW68" s="20">
        <v>487.92403939304603</v>
      </c>
      <c r="DX68" s="20">
        <v>154.08127559780399</v>
      </c>
      <c r="DY68" s="20">
        <v>0</v>
      </c>
      <c r="DZ68" s="20">
        <v>117.10176945433105</v>
      </c>
      <c r="EA68" s="20">
        <v>181.81590520540871</v>
      </c>
      <c r="EB68" s="20">
        <v>360.55018489886135</v>
      </c>
      <c r="EC68" s="20">
        <v>694.39294869410332</v>
      </c>
      <c r="ED68" s="20">
        <v>1079.5961376886135</v>
      </c>
      <c r="EE68" s="20">
        <v>560.34223892401394</v>
      </c>
      <c r="EF68" s="14">
        <v>2741.0070427107144</v>
      </c>
      <c r="EG68" s="14">
        <f t="shared" si="23"/>
        <v>5553.602776796849</v>
      </c>
      <c r="EH68" s="19">
        <f t="shared" si="178"/>
        <v>2.0261176605021132</v>
      </c>
      <c r="EI68" s="19"/>
      <c r="EJ68" s="19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>
        <v>0</v>
      </c>
      <c r="EX68" s="20">
        <v>804.63765935934191</v>
      </c>
      <c r="EY68" s="20">
        <v>3752.1524536440893</v>
      </c>
      <c r="EZ68" s="20">
        <v>3250.3126503068152</v>
      </c>
      <c r="FA68" s="20">
        <v>2995.6871804700763</v>
      </c>
      <c r="FB68" s="20">
        <v>1214.3676253752174</v>
      </c>
      <c r="FC68" s="20">
        <v>3210.0807673388481</v>
      </c>
      <c r="FD68" s="20">
        <v>2073.0007066126204</v>
      </c>
      <c r="FE68" s="20">
        <v>3072.4453782379082</v>
      </c>
      <c r="FF68" s="20">
        <v>7551.9479265923501</v>
      </c>
      <c r="FG68" s="20">
        <v>9228.9822060991883</v>
      </c>
      <c r="FH68" s="20">
        <v>7189.860979880641</v>
      </c>
      <c r="FI68" s="14">
        <v>6935.4886906044758</v>
      </c>
      <c r="FJ68" s="14">
        <v>44343.475533917102</v>
      </c>
      <c r="FK68" s="19">
        <v>2.6894438419768321</v>
      </c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19"/>
    </row>
    <row r="69" spans="1:194" s="11" customFormat="1" ht="32.25" customHeight="1">
      <c r="A69" s="6"/>
      <c r="B69" s="7" t="s">
        <v>6</v>
      </c>
      <c r="C69" s="8"/>
      <c r="D69" s="8"/>
      <c r="E69" s="8"/>
      <c r="F69" s="9"/>
      <c r="G69" s="9">
        <f>+SUM(G70)</f>
        <v>382</v>
      </c>
      <c r="H69" s="9">
        <f t="shared" ref="H69:O69" si="180">+SUM(H70)</f>
        <v>242</v>
      </c>
      <c r="I69" s="9">
        <f t="shared" si="180"/>
        <v>318</v>
      </c>
      <c r="J69" s="9">
        <f t="shared" si="180"/>
        <v>319</v>
      </c>
      <c r="K69" s="9">
        <f t="shared" si="180"/>
        <v>303</v>
      </c>
      <c r="L69" s="9">
        <f t="shared" si="180"/>
        <v>312</v>
      </c>
      <c r="M69" s="9">
        <f t="shared" si="180"/>
        <v>289</v>
      </c>
      <c r="N69" s="9">
        <f t="shared" si="180"/>
        <v>282</v>
      </c>
      <c r="O69" s="9">
        <f t="shared" si="180"/>
        <v>275</v>
      </c>
      <c r="P69" s="9">
        <f t="shared" ref="P69" si="181">+SUM(P70)</f>
        <v>280</v>
      </c>
      <c r="Q69" s="9">
        <f t="shared" ref="Q69" si="182">+SUM(Q70)</f>
        <v>243</v>
      </c>
      <c r="R69" s="9">
        <f t="shared" ref="R69" si="183">+SUM(R70)</f>
        <v>245</v>
      </c>
      <c r="S69" s="9">
        <f t="shared" ref="S69" si="184">+SUM(S70)</f>
        <v>173</v>
      </c>
      <c r="T69" s="9">
        <f t="shared" ref="T69" si="185">+SUM(T70)</f>
        <v>174</v>
      </c>
      <c r="U69" s="9">
        <f t="shared" ref="U69" si="186">+SUM(U70)</f>
        <v>48</v>
      </c>
      <c r="V69" s="9">
        <f t="shared" ref="V69" si="187">+SUM(V70)</f>
        <v>75</v>
      </c>
      <c r="W69" s="9">
        <f t="shared" ref="W69" si="188">+SUM(W70)</f>
        <v>246</v>
      </c>
      <c r="X69" s="9">
        <f t="shared" ref="X69" si="189">+SUM(X70)</f>
        <v>195</v>
      </c>
      <c r="Y69" s="9">
        <f t="shared" ref="Y69" si="190">+SUM(Y70)</f>
        <v>87</v>
      </c>
      <c r="Z69" s="9">
        <f t="shared" ref="Z69" si="191">+SUM(Z70)</f>
        <v>217</v>
      </c>
      <c r="AA69" s="9">
        <f t="shared" ref="AA69" si="192">+SUM(AA70)</f>
        <v>85</v>
      </c>
      <c r="AB69" s="9">
        <f t="shared" ref="AB69" si="193">+SUM(AB70)</f>
        <v>1996</v>
      </c>
      <c r="AC69" s="9">
        <f t="shared" si="172"/>
        <v>2068</v>
      </c>
      <c r="AD69" s="10">
        <f t="shared" si="173"/>
        <v>1.0360721442885772</v>
      </c>
      <c r="AE69" s="9"/>
      <c r="AF69" s="9"/>
      <c r="AG69" s="9"/>
      <c r="AH69" s="9"/>
      <c r="AI69" s="9"/>
      <c r="AJ69" s="9">
        <v>104</v>
      </c>
      <c r="AK69" s="9">
        <v>259</v>
      </c>
      <c r="AL69" s="9">
        <v>754</v>
      </c>
      <c r="AM69" s="9">
        <v>38</v>
      </c>
      <c r="AN69" s="9">
        <v>17</v>
      </c>
      <c r="AO69" s="9">
        <v>5</v>
      </c>
      <c r="AP69" s="9"/>
      <c r="AQ69" s="9">
        <f t="shared" ref="AQ69:BA69" si="194">+SUM(AQ70)</f>
        <v>71</v>
      </c>
      <c r="AR69" s="9">
        <f t="shared" si="194"/>
        <v>205</v>
      </c>
      <c r="AS69" s="9">
        <f t="shared" si="194"/>
        <v>256</v>
      </c>
      <c r="AT69" s="9">
        <f t="shared" si="194"/>
        <v>173</v>
      </c>
      <c r="AU69" s="9">
        <f t="shared" si="194"/>
        <v>181</v>
      </c>
      <c r="AV69" s="9">
        <f t="shared" si="194"/>
        <v>103</v>
      </c>
      <c r="AW69" s="9">
        <f t="shared" si="194"/>
        <v>36</v>
      </c>
      <c r="AX69" s="9">
        <f t="shared" si="194"/>
        <v>98</v>
      </c>
      <c r="AY69" s="9">
        <f t="shared" si="194"/>
        <v>112</v>
      </c>
      <c r="AZ69" s="9">
        <f t="shared" si="194"/>
        <v>109</v>
      </c>
      <c r="BA69" s="9">
        <f t="shared" si="194"/>
        <v>117</v>
      </c>
      <c r="BB69" s="9">
        <f>+SUM(BB70)</f>
        <v>62</v>
      </c>
      <c r="BC69" s="9">
        <f>+SUM(BC70)</f>
        <v>1480</v>
      </c>
      <c r="BD69" s="9">
        <f t="shared" si="174"/>
        <v>1523</v>
      </c>
      <c r="BE69" s="10">
        <f t="shared" si="175"/>
        <v>1.029054054054054</v>
      </c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>
        <f t="shared" ref="BR69:CD69" si="195">+SUM(BR70)</f>
        <v>721</v>
      </c>
      <c r="BS69" s="9">
        <f t="shared" si="195"/>
        <v>572</v>
      </c>
      <c r="BT69" s="9">
        <f t="shared" si="195"/>
        <v>200</v>
      </c>
      <c r="BU69" s="9">
        <f t="shared" si="195"/>
        <v>191</v>
      </c>
      <c r="BV69" s="9">
        <f t="shared" si="195"/>
        <v>503</v>
      </c>
      <c r="BW69" s="9">
        <f t="shared" si="195"/>
        <v>708</v>
      </c>
      <c r="BX69" s="9">
        <f t="shared" si="195"/>
        <v>332</v>
      </c>
      <c r="BY69" s="9">
        <f t="shared" si="195"/>
        <v>64</v>
      </c>
      <c r="BZ69" s="9">
        <f t="shared" si="195"/>
        <v>252</v>
      </c>
      <c r="CA69" s="9">
        <f t="shared" si="195"/>
        <v>52</v>
      </c>
      <c r="CB69" s="9">
        <f t="shared" si="195"/>
        <v>2</v>
      </c>
      <c r="CC69" s="9">
        <f t="shared" si="195"/>
        <v>4</v>
      </c>
      <c r="CD69" s="9">
        <f t="shared" si="195"/>
        <v>3281</v>
      </c>
      <c r="CE69" s="9">
        <f t="shared" ref="CE69" si="196">+SUM(CE70)</f>
        <v>3601</v>
      </c>
      <c r="CF69" s="10">
        <f t="shared" si="179"/>
        <v>1.0975312404754647</v>
      </c>
      <c r="CG69" s="9"/>
      <c r="CH69" s="9">
        <v>0</v>
      </c>
      <c r="CI69" s="9">
        <v>262.892</v>
      </c>
      <c r="CJ69" s="9">
        <v>450</v>
      </c>
      <c r="CK69" s="9">
        <v>737.65459999999996</v>
      </c>
      <c r="CL69" s="9">
        <v>1415.9</v>
      </c>
      <c r="CM69" s="9">
        <v>180</v>
      </c>
      <c r="CN69" s="9">
        <v>564.5</v>
      </c>
      <c r="CO69" s="9">
        <v>643.327</v>
      </c>
      <c r="CP69" s="9">
        <v>827.41569299999992</v>
      </c>
      <c r="CQ69" s="9">
        <v>96.4</v>
      </c>
      <c r="CR69" s="9">
        <v>0</v>
      </c>
      <c r="CS69" s="9">
        <f t="shared" ref="CS69:DF69" si="197">+SUM(CS70)</f>
        <v>103.62648365428547</v>
      </c>
      <c r="CT69" s="9">
        <f t="shared" si="197"/>
        <v>1070.1921472912677</v>
      </c>
      <c r="CU69" s="9">
        <f t="shared" si="197"/>
        <v>877.06346970477591</v>
      </c>
      <c r="CV69" s="9">
        <f t="shared" si="197"/>
        <v>911.91305615771205</v>
      </c>
      <c r="CW69" s="9">
        <f t="shared" si="197"/>
        <v>569.94566009856999</v>
      </c>
      <c r="CX69" s="9">
        <f t="shared" si="197"/>
        <v>319.94676828260634</v>
      </c>
      <c r="CY69" s="9">
        <f t="shared" si="197"/>
        <v>1230.8339222521411</v>
      </c>
      <c r="CZ69" s="9">
        <f t="shared" si="197"/>
        <v>1191.7045620242827</v>
      </c>
      <c r="DA69" s="9">
        <f t="shared" si="197"/>
        <v>2502.9629982405145</v>
      </c>
      <c r="DB69" s="9">
        <f t="shared" si="197"/>
        <v>4103.6087527097043</v>
      </c>
      <c r="DC69" s="9">
        <f t="shared" si="197"/>
        <v>928.87671153191855</v>
      </c>
      <c r="DD69" s="9">
        <f t="shared" si="197"/>
        <v>3523.3004442457059</v>
      </c>
      <c r="DE69" s="9">
        <f t="shared" si="197"/>
        <v>15423.252176179456</v>
      </c>
      <c r="DF69" s="9">
        <f t="shared" si="197"/>
        <v>16727.36</v>
      </c>
      <c r="DG69" s="10">
        <f t="shared" si="177"/>
        <v>1.0845546587012747</v>
      </c>
      <c r="DH69" s="9">
        <v>339</v>
      </c>
      <c r="DI69" s="9">
        <v>1650</v>
      </c>
      <c r="DJ69" s="9">
        <v>1975</v>
      </c>
      <c r="DK69" s="9">
        <v>1087</v>
      </c>
      <c r="DL69" s="9">
        <v>776.5</v>
      </c>
      <c r="DM69" s="9">
        <v>371.5</v>
      </c>
      <c r="DN69" s="9">
        <v>398.85</v>
      </c>
      <c r="DO69" s="9">
        <v>107</v>
      </c>
      <c r="DP69" s="9">
        <v>84.5</v>
      </c>
      <c r="DQ69" s="9">
        <v>8.5</v>
      </c>
      <c r="DR69" s="9">
        <v>0</v>
      </c>
      <c r="DS69" s="9">
        <v>175</v>
      </c>
      <c r="DT69" s="9">
        <f t="shared" ref="DT69:EG69" si="198">+SUM(DT70)</f>
        <v>59.578093231150881</v>
      </c>
      <c r="DU69" s="9">
        <f t="shared" si="198"/>
        <v>2227.3989200418541</v>
      </c>
      <c r="DV69" s="9">
        <f t="shared" si="198"/>
        <v>5615.4592184898383</v>
      </c>
      <c r="DW69" s="9">
        <f t="shared" si="198"/>
        <v>2894.5092108701069</v>
      </c>
      <c r="DX69" s="9">
        <f t="shared" si="198"/>
        <v>6890.592712580099</v>
      </c>
      <c r="DY69" s="9">
        <f t="shared" si="198"/>
        <v>4469.7950842418968</v>
      </c>
      <c r="DZ69" s="9">
        <f t="shared" si="198"/>
        <v>3847.2964587417268</v>
      </c>
      <c r="EA69" s="9">
        <f t="shared" si="198"/>
        <v>6515.0699365271457</v>
      </c>
      <c r="EB69" s="9">
        <f t="shared" si="198"/>
        <v>23318.461997730388</v>
      </c>
      <c r="EC69" s="9">
        <f t="shared" si="198"/>
        <v>16962.719771929445</v>
      </c>
      <c r="ED69" s="9">
        <f t="shared" si="198"/>
        <v>1525.3121796529044</v>
      </c>
      <c r="EE69" s="9">
        <f t="shared" si="198"/>
        <v>254.74770898836928</v>
      </c>
      <c r="EF69" s="9">
        <f t="shared" si="198"/>
        <v>46149</v>
      </c>
      <c r="EG69" s="9">
        <f t="shared" si="198"/>
        <v>74580.941293024938</v>
      </c>
      <c r="EH69" s="10">
        <f t="shared" si="178"/>
        <v>1.6160900841410417</v>
      </c>
      <c r="EI69" s="10"/>
      <c r="EJ69" s="10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>
        <f t="shared" ref="EW69:FH69" si="199">+SUM(EW70)</f>
        <v>362.94558581410689</v>
      </c>
      <c r="EX69" s="9">
        <f t="shared" si="199"/>
        <v>1637.1398748495646</v>
      </c>
      <c r="EY69" s="9">
        <f t="shared" si="199"/>
        <v>950.09609008218808</v>
      </c>
      <c r="EZ69" s="9">
        <f t="shared" si="199"/>
        <v>688.15371010625768</v>
      </c>
      <c r="FA69" s="9">
        <f t="shared" si="199"/>
        <v>2116.6442701262663</v>
      </c>
      <c r="FB69" s="9">
        <f t="shared" si="199"/>
        <v>1069.0467886500714</v>
      </c>
      <c r="FC69" s="9">
        <f t="shared" si="199"/>
        <v>2653.9202792917272</v>
      </c>
      <c r="FD69" s="9">
        <f t="shared" si="199"/>
        <v>5272.700322354478</v>
      </c>
      <c r="FE69" s="9">
        <f t="shared" si="199"/>
        <v>3044.7360903651374</v>
      </c>
      <c r="FF69" s="9">
        <f t="shared" si="199"/>
        <v>13973.162535156569</v>
      </c>
      <c r="FG69" s="9">
        <f t="shared" si="199"/>
        <v>2457.0339532036319</v>
      </c>
      <c r="FH69" s="9">
        <v>0</v>
      </c>
      <c r="FI69" s="9">
        <f>+SUM(FI70)</f>
        <v>25959.25</v>
      </c>
      <c r="FJ69" s="9">
        <v>34225.5795</v>
      </c>
      <c r="FK69" s="10">
        <v>1.1683811278062051</v>
      </c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>
        <v>0</v>
      </c>
      <c r="GJ69" s="9">
        <v>0</v>
      </c>
      <c r="GK69" s="9">
        <v>0</v>
      </c>
      <c r="GL69" s="10"/>
    </row>
    <row r="70" spans="1:194" s="11" customFormat="1" ht="24.95" customHeight="1">
      <c r="A70" s="15">
        <f>+A69+1</f>
        <v>1</v>
      </c>
      <c r="B70" s="16" t="s">
        <v>56</v>
      </c>
      <c r="C70" s="17">
        <v>11291</v>
      </c>
      <c r="D70" s="17"/>
      <c r="E70" s="17"/>
      <c r="F70" s="17"/>
      <c r="G70" s="20">
        <v>382</v>
      </c>
      <c r="H70" s="20">
        <v>242</v>
      </c>
      <c r="I70" s="20">
        <v>318</v>
      </c>
      <c r="J70" s="20">
        <v>319</v>
      </c>
      <c r="K70" s="20">
        <v>303</v>
      </c>
      <c r="L70" s="20">
        <v>312</v>
      </c>
      <c r="M70" s="20">
        <v>289</v>
      </c>
      <c r="N70" s="20">
        <v>282</v>
      </c>
      <c r="O70" s="20">
        <v>275</v>
      </c>
      <c r="P70" s="20">
        <v>280</v>
      </c>
      <c r="Q70" s="20">
        <v>243</v>
      </c>
      <c r="R70" s="20">
        <v>245</v>
      </c>
      <c r="S70" s="20">
        <v>173</v>
      </c>
      <c r="T70" s="20">
        <v>174</v>
      </c>
      <c r="U70" s="20">
        <v>48</v>
      </c>
      <c r="V70" s="20">
        <v>75</v>
      </c>
      <c r="W70" s="20">
        <v>246</v>
      </c>
      <c r="X70" s="20">
        <v>195</v>
      </c>
      <c r="Y70" s="20">
        <v>87</v>
      </c>
      <c r="Z70" s="20">
        <v>217</v>
      </c>
      <c r="AA70" s="20">
        <v>85</v>
      </c>
      <c r="AB70" s="18">
        <v>1996</v>
      </c>
      <c r="AC70" s="18">
        <f t="shared" si="172"/>
        <v>2068</v>
      </c>
      <c r="AD70" s="19">
        <f t="shared" si="173"/>
        <v>1.0360721442885772</v>
      </c>
      <c r="AE70" s="20"/>
      <c r="AF70" s="20"/>
      <c r="AG70" s="20"/>
      <c r="AH70" s="20"/>
      <c r="AI70" s="20"/>
      <c r="AJ70" s="9">
        <v>104</v>
      </c>
      <c r="AK70" s="9">
        <v>259</v>
      </c>
      <c r="AL70" s="9">
        <v>754</v>
      </c>
      <c r="AM70" s="9">
        <v>38</v>
      </c>
      <c r="AN70" s="9">
        <v>17</v>
      </c>
      <c r="AO70" s="9">
        <v>5</v>
      </c>
      <c r="AP70" s="9"/>
      <c r="AQ70" s="20">
        <v>71</v>
      </c>
      <c r="AR70" s="20">
        <v>205</v>
      </c>
      <c r="AS70" s="20">
        <v>256</v>
      </c>
      <c r="AT70" s="20">
        <v>173</v>
      </c>
      <c r="AU70" s="20">
        <v>181</v>
      </c>
      <c r="AV70" s="20">
        <v>103</v>
      </c>
      <c r="AW70" s="20">
        <v>36</v>
      </c>
      <c r="AX70" s="20">
        <v>98</v>
      </c>
      <c r="AY70" s="20">
        <v>112</v>
      </c>
      <c r="AZ70" s="20">
        <v>109</v>
      </c>
      <c r="BA70" s="20">
        <v>117</v>
      </c>
      <c r="BB70" s="20">
        <v>62</v>
      </c>
      <c r="BC70" s="27">
        <v>1480</v>
      </c>
      <c r="BD70" s="27">
        <f t="shared" si="174"/>
        <v>1523</v>
      </c>
      <c r="BE70" s="19">
        <f t="shared" si="175"/>
        <v>1.029054054054054</v>
      </c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>
        <v>721</v>
      </c>
      <c r="BS70" s="20">
        <v>572</v>
      </c>
      <c r="BT70" s="20">
        <v>200</v>
      </c>
      <c r="BU70" s="20">
        <v>191</v>
      </c>
      <c r="BV70" s="20">
        <v>503</v>
      </c>
      <c r="BW70" s="20">
        <v>708</v>
      </c>
      <c r="BX70" s="20">
        <v>332</v>
      </c>
      <c r="BY70" s="20">
        <v>64</v>
      </c>
      <c r="BZ70" s="20">
        <v>252</v>
      </c>
      <c r="CA70" s="20">
        <v>52</v>
      </c>
      <c r="CB70" s="20">
        <v>2</v>
      </c>
      <c r="CC70" s="20">
        <v>4</v>
      </c>
      <c r="CD70" s="20">
        <v>3281</v>
      </c>
      <c r="CE70" s="21">
        <f t="shared" si="176"/>
        <v>3601</v>
      </c>
      <c r="CF70" s="19">
        <f t="shared" si="179"/>
        <v>1.0975312404754647</v>
      </c>
      <c r="CG70" s="20"/>
      <c r="CH70" s="20"/>
      <c r="CI70" s="20">
        <v>262.892</v>
      </c>
      <c r="CJ70" s="20">
        <v>450</v>
      </c>
      <c r="CK70" s="20">
        <v>737.65459999999996</v>
      </c>
      <c r="CL70" s="20">
        <v>1415.9</v>
      </c>
      <c r="CM70" s="20">
        <v>180</v>
      </c>
      <c r="CN70" s="20">
        <v>564.5</v>
      </c>
      <c r="CO70" s="20">
        <v>643.327</v>
      </c>
      <c r="CP70" s="20">
        <v>827.41569299999992</v>
      </c>
      <c r="CQ70" s="20">
        <v>96.4</v>
      </c>
      <c r="CR70" s="20"/>
      <c r="CS70" s="20">
        <v>103.62648365428547</v>
      </c>
      <c r="CT70" s="20">
        <v>1070.1921472912677</v>
      </c>
      <c r="CU70" s="20">
        <v>877.06346970477591</v>
      </c>
      <c r="CV70" s="20">
        <v>911.91305615771205</v>
      </c>
      <c r="CW70" s="20">
        <v>569.94566009856999</v>
      </c>
      <c r="CX70" s="20">
        <v>319.94676828260634</v>
      </c>
      <c r="CY70" s="20">
        <v>1230.8339222521411</v>
      </c>
      <c r="CZ70" s="20">
        <v>1191.7045620242827</v>
      </c>
      <c r="DA70" s="20">
        <v>2502.9629982405145</v>
      </c>
      <c r="DB70" s="20">
        <v>4103.6087527097043</v>
      </c>
      <c r="DC70" s="20">
        <v>928.87671153191855</v>
      </c>
      <c r="DD70" s="20">
        <v>3523.3004442457059</v>
      </c>
      <c r="DE70" s="14">
        <v>15423.252176179456</v>
      </c>
      <c r="DF70" s="14">
        <v>16727.36</v>
      </c>
      <c r="DG70" s="19">
        <f t="shared" si="177"/>
        <v>1.0845546587012747</v>
      </c>
      <c r="DH70" s="20">
        <v>339</v>
      </c>
      <c r="DI70" s="20">
        <v>1650</v>
      </c>
      <c r="DJ70" s="20">
        <v>1975</v>
      </c>
      <c r="DK70" s="20">
        <v>1087</v>
      </c>
      <c r="DL70" s="20">
        <v>776.5</v>
      </c>
      <c r="DM70" s="20">
        <v>371.5</v>
      </c>
      <c r="DN70" s="20">
        <v>398.85</v>
      </c>
      <c r="DO70" s="20">
        <v>107</v>
      </c>
      <c r="DP70" s="20">
        <v>84.5</v>
      </c>
      <c r="DQ70" s="20">
        <v>8.5</v>
      </c>
      <c r="DR70" s="20"/>
      <c r="DS70" s="20">
        <v>175</v>
      </c>
      <c r="DT70" s="20">
        <v>59.578093231150881</v>
      </c>
      <c r="DU70" s="20">
        <v>2227.3989200418541</v>
      </c>
      <c r="DV70" s="20">
        <v>5615.4592184898383</v>
      </c>
      <c r="DW70" s="20">
        <v>2894.5092108701069</v>
      </c>
      <c r="DX70" s="20">
        <v>6890.592712580099</v>
      </c>
      <c r="DY70" s="20">
        <v>4469.7950842418968</v>
      </c>
      <c r="DZ70" s="20">
        <v>3847.2964587417268</v>
      </c>
      <c r="EA70" s="20">
        <v>6515.0699365271457</v>
      </c>
      <c r="EB70" s="20">
        <v>23318.461997730388</v>
      </c>
      <c r="EC70" s="20">
        <v>16962.719771929445</v>
      </c>
      <c r="ED70" s="20">
        <v>1525.3121796529044</v>
      </c>
      <c r="EE70" s="20">
        <v>254.74770898836928</v>
      </c>
      <c r="EF70" s="14">
        <v>46149</v>
      </c>
      <c r="EG70" s="14">
        <f t="shared" si="23"/>
        <v>74580.941293024938</v>
      </c>
      <c r="EH70" s="19">
        <f t="shared" si="178"/>
        <v>1.6160900841410417</v>
      </c>
      <c r="EI70" s="19"/>
      <c r="EJ70" s="19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>
        <v>362.94558581410689</v>
      </c>
      <c r="EX70" s="20">
        <v>1637.1398748495646</v>
      </c>
      <c r="EY70" s="20">
        <v>950.09609008218808</v>
      </c>
      <c r="EZ70" s="20">
        <v>688.15371010625768</v>
      </c>
      <c r="FA70" s="20">
        <v>2116.6442701262663</v>
      </c>
      <c r="FB70" s="20">
        <v>1069.0467886500714</v>
      </c>
      <c r="FC70" s="20">
        <v>2653.9202792917272</v>
      </c>
      <c r="FD70" s="20">
        <v>5272.700322354478</v>
      </c>
      <c r="FE70" s="20">
        <v>3044.7360903651374</v>
      </c>
      <c r="FF70" s="20">
        <v>13973.162535156569</v>
      </c>
      <c r="FG70" s="20">
        <v>2457.0339532036319</v>
      </c>
      <c r="FH70" s="20">
        <v>0</v>
      </c>
      <c r="FI70" s="14">
        <v>25959.25</v>
      </c>
      <c r="FJ70" s="14">
        <v>34225.5795</v>
      </c>
      <c r="FK70" s="19">
        <v>1.1683811278062051</v>
      </c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19"/>
    </row>
    <row r="71" spans="1:194" s="11" customFormat="1" ht="32.25" customHeight="1">
      <c r="A71" s="6"/>
      <c r="B71" s="7" t="s">
        <v>3</v>
      </c>
      <c r="C71" s="8"/>
      <c r="D71" s="8"/>
      <c r="E71" s="8"/>
      <c r="F71" s="9"/>
      <c r="G71" s="9">
        <f>+SUM(G72)</f>
        <v>375</v>
      </c>
      <c r="H71" s="9">
        <f t="shared" ref="H71:O71" si="200">+SUM(H72)</f>
        <v>435</v>
      </c>
      <c r="I71" s="9">
        <f t="shared" si="200"/>
        <v>410</v>
      </c>
      <c r="J71" s="9">
        <f t="shared" si="200"/>
        <v>404</v>
      </c>
      <c r="K71" s="9">
        <f t="shared" si="200"/>
        <v>482</v>
      </c>
      <c r="L71" s="9">
        <f t="shared" si="200"/>
        <v>485</v>
      </c>
      <c r="M71" s="9">
        <f t="shared" si="200"/>
        <v>366</v>
      </c>
      <c r="N71" s="9">
        <f t="shared" si="200"/>
        <v>358</v>
      </c>
      <c r="O71" s="9">
        <f t="shared" si="200"/>
        <v>360</v>
      </c>
      <c r="P71" s="9">
        <f t="shared" ref="P71" si="201">+SUM(P72)</f>
        <v>223</v>
      </c>
      <c r="Q71" s="9">
        <f t="shared" ref="Q71" si="202">+SUM(Q72)</f>
        <v>56</v>
      </c>
      <c r="R71" s="9">
        <f t="shared" ref="R71" si="203">+SUM(R72)</f>
        <v>409</v>
      </c>
      <c r="S71" s="9">
        <f t="shared" ref="S71" si="204">+SUM(S72)</f>
        <v>283</v>
      </c>
      <c r="T71" s="9">
        <f t="shared" ref="T71" si="205">+SUM(T72)</f>
        <v>226</v>
      </c>
      <c r="U71" s="9">
        <f t="shared" ref="U71" si="206">+SUM(U72)</f>
        <v>133</v>
      </c>
      <c r="V71" s="9">
        <f t="shared" ref="V71" si="207">+SUM(V72)</f>
        <v>179</v>
      </c>
      <c r="W71" s="9">
        <f t="shared" ref="W71" si="208">+SUM(W72)</f>
        <v>170</v>
      </c>
      <c r="X71" s="9">
        <f t="shared" ref="X71" si="209">+SUM(X72)</f>
        <v>78</v>
      </c>
      <c r="Y71" s="9">
        <f t="shared" ref="Y71" si="210">+SUM(Y72)</f>
        <v>61</v>
      </c>
      <c r="Z71" s="9">
        <f t="shared" ref="Z71" si="211">+SUM(Z72)</f>
        <v>174</v>
      </c>
      <c r="AA71" s="9">
        <f t="shared" ref="AA71" si="212">+SUM(AA72)</f>
        <v>24</v>
      </c>
      <c r="AB71" s="9">
        <v>1566</v>
      </c>
      <c r="AC71" s="9">
        <f t="shared" si="172"/>
        <v>2016</v>
      </c>
      <c r="AD71" s="10">
        <f t="shared" si="173"/>
        <v>1.2873563218390804</v>
      </c>
      <c r="AE71" s="9"/>
      <c r="AF71" s="9"/>
      <c r="AG71" s="9"/>
      <c r="AH71" s="9"/>
      <c r="AI71" s="9"/>
      <c r="AJ71" s="9"/>
      <c r="AK71" s="9">
        <v>305</v>
      </c>
      <c r="AL71" s="9">
        <v>440</v>
      </c>
      <c r="AM71" s="9">
        <v>125</v>
      </c>
      <c r="AN71" s="9">
        <v>10</v>
      </c>
      <c r="AO71" s="9">
        <v>17</v>
      </c>
      <c r="AP71" s="9">
        <v>4</v>
      </c>
      <c r="AQ71" s="9">
        <v>55</v>
      </c>
      <c r="AR71" s="9">
        <v>148</v>
      </c>
      <c r="AS71" s="9">
        <v>160</v>
      </c>
      <c r="AT71" s="9">
        <v>110</v>
      </c>
      <c r="AU71" s="9">
        <v>108</v>
      </c>
      <c r="AV71" s="9">
        <v>82</v>
      </c>
      <c r="AW71" s="9">
        <v>90</v>
      </c>
      <c r="AX71" s="9">
        <v>39</v>
      </c>
      <c r="AY71" s="9">
        <v>87</v>
      </c>
      <c r="AZ71" s="9">
        <v>81</v>
      </c>
      <c r="BA71" s="9">
        <v>101</v>
      </c>
      <c r="BB71" s="9">
        <f>+SUM(BB72)</f>
        <v>54</v>
      </c>
      <c r="BC71" s="9">
        <f>+SUM(BC72)</f>
        <v>1015</v>
      </c>
      <c r="BD71" s="9">
        <f t="shared" si="174"/>
        <v>1115</v>
      </c>
      <c r="BE71" s="10">
        <f t="shared" si="175"/>
        <v>1.0985221674876848</v>
      </c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>
        <f t="shared" ref="BR71:CD71" si="213">+SUM(BR72)</f>
        <v>860</v>
      </c>
      <c r="BS71" s="9">
        <f t="shared" si="213"/>
        <v>723</v>
      </c>
      <c r="BT71" s="9">
        <f t="shared" si="213"/>
        <v>359</v>
      </c>
      <c r="BU71" s="9">
        <f t="shared" si="213"/>
        <v>183</v>
      </c>
      <c r="BV71" s="9">
        <f t="shared" si="213"/>
        <v>393</v>
      </c>
      <c r="BW71" s="9">
        <f t="shared" si="213"/>
        <v>265</v>
      </c>
      <c r="BX71" s="9">
        <f t="shared" si="213"/>
        <v>333</v>
      </c>
      <c r="BY71" s="9">
        <f t="shared" si="213"/>
        <v>308</v>
      </c>
      <c r="BZ71" s="9">
        <f t="shared" si="213"/>
        <v>519</v>
      </c>
      <c r="CA71" s="9">
        <f t="shared" si="213"/>
        <v>453</v>
      </c>
      <c r="CB71" s="9">
        <f t="shared" si="213"/>
        <v>611</v>
      </c>
      <c r="CC71" s="9">
        <f t="shared" si="213"/>
        <v>104</v>
      </c>
      <c r="CD71" s="9">
        <f t="shared" si="213"/>
        <v>4556</v>
      </c>
      <c r="CE71" s="9">
        <f t="shared" ref="CE71" si="214">+SUM(CE72)</f>
        <v>5111</v>
      </c>
      <c r="CF71" s="10">
        <f t="shared" si="179"/>
        <v>1.1218173836698859</v>
      </c>
      <c r="CG71" s="9">
        <v>0</v>
      </c>
      <c r="CH71" s="9">
        <v>0</v>
      </c>
      <c r="CI71" s="9">
        <v>198.5</v>
      </c>
      <c r="CJ71" s="9">
        <v>20</v>
      </c>
      <c r="CK71" s="9">
        <v>1670</v>
      </c>
      <c r="CL71" s="9">
        <v>70</v>
      </c>
      <c r="CM71" s="9">
        <v>50</v>
      </c>
      <c r="CN71" s="9">
        <v>800</v>
      </c>
      <c r="CO71" s="9">
        <v>950</v>
      </c>
      <c r="CP71" s="9">
        <v>1000</v>
      </c>
      <c r="CQ71" s="9">
        <v>100</v>
      </c>
      <c r="CR71" s="9">
        <v>100</v>
      </c>
      <c r="CS71" s="9">
        <f t="shared" ref="CS71:DF71" si="215">+SUM(CS72)</f>
        <v>203.49132595192037</v>
      </c>
      <c r="CT71" s="9">
        <f t="shared" si="215"/>
        <v>1124.7307656385181</v>
      </c>
      <c r="CU71" s="9">
        <f t="shared" si="215"/>
        <v>725.38538557999823</v>
      </c>
      <c r="CV71" s="9">
        <f t="shared" si="215"/>
        <v>773.43698605049042</v>
      </c>
      <c r="CW71" s="9">
        <f t="shared" si="215"/>
        <v>1245.5903335245112</v>
      </c>
      <c r="CX71" s="9">
        <f t="shared" si="215"/>
        <v>976.92831200241073</v>
      </c>
      <c r="CY71" s="9">
        <f t="shared" si="215"/>
        <v>932.6383528885691</v>
      </c>
      <c r="CZ71" s="9">
        <f t="shared" si="215"/>
        <v>1125.0830956829427</v>
      </c>
      <c r="DA71" s="9">
        <f t="shared" si="215"/>
        <v>1363.6892918859542</v>
      </c>
      <c r="DB71" s="9">
        <f t="shared" si="215"/>
        <v>4389.9659289541269</v>
      </c>
      <c r="DC71" s="9">
        <f t="shared" si="215"/>
        <v>4068.101863470948</v>
      </c>
      <c r="DD71" s="9">
        <f t="shared" si="215"/>
        <v>2524.4965815438754</v>
      </c>
      <c r="DE71" s="9">
        <f t="shared" si="215"/>
        <v>16205.097812855625</v>
      </c>
      <c r="DF71" s="9">
        <f t="shared" si="215"/>
        <v>16736.597599999997</v>
      </c>
      <c r="DG71" s="10">
        <f t="shared" si="177"/>
        <v>1.0327983078709175</v>
      </c>
      <c r="DH71" s="9">
        <v>0</v>
      </c>
      <c r="DI71" s="9">
        <v>15</v>
      </c>
      <c r="DJ71" s="9">
        <v>133.5</v>
      </c>
      <c r="DK71" s="9">
        <v>811.72500000000002</v>
      </c>
      <c r="DL71" s="9">
        <v>2548.7750000000001</v>
      </c>
      <c r="DM71" s="9">
        <v>51.5</v>
      </c>
      <c r="DN71" s="9">
        <v>277</v>
      </c>
      <c r="DO71" s="9">
        <v>1496</v>
      </c>
      <c r="DP71" s="9">
        <v>1219</v>
      </c>
      <c r="DQ71" s="9">
        <v>1398</v>
      </c>
      <c r="DR71" s="9">
        <v>369</v>
      </c>
      <c r="DS71" s="9">
        <v>269.5</v>
      </c>
      <c r="DT71" s="9">
        <f>+DT72</f>
        <v>1154.8235162200253</v>
      </c>
      <c r="DU71" s="9">
        <f>+DU72</f>
        <v>3339.8758581338475</v>
      </c>
      <c r="DV71" s="9">
        <f t="shared" ref="DV71:EG71" si="216">+DV72</f>
        <v>2121.1855607297684</v>
      </c>
      <c r="DW71" s="9">
        <f t="shared" si="216"/>
        <v>2011.1016797746656</v>
      </c>
      <c r="DX71" s="9">
        <f t="shared" si="216"/>
        <v>1595.7684109412569</v>
      </c>
      <c r="DY71" s="9">
        <f t="shared" si="216"/>
        <v>1149.9599202116106</v>
      </c>
      <c r="DZ71" s="9">
        <f t="shared" si="216"/>
        <v>1691.170400748897</v>
      </c>
      <c r="EA71" s="9">
        <f t="shared" si="216"/>
        <v>1152.527941471574</v>
      </c>
      <c r="EB71" s="9">
        <f t="shared" si="216"/>
        <v>1811.2808639114014</v>
      </c>
      <c r="EC71" s="9">
        <f t="shared" si="216"/>
        <v>2390.3434642162947</v>
      </c>
      <c r="ED71" s="9">
        <f t="shared" si="216"/>
        <v>651.25019152671825</v>
      </c>
      <c r="EE71" s="9">
        <f t="shared" si="216"/>
        <v>191.8825485444645</v>
      </c>
      <c r="EF71" s="9">
        <f t="shared" si="216"/>
        <v>13276</v>
      </c>
      <c r="EG71" s="9">
        <f t="shared" si="216"/>
        <v>19261.170356430524</v>
      </c>
      <c r="EH71" s="10">
        <f t="shared" si="178"/>
        <v>1.4508263299510791</v>
      </c>
      <c r="EI71" s="10"/>
      <c r="EJ71" s="10"/>
      <c r="EK71" s="33"/>
      <c r="EL71" s="33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>
        <v>7737.5162699999946</v>
      </c>
      <c r="EX71" s="9">
        <v>6551.4332799999984</v>
      </c>
      <c r="EY71" s="9">
        <v>19908.631162329999</v>
      </c>
      <c r="EZ71" s="9">
        <v>24328.858199999981</v>
      </c>
      <c r="FA71" s="9">
        <v>23047.847439999998</v>
      </c>
      <c r="FB71" s="9">
        <v>19288.645239999991</v>
      </c>
      <c r="FC71" s="9">
        <v>31001.591130000019</v>
      </c>
      <c r="FD71" s="9">
        <v>31843.057559000037</v>
      </c>
      <c r="FE71" s="9">
        <v>28947.032325000007</v>
      </c>
      <c r="FF71" s="9">
        <v>44152.552910000013</v>
      </c>
      <c r="FG71" s="9">
        <v>2194.9775199999995</v>
      </c>
      <c r="FH71" s="9">
        <v>4302.1658291699723</v>
      </c>
      <c r="FI71" s="9">
        <f>+SUM(FI72)</f>
        <v>73319.999999999491</v>
      </c>
      <c r="FJ71" s="9">
        <v>243304.3088655</v>
      </c>
      <c r="FK71" s="10">
        <v>2.0263219621550146</v>
      </c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>
        <v>0</v>
      </c>
      <c r="GJ71" s="9">
        <v>0</v>
      </c>
      <c r="GK71" s="9">
        <v>0</v>
      </c>
      <c r="GL71" s="10"/>
    </row>
    <row r="72" spans="1:194" s="11" customFormat="1" ht="24.95" customHeight="1">
      <c r="A72" s="15">
        <f>+A71+1</f>
        <v>1</v>
      </c>
      <c r="B72" s="16" t="s">
        <v>58</v>
      </c>
      <c r="C72" s="17">
        <v>12008</v>
      </c>
      <c r="D72" s="17"/>
      <c r="E72" s="17"/>
      <c r="F72" s="17"/>
      <c r="G72" s="20">
        <v>375</v>
      </c>
      <c r="H72" s="20">
        <v>435</v>
      </c>
      <c r="I72" s="20">
        <v>410</v>
      </c>
      <c r="J72" s="20">
        <v>404</v>
      </c>
      <c r="K72" s="20">
        <v>482</v>
      </c>
      <c r="L72" s="20">
        <v>485</v>
      </c>
      <c r="M72" s="20">
        <v>366</v>
      </c>
      <c r="N72" s="20">
        <v>358</v>
      </c>
      <c r="O72" s="20">
        <v>360</v>
      </c>
      <c r="P72" s="20">
        <v>223</v>
      </c>
      <c r="Q72" s="20">
        <v>56</v>
      </c>
      <c r="R72" s="20">
        <v>409</v>
      </c>
      <c r="S72" s="20">
        <v>283</v>
      </c>
      <c r="T72" s="20">
        <v>226</v>
      </c>
      <c r="U72" s="20">
        <v>133</v>
      </c>
      <c r="V72" s="20">
        <v>179</v>
      </c>
      <c r="W72" s="20">
        <v>170</v>
      </c>
      <c r="X72" s="20">
        <v>78</v>
      </c>
      <c r="Y72" s="20">
        <v>61</v>
      </c>
      <c r="Z72" s="20">
        <v>174</v>
      </c>
      <c r="AA72" s="20">
        <v>24</v>
      </c>
      <c r="AB72" s="18">
        <v>1566</v>
      </c>
      <c r="AC72" s="18">
        <f t="shared" si="172"/>
        <v>2016</v>
      </c>
      <c r="AD72" s="19">
        <f t="shared" si="173"/>
        <v>1.2873563218390804</v>
      </c>
      <c r="AE72" s="20"/>
      <c r="AF72" s="20"/>
      <c r="AG72" s="20"/>
      <c r="AH72" s="20"/>
      <c r="AI72" s="20"/>
      <c r="AJ72" s="20"/>
      <c r="AK72" s="20">
        <v>305</v>
      </c>
      <c r="AL72" s="20">
        <v>440</v>
      </c>
      <c r="AM72" s="20">
        <v>125</v>
      </c>
      <c r="AN72" s="20">
        <v>10</v>
      </c>
      <c r="AO72" s="20">
        <v>17</v>
      </c>
      <c r="AP72" s="20">
        <v>4</v>
      </c>
      <c r="AQ72" s="20">
        <v>55</v>
      </c>
      <c r="AR72" s="20">
        <v>148</v>
      </c>
      <c r="AS72" s="20">
        <v>160</v>
      </c>
      <c r="AT72" s="20">
        <v>110</v>
      </c>
      <c r="AU72" s="20">
        <v>108</v>
      </c>
      <c r="AV72" s="20">
        <v>82</v>
      </c>
      <c r="AW72" s="20">
        <v>90</v>
      </c>
      <c r="AX72" s="20">
        <v>39</v>
      </c>
      <c r="AY72" s="20">
        <v>87</v>
      </c>
      <c r="AZ72" s="20">
        <v>81</v>
      </c>
      <c r="BA72" s="20">
        <v>101</v>
      </c>
      <c r="BB72" s="20">
        <v>54</v>
      </c>
      <c r="BC72" s="27">
        <v>1015</v>
      </c>
      <c r="BD72" s="27">
        <f t="shared" si="174"/>
        <v>1115</v>
      </c>
      <c r="BE72" s="19">
        <f t="shared" si="175"/>
        <v>1.0985221674876848</v>
      </c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>
        <v>860</v>
      </c>
      <c r="BS72" s="20">
        <v>723</v>
      </c>
      <c r="BT72" s="20">
        <v>359</v>
      </c>
      <c r="BU72" s="20">
        <v>183</v>
      </c>
      <c r="BV72" s="20">
        <v>393</v>
      </c>
      <c r="BW72" s="20">
        <v>265</v>
      </c>
      <c r="BX72" s="20">
        <v>333</v>
      </c>
      <c r="BY72" s="20">
        <v>308</v>
      </c>
      <c r="BZ72" s="20">
        <v>519</v>
      </c>
      <c r="CA72" s="20">
        <v>453</v>
      </c>
      <c r="CB72" s="20">
        <v>611</v>
      </c>
      <c r="CC72" s="20">
        <v>104</v>
      </c>
      <c r="CD72" s="20">
        <v>4556</v>
      </c>
      <c r="CE72" s="20">
        <f>(+SUM(BR72:CC72))</f>
        <v>5111</v>
      </c>
      <c r="CF72" s="19">
        <f t="shared" si="179"/>
        <v>1.1218173836698859</v>
      </c>
      <c r="CG72" s="20"/>
      <c r="CH72" s="20"/>
      <c r="CI72" s="20">
        <v>198.5</v>
      </c>
      <c r="CJ72" s="20">
        <v>20</v>
      </c>
      <c r="CK72" s="20">
        <v>1670</v>
      </c>
      <c r="CL72" s="20">
        <v>70</v>
      </c>
      <c r="CM72" s="20">
        <v>50</v>
      </c>
      <c r="CN72" s="20">
        <v>800</v>
      </c>
      <c r="CO72" s="20">
        <v>950</v>
      </c>
      <c r="CP72" s="20">
        <v>1000</v>
      </c>
      <c r="CQ72" s="20">
        <v>100</v>
      </c>
      <c r="CR72" s="20">
        <v>100</v>
      </c>
      <c r="CS72" s="20">
        <v>203.49132595192037</v>
      </c>
      <c r="CT72" s="20">
        <v>1124.7307656385181</v>
      </c>
      <c r="CU72" s="20">
        <v>725.38538557999823</v>
      </c>
      <c r="CV72" s="20">
        <v>773.43698605049042</v>
      </c>
      <c r="CW72" s="20">
        <v>1245.5903335245112</v>
      </c>
      <c r="CX72" s="20">
        <v>976.92831200241073</v>
      </c>
      <c r="CY72" s="20">
        <v>932.6383528885691</v>
      </c>
      <c r="CZ72" s="20">
        <v>1125.0830956829427</v>
      </c>
      <c r="DA72" s="20">
        <v>1363.6892918859542</v>
      </c>
      <c r="DB72" s="20">
        <v>4389.9659289541269</v>
      </c>
      <c r="DC72" s="20">
        <v>4068.101863470948</v>
      </c>
      <c r="DD72" s="20">
        <v>2524.4965815438754</v>
      </c>
      <c r="DE72" s="14">
        <v>16205.097812855625</v>
      </c>
      <c r="DF72" s="14">
        <v>16736.597599999997</v>
      </c>
      <c r="DG72" s="19">
        <f t="shared" si="177"/>
        <v>1.0327983078709175</v>
      </c>
      <c r="DH72" s="20"/>
      <c r="DI72" s="20">
        <v>15</v>
      </c>
      <c r="DJ72" s="20">
        <v>133.5</v>
      </c>
      <c r="DK72" s="20">
        <v>811.72500000000002</v>
      </c>
      <c r="DL72" s="20">
        <v>2548.7750000000001</v>
      </c>
      <c r="DM72" s="20">
        <v>51.5</v>
      </c>
      <c r="DN72" s="20">
        <v>277</v>
      </c>
      <c r="DO72" s="20">
        <v>1496</v>
      </c>
      <c r="DP72" s="20">
        <v>1219</v>
      </c>
      <c r="DQ72" s="20">
        <v>1398</v>
      </c>
      <c r="DR72" s="20">
        <v>369</v>
      </c>
      <c r="DS72" s="20">
        <v>269.5</v>
      </c>
      <c r="DT72" s="20">
        <v>1154.8235162200253</v>
      </c>
      <c r="DU72" s="20">
        <v>3339.8758581338475</v>
      </c>
      <c r="DV72" s="20">
        <v>2121.1855607297684</v>
      </c>
      <c r="DW72" s="20">
        <v>2011.1016797746656</v>
      </c>
      <c r="DX72" s="20">
        <v>1595.7684109412569</v>
      </c>
      <c r="DY72" s="20">
        <v>1149.9599202116106</v>
      </c>
      <c r="DZ72" s="20">
        <v>1691.170400748897</v>
      </c>
      <c r="EA72" s="20">
        <v>1152.527941471574</v>
      </c>
      <c r="EB72" s="20">
        <v>1811.2808639114014</v>
      </c>
      <c r="EC72" s="20">
        <v>2390.3434642162947</v>
      </c>
      <c r="ED72" s="20">
        <v>651.25019152671825</v>
      </c>
      <c r="EE72" s="20">
        <v>191.8825485444645</v>
      </c>
      <c r="EF72" s="14">
        <v>13276</v>
      </c>
      <c r="EG72" s="14">
        <f t="shared" si="23"/>
        <v>19261.170356430524</v>
      </c>
      <c r="EH72" s="19">
        <f t="shared" si="178"/>
        <v>1.4508263299510791</v>
      </c>
      <c r="EI72" s="19"/>
      <c r="EJ72" s="19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>
        <v>7737.5162699999946</v>
      </c>
      <c r="EX72" s="20">
        <v>6551.4332799999984</v>
      </c>
      <c r="EY72" s="20">
        <v>19908.631162329999</v>
      </c>
      <c r="EZ72" s="20">
        <v>24328.858199999981</v>
      </c>
      <c r="FA72" s="20">
        <v>23047.847439999998</v>
      </c>
      <c r="FB72" s="20">
        <v>19288.645239999991</v>
      </c>
      <c r="FC72" s="20">
        <v>31001.591130000019</v>
      </c>
      <c r="FD72" s="20">
        <v>31843.057559000037</v>
      </c>
      <c r="FE72" s="20">
        <v>28947.032325000007</v>
      </c>
      <c r="FF72" s="20">
        <v>44412.552909999999</v>
      </c>
      <c r="FG72" s="20">
        <v>3195</v>
      </c>
      <c r="FH72" s="20">
        <v>3042.1433491699863</v>
      </c>
      <c r="FI72" s="14">
        <v>73319.999999999491</v>
      </c>
      <c r="FJ72" s="14">
        <v>243304.3088655</v>
      </c>
      <c r="FK72" s="19">
        <v>2.0263219621550146</v>
      </c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19"/>
    </row>
    <row r="73" spans="1:194" s="11" customFormat="1" ht="32.25" customHeight="1">
      <c r="A73" s="6"/>
      <c r="B73" s="7" t="s">
        <v>61</v>
      </c>
      <c r="C73" s="8"/>
      <c r="D73" s="8"/>
      <c r="E73" s="8"/>
      <c r="F73" s="9"/>
      <c r="G73" s="9">
        <f>+SUM(G74:G78)</f>
        <v>258</v>
      </c>
      <c r="H73" s="9">
        <f t="shared" ref="H73:O73" si="217">+SUM(H74:H78)</f>
        <v>265</v>
      </c>
      <c r="I73" s="9">
        <f t="shared" si="217"/>
        <v>276</v>
      </c>
      <c r="J73" s="9">
        <f t="shared" si="217"/>
        <v>267</v>
      </c>
      <c r="K73" s="9">
        <f t="shared" si="217"/>
        <v>255</v>
      </c>
      <c r="L73" s="9">
        <f t="shared" si="217"/>
        <v>245</v>
      </c>
      <c r="M73" s="9">
        <f t="shared" si="217"/>
        <v>242</v>
      </c>
      <c r="N73" s="9">
        <f t="shared" si="217"/>
        <v>243</v>
      </c>
      <c r="O73" s="9">
        <f t="shared" si="217"/>
        <v>265</v>
      </c>
      <c r="P73" s="9">
        <f t="shared" ref="P73" si="218">+SUM(P74:P78)</f>
        <v>83</v>
      </c>
      <c r="Q73" s="9">
        <f t="shared" ref="Q73" si="219">+SUM(Q74:Q78)</f>
        <v>49</v>
      </c>
      <c r="R73" s="9">
        <f t="shared" ref="R73" si="220">+SUM(R74:R78)</f>
        <v>123</v>
      </c>
      <c r="S73" s="9">
        <f t="shared" ref="S73" si="221">+SUM(S74:S78)</f>
        <v>29</v>
      </c>
      <c r="T73" s="9">
        <f t="shared" ref="T73" si="222">+SUM(T74:T78)</f>
        <v>18</v>
      </c>
      <c r="U73" s="9">
        <f t="shared" ref="U73" si="223">+SUM(U74:U78)</f>
        <v>18</v>
      </c>
      <c r="V73" s="9">
        <f t="shared" ref="V73" si="224">+SUM(V74:V78)</f>
        <v>45</v>
      </c>
      <c r="W73" s="9">
        <f t="shared" ref="W73" si="225">+SUM(W74:W78)</f>
        <v>54</v>
      </c>
      <c r="X73" s="9">
        <f t="shared" ref="X73" si="226">+SUM(X74:X78)</f>
        <v>38</v>
      </c>
      <c r="Y73" s="9">
        <f t="shared" ref="Y73" si="227">+SUM(Y74:Y78)</f>
        <v>24</v>
      </c>
      <c r="Z73" s="9">
        <f t="shared" ref="Z73" si="228">+SUM(Z74:Z78)</f>
        <v>101</v>
      </c>
      <c r="AA73" s="9">
        <f t="shared" ref="AA73" si="229">+SUM(AA74:AA78)</f>
        <v>193</v>
      </c>
      <c r="AB73" s="9">
        <f t="shared" ref="AB73" si="230">+SUM(AB74:AB78)</f>
        <v>865</v>
      </c>
      <c r="AC73" s="9">
        <f t="shared" si="172"/>
        <v>775</v>
      </c>
      <c r="AD73" s="10">
        <f t="shared" si="173"/>
        <v>0.89595375722543358</v>
      </c>
      <c r="AE73" s="9"/>
      <c r="AF73" s="9"/>
      <c r="AG73" s="9"/>
      <c r="AH73" s="9"/>
      <c r="AI73" s="9">
        <f t="shared" ref="AI73:BC73" si="231">+SUM(AI74:AI78)</f>
        <v>0</v>
      </c>
      <c r="AJ73" s="9">
        <f t="shared" si="231"/>
        <v>0</v>
      </c>
      <c r="AK73" s="9">
        <f t="shared" si="231"/>
        <v>379</v>
      </c>
      <c r="AL73" s="9">
        <f t="shared" si="231"/>
        <v>694</v>
      </c>
      <c r="AM73" s="9">
        <f t="shared" si="231"/>
        <v>32</v>
      </c>
      <c r="AN73" s="9">
        <f t="shared" si="231"/>
        <v>8</v>
      </c>
      <c r="AO73" s="9">
        <f t="shared" si="231"/>
        <v>14</v>
      </c>
      <c r="AP73" s="9">
        <f t="shared" si="231"/>
        <v>2</v>
      </c>
      <c r="AQ73" s="9">
        <f t="shared" si="231"/>
        <v>94</v>
      </c>
      <c r="AR73" s="9">
        <f t="shared" si="231"/>
        <v>189</v>
      </c>
      <c r="AS73" s="9">
        <f t="shared" si="231"/>
        <v>219</v>
      </c>
      <c r="AT73" s="9">
        <f t="shared" si="231"/>
        <v>183</v>
      </c>
      <c r="AU73" s="9">
        <f t="shared" si="231"/>
        <v>164</v>
      </c>
      <c r="AV73" s="9">
        <f t="shared" si="231"/>
        <v>190</v>
      </c>
      <c r="AW73" s="9">
        <f t="shared" si="231"/>
        <v>78</v>
      </c>
      <c r="AX73" s="9">
        <f t="shared" si="231"/>
        <v>111</v>
      </c>
      <c r="AY73" s="9">
        <f t="shared" si="231"/>
        <v>133</v>
      </c>
      <c r="AZ73" s="9">
        <f t="shared" si="231"/>
        <v>92</v>
      </c>
      <c r="BA73" s="9">
        <f t="shared" si="231"/>
        <v>93</v>
      </c>
      <c r="BB73" s="9">
        <f t="shared" si="231"/>
        <v>26</v>
      </c>
      <c r="BC73" s="9">
        <f t="shared" si="231"/>
        <v>1430</v>
      </c>
      <c r="BD73" s="9">
        <f t="shared" si="174"/>
        <v>1572</v>
      </c>
      <c r="BE73" s="10">
        <f t="shared" si="175"/>
        <v>1.0993006993006993</v>
      </c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>
        <f t="shared" ref="BR73:CD73" si="232">+SUM(BR74:BR78)</f>
        <v>608</v>
      </c>
      <c r="BS73" s="9">
        <f t="shared" si="232"/>
        <v>658</v>
      </c>
      <c r="BT73" s="9">
        <f t="shared" si="232"/>
        <v>171</v>
      </c>
      <c r="BU73" s="9">
        <f t="shared" si="232"/>
        <v>235</v>
      </c>
      <c r="BV73" s="9">
        <f t="shared" si="232"/>
        <v>204</v>
      </c>
      <c r="BW73" s="9">
        <f t="shared" si="232"/>
        <v>140</v>
      </c>
      <c r="BX73" s="9">
        <f t="shared" si="232"/>
        <v>196</v>
      </c>
      <c r="BY73" s="9">
        <f t="shared" si="232"/>
        <v>169</v>
      </c>
      <c r="BZ73" s="9">
        <f t="shared" si="232"/>
        <v>137</v>
      </c>
      <c r="CA73" s="9">
        <f t="shared" si="232"/>
        <v>171</v>
      </c>
      <c r="CB73" s="9">
        <f t="shared" si="232"/>
        <v>388</v>
      </c>
      <c r="CC73" s="9">
        <f t="shared" si="232"/>
        <v>351</v>
      </c>
      <c r="CD73" s="9">
        <f t="shared" si="232"/>
        <v>4352</v>
      </c>
      <c r="CE73" s="9">
        <f>+SUM(CE74:CE78)</f>
        <v>3428</v>
      </c>
      <c r="CF73" s="10">
        <f t="shared" si="179"/>
        <v>0.7876838235294118</v>
      </c>
      <c r="CG73" s="9"/>
      <c r="CH73" s="9">
        <v>0</v>
      </c>
      <c r="CI73" s="9">
        <v>339.88</v>
      </c>
      <c r="CJ73" s="9">
        <v>330</v>
      </c>
      <c r="CK73" s="9">
        <v>1335.0140000000001</v>
      </c>
      <c r="CL73" s="9">
        <v>1634</v>
      </c>
      <c r="CM73" s="9">
        <v>1042.833333</v>
      </c>
      <c r="CN73" s="9">
        <v>1341.0692000000001</v>
      </c>
      <c r="CO73" s="9">
        <v>2083.3692040000001</v>
      </c>
      <c r="CP73" s="9">
        <v>1291.8702745999999</v>
      </c>
      <c r="CQ73" s="9">
        <v>766.37</v>
      </c>
      <c r="CR73" s="9">
        <v>0</v>
      </c>
      <c r="CS73" s="9">
        <f t="shared" ref="CS73:DF73" si="233">+SUM(CS74:CS78)</f>
        <v>3023.4134020918004</v>
      </c>
      <c r="CT73" s="9">
        <f t="shared" si="233"/>
        <v>3549.4018829485472</v>
      </c>
      <c r="CU73" s="9">
        <f t="shared" si="233"/>
        <v>2165.5178619280459</v>
      </c>
      <c r="CV73" s="9">
        <f t="shared" si="233"/>
        <v>2132.7511677965613</v>
      </c>
      <c r="CW73" s="9">
        <f t="shared" si="233"/>
        <v>2472.0087313081435</v>
      </c>
      <c r="CX73" s="9">
        <f t="shared" si="233"/>
        <v>1124.0074527826112</v>
      </c>
      <c r="CY73" s="9">
        <f t="shared" si="233"/>
        <v>1672.8443981608032</v>
      </c>
      <c r="CZ73" s="9">
        <f t="shared" si="233"/>
        <v>926.27983185154221</v>
      </c>
      <c r="DA73" s="9">
        <f t="shared" si="233"/>
        <v>1225.0370567565203</v>
      </c>
      <c r="DB73" s="9">
        <f t="shared" si="233"/>
        <v>614.89986497263567</v>
      </c>
      <c r="DC73" s="9">
        <f t="shared" si="233"/>
        <v>701.41036232174281</v>
      </c>
      <c r="DD73" s="9">
        <f t="shared" si="233"/>
        <v>227.97826403942801</v>
      </c>
      <c r="DE73" s="9">
        <f t="shared" si="233"/>
        <v>18894.939453587802</v>
      </c>
      <c r="DF73" s="9">
        <f t="shared" si="233"/>
        <v>19481.390866000002</v>
      </c>
      <c r="DG73" s="10">
        <f t="shared" si="177"/>
        <v>1.0310374856639641</v>
      </c>
      <c r="DH73" s="9">
        <v>0</v>
      </c>
      <c r="DI73" s="9">
        <v>118</v>
      </c>
      <c r="DJ73" s="9">
        <v>367</v>
      </c>
      <c r="DK73" s="9">
        <v>965.8</v>
      </c>
      <c r="DL73" s="9">
        <v>756</v>
      </c>
      <c r="DM73" s="9">
        <v>342.5</v>
      </c>
      <c r="DN73" s="9">
        <v>259</v>
      </c>
      <c r="DO73" s="9">
        <v>371</v>
      </c>
      <c r="DP73" s="9">
        <v>394.5</v>
      </c>
      <c r="DQ73" s="9">
        <v>1660.7280599999999</v>
      </c>
      <c r="DR73" s="9">
        <v>1582.5</v>
      </c>
      <c r="DS73" s="9">
        <v>433.6</v>
      </c>
      <c r="DT73" s="9">
        <f t="shared" ref="DT73:EG73" si="234">+SUM(DT74:DT78)</f>
        <v>751.4030206652908</v>
      </c>
      <c r="DU73" s="9">
        <f t="shared" si="234"/>
        <v>661.00867231457914</v>
      </c>
      <c r="DV73" s="9">
        <f t="shared" si="234"/>
        <v>422.49085768917854</v>
      </c>
      <c r="DW73" s="9">
        <f t="shared" si="234"/>
        <v>2857.3858955360756</v>
      </c>
      <c r="DX73" s="9">
        <f t="shared" si="234"/>
        <v>2581.7858539168033</v>
      </c>
      <c r="DY73" s="9">
        <f t="shared" si="234"/>
        <v>3941.9126340438193</v>
      </c>
      <c r="DZ73" s="9">
        <f t="shared" si="234"/>
        <v>2587.9491049407156</v>
      </c>
      <c r="EA73" s="9">
        <f t="shared" si="234"/>
        <v>788.38252680876383</v>
      </c>
      <c r="EB73" s="9">
        <f t="shared" si="234"/>
        <v>360.24202234766648</v>
      </c>
      <c r="EC73" s="9">
        <f t="shared" si="234"/>
        <v>0</v>
      </c>
      <c r="ED73" s="9">
        <f t="shared" si="234"/>
        <v>50.846820947275319</v>
      </c>
      <c r="EE73" s="9">
        <f t="shared" si="234"/>
        <v>0</v>
      </c>
      <c r="EF73" s="9">
        <f t="shared" si="234"/>
        <v>8739.0000000000018</v>
      </c>
      <c r="EG73" s="9">
        <f t="shared" si="234"/>
        <v>15003.407409210167</v>
      </c>
      <c r="EH73" s="10">
        <f t="shared" si="178"/>
        <v>1.7168334373738603</v>
      </c>
      <c r="EI73" s="10"/>
      <c r="EJ73" s="10"/>
      <c r="EK73" s="9"/>
      <c r="EL73" s="9"/>
      <c r="EM73" s="30"/>
      <c r="EN73" s="9"/>
      <c r="EO73" s="9"/>
      <c r="EP73" s="9"/>
      <c r="EQ73" s="9"/>
      <c r="ER73" s="9"/>
      <c r="ES73" s="9"/>
      <c r="ET73" s="9"/>
      <c r="EU73" s="9"/>
      <c r="EV73" s="9"/>
      <c r="EW73" s="9">
        <f t="shared" ref="EW73:FH73" si="235">+SUM(EW74:EW78)</f>
        <v>125</v>
      </c>
      <c r="EX73" s="9">
        <f t="shared" si="235"/>
        <v>1713</v>
      </c>
      <c r="EY73" s="9">
        <f t="shared" si="235"/>
        <v>1770</v>
      </c>
      <c r="EZ73" s="9">
        <f t="shared" si="235"/>
        <v>2003.6111109999999</v>
      </c>
      <c r="FA73" s="9">
        <f t="shared" si="235"/>
        <v>5245</v>
      </c>
      <c r="FB73" s="9">
        <f t="shared" si="235"/>
        <v>4992</v>
      </c>
      <c r="FC73" s="9">
        <f t="shared" si="235"/>
        <v>5017</v>
      </c>
      <c r="FD73" s="9">
        <f t="shared" si="235"/>
        <v>2891</v>
      </c>
      <c r="FE73" s="9">
        <f t="shared" si="235"/>
        <v>3097</v>
      </c>
      <c r="FF73" s="9">
        <f t="shared" si="235"/>
        <v>2867.0599999999995</v>
      </c>
      <c r="FG73" s="9">
        <f t="shared" si="235"/>
        <v>885</v>
      </c>
      <c r="FH73" s="9">
        <v>2188.0299999999897</v>
      </c>
      <c r="FI73" s="9">
        <f>+SUM(FI74:FI78)</f>
        <v>25999.999999999825</v>
      </c>
      <c r="FJ73" s="9">
        <v>32793.701110999988</v>
      </c>
      <c r="FK73" s="10">
        <v>1.2242129494940948</v>
      </c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>
        <v>0</v>
      </c>
      <c r="GJ73" s="9">
        <v>0</v>
      </c>
      <c r="GK73" s="9">
        <v>0</v>
      </c>
      <c r="GL73" s="10"/>
    </row>
    <row r="74" spans="1:194" s="11" customFormat="1" ht="24.95" customHeight="1">
      <c r="A74" s="15">
        <v>1</v>
      </c>
      <c r="B74" s="16" t="s">
        <v>62</v>
      </c>
      <c r="C74" s="17">
        <v>10502</v>
      </c>
      <c r="D74" s="17"/>
      <c r="E74" s="17"/>
      <c r="F74" s="17"/>
      <c r="G74" s="20">
        <v>40</v>
      </c>
      <c r="H74" s="20">
        <v>5</v>
      </c>
      <c r="I74" s="20">
        <v>34</v>
      </c>
      <c r="J74" s="20">
        <v>12</v>
      </c>
      <c r="K74" s="20">
        <v>36</v>
      </c>
      <c r="L74" s="20">
        <v>61</v>
      </c>
      <c r="M74" s="20">
        <v>65</v>
      </c>
      <c r="N74" s="20">
        <v>24</v>
      </c>
      <c r="O74" s="20">
        <v>16</v>
      </c>
      <c r="P74" s="20">
        <v>33</v>
      </c>
      <c r="Q74" s="20">
        <v>18</v>
      </c>
      <c r="R74" s="20">
        <v>14</v>
      </c>
      <c r="S74" s="20">
        <v>18</v>
      </c>
      <c r="T74" s="20"/>
      <c r="U74" s="20">
        <v>6</v>
      </c>
      <c r="V74" s="20">
        <v>10</v>
      </c>
      <c r="W74" s="20">
        <v>10</v>
      </c>
      <c r="X74" s="20">
        <v>35</v>
      </c>
      <c r="Y74" s="20">
        <v>7</v>
      </c>
      <c r="Z74" s="20">
        <v>45</v>
      </c>
      <c r="AA74" s="20">
        <v>78</v>
      </c>
      <c r="AB74" s="18">
        <v>399</v>
      </c>
      <c r="AC74" s="18">
        <f t="shared" si="172"/>
        <v>274</v>
      </c>
      <c r="AD74" s="19">
        <f t="shared" si="173"/>
        <v>0.68671679197994984</v>
      </c>
      <c r="AE74" s="20"/>
      <c r="AF74" s="20"/>
      <c r="AG74" s="20"/>
      <c r="AH74" s="20"/>
      <c r="AI74" s="20"/>
      <c r="AJ74" s="20"/>
      <c r="AK74" s="20">
        <v>247</v>
      </c>
      <c r="AL74" s="20">
        <v>437</v>
      </c>
      <c r="AM74" s="20">
        <v>21</v>
      </c>
      <c r="AN74" s="20">
        <v>1</v>
      </c>
      <c r="AO74" s="20">
        <v>14</v>
      </c>
      <c r="AP74" s="20">
        <v>1</v>
      </c>
      <c r="AQ74" s="20">
        <v>28</v>
      </c>
      <c r="AR74" s="20">
        <v>64</v>
      </c>
      <c r="AS74" s="20">
        <v>83</v>
      </c>
      <c r="AT74" s="20">
        <v>61</v>
      </c>
      <c r="AU74" s="20">
        <v>56</v>
      </c>
      <c r="AV74" s="20">
        <v>67</v>
      </c>
      <c r="AW74" s="20">
        <v>60</v>
      </c>
      <c r="AX74" s="20">
        <v>38</v>
      </c>
      <c r="AY74" s="20">
        <v>56</v>
      </c>
      <c r="AZ74" s="20">
        <v>48</v>
      </c>
      <c r="BA74" s="20">
        <v>27</v>
      </c>
      <c r="BB74" s="20">
        <v>18</v>
      </c>
      <c r="BC74" s="27">
        <v>904</v>
      </c>
      <c r="BD74" s="27">
        <f t="shared" si="174"/>
        <v>606</v>
      </c>
      <c r="BE74" s="19">
        <f t="shared" si="175"/>
        <v>0.67035398230088494</v>
      </c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>
        <v>226</v>
      </c>
      <c r="BS74" s="20">
        <v>425</v>
      </c>
      <c r="BT74" s="20">
        <v>104</v>
      </c>
      <c r="BU74" s="20">
        <v>95</v>
      </c>
      <c r="BV74" s="20">
        <v>147</v>
      </c>
      <c r="BW74" s="20">
        <v>56</v>
      </c>
      <c r="BX74" s="20">
        <v>110</v>
      </c>
      <c r="BY74" s="20">
        <v>110</v>
      </c>
      <c r="BZ74" s="20">
        <v>84</v>
      </c>
      <c r="CA74" s="20">
        <v>84</v>
      </c>
      <c r="CB74" s="20">
        <v>148</v>
      </c>
      <c r="CC74" s="20">
        <v>153</v>
      </c>
      <c r="CD74" s="20">
        <v>2552</v>
      </c>
      <c r="CE74" s="20">
        <f>+SUM(BR74:CC74)</f>
        <v>1742</v>
      </c>
      <c r="CF74" s="19">
        <f t="shared" si="179"/>
        <v>0.68260188087774298</v>
      </c>
      <c r="CG74" s="20"/>
      <c r="CH74" s="20"/>
      <c r="CI74" s="20">
        <v>70</v>
      </c>
      <c r="CJ74" s="20">
        <v>50</v>
      </c>
      <c r="CK74" s="20">
        <v>605.024</v>
      </c>
      <c r="CL74" s="20">
        <v>226</v>
      </c>
      <c r="CM74" s="20">
        <v>455.83333299999998</v>
      </c>
      <c r="CN74" s="20">
        <v>957.18000000000006</v>
      </c>
      <c r="CO74" s="20">
        <v>1903.3692040000001</v>
      </c>
      <c r="CP74" s="20">
        <v>245.86847079999998</v>
      </c>
      <c r="CQ74" s="20">
        <v>186.37</v>
      </c>
      <c r="CR74" s="20"/>
      <c r="CS74" s="20">
        <v>441.80653898883065</v>
      </c>
      <c r="CT74" s="20">
        <v>377.93656304147919</v>
      </c>
      <c r="CU74" s="20">
        <v>101.55395398119975</v>
      </c>
      <c r="CV74" s="20">
        <v>304.52092992582948</v>
      </c>
      <c r="CW74" s="20">
        <v>0</v>
      </c>
      <c r="CX74" s="20">
        <v>384.83767234691993</v>
      </c>
      <c r="CY74" s="20">
        <v>103.62648365428547</v>
      </c>
      <c r="CZ74" s="20">
        <v>0</v>
      </c>
      <c r="DA74" s="20">
        <v>99.864842297634908</v>
      </c>
      <c r="DB74" s="20">
        <v>207.25296730857093</v>
      </c>
      <c r="DC74" s="20">
        <v>103.62648365428547</v>
      </c>
      <c r="DD74" s="20">
        <v>0</v>
      </c>
      <c r="DE74" s="14">
        <v>2017.0084035083921</v>
      </c>
      <c r="DF74" s="14">
        <v>2050.6596</v>
      </c>
      <c r="DG74" s="19">
        <f t="shared" si="177"/>
        <v>1.0166837165542171</v>
      </c>
      <c r="DH74" s="20"/>
      <c r="DI74" s="20">
        <v>22</v>
      </c>
      <c r="DJ74" s="20">
        <v>55</v>
      </c>
      <c r="DK74" s="20">
        <v>388.7</v>
      </c>
      <c r="DL74" s="20">
        <v>237</v>
      </c>
      <c r="DM74" s="20">
        <v>83</v>
      </c>
      <c r="DN74" s="20">
        <v>59.5</v>
      </c>
      <c r="DO74" s="20">
        <v>35</v>
      </c>
      <c r="DP74" s="20">
        <v>53.3</v>
      </c>
      <c r="DQ74" s="20">
        <v>346.61528800000002</v>
      </c>
      <c r="DR74" s="20">
        <v>218.3</v>
      </c>
      <c r="DS74" s="20">
        <v>79.7</v>
      </c>
      <c r="DT74" s="20">
        <v>0</v>
      </c>
      <c r="DU74" s="20">
        <v>0</v>
      </c>
      <c r="DV74" s="20">
        <v>0</v>
      </c>
      <c r="DW74" s="20">
        <v>0</v>
      </c>
      <c r="DX74" s="20">
        <v>0</v>
      </c>
      <c r="DY74" s="20">
        <v>0</v>
      </c>
      <c r="DZ74" s="20">
        <v>0</v>
      </c>
      <c r="EA74" s="20">
        <v>0</v>
      </c>
      <c r="EB74" s="20">
        <v>0</v>
      </c>
      <c r="EC74" s="20">
        <v>0</v>
      </c>
      <c r="ED74" s="20">
        <v>0</v>
      </c>
      <c r="EE74" s="20">
        <v>0</v>
      </c>
      <c r="EF74" s="14">
        <v>4925.7584575462552</v>
      </c>
      <c r="EG74" s="14">
        <f t="shared" ref="EG72:EG91" si="236">+DT74+DU74+DV74+DW74+DX74+DY74+DZ74+EA74+EB74+EC74+ED74+EE74</f>
        <v>0</v>
      </c>
      <c r="EH74" s="19">
        <f t="shared" si="178"/>
        <v>0</v>
      </c>
      <c r="EI74" s="19"/>
      <c r="EJ74" s="19"/>
      <c r="EK74" s="20"/>
      <c r="EL74" s="32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>
        <v>620</v>
      </c>
      <c r="EY74" s="20">
        <v>443</v>
      </c>
      <c r="EZ74" s="20">
        <v>554</v>
      </c>
      <c r="FA74" s="20">
        <v>1153</v>
      </c>
      <c r="FB74" s="20">
        <v>1027</v>
      </c>
      <c r="FC74" s="20">
        <v>1065</v>
      </c>
      <c r="FD74" s="20">
        <v>477</v>
      </c>
      <c r="FE74" s="20">
        <v>730</v>
      </c>
      <c r="FF74" s="20">
        <v>800.03</v>
      </c>
      <c r="FG74" s="20">
        <v>50</v>
      </c>
      <c r="FH74" s="20">
        <v>330.55146436068912</v>
      </c>
      <c r="FI74" s="14">
        <v>7094.0001524785348</v>
      </c>
      <c r="FJ74" s="14">
        <v>7249.5814643606891</v>
      </c>
      <c r="FK74" s="19">
        <f>+FJ74/FI74</f>
        <v>1.0219313939298122</v>
      </c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19"/>
    </row>
    <row r="75" spans="1:194" s="11" customFormat="1" ht="24.95" customHeight="1">
      <c r="A75" s="15">
        <v>2</v>
      </c>
      <c r="B75" s="16" t="s">
        <v>63</v>
      </c>
      <c r="C75" s="17">
        <v>10508</v>
      </c>
      <c r="D75" s="17"/>
      <c r="E75" s="17"/>
      <c r="F75" s="17"/>
      <c r="G75" s="20">
        <v>11</v>
      </c>
      <c r="H75" s="20"/>
      <c r="I75" s="20">
        <v>44</v>
      </c>
      <c r="J75" s="20">
        <v>44</v>
      </c>
      <c r="K75" s="20">
        <v>57</v>
      </c>
      <c r="L75" s="20">
        <v>11</v>
      </c>
      <c r="M75" s="20">
        <v>14</v>
      </c>
      <c r="N75" s="20">
        <v>17</v>
      </c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18"/>
      <c r="AC75" s="18">
        <f t="shared" si="172"/>
        <v>0</v>
      </c>
      <c r="AD75" s="19">
        <v>0</v>
      </c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7"/>
      <c r="BD75" s="27">
        <f t="shared" si="174"/>
        <v>0</v>
      </c>
      <c r="BE75" s="19">
        <v>0</v>
      </c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>
        <v>0</v>
      </c>
      <c r="BT75" s="20">
        <v>0</v>
      </c>
      <c r="BU75" s="20">
        <v>0</v>
      </c>
      <c r="BV75" s="20">
        <v>0</v>
      </c>
      <c r="BW75" s="20">
        <v>0</v>
      </c>
      <c r="BX75" s="20">
        <v>0</v>
      </c>
      <c r="BY75" s="20">
        <v>0</v>
      </c>
      <c r="BZ75" s="20">
        <v>0</v>
      </c>
      <c r="CA75" s="20">
        <v>0</v>
      </c>
      <c r="CB75" s="20">
        <v>0</v>
      </c>
      <c r="CC75" s="20">
        <v>0</v>
      </c>
      <c r="CD75" s="20"/>
      <c r="CE75" s="20"/>
      <c r="CF75" s="19"/>
      <c r="CG75" s="20"/>
      <c r="CH75" s="20"/>
      <c r="CI75" s="20"/>
      <c r="CJ75" s="20">
        <v>170</v>
      </c>
      <c r="CK75" s="20">
        <v>220</v>
      </c>
      <c r="CL75" s="20">
        <v>200</v>
      </c>
      <c r="CM75" s="20"/>
      <c r="CN75" s="20">
        <v>109</v>
      </c>
      <c r="CO75" s="20">
        <v>80</v>
      </c>
      <c r="CP75" s="20">
        <v>716.00180380000006</v>
      </c>
      <c r="CQ75" s="20">
        <v>100</v>
      </c>
      <c r="CR75" s="20"/>
      <c r="CS75" s="20">
        <v>427.7079486346978</v>
      </c>
      <c r="CT75" s="20">
        <v>947.02067255494751</v>
      </c>
      <c r="CU75" s="20">
        <v>694.53992645546361</v>
      </c>
      <c r="CV75" s="20">
        <v>1008.6981193611417</v>
      </c>
      <c r="CW75" s="20">
        <v>680.72029859532825</v>
      </c>
      <c r="CX75" s="20">
        <v>307.70019044434292</v>
      </c>
      <c r="CY75" s="20">
        <v>381.65841182840649</v>
      </c>
      <c r="CZ75" s="20">
        <v>304.52092992582948</v>
      </c>
      <c r="DA75" s="20">
        <v>404.96815306160147</v>
      </c>
      <c r="DB75" s="20">
        <v>307.19967452829275</v>
      </c>
      <c r="DC75" s="20">
        <v>131.53516823205763</v>
      </c>
      <c r="DD75" s="20">
        <v>0</v>
      </c>
      <c r="DE75" s="14">
        <v>5373.3573993010259</v>
      </c>
      <c r="DF75" s="14">
        <v>5370.424</v>
      </c>
      <c r="DG75" s="19">
        <f t="shared" si="177"/>
        <v>0.99945408446097261</v>
      </c>
      <c r="DH75" s="20"/>
      <c r="DI75" s="20"/>
      <c r="DJ75" s="20">
        <v>47</v>
      </c>
      <c r="DK75" s="20">
        <v>50</v>
      </c>
      <c r="DL75" s="20">
        <v>20</v>
      </c>
      <c r="DM75" s="20">
        <v>35</v>
      </c>
      <c r="DN75" s="20"/>
      <c r="DO75" s="20">
        <v>50</v>
      </c>
      <c r="DP75" s="20">
        <v>131.9</v>
      </c>
      <c r="DQ75" s="20">
        <v>296.24911099999997</v>
      </c>
      <c r="DR75" s="20">
        <v>350.90000000000003</v>
      </c>
      <c r="DS75" s="20">
        <v>37</v>
      </c>
      <c r="DT75" s="20">
        <v>0</v>
      </c>
      <c r="DU75" s="20">
        <v>0</v>
      </c>
      <c r="DV75" s="20">
        <v>0</v>
      </c>
      <c r="DW75" s="20">
        <v>0</v>
      </c>
      <c r="DX75" s="20">
        <v>0</v>
      </c>
      <c r="DY75" s="20">
        <v>0</v>
      </c>
      <c r="DZ75" s="20">
        <v>0</v>
      </c>
      <c r="EA75" s="20">
        <v>0</v>
      </c>
      <c r="EB75" s="20">
        <v>0</v>
      </c>
      <c r="EC75" s="20">
        <v>0</v>
      </c>
      <c r="ED75" s="20">
        <v>0</v>
      </c>
      <c r="EE75" s="20">
        <v>0</v>
      </c>
      <c r="EF75" s="14">
        <v>0</v>
      </c>
      <c r="EG75" s="14">
        <f t="shared" si="236"/>
        <v>0</v>
      </c>
      <c r="EH75" s="19"/>
      <c r="EI75" s="19"/>
      <c r="EJ75" s="19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>
        <v>620</v>
      </c>
      <c r="EY75" s="20">
        <v>443</v>
      </c>
      <c r="EZ75" s="20">
        <v>1013.6111109999999</v>
      </c>
      <c r="FA75" s="20">
        <v>1039</v>
      </c>
      <c r="FB75" s="20">
        <v>1005</v>
      </c>
      <c r="FC75" s="20">
        <v>995</v>
      </c>
      <c r="FD75" s="20">
        <v>562</v>
      </c>
      <c r="FE75" s="20">
        <v>287</v>
      </c>
      <c r="FF75" s="20">
        <v>350</v>
      </c>
      <c r="FG75" s="20">
        <v>50</v>
      </c>
      <c r="FH75" s="20">
        <v>884.97035336068893</v>
      </c>
      <c r="FI75" s="14">
        <v>5473.6842105263195</v>
      </c>
      <c r="FJ75" s="14">
        <v>7249.5814643606891</v>
      </c>
      <c r="FK75" s="19">
        <f t="shared" ref="FK75:FK78" si="237">+FJ75/FI75</f>
        <v>1.3244427675274326</v>
      </c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19"/>
    </row>
    <row r="76" spans="1:194" s="11" customFormat="1" ht="24.95" customHeight="1">
      <c r="A76" s="15">
        <f>+A75+1</f>
        <v>3</v>
      </c>
      <c r="B76" s="16" t="s">
        <v>64</v>
      </c>
      <c r="C76" s="17">
        <v>10510</v>
      </c>
      <c r="D76" s="17"/>
      <c r="E76" s="17"/>
      <c r="F76" s="17"/>
      <c r="G76" s="20">
        <v>96</v>
      </c>
      <c r="H76" s="20">
        <v>242</v>
      </c>
      <c r="I76" s="20">
        <v>124</v>
      </c>
      <c r="J76" s="20">
        <v>35</v>
      </c>
      <c r="K76" s="20">
        <v>66</v>
      </c>
      <c r="L76" s="20">
        <v>42</v>
      </c>
      <c r="M76" s="20">
        <v>40</v>
      </c>
      <c r="N76" s="20">
        <v>80</v>
      </c>
      <c r="O76" s="20">
        <v>7</v>
      </c>
      <c r="P76" s="20">
        <v>22</v>
      </c>
      <c r="Q76" s="20">
        <v>18</v>
      </c>
      <c r="R76" s="20">
        <v>9</v>
      </c>
      <c r="S76" s="20"/>
      <c r="T76" s="20">
        <v>2</v>
      </c>
      <c r="U76" s="20"/>
      <c r="V76" s="20">
        <v>18</v>
      </c>
      <c r="W76" s="20">
        <v>15</v>
      </c>
      <c r="X76" s="20"/>
      <c r="Y76" s="20"/>
      <c r="Z76" s="20"/>
      <c r="AA76" s="20">
        <v>37</v>
      </c>
      <c r="AB76" s="18">
        <v>93</v>
      </c>
      <c r="AC76" s="18">
        <f t="shared" si="172"/>
        <v>121</v>
      </c>
      <c r="AD76" s="19">
        <f t="shared" si="173"/>
        <v>1.3010752688172043</v>
      </c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7"/>
      <c r="BD76" s="27">
        <f t="shared" si="174"/>
        <v>0</v>
      </c>
      <c r="BE76" s="19">
        <v>0</v>
      </c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>
        <v>0</v>
      </c>
      <c r="BT76" s="20">
        <v>0</v>
      </c>
      <c r="BU76" s="20">
        <v>0</v>
      </c>
      <c r="BV76" s="20">
        <v>0</v>
      </c>
      <c r="BW76" s="20">
        <v>0</v>
      </c>
      <c r="BX76" s="20">
        <v>0</v>
      </c>
      <c r="BY76" s="20">
        <v>0</v>
      </c>
      <c r="BZ76" s="20">
        <v>0</v>
      </c>
      <c r="CA76" s="20">
        <v>0</v>
      </c>
      <c r="CB76" s="20">
        <v>0</v>
      </c>
      <c r="CC76" s="20">
        <v>0</v>
      </c>
      <c r="CD76" s="20"/>
      <c r="CE76" s="20"/>
      <c r="CF76" s="19"/>
      <c r="CG76" s="20"/>
      <c r="CH76" s="20"/>
      <c r="CI76" s="20"/>
      <c r="CJ76" s="20">
        <v>40</v>
      </c>
      <c r="CK76" s="20">
        <v>339.99</v>
      </c>
      <c r="CL76" s="20">
        <v>838</v>
      </c>
      <c r="CM76" s="20">
        <v>587</v>
      </c>
      <c r="CN76" s="20">
        <v>15</v>
      </c>
      <c r="CO76" s="20">
        <v>100</v>
      </c>
      <c r="CP76" s="20">
        <v>200</v>
      </c>
      <c r="CQ76" s="20"/>
      <c r="CR76" s="20"/>
      <c r="CS76" s="20">
        <v>1446.6827063798351</v>
      </c>
      <c r="CT76" s="20">
        <v>696.10883141798956</v>
      </c>
      <c r="CU76" s="20">
        <v>714.74294570870313</v>
      </c>
      <c r="CV76" s="20">
        <v>612.27915120101886</v>
      </c>
      <c r="CW76" s="20">
        <v>1291.4253635096381</v>
      </c>
      <c r="CX76" s="20">
        <v>227.97826403942801</v>
      </c>
      <c r="CY76" s="20">
        <v>1032.1197771966831</v>
      </c>
      <c r="CZ76" s="20">
        <v>414.50593461714186</v>
      </c>
      <c r="DA76" s="20">
        <v>518.13241827142735</v>
      </c>
      <c r="DB76" s="20">
        <v>0</v>
      </c>
      <c r="DC76" s="20">
        <v>365.80148729962769</v>
      </c>
      <c r="DD76" s="20">
        <v>0</v>
      </c>
      <c r="DE76" s="14">
        <v>7012.2288967838049</v>
      </c>
      <c r="DF76" s="14">
        <v>7503.616</v>
      </c>
      <c r="DG76" s="19">
        <f t="shared" si="177"/>
        <v>1.0700757363242339</v>
      </c>
      <c r="DH76" s="20"/>
      <c r="DI76" s="20">
        <v>96</v>
      </c>
      <c r="DJ76" s="20">
        <v>235</v>
      </c>
      <c r="DK76" s="20">
        <v>446.5</v>
      </c>
      <c r="DL76" s="20">
        <v>469</v>
      </c>
      <c r="DM76" s="20">
        <v>222</v>
      </c>
      <c r="DN76" s="20">
        <v>184.5</v>
      </c>
      <c r="DO76" s="20">
        <v>235</v>
      </c>
      <c r="DP76" s="20">
        <v>136.4</v>
      </c>
      <c r="DQ76" s="20">
        <v>904.48900299999991</v>
      </c>
      <c r="DR76" s="20">
        <v>806.79999999999984</v>
      </c>
      <c r="DS76" s="20">
        <v>248.9</v>
      </c>
      <c r="DT76" s="20">
        <v>0</v>
      </c>
      <c r="DU76" s="20">
        <v>0</v>
      </c>
      <c r="DV76" s="20">
        <v>0</v>
      </c>
      <c r="DW76" s="20">
        <v>0</v>
      </c>
      <c r="DX76" s="20">
        <v>0</v>
      </c>
      <c r="DY76" s="20">
        <v>0</v>
      </c>
      <c r="DZ76" s="20">
        <v>0</v>
      </c>
      <c r="EA76" s="20">
        <v>0</v>
      </c>
      <c r="EB76" s="20">
        <v>0</v>
      </c>
      <c r="EC76" s="20">
        <v>0</v>
      </c>
      <c r="ED76" s="20">
        <v>0</v>
      </c>
      <c r="EE76" s="20">
        <v>0</v>
      </c>
      <c r="EF76" s="14">
        <v>754.15493774516551</v>
      </c>
      <c r="EG76" s="14">
        <f t="shared" si="236"/>
        <v>0</v>
      </c>
      <c r="EH76" s="19">
        <f t="shared" si="178"/>
        <v>0</v>
      </c>
      <c r="EI76" s="19"/>
      <c r="EJ76" s="19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>
        <v>77</v>
      </c>
      <c r="EY76" s="20">
        <v>82</v>
      </c>
      <c r="EZ76" s="20">
        <v>53</v>
      </c>
      <c r="FA76" s="20">
        <v>50</v>
      </c>
      <c r="FB76" s="20">
        <v>54</v>
      </c>
      <c r="FC76" s="20">
        <v>85</v>
      </c>
      <c r="FD76" s="20">
        <v>140</v>
      </c>
      <c r="FE76" s="20">
        <v>95</v>
      </c>
      <c r="FF76" s="20">
        <v>27</v>
      </c>
      <c r="FG76" s="20">
        <v>135</v>
      </c>
      <c r="FH76" s="20">
        <v>112.82569889696072</v>
      </c>
      <c r="FI76" s="14">
        <v>2736.8421052631602</v>
      </c>
      <c r="FJ76" s="14">
        <v>910.82569889696072</v>
      </c>
      <c r="FK76" s="19">
        <f t="shared" si="237"/>
        <v>0.33280169767388923</v>
      </c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19"/>
    </row>
    <row r="77" spans="1:194" s="11" customFormat="1" ht="24.95" customHeight="1">
      <c r="A77" s="15">
        <f>+A76+1</f>
        <v>4</v>
      </c>
      <c r="B77" s="16" t="s">
        <v>65</v>
      </c>
      <c r="C77" s="17">
        <v>10729</v>
      </c>
      <c r="D77" s="17"/>
      <c r="E77" s="17"/>
      <c r="F77" s="17"/>
      <c r="G77" s="20">
        <v>56</v>
      </c>
      <c r="H77" s="20">
        <v>18</v>
      </c>
      <c r="I77" s="20">
        <v>25</v>
      </c>
      <c r="J77" s="20">
        <v>28</v>
      </c>
      <c r="K77" s="20">
        <v>46</v>
      </c>
      <c r="L77" s="20">
        <v>67</v>
      </c>
      <c r="M77" s="20">
        <v>67</v>
      </c>
      <c r="N77" s="20">
        <v>88</v>
      </c>
      <c r="O77" s="20">
        <v>221</v>
      </c>
      <c r="P77" s="20">
        <v>15</v>
      </c>
      <c r="Q77" s="20">
        <v>2</v>
      </c>
      <c r="R77" s="20">
        <v>3</v>
      </c>
      <c r="S77" s="20"/>
      <c r="T77" s="20">
        <v>6</v>
      </c>
      <c r="U77" s="20"/>
      <c r="V77" s="20">
        <v>2</v>
      </c>
      <c r="W77" s="20">
        <v>9</v>
      </c>
      <c r="X77" s="20"/>
      <c r="Y77" s="20">
        <v>12</v>
      </c>
      <c r="Z77" s="20">
        <v>36</v>
      </c>
      <c r="AA77" s="20">
        <v>45</v>
      </c>
      <c r="AB77" s="18">
        <v>51</v>
      </c>
      <c r="AC77" s="18">
        <f t="shared" si="172"/>
        <v>130</v>
      </c>
      <c r="AD77" s="19">
        <f t="shared" si="173"/>
        <v>2.5490196078431371</v>
      </c>
      <c r="AE77" s="20"/>
      <c r="AF77" s="20"/>
      <c r="AG77" s="20"/>
      <c r="AH77" s="20"/>
      <c r="AI77" s="20"/>
      <c r="AJ77" s="20"/>
      <c r="AK77" s="20">
        <v>132</v>
      </c>
      <c r="AL77" s="20">
        <v>257</v>
      </c>
      <c r="AM77" s="20">
        <v>11</v>
      </c>
      <c r="AN77" s="20">
        <v>7</v>
      </c>
      <c r="AO77" s="20"/>
      <c r="AP77" s="20">
        <v>1</v>
      </c>
      <c r="AQ77" s="20">
        <v>66</v>
      </c>
      <c r="AR77" s="20">
        <v>125</v>
      </c>
      <c r="AS77" s="20">
        <v>136</v>
      </c>
      <c r="AT77" s="20">
        <v>122</v>
      </c>
      <c r="AU77" s="20">
        <v>108</v>
      </c>
      <c r="AV77" s="20">
        <v>123</v>
      </c>
      <c r="AW77" s="20">
        <v>18</v>
      </c>
      <c r="AX77" s="20">
        <v>73</v>
      </c>
      <c r="AY77" s="20">
        <v>77</v>
      </c>
      <c r="AZ77" s="20">
        <v>44</v>
      </c>
      <c r="BA77" s="20">
        <v>66</v>
      </c>
      <c r="BB77" s="20">
        <v>8</v>
      </c>
      <c r="BC77" s="27">
        <v>526</v>
      </c>
      <c r="BD77" s="27">
        <f t="shared" si="174"/>
        <v>966</v>
      </c>
      <c r="BE77" s="19">
        <f t="shared" si="175"/>
        <v>1.8365019011406845</v>
      </c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>
        <v>0</v>
      </c>
      <c r="BT77" s="20">
        <v>0</v>
      </c>
      <c r="BU77" s="20">
        <v>0</v>
      </c>
      <c r="BV77" s="20">
        <v>0</v>
      </c>
      <c r="BW77" s="20">
        <v>0</v>
      </c>
      <c r="BX77" s="20">
        <v>0</v>
      </c>
      <c r="BY77" s="20">
        <v>0</v>
      </c>
      <c r="BZ77" s="20">
        <v>0</v>
      </c>
      <c r="CA77" s="20">
        <v>0</v>
      </c>
      <c r="CB77" s="20">
        <v>0</v>
      </c>
      <c r="CC77" s="20">
        <v>0</v>
      </c>
      <c r="CD77" s="20"/>
      <c r="CE77" s="20"/>
      <c r="CF77" s="19"/>
      <c r="CG77" s="20"/>
      <c r="CH77" s="20"/>
      <c r="CI77" s="20">
        <v>170</v>
      </c>
      <c r="CJ77" s="20">
        <v>70</v>
      </c>
      <c r="CK77" s="20">
        <v>70</v>
      </c>
      <c r="CL77" s="20">
        <v>270</v>
      </c>
      <c r="CM77" s="20"/>
      <c r="CN77" s="20">
        <v>259.88920000000002</v>
      </c>
      <c r="CO77" s="20"/>
      <c r="CP77" s="20">
        <v>30</v>
      </c>
      <c r="CQ77" s="20">
        <v>150</v>
      </c>
      <c r="CR77" s="20"/>
      <c r="CS77" s="20">
        <v>513.78010595794728</v>
      </c>
      <c r="CT77" s="20">
        <v>1528.335815934131</v>
      </c>
      <c r="CU77" s="20">
        <v>654.68103578267926</v>
      </c>
      <c r="CV77" s="20">
        <v>207.25296730857093</v>
      </c>
      <c r="CW77" s="20">
        <v>396.2365855488913</v>
      </c>
      <c r="CX77" s="20">
        <v>99.864842297634908</v>
      </c>
      <c r="CY77" s="20">
        <v>51.813241827142733</v>
      </c>
      <c r="CZ77" s="20">
        <v>0</v>
      </c>
      <c r="DA77" s="20">
        <v>202.07164312585664</v>
      </c>
      <c r="DB77" s="20">
        <v>0</v>
      </c>
      <c r="DC77" s="20">
        <v>0</v>
      </c>
      <c r="DD77" s="20">
        <v>103.62648365428547</v>
      </c>
      <c r="DE77" s="14">
        <v>983.31021582336155</v>
      </c>
      <c r="DF77" s="14">
        <v>1030.5306660000001</v>
      </c>
      <c r="DG77" s="19">
        <f t="shared" si="177"/>
        <v>1.0480219257532062</v>
      </c>
      <c r="DH77" s="20"/>
      <c r="DI77" s="20"/>
      <c r="DJ77" s="20">
        <v>30</v>
      </c>
      <c r="DK77" s="20">
        <v>80.599999999999994</v>
      </c>
      <c r="DL77" s="20">
        <v>30</v>
      </c>
      <c r="DM77" s="20">
        <v>2.5</v>
      </c>
      <c r="DN77" s="20">
        <v>15</v>
      </c>
      <c r="DO77" s="20">
        <v>51</v>
      </c>
      <c r="DP77" s="20">
        <v>72.900000000000006</v>
      </c>
      <c r="DQ77" s="20">
        <v>113.374658</v>
      </c>
      <c r="DR77" s="20">
        <v>206.5</v>
      </c>
      <c r="DS77" s="20">
        <v>68</v>
      </c>
      <c r="DT77" s="20">
        <v>751.4030206652908</v>
      </c>
      <c r="DU77" s="20">
        <v>661.00867231457914</v>
      </c>
      <c r="DV77" s="20">
        <v>422.49085768917854</v>
      </c>
      <c r="DW77" s="20">
        <v>2857.3858955360756</v>
      </c>
      <c r="DX77" s="20">
        <v>2581.7858539168033</v>
      </c>
      <c r="DY77" s="20">
        <v>3941.9126340438193</v>
      </c>
      <c r="DZ77" s="20">
        <v>2587.9491049407156</v>
      </c>
      <c r="EA77" s="20">
        <v>788.38252680876383</v>
      </c>
      <c r="EB77" s="20">
        <v>360.24202234766648</v>
      </c>
      <c r="EC77" s="20">
        <v>0</v>
      </c>
      <c r="ED77" s="20">
        <v>50.846820947275319</v>
      </c>
      <c r="EE77" s="20">
        <v>0</v>
      </c>
      <c r="EF77" s="14">
        <v>2512.8991047085806</v>
      </c>
      <c r="EG77" s="14">
        <f t="shared" si="236"/>
        <v>15003.407409210167</v>
      </c>
      <c r="EH77" s="19">
        <f t="shared" si="178"/>
        <v>5.9705570275771596</v>
      </c>
      <c r="EI77" s="19"/>
      <c r="EJ77" s="19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>
        <v>125</v>
      </c>
      <c r="EX77" s="20">
        <v>265</v>
      </c>
      <c r="EY77" s="20">
        <v>627</v>
      </c>
      <c r="EZ77" s="20">
        <v>135</v>
      </c>
      <c r="FA77" s="20">
        <v>2547</v>
      </c>
      <c r="FB77" s="20">
        <v>2589</v>
      </c>
      <c r="FC77" s="20">
        <v>2357</v>
      </c>
      <c r="FD77" s="20">
        <v>1156</v>
      </c>
      <c r="FE77" s="20">
        <v>1255</v>
      </c>
      <c r="FF77" s="20">
        <v>890</v>
      </c>
      <c r="FG77" s="20">
        <v>600</v>
      </c>
      <c r="FH77" s="20">
        <v>527.76225974849331</v>
      </c>
      <c r="FI77" s="14">
        <v>5199.9999999999663</v>
      </c>
      <c r="FJ77" s="14">
        <v>13073.762259748493</v>
      </c>
      <c r="FK77" s="19">
        <f t="shared" si="237"/>
        <v>2.5141850499516498</v>
      </c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19"/>
    </row>
    <row r="78" spans="1:194" s="11" customFormat="1" ht="24.95" customHeight="1">
      <c r="A78" s="15">
        <f>+A77+1</f>
        <v>5</v>
      </c>
      <c r="B78" s="16" t="s">
        <v>44</v>
      </c>
      <c r="C78" s="17">
        <v>12029</v>
      </c>
      <c r="D78" s="17"/>
      <c r="E78" s="17"/>
      <c r="F78" s="17"/>
      <c r="G78" s="20">
        <v>55</v>
      </c>
      <c r="H78" s="20"/>
      <c r="I78" s="20">
        <v>49</v>
      </c>
      <c r="J78" s="20">
        <v>148</v>
      </c>
      <c r="K78" s="20">
        <v>50</v>
      </c>
      <c r="L78" s="20">
        <v>64</v>
      </c>
      <c r="M78" s="20">
        <v>56</v>
      </c>
      <c r="N78" s="20">
        <v>34</v>
      </c>
      <c r="O78" s="20">
        <v>21</v>
      </c>
      <c r="P78" s="20">
        <v>13</v>
      </c>
      <c r="Q78" s="20">
        <v>11</v>
      </c>
      <c r="R78" s="20">
        <v>97</v>
      </c>
      <c r="S78" s="20">
        <v>11</v>
      </c>
      <c r="T78" s="20">
        <v>10</v>
      </c>
      <c r="U78" s="20">
        <v>12</v>
      </c>
      <c r="V78" s="20">
        <v>15</v>
      </c>
      <c r="W78" s="20">
        <v>20</v>
      </c>
      <c r="X78" s="20">
        <v>3</v>
      </c>
      <c r="Y78" s="20">
        <v>5</v>
      </c>
      <c r="Z78" s="20">
        <v>20</v>
      </c>
      <c r="AA78" s="20">
        <v>33</v>
      </c>
      <c r="AB78" s="18">
        <v>322</v>
      </c>
      <c r="AC78" s="18">
        <f t="shared" si="172"/>
        <v>250</v>
      </c>
      <c r="AD78" s="19">
        <f t="shared" si="173"/>
        <v>0.77639751552795033</v>
      </c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7"/>
      <c r="BD78" s="27">
        <f t="shared" si="174"/>
        <v>0</v>
      </c>
      <c r="BE78" s="19">
        <v>0</v>
      </c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>
        <v>382</v>
      </c>
      <c r="BS78" s="20">
        <v>233</v>
      </c>
      <c r="BT78" s="20">
        <v>67</v>
      </c>
      <c r="BU78" s="20">
        <v>140</v>
      </c>
      <c r="BV78" s="20">
        <v>57</v>
      </c>
      <c r="BW78" s="20">
        <v>84</v>
      </c>
      <c r="BX78" s="20">
        <v>86</v>
      </c>
      <c r="BY78" s="20">
        <v>59</v>
      </c>
      <c r="BZ78" s="20">
        <v>53</v>
      </c>
      <c r="CA78" s="20">
        <v>87</v>
      </c>
      <c r="CB78" s="20">
        <v>240</v>
      </c>
      <c r="CC78" s="20">
        <v>198</v>
      </c>
      <c r="CD78" s="20">
        <v>1800</v>
      </c>
      <c r="CE78" s="20">
        <f>+SUM(BR78:CC78)</f>
        <v>1686</v>
      </c>
      <c r="CF78" s="19">
        <f t="shared" si="179"/>
        <v>0.93666666666666665</v>
      </c>
      <c r="CG78" s="20"/>
      <c r="CH78" s="20"/>
      <c r="CI78" s="20">
        <v>99.88</v>
      </c>
      <c r="CJ78" s="20"/>
      <c r="CK78" s="20">
        <v>100</v>
      </c>
      <c r="CL78" s="20">
        <v>100</v>
      </c>
      <c r="CM78" s="20"/>
      <c r="CN78" s="20"/>
      <c r="CO78" s="20"/>
      <c r="CP78" s="20">
        <v>100</v>
      </c>
      <c r="CQ78" s="20">
        <v>330</v>
      </c>
      <c r="CR78" s="20"/>
      <c r="CS78" s="20">
        <v>193.43610213048962</v>
      </c>
      <c r="CT78" s="20">
        <v>0</v>
      </c>
      <c r="CU78" s="20">
        <v>0</v>
      </c>
      <c r="CV78" s="20">
        <v>0</v>
      </c>
      <c r="CW78" s="20">
        <v>103.62648365428547</v>
      </c>
      <c r="CX78" s="20">
        <v>103.62648365428547</v>
      </c>
      <c r="CY78" s="20">
        <v>103.62648365428547</v>
      </c>
      <c r="CZ78" s="20">
        <v>207.25296730857093</v>
      </c>
      <c r="DA78" s="20">
        <v>0</v>
      </c>
      <c r="DB78" s="20">
        <v>100.44722313577199</v>
      </c>
      <c r="DC78" s="20">
        <v>100.44722313577199</v>
      </c>
      <c r="DD78" s="20">
        <v>124.35178038514255</v>
      </c>
      <c r="DE78" s="14">
        <v>3509.0345381712195</v>
      </c>
      <c r="DF78" s="14">
        <v>3526.1606000000002</v>
      </c>
      <c r="DG78" s="19">
        <f t="shared" si="177"/>
        <v>1.0048805623434263</v>
      </c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>
        <v>0</v>
      </c>
      <c r="DU78" s="20">
        <v>0</v>
      </c>
      <c r="DV78" s="20">
        <v>0</v>
      </c>
      <c r="DW78" s="20">
        <v>0</v>
      </c>
      <c r="DX78" s="20">
        <v>0</v>
      </c>
      <c r="DY78" s="20">
        <v>0</v>
      </c>
      <c r="DZ78" s="20">
        <v>0</v>
      </c>
      <c r="EA78" s="20">
        <v>0</v>
      </c>
      <c r="EB78" s="20">
        <v>0</v>
      </c>
      <c r="EC78" s="20">
        <v>0</v>
      </c>
      <c r="ED78" s="20">
        <v>0</v>
      </c>
      <c r="EE78" s="20">
        <v>0</v>
      </c>
      <c r="EF78" s="14">
        <v>546.1875</v>
      </c>
      <c r="EG78" s="14">
        <f t="shared" si="236"/>
        <v>0</v>
      </c>
      <c r="EH78" s="19">
        <f t="shared" si="178"/>
        <v>0</v>
      </c>
      <c r="EI78" s="19"/>
      <c r="EJ78" s="19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>
        <v>131</v>
      </c>
      <c r="EY78" s="20">
        <v>175</v>
      </c>
      <c r="EZ78" s="20">
        <v>248</v>
      </c>
      <c r="FA78" s="20">
        <v>456</v>
      </c>
      <c r="FB78" s="20">
        <v>317</v>
      </c>
      <c r="FC78" s="20">
        <v>515</v>
      </c>
      <c r="FD78" s="20">
        <v>556</v>
      </c>
      <c r="FE78" s="20">
        <v>730</v>
      </c>
      <c r="FF78" s="20">
        <v>800.03</v>
      </c>
      <c r="FG78" s="20">
        <v>50</v>
      </c>
      <c r="FH78" s="20">
        <v>331.92022363315095</v>
      </c>
      <c r="FI78" s="14">
        <v>5495.4735317318455</v>
      </c>
      <c r="FJ78" s="14">
        <v>4309.9502236331509</v>
      </c>
      <c r="FK78" s="19">
        <f t="shared" si="237"/>
        <v>0.78427276534892376</v>
      </c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19"/>
    </row>
    <row r="79" spans="1:194" s="11" customFormat="1" ht="32.25" customHeight="1">
      <c r="A79" s="6"/>
      <c r="B79" s="7" t="s">
        <v>38</v>
      </c>
      <c r="C79" s="8"/>
      <c r="D79" s="8"/>
      <c r="E79" s="8"/>
      <c r="F79" s="8"/>
      <c r="G79" s="9">
        <f>+SUM(G80:G82)</f>
        <v>63</v>
      </c>
      <c r="H79" s="9">
        <f t="shared" ref="H79:O79" si="238">+SUM(H80:H82)</f>
        <v>82</v>
      </c>
      <c r="I79" s="9">
        <f t="shared" si="238"/>
        <v>67</v>
      </c>
      <c r="J79" s="9">
        <f t="shared" si="238"/>
        <v>101</v>
      </c>
      <c r="K79" s="9">
        <f t="shared" si="238"/>
        <v>238</v>
      </c>
      <c r="L79" s="9">
        <f t="shared" si="238"/>
        <v>218</v>
      </c>
      <c r="M79" s="9">
        <f t="shared" si="238"/>
        <v>217</v>
      </c>
      <c r="N79" s="9">
        <f t="shared" si="238"/>
        <v>224</v>
      </c>
      <c r="O79" s="9">
        <f t="shared" si="238"/>
        <v>218</v>
      </c>
      <c r="P79" s="9">
        <f t="shared" ref="P79" si="239">+SUM(P80:P82)</f>
        <v>115</v>
      </c>
      <c r="Q79" s="9">
        <f t="shared" ref="Q79" si="240">+SUM(Q80:Q82)</f>
        <v>168</v>
      </c>
      <c r="R79" s="9">
        <f t="shared" ref="R79" si="241">+SUM(R80:R82)</f>
        <v>613</v>
      </c>
      <c r="S79" s="9">
        <f t="shared" ref="S79" si="242">+SUM(S80:S82)</f>
        <v>261</v>
      </c>
      <c r="T79" s="9">
        <f t="shared" ref="T79" si="243">+SUM(T80:T82)</f>
        <v>280</v>
      </c>
      <c r="U79" s="9">
        <f t="shared" ref="U79" si="244">+SUM(U80:U82)</f>
        <v>275</v>
      </c>
      <c r="V79" s="9">
        <f t="shared" ref="V79" si="245">+SUM(V80:V82)</f>
        <v>211</v>
      </c>
      <c r="W79" s="9">
        <f t="shared" ref="W79" si="246">+SUM(W80:W82)</f>
        <v>223</v>
      </c>
      <c r="X79" s="9">
        <f t="shared" ref="X79" si="247">+SUM(X80:X82)</f>
        <v>245</v>
      </c>
      <c r="Y79" s="9">
        <f t="shared" ref="Y79" si="248">+SUM(Y80:Y82)</f>
        <v>43</v>
      </c>
      <c r="Z79" s="9">
        <f t="shared" ref="Z79" si="249">+SUM(Z80:Z82)</f>
        <v>40</v>
      </c>
      <c r="AA79" s="9">
        <f t="shared" ref="AA79" si="250">+SUM(AA80:AA82)</f>
        <v>40</v>
      </c>
      <c r="AB79" s="9">
        <f t="shared" ref="AB79" si="251">+SUM(AB80:AB82)</f>
        <v>1478</v>
      </c>
      <c r="AC79" s="9">
        <f t="shared" si="172"/>
        <v>2514</v>
      </c>
      <c r="AD79" s="10">
        <f t="shared" si="173"/>
        <v>1.7009472259810554</v>
      </c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>
        <v>0</v>
      </c>
      <c r="BC79" s="9">
        <v>0</v>
      </c>
      <c r="BD79" s="9">
        <f t="shared" si="174"/>
        <v>0</v>
      </c>
      <c r="BE79" s="10">
        <v>0</v>
      </c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>
        <f t="shared" ref="BR79:CD79" si="252">+SUM(BR80:BR82)</f>
        <v>144</v>
      </c>
      <c r="BS79" s="9">
        <f t="shared" si="252"/>
        <v>257</v>
      </c>
      <c r="BT79" s="9">
        <f t="shared" si="252"/>
        <v>311</v>
      </c>
      <c r="BU79" s="9">
        <f t="shared" si="252"/>
        <v>265</v>
      </c>
      <c r="BV79" s="9">
        <f t="shared" si="252"/>
        <v>80</v>
      </c>
      <c r="BW79" s="9">
        <f t="shared" si="252"/>
        <v>100</v>
      </c>
      <c r="BX79" s="9">
        <f t="shared" si="252"/>
        <v>129</v>
      </c>
      <c r="BY79" s="9">
        <f t="shared" si="252"/>
        <v>230</v>
      </c>
      <c r="BZ79" s="9">
        <f t="shared" si="252"/>
        <v>87</v>
      </c>
      <c r="CA79" s="9">
        <f t="shared" si="252"/>
        <v>87</v>
      </c>
      <c r="CB79" s="9">
        <f t="shared" si="252"/>
        <v>150</v>
      </c>
      <c r="CC79" s="9">
        <f t="shared" si="252"/>
        <v>140</v>
      </c>
      <c r="CD79" s="9">
        <f t="shared" si="252"/>
        <v>1377</v>
      </c>
      <c r="CE79" s="9">
        <f t="shared" ref="CE79" si="253">+SUM(CE80:CE82)</f>
        <v>1980</v>
      </c>
      <c r="CF79" s="10">
        <f t="shared" si="179"/>
        <v>1.4379084967320261</v>
      </c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>
        <v>0</v>
      </c>
      <c r="DE79" s="9">
        <v>0</v>
      </c>
      <c r="DF79" s="9">
        <v>0</v>
      </c>
      <c r="DG79" s="10">
        <v>0</v>
      </c>
      <c r="DH79" s="9">
        <v>0</v>
      </c>
      <c r="DI79" s="9">
        <v>0</v>
      </c>
      <c r="DJ79" s="9">
        <v>40</v>
      </c>
      <c r="DK79" s="9">
        <v>5</v>
      </c>
      <c r="DL79" s="9">
        <v>0</v>
      </c>
      <c r="DM79" s="9">
        <v>25</v>
      </c>
      <c r="DN79" s="9">
        <v>45</v>
      </c>
      <c r="DO79" s="9">
        <v>20</v>
      </c>
      <c r="DP79" s="9">
        <v>0</v>
      </c>
      <c r="DQ79" s="9">
        <v>0</v>
      </c>
      <c r="DR79" s="9">
        <v>0</v>
      </c>
      <c r="DS79" s="9">
        <v>0</v>
      </c>
      <c r="DT79" s="9">
        <f t="shared" ref="DT79:EG79" si="254">+SUM(DT80:DT82)</f>
        <v>0</v>
      </c>
      <c r="DU79" s="9">
        <f t="shared" si="254"/>
        <v>82.176680318828801</v>
      </c>
      <c r="DV79" s="9">
        <f t="shared" si="254"/>
        <v>699.01538696203761</v>
      </c>
      <c r="DW79" s="9">
        <f t="shared" si="254"/>
        <v>1114.2120370644161</v>
      </c>
      <c r="DX79" s="9">
        <f t="shared" si="254"/>
        <v>1187.7755740773273</v>
      </c>
      <c r="DY79" s="9">
        <f t="shared" si="254"/>
        <v>912.87917028328559</v>
      </c>
      <c r="DZ79" s="9">
        <f t="shared" si="254"/>
        <v>846.41980728393673</v>
      </c>
      <c r="EA79" s="9">
        <f t="shared" si="254"/>
        <v>79.095054806872724</v>
      </c>
      <c r="EB79" s="9">
        <f t="shared" si="254"/>
        <v>99.980258109902934</v>
      </c>
      <c r="EC79" s="9">
        <f t="shared" si="254"/>
        <v>0</v>
      </c>
      <c r="ED79" s="9">
        <f t="shared" si="254"/>
        <v>0</v>
      </c>
      <c r="EE79" s="9">
        <f t="shared" si="254"/>
        <v>0</v>
      </c>
      <c r="EF79" s="9">
        <f t="shared" si="254"/>
        <v>2293.8136963274783</v>
      </c>
      <c r="EG79" s="9">
        <f t="shared" si="254"/>
        <v>5021.5539689066081</v>
      </c>
      <c r="EH79" s="10">
        <f t="shared" si="178"/>
        <v>2.1891725456807549</v>
      </c>
      <c r="EI79" s="10"/>
      <c r="EJ79" s="10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>
        <v>0</v>
      </c>
      <c r="FI79" s="9">
        <v>0</v>
      </c>
      <c r="FJ79" s="9">
        <v>0</v>
      </c>
      <c r="FK79" s="10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>
        <v>0</v>
      </c>
      <c r="GJ79" s="9">
        <v>0</v>
      </c>
      <c r="GK79" s="9">
        <v>0</v>
      </c>
      <c r="GL79" s="10"/>
    </row>
    <row r="80" spans="1:194" s="11" customFormat="1" ht="24.95" customHeight="1">
      <c r="A80" s="15">
        <f>+A79+1</f>
        <v>1</v>
      </c>
      <c r="B80" s="16" t="s">
        <v>95</v>
      </c>
      <c r="C80" s="17">
        <v>12097</v>
      </c>
      <c r="D80" s="17"/>
      <c r="E80" s="17"/>
      <c r="F80" s="17"/>
      <c r="G80" s="20">
        <v>10</v>
      </c>
      <c r="H80" s="20">
        <v>11</v>
      </c>
      <c r="I80" s="20">
        <v>11</v>
      </c>
      <c r="J80" s="20">
        <v>10</v>
      </c>
      <c r="K80" s="20">
        <v>64</v>
      </c>
      <c r="L80" s="20">
        <v>66</v>
      </c>
      <c r="M80" s="20">
        <v>68</v>
      </c>
      <c r="N80" s="20">
        <v>70</v>
      </c>
      <c r="O80" s="20">
        <v>67</v>
      </c>
      <c r="P80" s="20">
        <v>12</v>
      </c>
      <c r="Q80" s="20">
        <v>102</v>
      </c>
      <c r="R80" s="20">
        <v>204</v>
      </c>
      <c r="S80" s="20">
        <v>125</v>
      </c>
      <c r="T80" s="20">
        <v>132</v>
      </c>
      <c r="U80" s="20">
        <v>165</v>
      </c>
      <c r="V80" s="20">
        <v>108</v>
      </c>
      <c r="W80" s="20">
        <v>126</v>
      </c>
      <c r="X80" s="20">
        <v>74</v>
      </c>
      <c r="Y80" s="20">
        <v>12</v>
      </c>
      <c r="Z80" s="20">
        <v>30</v>
      </c>
      <c r="AA80" s="20">
        <v>30</v>
      </c>
      <c r="AB80" s="18">
        <v>428</v>
      </c>
      <c r="AC80" s="18">
        <f t="shared" si="172"/>
        <v>1120</v>
      </c>
      <c r="AD80" s="19">
        <f t="shared" si="173"/>
        <v>2.6168224299065419</v>
      </c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7"/>
      <c r="BD80" s="27">
        <f t="shared" si="174"/>
        <v>0</v>
      </c>
      <c r="BE80" s="19">
        <v>0</v>
      </c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>
        <v>40</v>
      </c>
      <c r="BS80" s="20">
        <v>35</v>
      </c>
      <c r="BT80" s="20">
        <v>95</v>
      </c>
      <c r="BU80" s="20">
        <v>59</v>
      </c>
      <c r="BV80" s="20">
        <v>37</v>
      </c>
      <c r="BW80" s="20">
        <v>35</v>
      </c>
      <c r="BX80" s="20">
        <v>80</v>
      </c>
      <c r="BY80" s="20">
        <v>165</v>
      </c>
      <c r="BZ80" s="20">
        <v>77</v>
      </c>
      <c r="CA80" s="20">
        <v>73</v>
      </c>
      <c r="CB80" s="20">
        <v>92</v>
      </c>
      <c r="CC80" s="20">
        <v>71</v>
      </c>
      <c r="CD80" s="20">
        <v>567</v>
      </c>
      <c r="CE80" s="22">
        <f t="shared" ref="CE80:CE82" si="255">+SUM(BR80:CC80)</f>
        <v>859</v>
      </c>
      <c r="CF80" s="19">
        <f t="shared" si="179"/>
        <v>1.5149911816578483</v>
      </c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>
        <v>0</v>
      </c>
      <c r="CT80" s="20">
        <v>0</v>
      </c>
      <c r="CU80" s="20">
        <v>0</v>
      </c>
      <c r="CV80" s="20">
        <v>0</v>
      </c>
      <c r="CW80" s="20">
        <v>0</v>
      </c>
      <c r="CX80" s="20">
        <v>0</v>
      </c>
      <c r="CY80" s="20">
        <v>0</v>
      </c>
      <c r="CZ80" s="20">
        <v>0</v>
      </c>
      <c r="DA80" s="20">
        <v>0</v>
      </c>
      <c r="DB80" s="20">
        <v>0</v>
      </c>
      <c r="DC80" s="20">
        <v>0</v>
      </c>
      <c r="DD80" s="20">
        <v>0</v>
      </c>
      <c r="DE80" s="14"/>
      <c r="DF80" s="14">
        <v>0</v>
      </c>
      <c r="DG80" s="19">
        <v>0</v>
      </c>
      <c r="DH80" s="20"/>
      <c r="DI80" s="20"/>
      <c r="DJ80" s="20">
        <v>40</v>
      </c>
      <c r="DK80" s="20">
        <v>5</v>
      </c>
      <c r="DL80" s="20"/>
      <c r="DM80" s="20">
        <v>25</v>
      </c>
      <c r="DN80" s="20">
        <v>45</v>
      </c>
      <c r="DO80" s="20">
        <v>20</v>
      </c>
      <c r="DP80" s="20"/>
      <c r="DQ80" s="20"/>
      <c r="DR80" s="20"/>
      <c r="DS80" s="20"/>
      <c r="DT80" s="20">
        <v>0</v>
      </c>
      <c r="DU80" s="20">
        <v>0</v>
      </c>
      <c r="DV80" s="20">
        <v>171.54382016555513</v>
      </c>
      <c r="DW80" s="20">
        <v>202.36007528511593</v>
      </c>
      <c r="DX80" s="20">
        <v>59.578093231150881</v>
      </c>
      <c r="DY80" s="20">
        <v>421.15548663399761</v>
      </c>
      <c r="DZ80" s="20">
        <v>143.80919055795039</v>
      </c>
      <c r="EA80" s="20">
        <v>0</v>
      </c>
      <c r="EB80" s="20">
        <v>0</v>
      </c>
      <c r="EC80" s="20">
        <v>0</v>
      </c>
      <c r="ED80" s="20">
        <v>0</v>
      </c>
      <c r="EE80" s="20">
        <v>0</v>
      </c>
      <c r="EF80" s="14">
        <v>865.95110416011221</v>
      </c>
      <c r="EG80" s="14">
        <f t="shared" si="236"/>
        <v>998.44666587376992</v>
      </c>
      <c r="EH80" s="19">
        <f t="shared" si="178"/>
        <v>1.1530058233971137</v>
      </c>
      <c r="EI80" s="19"/>
      <c r="EJ80" s="19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>
        <v>0</v>
      </c>
      <c r="FI80" s="14"/>
      <c r="FJ80" s="14"/>
      <c r="FK80" s="19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19"/>
    </row>
    <row r="81" spans="1:194" s="11" customFormat="1" ht="24.95" customHeight="1">
      <c r="A81" s="15">
        <f>+A80+1</f>
        <v>2</v>
      </c>
      <c r="B81" s="16" t="s">
        <v>96</v>
      </c>
      <c r="C81" s="17">
        <v>12091</v>
      </c>
      <c r="D81" s="17"/>
      <c r="E81" s="17"/>
      <c r="F81" s="17"/>
      <c r="G81" s="20">
        <v>32</v>
      </c>
      <c r="H81" s="20">
        <v>52</v>
      </c>
      <c r="I81" s="20">
        <v>45</v>
      </c>
      <c r="J81" s="20">
        <v>84</v>
      </c>
      <c r="K81" s="20">
        <v>93</v>
      </c>
      <c r="L81" s="20">
        <v>83</v>
      </c>
      <c r="M81" s="20">
        <v>82</v>
      </c>
      <c r="N81" s="20">
        <v>80</v>
      </c>
      <c r="O81" s="20">
        <v>76</v>
      </c>
      <c r="P81" s="20">
        <v>79</v>
      </c>
      <c r="Q81" s="20">
        <v>30</v>
      </c>
      <c r="R81" s="20">
        <v>313</v>
      </c>
      <c r="S81" s="20">
        <v>93</v>
      </c>
      <c r="T81" s="20">
        <v>98</v>
      </c>
      <c r="U81" s="20">
        <v>76</v>
      </c>
      <c r="V81" s="20">
        <v>70</v>
      </c>
      <c r="W81" s="20">
        <v>58</v>
      </c>
      <c r="X81" s="20">
        <v>132</v>
      </c>
      <c r="Y81" s="20">
        <v>18</v>
      </c>
      <c r="Z81" s="20">
        <v>10</v>
      </c>
      <c r="AA81" s="20">
        <v>10</v>
      </c>
      <c r="AB81" s="18">
        <v>553</v>
      </c>
      <c r="AC81" s="18">
        <f t="shared" si="172"/>
        <v>987</v>
      </c>
      <c r="AD81" s="19">
        <f t="shared" si="173"/>
        <v>1.7848101265822784</v>
      </c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7"/>
      <c r="BD81" s="27">
        <f t="shared" si="174"/>
        <v>0</v>
      </c>
      <c r="BE81" s="19">
        <v>0</v>
      </c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>
        <v>66</v>
      </c>
      <c r="BS81" s="20">
        <v>174</v>
      </c>
      <c r="BT81" s="20">
        <v>185</v>
      </c>
      <c r="BU81" s="20">
        <v>186</v>
      </c>
      <c r="BV81" s="20">
        <v>31</v>
      </c>
      <c r="BW81" s="20">
        <v>39</v>
      </c>
      <c r="BX81" s="20">
        <v>28</v>
      </c>
      <c r="BY81" s="20">
        <v>41</v>
      </c>
      <c r="BZ81" s="20">
        <v>1</v>
      </c>
      <c r="CA81" s="20">
        <v>6</v>
      </c>
      <c r="CB81" s="20">
        <v>2</v>
      </c>
      <c r="CC81" s="20">
        <v>2</v>
      </c>
      <c r="CD81" s="20">
        <v>384</v>
      </c>
      <c r="CE81" s="22">
        <f t="shared" si="255"/>
        <v>761</v>
      </c>
      <c r="CF81" s="19">
        <f t="shared" si="179"/>
        <v>1.9817708333333333</v>
      </c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>
        <v>0</v>
      </c>
      <c r="CT81" s="20">
        <v>0</v>
      </c>
      <c r="CU81" s="20">
        <v>0</v>
      </c>
      <c r="CV81" s="20">
        <v>0</v>
      </c>
      <c r="CW81" s="20">
        <v>0</v>
      </c>
      <c r="CX81" s="20">
        <v>0</v>
      </c>
      <c r="CY81" s="20">
        <v>0</v>
      </c>
      <c r="CZ81" s="20">
        <v>0</v>
      </c>
      <c r="DA81" s="20">
        <v>0</v>
      </c>
      <c r="DB81" s="20">
        <v>0</v>
      </c>
      <c r="DC81" s="20">
        <v>0</v>
      </c>
      <c r="DD81" s="20">
        <v>0</v>
      </c>
      <c r="DE81" s="14"/>
      <c r="DF81" s="14">
        <v>0</v>
      </c>
      <c r="DG81" s="19">
        <v>0</v>
      </c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>
        <v>0</v>
      </c>
      <c r="DU81" s="20">
        <v>30.8162551195608</v>
      </c>
      <c r="DV81" s="20">
        <v>0</v>
      </c>
      <c r="DW81" s="20">
        <v>203.07809402940171</v>
      </c>
      <c r="DX81" s="20">
        <v>280.4279215880033</v>
      </c>
      <c r="DY81" s="20">
        <v>71.904595278975265</v>
      </c>
      <c r="DZ81" s="20">
        <v>102.720850398536</v>
      </c>
      <c r="EA81" s="20">
        <v>20.5441700797072</v>
      </c>
      <c r="EB81" s="20">
        <v>0</v>
      </c>
      <c r="EC81" s="20">
        <v>0</v>
      </c>
      <c r="ED81" s="20">
        <v>0</v>
      </c>
      <c r="EE81" s="20">
        <v>0</v>
      </c>
      <c r="EF81" s="14">
        <v>775.70917063552486</v>
      </c>
      <c r="EG81" s="14">
        <f t="shared" si="236"/>
        <v>709.49188649418431</v>
      </c>
      <c r="EH81" s="19">
        <f t="shared" si="178"/>
        <v>0.91463645571304786</v>
      </c>
      <c r="EI81" s="19"/>
      <c r="EJ81" s="19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>
        <v>0</v>
      </c>
      <c r="FI81" s="14"/>
      <c r="FJ81" s="14"/>
      <c r="FK81" s="19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19"/>
    </row>
    <row r="82" spans="1:194" s="11" customFormat="1" ht="24.95" customHeight="1">
      <c r="A82" s="15">
        <f>+A81+1</f>
        <v>3</v>
      </c>
      <c r="B82" s="16" t="s">
        <v>47</v>
      </c>
      <c r="C82" s="17">
        <v>12090</v>
      </c>
      <c r="D82" s="17"/>
      <c r="E82" s="17"/>
      <c r="F82" s="17"/>
      <c r="G82" s="20">
        <v>21</v>
      </c>
      <c r="H82" s="20">
        <v>19</v>
      </c>
      <c r="I82" s="20">
        <v>11</v>
      </c>
      <c r="J82" s="20">
        <v>7</v>
      </c>
      <c r="K82" s="20">
        <v>81</v>
      </c>
      <c r="L82" s="20">
        <v>69</v>
      </c>
      <c r="M82" s="20">
        <v>67</v>
      </c>
      <c r="N82" s="20">
        <v>74</v>
      </c>
      <c r="O82" s="20">
        <v>75</v>
      </c>
      <c r="P82" s="20">
        <v>24</v>
      </c>
      <c r="Q82" s="20">
        <v>36</v>
      </c>
      <c r="R82" s="20">
        <v>96</v>
      </c>
      <c r="S82" s="20">
        <v>43</v>
      </c>
      <c r="T82" s="20">
        <v>50</v>
      </c>
      <c r="U82" s="20">
        <v>34</v>
      </c>
      <c r="V82" s="20">
        <v>33</v>
      </c>
      <c r="W82" s="20">
        <v>39</v>
      </c>
      <c r="X82" s="20">
        <v>39</v>
      </c>
      <c r="Y82" s="20">
        <v>13</v>
      </c>
      <c r="Z82" s="20"/>
      <c r="AA82" s="20"/>
      <c r="AB82" s="18">
        <v>497</v>
      </c>
      <c r="AC82" s="18">
        <f t="shared" si="172"/>
        <v>407</v>
      </c>
      <c r="AD82" s="19">
        <f t="shared" si="173"/>
        <v>0.81891348088531191</v>
      </c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7"/>
      <c r="BD82" s="27">
        <f t="shared" si="174"/>
        <v>0</v>
      </c>
      <c r="BE82" s="19">
        <v>0</v>
      </c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>
        <v>38</v>
      </c>
      <c r="BS82" s="20">
        <v>48</v>
      </c>
      <c r="BT82" s="20">
        <v>31</v>
      </c>
      <c r="BU82" s="20">
        <v>20</v>
      </c>
      <c r="BV82" s="20">
        <v>12</v>
      </c>
      <c r="BW82" s="20">
        <v>26</v>
      </c>
      <c r="BX82" s="20">
        <v>21</v>
      </c>
      <c r="BY82" s="20">
        <v>24</v>
      </c>
      <c r="BZ82" s="20">
        <v>9</v>
      </c>
      <c r="CA82" s="20">
        <v>8</v>
      </c>
      <c r="CB82" s="20">
        <v>56</v>
      </c>
      <c r="CC82" s="20">
        <v>67</v>
      </c>
      <c r="CD82" s="20">
        <v>426</v>
      </c>
      <c r="CE82" s="22">
        <f t="shared" si="255"/>
        <v>360</v>
      </c>
      <c r="CF82" s="19">
        <f t="shared" si="179"/>
        <v>0.84507042253521125</v>
      </c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>
        <v>0</v>
      </c>
      <c r="CT82" s="20">
        <v>0</v>
      </c>
      <c r="CU82" s="20">
        <v>0</v>
      </c>
      <c r="CV82" s="20">
        <v>0</v>
      </c>
      <c r="CW82" s="20">
        <v>0</v>
      </c>
      <c r="CX82" s="20">
        <v>0</v>
      </c>
      <c r="CY82" s="20">
        <v>0</v>
      </c>
      <c r="CZ82" s="20">
        <v>0</v>
      </c>
      <c r="DA82" s="20">
        <v>0</v>
      </c>
      <c r="DB82" s="20">
        <v>0</v>
      </c>
      <c r="DC82" s="20">
        <v>0</v>
      </c>
      <c r="DD82" s="20">
        <v>0</v>
      </c>
      <c r="DE82" s="14"/>
      <c r="DF82" s="14">
        <v>0</v>
      </c>
      <c r="DG82" s="19">
        <v>0</v>
      </c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>
        <v>0</v>
      </c>
      <c r="DU82" s="20">
        <v>51.360425199268001</v>
      </c>
      <c r="DV82" s="20">
        <v>527.47156679648242</v>
      </c>
      <c r="DW82" s="20">
        <v>708.77386774989839</v>
      </c>
      <c r="DX82" s="20">
        <v>847.76955925817322</v>
      </c>
      <c r="DY82" s="20">
        <v>419.81908837031273</v>
      </c>
      <c r="DZ82" s="20">
        <v>599.88976632745027</v>
      </c>
      <c r="EA82" s="20">
        <v>58.550884727165524</v>
      </c>
      <c r="EB82" s="20">
        <v>99.980258109902934</v>
      </c>
      <c r="EC82" s="20">
        <v>0</v>
      </c>
      <c r="ED82" s="20">
        <v>0</v>
      </c>
      <c r="EE82" s="20">
        <v>0</v>
      </c>
      <c r="EF82" s="14">
        <v>652.1534215318411</v>
      </c>
      <c r="EG82" s="14">
        <f t="shared" si="236"/>
        <v>3313.6154165386533</v>
      </c>
      <c r="EH82" s="19">
        <f t="shared" si="178"/>
        <v>5.0810366198115045</v>
      </c>
      <c r="EI82" s="19"/>
      <c r="EJ82" s="19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>
        <v>0</v>
      </c>
      <c r="FI82" s="14"/>
      <c r="FJ82" s="14"/>
      <c r="FK82" s="19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19"/>
    </row>
    <row r="83" spans="1:194" s="11" customFormat="1" ht="32.25" customHeight="1">
      <c r="A83" s="6"/>
      <c r="B83" s="7" t="s">
        <v>10</v>
      </c>
      <c r="C83" s="8"/>
      <c r="D83" s="8"/>
      <c r="E83" s="8"/>
      <c r="F83" s="8"/>
      <c r="G83" s="9">
        <f>+SUM(G84:G89)</f>
        <v>466</v>
      </c>
      <c r="H83" s="9">
        <f t="shared" ref="H83:O83" si="256">+SUM(H84:H89)</f>
        <v>481</v>
      </c>
      <c r="I83" s="9">
        <f t="shared" si="256"/>
        <v>668</v>
      </c>
      <c r="J83" s="9">
        <f t="shared" si="256"/>
        <v>692</v>
      </c>
      <c r="K83" s="9">
        <f t="shared" si="256"/>
        <v>661</v>
      </c>
      <c r="L83" s="9">
        <f t="shared" si="256"/>
        <v>645</v>
      </c>
      <c r="M83" s="9">
        <f t="shared" si="256"/>
        <v>626</v>
      </c>
      <c r="N83" s="9">
        <f t="shared" si="256"/>
        <v>625</v>
      </c>
      <c r="O83" s="9">
        <f t="shared" si="256"/>
        <v>620</v>
      </c>
      <c r="P83" s="9">
        <f t="shared" ref="P83" si="257">+SUM(P84:P89)</f>
        <v>429</v>
      </c>
      <c r="Q83" s="9">
        <f t="shared" ref="Q83" si="258">+SUM(Q84:Q89)</f>
        <v>437</v>
      </c>
      <c r="R83" s="9">
        <f t="shared" ref="R83" si="259">+SUM(R84:R89)</f>
        <v>368</v>
      </c>
      <c r="S83" s="9">
        <f t="shared" ref="S83" si="260">+SUM(S84:S89)</f>
        <v>232</v>
      </c>
      <c r="T83" s="9">
        <f t="shared" ref="T83" si="261">+SUM(T84:T89)</f>
        <v>308</v>
      </c>
      <c r="U83" s="9">
        <f t="shared" ref="U83" si="262">+SUM(U84:U89)</f>
        <v>296</v>
      </c>
      <c r="V83" s="9">
        <f t="shared" ref="V83" si="263">+SUM(V84:V89)</f>
        <v>390</v>
      </c>
      <c r="W83" s="9">
        <f t="shared" ref="W83" si="264">+SUM(W84:W89)</f>
        <v>399</v>
      </c>
      <c r="X83" s="9">
        <f t="shared" ref="X83" si="265">+SUM(X84:X89)</f>
        <v>422</v>
      </c>
      <c r="Y83" s="9">
        <f t="shared" ref="Y83" si="266">+SUM(Y84:Y89)</f>
        <v>176</v>
      </c>
      <c r="Z83" s="9">
        <f t="shared" ref="Z83" si="267">+SUM(Z84:Z89)</f>
        <v>313</v>
      </c>
      <c r="AA83" s="9">
        <f t="shared" ref="AA83" si="268">+SUM(AA84:AA89)</f>
        <v>183</v>
      </c>
      <c r="AB83" s="9">
        <f t="shared" ref="AB83" si="269">+SUM(AB84:AB89)</f>
        <v>3618</v>
      </c>
      <c r="AC83" s="9">
        <f t="shared" si="172"/>
        <v>3953</v>
      </c>
      <c r="AD83" s="10">
        <f t="shared" si="173"/>
        <v>1.0925925925925926</v>
      </c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>
        <f>+SUM(AQ84:AQ89)</f>
        <v>56</v>
      </c>
      <c r="AR83" s="9">
        <f t="shared" ref="AR83:BB83" si="270">+SUM(AR84:AR89)</f>
        <v>170</v>
      </c>
      <c r="AS83" s="9">
        <f t="shared" si="270"/>
        <v>138</v>
      </c>
      <c r="AT83" s="9">
        <f t="shared" si="270"/>
        <v>134</v>
      </c>
      <c r="AU83" s="9">
        <f t="shared" si="270"/>
        <v>140</v>
      </c>
      <c r="AV83" s="9">
        <f t="shared" si="270"/>
        <v>146</v>
      </c>
      <c r="AW83" s="9">
        <f t="shared" si="270"/>
        <v>97</v>
      </c>
      <c r="AX83" s="9">
        <f t="shared" si="270"/>
        <v>62</v>
      </c>
      <c r="AY83" s="9">
        <f t="shared" si="270"/>
        <v>120</v>
      </c>
      <c r="AZ83" s="9">
        <f t="shared" si="270"/>
        <v>90</v>
      </c>
      <c r="BA83" s="9">
        <f t="shared" si="270"/>
        <v>73</v>
      </c>
      <c r="BB83" s="9">
        <f t="shared" si="270"/>
        <v>77</v>
      </c>
      <c r="BC83" s="9">
        <f>+SUM(BC84:BC88)</f>
        <v>1242</v>
      </c>
      <c r="BD83" s="9">
        <f t="shared" si="174"/>
        <v>1303</v>
      </c>
      <c r="BE83" s="10">
        <f t="shared" si="175"/>
        <v>1.0491143317230274</v>
      </c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>
        <f t="shared" ref="BR83:CD83" si="271">+SUM(BR84:BR89)</f>
        <v>571</v>
      </c>
      <c r="BS83" s="9">
        <f t="shared" si="271"/>
        <v>567</v>
      </c>
      <c r="BT83" s="9">
        <f t="shared" si="271"/>
        <v>410</v>
      </c>
      <c r="BU83" s="9">
        <f t="shared" si="271"/>
        <v>340</v>
      </c>
      <c r="BV83" s="9">
        <f t="shared" si="271"/>
        <v>561</v>
      </c>
      <c r="BW83" s="9">
        <f t="shared" si="271"/>
        <v>541</v>
      </c>
      <c r="BX83" s="9">
        <f t="shared" si="271"/>
        <v>536</v>
      </c>
      <c r="BY83" s="9">
        <f t="shared" si="271"/>
        <v>265</v>
      </c>
      <c r="BZ83" s="9">
        <f t="shared" si="271"/>
        <v>229</v>
      </c>
      <c r="CA83" s="9">
        <f t="shared" si="271"/>
        <v>534</v>
      </c>
      <c r="CB83" s="9">
        <f t="shared" si="271"/>
        <v>315</v>
      </c>
      <c r="CC83" s="9">
        <f t="shared" si="271"/>
        <v>92</v>
      </c>
      <c r="CD83" s="9">
        <f t="shared" si="271"/>
        <v>4546</v>
      </c>
      <c r="CE83" s="9">
        <f t="shared" ref="CE83" si="272">+SUM(CE84:CE89)</f>
        <v>4961</v>
      </c>
      <c r="CF83" s="10">
        <f t="shared" si="179"/>
        <v>1.0912890453145623</v>
      </c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>
        <v>270</v>
      </c>
      <c r="CR83" s="9"/>
      <c r="CS83" s="9">
        <f t="shared" ref="CS83:DF83" si="273">+SUM(CS84:CS89)</f>
        <v>749.00797516734542</v>
      </c>
      <c r="CT83" s="9">
        <f t="shared" si="273"/>
        <v>860.90706463823631</v>
      </c>
      <c r="CU83" s="9">
        <f t="shared" si="273"/>
        <v>818.64922086885531</v>
      </c>
      <c r="CV83" s="9">
        <f t="shared" si="273"/>
        <v>2128.871392248544</v>
      </c>
      <c r="CW83" s="9">
        <f t="shared" si="273"/>
        <v>2182.7571637487727</v>
      </c>
      <c r="CX83" s="9">
        <f t="shared" si="273"/>
        <v>1906.7272992388525</v>
      </c>
      <c r="CY83" s="9">
        <f t="shared" si="273"/>
        <v>1177.1968543126827</v>
      </c>
      <c r="CZ83" s="9">
        <f t="shared" si="273"/>
        <v>2627.4287677576772</v>
      </c>
      <c r="DA83" s="9">
        <f t="shared" si="273"/>
        <v>2940.1631327779446</v>
      </c>
      <c r="DB83" s="9">
        <f t="shared" si="273"/>
        <v>2898.0804177659397</v>
      </c>
      <c r="DC83" s="9">
        <f t="shared" si="273"/>
        <v>2463.1704285172691</v>
      </c>
      <c r="DD83" s="9">
        <f t="shared" si="273"/>
        <v>1626.9357933722818</v>
      </c>
      <c r="DE83" s="9">
        <f t="shared" si="273"/>
        <v>20831.170393509394</v>
      </c>
      <c r="DF83" s="9">
        <f t="shared" si="273"/>
        <v>21596.694899999999</v>
      </c>
      <c r="DG83" s="10">
        <f t="shared" si="177"/>
        <v>1.0367489916327086</v>
      </c>
      <c r="DH83" s="9">
        <v>0</v>
      </c>
      <c r="DI83" s="9">
        <v>0</v>
      </c>
      <c r="DJ83" s="9">
        <v>379</v>
      </c>
      <c r="DK83" s="9">
        <v>545</v>
      </c>
      <c r="DL83" s="9">
        <v>1289</v>
      </c>
      <c r="DM83" s="9">
        <v>1379</v>
      </c>
      <c r="DN83" s="9">
        <v>886</v>
      </c>
      <c r="DO83" s="9">
        <v>0</v>
      </c>
      <c r="DP83" s="9">
        <v>0</v>
      </c>
      <c r="DQ83" s="9">
        <v>0</v>
      </c>
      <c r="DR83" s="9">
        <v>0</v>
      </c>
      <c r="DS83" s="9">
        <v>0</v>
      </c>
      <c r="DT83" s="9">
        <f t="shared" ref="DT83:EG83" si="274">+SUM(DT84:DT89)</f>
        <v>0</v>
      </c>
      <c r="DU83" s="9">
        <f t="shared" si="274"/>
        <v>524.903545536519</v>
      </c>
      <c r="DV83" s="9">
        <f t="shared" si="274"/>
        <v>1251.1399578541684</v>
      </c>
      <c r="DW83" s="9">
        <f t="shared" si="274"/>
        <v>926.54207059479472</v>
      </c>
      <c r="DX83" s="9">
        <f t="shared" si="274"/>
        <v>427.72962105950393</v>
      </c>
      <c r="DY83" s="9">
        <f t="shared" si="274"/>
        <v>367.74064442675888</v>
      </c>
      <c r="DZ83" s="9">
        <f t="shared" si="274"/>
        <v>779.65125452488826</v>
      </c>
      <c r="EA83" s="9">
        <f t="shared" si="274"/>
        <v>440.67244820971951</v>
      </c>
      <c r="EB83" s="9">
        <f t="shared" si="274"/>
        <v>503.33216695282636</v>
      </c>
      <c r="EC83" s="9">
        <f t="shared" si="274"/>
        <v>448.8901162416023</v>
      </c>
      <c r="ED83" s="9">
        <f t="shared" si="274"/>
        <v>405.74735907421717</v>
      </c>
      <c r="EE83" s="9">
        <f t="shared" si="274"/>
        <v>277.34629607604722</v>
      </c>
      <c r="EF83" s="9">
        <f t="shared" si="274"/>
        <v>8244.7822940183833</v>
      </c>
      <c r="EG83" s="9">
        <f t="shared" si="274"/>
        <v>6353.6954805510459</v>
      </c>
      <c r="EH83" s="10">
        <f t="shared" si="178"/>
        <v>0.77063229251798104</v>
      </c>
      <c r="EI83" s="10"/>
      <c r="EJ83" s="10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>
        <v>0</v>
      </c>
      <c r="FI83" s="9">
        <v>0</v>
      </c>
      <c r="FJ83" s="9">
        <v>0</v>
      </c>
      <c r="FK83" s="10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>
        <v>0</v>
      </c>
      <c r="GJ83" s="9">
        <v>0</v>
      </c>
      <c r="GK83" s="9">
        <v>0</v>
      </c>
      <c r="GL83" s="10"/>
    </row>
    <row r="84" spans="1:194" s="11" customFormat="1" ht="24.95" customHeight="1">
      <c r="A84" s="15">
        <f t="shared" si="24"/>
        <v>1</v>
      </c>
      <c r="B84" s="16" t="s">
        <v>84</v>
      </c>
      <c r="C84" s="17">
        <v>11443</v>
      </c>
      <c r="D84" s="17"/>
      <c r="E84" s="17"/>
      <c r="F84" s="17"/>
      <c r="G84" s="20">
        <v>58</v>
      </c>
      <c r="H84" s="20">
        <v>79</v>
      </c>
      <c r="I84" s="20">
        <v>116</v>
      </c>
      <c r="J84" s="20">
        <v>106</v>
      </c>
      <c r="K84" s="20">
        <v>103</v>
      </c>
      <c r="L84" s="20">
        <v>97</v>
      </c>
      <c r="M84" s="20">
        <v>95</v>
      </c>
      <c r="N84" s="20">
        <v>102</v>
      </c>
      <c r="O84" s="20">
        <v>92</v>
      </c>
      <c r="P84" s="20">
        <v>81</v>
      </c>
      <c r="Q84" s="20">
        <v>57</v>
      </c>
      <c r="R84" s="20">
        <v>37</v>
      </c>
      <c r="S84" s="20">
        <v>6</v>
      </c>
      <c r="T84" s="20">
        <v>22</v>
      </c>
      <c r="U84" s="20">
        <v>11</v>
      </c>
      <c r="V84" s="20">
        <v>36</v>
      </c>
      <c r="W84" s="20">
        <v>52</v>
      </c>
      <c r="X84" s="20">
        <v>37</v>
      </c>
      <c r="Y84" s="20">
        <v>13</v>
      </c>
      <c r="Z84" s="20">
        <v>39</v>
      </c>
      <c r="AA84" s="20">
        <v>39</v>
      </c>
      <c r="AB84" s="18">
        <v>494</v>
      </c>
      <c r="AC84" s="18">
        <f t="shared" si="172"/>
        <v>430</v>
      </c>
      <c r="AD84" s="19">
        <f t="shared" si="173"/>
        <v>0.87044534412955465</v>
      </c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>
        <v>19</v>
      </c>
      <c r="AR84" s="20">
        <v>54</v>
      </c>
      <c r="AS84" s="20">
        <v>33</v>
      </c>
      <c r="AT84" s="20">
        <v>25</v>
      </c>
      <c r="AU84" s="20">
        <v>40</v>
      </c>
      <c r="AV84" s="20">
        <v>30</v>
      </c>
      <c r="AW84" s="20">
        <v>22</v>
      </c>
      <c r="AX84" s="20">
        <v>26</v>
      </c>
      <c r="AY84" s="20">
        <v>35</v>
      </c>
      <c r="AZ84" s="20">
        <v>14</v>
      </c>
      <c r="BA84" s="20">
        <v>11</v>
      </c>
      <c r="BB84" s="20">
        <v>16</v>
      </c>
      <c r="BC84" s="27">
        <v>318</v>
      </c>
      <c r="BD84" s="27">
        <f t="shared" si="174"/>
        <v>325</v>
      </c>
      <c r="BE84" s="19">
        <f t="shared" si="175"/>
        <v>1.0220125786163523</v>
      </c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>
        <v>110</v>
      </c>
      <c r="BS84" s="20">
        <v>77</v>
      </c>
      <c r="BT84" s="20">
        <v>65</v>
      </c>
      <c r="BU84" s="20">
        <v>69</v>
      </c>
      <c r="BV84" s="20">
        <v>56</v>
      </c>
      <c r="BW84" s="20">
        <v>34</v>
      </c>
      <c r="BX84" s="20">
        <v>38</v>
      </c>
      <c r="BY84" s="20">
        <v>33</v>
      </c>
      <c r="BZ84" s="20">
        <v>37</v>
      </c>
      <c r="CA84" s="20">
        <v>155</v>
      </c>
      <c r="CB84" s="20">
        <v>33</v>
      </c>
      <c r="CC84" s="20">
        <v>4</v>
      </c>
      <c r="CD84" s="22">
        <v>647</v>
      </c>
      <c r="CE84" s="22">
        <f t="shared" ref="CE84:CE91" si="275">+SUM(BR84:CC84)</f>
        <v>711</v>
      </c>
      <c r="CF84" s="19">
        <f t="shared" si="179"/>
        <v>1.0989180834621328</v>
      </c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>
        <v>170</v>
      </c>
      <c r="CR84" s="20"/>
      <c r="CS84" s="20">
        <v>103.62648365428547</v>
      </c>
      <c r="CT84" s="20">
        <v>103.62648365428547</v>
      </c>
      <c r="CU84" s="20">
        <v>103.62648365428547</v>
      </c>
      <c r="CV84" s="20">
        <v>476.68182480971313</v>
      </c>
      <c r="CW84" s="20">
        <v>310.87945096285637</v>
      </c>
      <c r="CX84" s="20">
        <v>414.50593461714186</v>
      </c>
      <c r="CY84" s="20">
        <v>103.62648365428547</v>
      </c>
      <c r="CZ84" s="20">
        <v>621.75890192571273</v>
      </c>
      <c r="DA84" s="20">
        <v>725.38538557999823</v>
      </c>
      <c r="DB84" s="20">
        <v>725.38538557999823</v>
      </c>
      <c r="DC84" s="20">
        <v>461.75961116349606</v>
      </c>
      <c r="DD84" s="20">
        <v>683.93479211828401</v>
      </c>
      <c r="DE84" s="14">
        <v>4551.6932244051477</v>
      </c>
      <c r="DF84" s="14">
        <v>4565.6000000000004</v>
      </c>
      <c r="DG84" s="19">
        <f t="shared" si="177"/>
        <v>1.0030552972068256</v>
      </c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>
        <v>0</v>
      </c>
      <c r="DU84" s="20">
        <v>61.632510239121601</v>
      </c>
      <c r="DV84" s="20">
        <v>54.442050711224084</v>
      </c>
      <c r="DW84" s="20">
        <v>51.360425199268001</v>
      </c>
      <c r="DX84" s="20">
        <v>20.5441700797072</v>
      </c>
      <c r="DY84" s="20">
        <v>143.80919055795039</v>
      </c>
      <c r="DZ84" s="20">
        <v>92.448765358682408</v>
      </c>
      <c r="EA84" s="20">
        <v>97.584807878609197</v>
      </c>
      <c r="EB84" s="20">
        <v>97.584807878609197</v>
      </c>
      <c r="EC84" s="20">
        <v>123.2650204782432</v>
      </c>
      <c r="ED84" s="20">
        <v>97.584807878609197</v>
      </c>
      <c r="EE84" s="20">
        <v>61.632510239121601</v>
      </c>
      <c r="EF84" s="14">
        <v>1449.0962238344307</v>
      </c>
      <c r="EG84" s="14">
        <f t="shared" si="236"/>
        <v>901.88906649914622</v>
      </c>
      <c r="EH84" s="19">
        <f t="shared" si="178"/>
        <v>0.62238038555691755</v>
      </c>
      <c r="EI84" s="19"/>
      <c r="EJ84" s="19"/>
      <c r="EK84" s="20"/>
      <c r="EL84" s="20">
        <v>13048</v>
      </c>
      <c r="EM84" s="20">
        <v>24532</v>
      </c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>
        <v>0</v>
      </c>
      <c r="FI84" s="14"/>
      <c r="FJ84" s="14"/>
      <c r="FK84" s="19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19"/>
    </row>
    <row r="85" spans="1:194" s="11" customFormat="1" ht="24.95" customHeight="1">
      <c r="A85" s="15">
        <f t="shared" si="24"/>
        <v>2</v>
      </c>
      <c r="B85" s="16" t="s">
        <v>83</v>
      </c>
      <c r="C85" s="17">
        <v>11444</v>
      </c>
      <c r="D85" s="17"/>
      <c r="E85" s="17"/>
      <c r="F85" s="17"/>
      <c r="G85" s="20">
        <v>78</v>
      </c>
      <c r="H85" s="20">
        <v>109</v>
      </c>
      <c r="I85" s="20">
        <v>112</v>
      </c>
      <c r="J85" s="20">
        <v>109</v>
      </c>
      <c r="K85" s="20">
        <v>102</v>
      </c>
      <c r="L85" s="20">
        <v>95</v>
      </c>
      <c r="M85" s="20">
        <v>96</v>
      </c>
      <c r="N85" s="20">
        <v>97</v>
      </c>
      <c r="O85" s="20">
        <v>96</v>
      </c>
      <c r="P85" s="20">
        <v>82</v>
      </c>
      <c r="Q85" s="20">
        <v>78</v>
      </c>
      <c r="R85" s="20">
        <v>88</v>
      </c>
      <c r="S85" s="20">
        <v>57</v>
      </c>
      <c r="T85" s="20">
        <v>55</v>
      </c>
      <c r="U85" s="20">
        <v>45</v>
      </c>
      <c r="V85" s="20">
        <v>45</v>
      </c>
      <c r="W85" s="20">
        <v>65</v>
      </c>
      <c r="X85" s="20">
        <v>49</v>
      </c>
      <c r="Y85" s="20">
        <v>20</v>
      </c>
      <c r="Z85" s="20">
        <v>51</v>
      </c>
      <c r="AA85" s="20">
        <v>51</v>
      </c>
      <c r="AB85" s="18">
        <v>674</v>
      </c>
      <c r="AC85" s="18">
        <f t="shared" si="172"/>
        <v>686</v>
      </c>
      <c r="AD85" s="19">
        <f t="shared" si="173"/>
        <v>1.0178041543026706</v>
      </c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>
        <v>7</v>
      </c>
      <c r="AR85" s="20">
        <v>26</v>
      </c>
      <c r="AS85" s="20">
        <v>21</v>
      </c>
      <c r="AT85" s="20">
        <v>37</v>
      </c>
      <c r="AU85" s="20">
        <v>21</v>
      </c>
      <c r="AV85" s="20">
        <v>24</v>
      </c>
      <c r="AW85" s="20">
        <v>17</v>
      </c>
      <c r="AX85" s="20">
        <v>15</v>
      </c>
      <c r="AY85" s="20">
        <v>30</v>
      </c>
      <c r="AZ85" s="20">
        <v>22</v>
      </c>
      <c r="BA85" s="20">
        <v>15</v>
      </c>
      <c r="BB85" s="20">
        <v>8</v>
      </c>
      <c r="BC85" s="27">
        <v>238</v>
      </c>
      <c r="BD85" s="27">
        <f t="shared" si="174"/>
        <v>243</v>
      </c>
      <c r="BE85" s="19">
        <f t="shared" si="175"/>
        <v>1.0210084033613445</v>
      </c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>
        <v>65</v>
      </c>
      <c r="BS85" s="20">
        <v>79</v>
      </c>
      <c r="BT85" s="20">
        <v>40</v>
      </c>
      <c r="BU85" s="20">
        <v>43</v>
      </c>
      <c r="BV85" s="20">
        <v>54</v>
      </c>
      <c r="BW85" s="20">
        <v>86</v>
      </c>
      <c r="BX85" s="20">
        <v>60</v>
      </c>
      <c r="BY85" s="20">
        <v>38</v>
      </c>
      <c r="BZ85" s="20">
        <v>30</v>
      </c>
      <c r="CA85" s="20">
        <v>37</v>
      </c>
      <c r="CB85" s="20">
        <v>37</v>
      </c>
      <c r="CC85" s="20">
        <v>10</v>
      </c>
      <c r="CD85" s="22">
        <v>674</v>
      </c>
      <c r="CE85" s="22">
        <f t="shared" si="275"/>
        <v>579</v>
      </c>
      <c r="CF85" s="19">
        <f t="shared" si="179"/>
        <v>0.85905044510385753</v>
      </c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>
        <v>100</v>
      </c>
      <c r="CR85" s="20"/>
      <c r="CS85" s="20">
        <v>207.25296730857093</v>
      </c>
      <c r="CT85" s="20">
        <v>143.00454744291395</v>
      </c>
      <c r="CU85" s="20">
        <v>196.89031894314238</v>
      </c>
      <c r="CV85" s="20">
        <v>402.07075657862759</v>
      </c>
      <c r="CW85" s="20">
        <v>207.2529673085709</v>
      </c>
      <c r="CX85" s="20">
        <v>310.87945096285637</v>
      </c>
      <c r="CY85" s="20">
        <v>0</v>
      </c>
      <c r="CZ85" s="20">
        <v>569.94566009856999</v>
      </c>
      <c r="DA85" s="20">
        <v>719.28593075210699</v>
      </c>
      <c r="DB85" s="20">
        <v>680.47366756423105</v>
      </c>
      <c r="DC85" s="20">
        <v>103.62648365428547</v>
      </c>
      <c r="DD85" s="20">
        <v>518.13241827142735</v>
      </c>
      <c r="DE85" s="14">
        <v>3455.1801774280912</v>
      </c>
      <c r="DF85" s="14">
        <v>3516.7739999999999</v>
      </c>
      <c r="DG85" s="19">
        <f t="shared" si="177"/>
        <v>1.0178265153795125</v>
      </c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>
        <v>0</v>
      </c>
      <c r="DU85" s="20">
        <v>133.53710551809681</v>
      </c>
      <c r="DV85" s="20">
        <v>129.42827150215535</v>
      </c>
      <c r="DW85" s="20">
        <v>380.06714647458318</v>
      </c>
      <c r="DX85" s="20">
        <v>92.448765358682408</v>
      </c>
      <c r="DY85" s="20">
        <v>41.0883401594144</v>
      </c>
      <c r="DZ85" s="20">
        <v>267.07421103619362</v>
      </c>
      <c r="EA85" s="20">
        <v>92.448765358682408</v>
      </c>
      <c r="EB85" s="20">
        <v>71.904595278975194</v>
      </c>
      <c r="EC85" s="20">
        <v>92.448765358682408</v>
      </c>
      <c r="ED85" s="20">
        <v>51.360425199268001</v>
      </c>
      <c r="EE85" s="20">
        <v>0</v>
      </c>
      <c r="EF85" s="14">
        <v>1335.9846380330066</v>
      </c>
      <c r="EG85" s="14">
        <f t="shared" si="236"/>
        <v>1351.806391244734</v>
      </c>
      <c r="EH85" s="19">
        <f t="shared" si="178"/>
        <v>1.0118427658232823</v>
      </c>
      <c r="EI85" s="19"/>
      <c r="EJ85" s="19"/>
      <c r="EK85" s="20"/>
      <c r="EL85" s="20">
        <f>+EF79+EF83+EF101+EF103</f>
        <v>12390.648024022295</v>
      </c>
      <c r="EM85" s="20">
        <f>+EG79+EG83+EG101+EG103</f>
        <v>16324.340021659116</v>
      </c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>
        <v>0</v>
      </c>
      <c r="FI85" s="14"/>
      <c r="FJ85" s="14"/>
      <c r="FK85" s="19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19"/>
    </row>
    <row r="86" spans="1:194" s="11" customFormat="1" ht="24.95" customHeight="1">
      <c r="A86" s="15">
        <f t="shared" si="24"/>
        <v>3</v>
      </c>
      <c r="B86" s="16" t="s">
        <v>85</v>
      </c>
      <c r="C86" s="17">
        <v>11445</v>
      </c>
      <c r="D86" s="17"/>
      <c r="E86" s="17"/>
      <c r="F86" s="17"/>
      <c r="G86" s="20">
        <v>139</v>
      </c>
      <c r="H86" s="20">
        <v>21</v>
      </c>
      <c r="I86" s="20">
        <v>102</v>
      </c>
      <c r="J86" s="20">
        <v>118</v>
      </c>
      <c r="K86" s="20">
        <v>114</v>
      </c>
      <c r="L86" s="20">
        <v>111</v>
      </c>
      <c r="M86" s="20">
        <v>106</v>
      </c>
      <c r="N86" s="20">
        <v>109</v>
      </c>
      <c r="O86" s="20">
        <v>161</v>
      </c>
      <c r="P86" s="20">
        <v>20</v>
      </c>
      <c r="Q86" s="20">
        <v>26</v>
      </c>
      <c r="R86" s="20">
        <v>27</v>
      </c>
      <c r="S86" s="20">
        <v>55</v>
      </c>
      <c r="T86" s="20">
        <v>90</v>
      </c>
      <c r="U86" s="20">
        <v>71</v>
      </c>
      <c r="V86" s="20">
        <v>107</v>
      </c>
      <c r="W86" s="20">
        <v>82</v>
      </c>
      <c r="X86" s="20">
        <v>101</v>
      </c>
      <c r="Y86" s="20">
        <v>39</v>
      </c>
      <c r="Z86" s="20">
        <v>53</v>
      </c>
      <c r="AA86" s="20">
        <v>53</v>
      </c>
      <c r="AB86" s="18">
        <v>673</v>
      </c>
      <c r="AC86" s="18">
        <f t="shared" si="172"/>
        <v>724</v>
      </c>
      <c r="AD86" s="19">
        <f t="shared" si="173"/>
        <v>1.075780089153046</v>
      </c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>
        <v>11</v>
      </c>
      <c r="AR86" s="20">
        <v>28</v>
      </c>
      <c r="AS86" s="20">
        <v>17</v>
      </c>
      <c r="AT86" s="20">
        <v>23</v>
      </c>
      <c r="AU86" s="20">
        <v>27</v>
      </c>
      <c r="AV86" s="20">
        <v>25</v>
      </c>
      <c r="AW86" s="20">
        <v>22</v>
      </c>
      <c r="AX86" s="20">
        <v>1</v>
      </c>
      <c r="AY86" s="20">
        <v>28</v>
      </c>
      <c r="AZ86" s="20">
        <v>21</v>
      </c>
      <c r="BA86" s="20">
        <v>12</v>
      </c>
      <c r="BB86" s="20">
        <v>23</v>
      </c>
      <c r="BC86" s="27">
        <v>207</v>
      </c>
      <c r="BD86" s="27">
        <f t="shared" si="174"/>
        <v>238</v>
      </c>
      <c r="BE86" s="19">
        <f t="shared" si="175"/>
        <v>1.1497584541062802</v>
      </c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>
        <v>94</v>
      </c>
      <c r="BS86" s="20">
        <v>78</v>
      </c>
      <c r="BT86" s="20">
        <v>45</v>
      </c>
      <c r="BU86" s="20">
        <v>52</v>
      </c>
      <c r="BV86" s="20">
        <v>32</v>
      </c>
      <c r="BW86" s="20">
        <v>54</v>
      </c>
      <c r="BX86" s="20">
        <v>103</v>
      </c>
      <c r="BY86" s="20">
        <v>92</v>
      </c>
      <c r="BZ86" s="20">
        <v>49</v>
      </c>
      <c r="CA86" s="20">
        <v>126</v>
      </c>
      <c r="CB86" s="20">
        <v>130</v>
      </c>
      <c r="CC86" s="20">
        <v>20</v>
      </c>
      <c r="CD86" s="22">
        <v>801</v>
      </c>
      <c r="CE86" s="22">
        <f t="shared" si="275"/>
        <v>875</v>
      </c>
      <c r="CF86" s="19">
        <f t="shared" si="179"/>
        <v>1.0923845193508115</v>
      </c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>
        <v>207.11825287982035</v>
      </c>
      <c r="CT86" s="20">
        <v>103.62648365428547</v>
      </c>
      <c r="CU86" s="20">
        <v>103.62648365428547</v>
      </c>
      <c r="CV86" s="20">
        <v>566.18401874191943</v>
      </c>
      <c r="CW86" s="20">
        <v>476.68182480971313</v>
      </c>
      <c r="CX86" s="20">
        <v>414.50593461714186</v>
      </c>
      <c r="CY86" s="20">
        <v>207.25296730857093</v>
      </c>
      <c r="CZ86" s="20">
        <v>414.50593461714186</v>
      </c>
      <c r="DA86" s="20">
        <v>621.75890192571273</v>
      </c>
      <c r="DB86" s="20">
        <v>673.57214375285548</v>
      </c>
      <c r="DC86" s="20">
        <v>492.22579735785592</v>
      </c>
      <c r="DD86" s="20">
        <v>155.43972548142818</v>
      </c>
      <c r="DE86" s="14">
        <v>4151.7694603435302</v>
      </c>
      <c r="DF86" s="14">
        <v>5127.6099999999997</v>
      </c>
      <c r="DG86" s="19">
        <f t="shared" si="177"/>
        <v>1.2350420824126698</v>
      </c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>
        <v>0</v>
      </c>
      <c r="DU86" s="20">
        <v>0</v>
      </c>
      <c r="DV86" s="20">
        <v>285.56396410793008</v>
      </c>
      <c r="DW86" s="20">
        <v>82.176680318828801</v>
      </c>
      <c r="DX86" s="20">
        <v>82.176680318828801</v>
      </c>
      <c r="DY86" s="20">
        <v>107.8568929184628</v>
      </c>
      <c r="DZ86" s="20">
        <v>205.441700797072</v>
      </c>
      <c r="EA86" s="20">
        <v>102.720850398536</v>
      </c>
      <c r="EB86" s="20">
        <v>92.448765358682408</v>
      </c>
      <c r="EC86" s="20">
        <v>102.720850398536</v>
      </c>
      <c r="ED86" s="20">
        <v>112.99293543838959</v>
      </c>
      <c r="EE86" s="20">
        <v>20.5441700797072</v>
      </c>
      <c r="EF86" s="14">
        <v>1665.4870165660013</v>
      </c>
      <c r="EG86" s="14">
        <f t="shared" si="236"/>
        <v>1194.6434901349737</v>
      </c>
      <c r="EH86" s="19">
        <f t="shared" si="178"/>
        <v>0.71729378749415873</v>
      </c>
      <c r="EI86" s="19"/>
      <c r="EJ86" s="19"/>
      <c r="EK86" s="20"/>
      <c r="EL86" s="32">
        <f>+EL84/EL85</f>
        <v>1.0530522677024856</v>
      </c>
      <c r="EM86" s="32">
        <f>+EM84/EM85</f>
        <v>1.5027866344030429</v>
      </c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>
        <v>0</v>
      </c>
      <c r="FI86" s="14"/>
      <c r="FJ86" s="14"/>
      <c r="FK86" s="19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19"/>
    </row>
    <row r="87" spans="1:194" s="11" customFormat="1" ht="24.95" customHeight="1">
      <c r="A87" s="15">
        <f t="shared" si="24"/>
        <v>4</v>
      </c>
      <c r="B87" s="16" t="s">
        <v>86</v>
      </c>
      <c r="C87" s="17">
        <v>11446</v>
      </c>
      <c r="D87" s="17"/>
      <c r="E87" s="17"/>
      <c r="F87" s="17"/>
      <c r="G87" s="20">
        <v>60</v>
      </c>
      <c r="H87" s="20">
        <v>132</v>
      </c>
      <c r="I87" s="20">
        <v>118</v>
      </c>
      <c r="J87" s="20">
        <v>116</v>
      </c>
      <c r="K87" s="20">
        <v>113</v>
      </c>
      <c r="L87" s="20">
        <v>109</v>
      </c>
      <c r="M87" s="20">
        <v>106</v>
      </c>
      <c r="N87" s="20">
        <v>103</v>
      </c>
      <c r="O87" s="20">
        <v>102</v>
      </c>
      <c r="P87" s="20">
        <v>51</v>
      </c>
      <c r="Q87" s="20">
        <v>123</v>
      </c>
      <c r="R87" s="20">
        <v>152</v>
      </c>
      <c r="S87" s="20">
        <v>60</v>
      </c>
      <c r="T87" s="20">
        <v>85</v>
      </c>
      <c r="U87" s="20">
        <v>82</v>
      </c>
      <c r="V87" s="20">
        <v>90</v>
      </c>
      <c r="W87" s="20">
        <v>86</v>
      </c>
      <c r="X87" s="20"/>
      <c r="Y87" s="20">
        <v>27</v>
      </c>
      <c r="Z87" s="20">
        <v>39</v>
      </c>
      <c r="AA87" s="20">
        <v>9</v>
      </c>
      <c r="AB87" s="18">
        <v>681</v>
      </c>
      <c r="AC87" s="18">
        <f t="shared" si="172"/>
        <v>804</v>
      </c>
      <c r="AD87" s="19">
        <f t="shared" si="173"/>
        <v>1.1806167400881058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>
        <v>8</v>
      </c>
      <c r="AR87" s="20">
        <v>40</v>
      </c>
      <c r="AS87" s="20">
        <v>38</v>
      </c>
      <c r="AT87" s="20">
        <v>27</v>
      </c>
      <c r="AU87" s="20">
        <v>28</v>
      </c>
      <c r="AV87" s="20">
        <v>39</v>
      </c>
      <c r="AW87" s="20">
        <v>24</v>
      </c>
      <c r="AX87" s="20">
        <v>12</v>
      </c>
      <c r="AY87" s="20">
        <v>14</v>
      </c>
      <c r="AZ87" s="20">
        <v>17</v>
      </c>
      <c r="BA87" s="20">
        <v>26</v>
      </c>
      <c r="BB87" s="20">
        <v>24</v>
      </c>
      <c r="BC87" s="27">
        <v>279</v>
      </c>
      <c r="BD87" s="27">
        <f t="shared" si="174"/>
        <v>297</v>
      </c>
      <c r="BE87" s="19">
        <f t="shared" si="175"/>
        <v>1.064516129032258</v>
      </c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>
        <v>125</v>
      </c>
      <c r="BS87" s="20">
        <v>195</v>
      </c>
      <c r="BT87" s="20">
        <v>36</v>
      </c>
      <c r="BU87" s="20">
        <v>62</v>
      </c>
      <c r="BV87" s="20">
        <v>252</v>
      </c>
      <c r="BW87" s="20">
        <v>298</v>
      </c>
      <c r="BX87" s="20">
        <v>279</v>
      </c>
      <c r="BY87" s="20">
        <v>43</v>
      </c>
      <c r="BZ87" s="20">
        <v>43</v>
      </c>
      <c r="CA87" s="20">
        <v>76</v>
      </c>
      <c r="CB87" s="20">
        <v>90</v>
      </c>
      <c r="CC87" s="20">
        <v>25</v>
      </c>
      <c r="CD87" s="22">
        <v>1009</v>
      </c>
      <c r="CE87" s="22">
        <f t="shared" si="275"/>
        <v>1524</v>
      </c>
      <c r="CF87" s="19">
        <f t="shared" si="179"/>
        <v>1.510406342913776</v>
      </c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>
        <v>0</v>
      </c>
      <c r="CT87" s="20">
        <v>207.25296730857093</v>
      </c>
      <c r="CU87" s="20">
        <v>103.62648365428547</v>
      </c>
      <c r="CV87" s="20">
        <v>103.62648365428547</v>
      </c>
      <c r="CW87" s="20">
        <v>362.69269278999911</v>
      </c>
      <c r="CX87" s="20">
        <v>352.33004442457059</v>
      </c>
      <c r="CY87" s="20">
        <v>362.69269278999911</v>
      </c>
      <c r="CZ87" s="20">
        <v>414.50593461714186</v>
      </c>
      <c r="DA87" s="20">
        <v>414.50593461714186</v>
      </c>
      <c r="DB87" s="20">
        <v>414.50593461714186</v>
      </c>
      <c r="DC87" s="20">
        <v>310.87945096285637</v>
      </c>
      <c r="DD87" s="20">
        <v>103.62648365428547</v>
      </c>
      <c r="DE87" s="14">
        <v>3029.9051910604517</v>
      </c>
      <c r="DF87" s="14">
        <v>2740</v>
      </c>
      <c r="DG87" s="19">
        <f t="shared" si="177"/>
        <v>0.90431872524731172</v>
      </c>
      <c r="DH87" s="20"/>
      <c r="DI87" s="20"/>
      <c r="DJ87" s="20">
        <v>379</v>
      </c>
      <c r="DK87" s="20">
        <v>545</v>
      </c>
      <c r="DL87" s="20">
        <v>1289</v>
      </c>
      <c r="DM87" s="20">
        <v>1379</v>
      </c>
      <c r="DN87" s="20">
        <v>886</v>
      </c>
      <c r="DO87" s="20"/>
      <c r="DP87" s="20"/>
      <c r="DQ87" s="20"/>
      <c r="DR87" s="20"/>
      <c r="DS87" s="20"/>
      <c r="DT87" s="20">
        <v>0</v>
      </c>
      <c r="DU87" s="20">
        <v>118.1289779583164</v>
      </c>
      <c r="DV87" s="20">
        <v>256.80212599634001</v>
      </c>
      <c r="DW87" s="20">
        <v>197.22403276518912</v>
      </c>
      <c r="DX87" s="20">
        <v>61.632510239121601</v>
      </c>
      <c r="DY87" s="20">
        <v>10.2720850398536</v>
      </c>
      <c r="DZ87" s="20">
        <v>92.448765358682408</v>
      </c>
      <c r="EA87" s="20">
        <v>106.82968441447744</v>
      </c>
      <c r="EB87" s="20">
        <v>132.50989701411143</v>
      </c>
      <c r="EC87" s="20">
        <v>81.149471814843437</v>
      </c>
      <c r="ED87" s="20">
        <v>0</v>
      </c>
      <c r="EE87" s="20">
        <v>102.720850398536</v>
      </c>
      <c r="EF87" s="14">
        <v>1827.0279704067043</v>
      </c>
      <c r="EG87" s="14">
        <f t="shared" si="236"/>
        <v>1159.7184009994714</v>
      </c>
      <c r="EH87" s="19">
        <f t="shared" si="178"/>
        <v>0.6347567852184075</v>
      </c>
      <c r="EI87" s="19"/>
      <c r="EJ87" s="19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>
        <v>0</v>
      </c>
      <c r="FI87" s="14"/>
      <c r="FJ87" s="14"/>
      <c r="FK87" s="19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19"/>
    </row>
    <row r="88" spans="1:194" s="11" customFormat="1" ht="24.95" customHeight="1">
      <c r="A88" s="15">
        <f t="shared" si="24"/>
        <v>5</v>
      </c>
      <c r="B88" s="16" t="s">
        <v>87</v>
      </c>
      <c r="C88" s="17">
        <v>11447</v>
      </c>
      <c r="D88" s="17"/>
      <c r="E88" s="17"/>
      <c r="F88" s="17"/>
      <c r="G88" s="20">
        <v>89</v>
      </c>
      <c r="H88" s="20">
        <v>100</v>
      </c>
      <c r="I88" s="20">
        <v>145</v>
      </c>
      <c r="J88" s="20">
        <v>149</v>
      </c>
      <c r="K88" s="20">
        <v>129</v>
      </c>
      <c r="L88" s="20">
        <v>124</v>
      </c>
      <c r="M88" s="20">
        <v>116</v>
      </c>
      <c r="N88" s="20">
        <v>114</v>
      </c>
      <c r="O88" s="20">
        <v>119</v>
      </c>
      <c r="P88" s="20">
        <v>103</v>
      </c>
      <c r="Q88" s="20">
        <v>103</v>
      </c>
      <c r="R88" s="20">
        <v>49</v>
      </c>
      <c r="S88" s="20">
        <v>42</v>
      </c>
      <c r="T88" s="20">
        <v>28</v>
      </c>
      <c r="U88" s="20">
        <v>45</v>
      </c>
      <c r="V88" s="20">
        <v>82</v>
      </c>
      <c r="W88" s="20">
        <v>69</v>
      </c>
      <c r="X88" s="20">
        <v>96</v>
      </c>
      <c r="Y88" s="20">
        <v>47</v>
      </c>
      <c r="Z88" s="20">
        <v>107</v>
      </c>
      <c r="AA88" s="20">
        <v>7</v>
      </c>
      <c r="AB88" s="18">
        <v>654</v>
      </c>
      <c r="AC88" s="18">
        <f t="shared" si="172"/>
        <v>778</v>
      </c>
      <c r="AD88" s="19">
        <f t="shared" si="173"/>
        <v>1.1896024464831805</v>
      </c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>
        <v>11</v>
      </c>
      <c r="AR88" s="20">
        <v>22</v>
      </c>
      <c r="AS88" s="20">
        <v>29</v>
      </c>
      <c r="AT88" s="20">
        <v>22</v>
      </c>
      <c r="AU88" s="20">
        <v>24</v>
      </c>
      <c r="AV88" s="20">
        <v>28</v>
      </c>
      <c r="AW88" s="20">
        <v>12</v>
      </c>
      <c r="AX88" s="20">
        <v>8</v>
      </c>
      <c r="AY88" s="20">
        <v>13</v>
      </c>
      <c r="AZ88" s="20">
        <v>16</v>
      </c>
      <c r="BA88" s="20">
        <v>9</v>
      </c>
      <c r="BB88" s="20">
        <v>6</v>
      </c>
      <c r="BC88" s="27">
        <v>200</v>
      </c>
      <c r="BD88" s="27">
        <f t="shared" si="174"/>
        <v>200</v>
      </c>
      <c r="BE88" s="19">
        <f t="shared" si="175"/>
        <v>1</v>
      </c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>
        <v>140</v>
      </c>
      <c r="BS88" s="20">
        <v>106</v>
      </c>
      <c r="BT88" s="20">
        <v>23</v>
      </c>
      <c r="BU88" s="20">
        <v>45</v>
      </c>
      <c r="BV88" s="20">
        <v>80</v>
      </c>
      <c r="BW88" s="20">
        <v>43</v>
      </c>
      <c r="BX88" s="20">
        <v>45</v>
      </c>
      <c r="BY88" s="20">
        <v>34</v>
      </c>
      <c r="BZ88" s="20">
        <v>30</v>
      </c>
      <c r="CA88" s="20">
        <v>113</v>
      </c>
      <c r="CB88" s="20">
        <v>22</v>
      </c>
      <c r="CC88" s="20">
        <v>21</v>
      </c>
      <c r="CD88" s="22">
        <v>876</v>
      </c>
      <c r="CE88" s="22">
        <f t="shared" si="275"/>
        <v>702</v>
      </c>
      <c r="CF88" s="19">
        <f t="shared" si="179"/>
        <v>0.80136986301369861</v>
      </c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>
        <v>158.47173276666894</v>
      </c>
      <c r="CT88" s="20">
        <v>103.62648365428547</v>
      </c>
      <c r="CU88" s="20">
        <v>103.62648365428547</v>
      </c>
      <c r="CV88" s="20">
        <v>165.80237384685674</v>
      </c>
      <c r="CW88" s="20">
        <v>518.13241827142735</v>
      </c>
      <c r="CX88" s="20">
        <v>207.25296730857093</v>
      </c>
      <c r="CY88" s="20">
        <v>103.62648365428547</v>
      </c>
      <c r="CZ88" s="20">
        <v>207.2529673085709</v>
      </c>
      <c r="DA88" s="20">
        <v>259.06620913571368</v>
      </c>
      <c r="DB88" s="20">
        <v>155.43972548142818</v>
      </c>
      <c r="DC88" s="20">
        <v>373.05534115542764</v>
      </c>
      <c r="DD88" s="20">
        <v>62.175890192571273</v>
      </c>
      <c r="DE88" s="14">
        <v>2325.169839168313</v>
      </c>
      <c r="DF88" s="14">
        <v>2632.9259000000002</v>
      </c>
      <c r="DG88" s="19">
        <f t="shared" si="177"/>
        <v>1.1323585295351017</v>
      </c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>
        <v>0</v>
      </c>
      <c r="DU88" s="20">
        <v>123.2650204782432</v>
      </c>
      <c r="DV88" s="20">
        <v>373.90389545067103</v>
      </c>
      <c r="DW88" s="20">
        <v>205.441700797072</v>
      </c>
      <c r="DX88" s="20">
        <v>102.720850398536</v>
      </c>
      <c r="DY88" s="20">
        <v>0</v>
      </c>
      <c r="DZ88" s="20">
        <v>0</v>
      </c>
      <c r="EA88" s="20">
        <v>0</v>
      </c>
      <c r="EB88" s="20">
        <v>51.360425199268001</v>
      </c>
      <c r="EC88" s="20">
        <v>0</v>
      </c>
      <c r="ED88" s="20">
        <v>0</v>
      </c>
      <c r="EE88" s="20">
        <v>0</v>
      </c>
      <c r="EF88" s="14">
        <v>1432.5545843024211</v>
      </c>
      <c r="EG88" s="14">
        <f t="shared" si="236"/>
        <v>856.69189232379017</v>
      </c>
      <c r="EH88" s="19">
        <f t="shared" si="178"/>
        <v>0.59801692843763732</v>
      </c>
      <c r="EI88" s="19"/>
      <c r="EJ88" s="19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>
        <v>0</v>
      </c>
      <c r="FI88" s="14"/>
      <c r="FJ88" s="14"/>
      <c r="FK88" s="19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19"/>
    </row>
    <row r="89" spans="1:194" s="11" customFormat="1" ht="24.95" customHeight="1">
      <c r="A89" s="15">
        <f t="shared" si="24"/>
        <v>6</v>
      </c>
      <c r="B89" s="16" t="s">
        <v>79</v>
      </c>
      <c r="C89" s="17">
        <v>11448</v>
      </c>
      <c r="D89" s="17"/>
      <c r="E89" s="17"/>
      <c r="F89" s="17"/>
      <c r="G89" s="20">
        <v>42</v>
      </c>
      <c r="H89" s="20">
        <v>40</v>
      </c>
      <c r="I89" s="20">
        <v>75</v>
      </c>
      <c r="J89" s="20">
        <v>94</v>
      </c>
      <c r="K89" s="20">
        <v>100</v>
      </c>
      <c r="L89" s="20">
        <v>109</v>
      </c>
      <c r="M89" s="20">
        <v>107</v>
      </c>
      <c r="N89" s="20">
        <v>100</v>
      </c>
      <c r="O89" s="20">
        <v>50</v>
      </c>
      <c r="P89" s="20">
        <v>92</v>
      </c>
      <c r="Q89" s="20">
        <v>50</v>
      </c>
      <c r="R89" s="20">
        <v>15</v>
      </c>
      <c r="S89" s="20">
        <v>12</v>
      </c>
      <c r="T89" s="20">
        <v>28</v>
      </c>
      <c r="U89" s="20">
        <v>42</v>
      </c>
      <c r="V89" s="20">
        <v>30</v>
      </c>
      <c r="W89" s="20">
        <v>45</v>
      </c>
      <c r="X89" s="20">
        <v>139</v>
      </c>
      <c r="Y89" s="20">
        <v>30</v>
      </c>
      <c r="Z89" s="20">
        <v>24</v>
      </c>
      <c r="AA89" s="20">
        <v>24</v>
      </c>
      <c r="AB89" s="18">
        <v>442</v>
      </c>
      <c r="AC89" s="18">
        <f t="shared" si="172"/>
        <v>531</v>
      </c>
      <c r="AD89" s="19">
        <f t="shared" si="173"/>
        <v>1.2013574660633484</v>
      </c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7"/>
      <c r="BD89" s="27">
        <f t="shared" si="174"/>
        <v>0</v>
      </c>
      <c r="BE89" s="19">
        <v>0</v>
      </c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>
        <v>37</v>
      </c>
      <c r="BS89" s="20">
        <v>32</v>
      </c>
      <c r="BT89" s="20">
        <v>201</v>
      </c>
      <c r="BU89" s="20">
        <v>69</v>
      </c>
      <c r="BV89" s="20">
        <v>87</v>
      </c>
      <c r="BW89" s="20">
        <v>26</v>
      </c>
      <c r="BX89" s="20">
        <v>11</v>
      </c>
      <c r="BY89" s="20">
        <v>25</v>
      </c>
      <c r="BZ89" s="20">
        <v>40</v>
      </c>
      <c r="CA89" s="20">
        <v>27</v>
      </c>
      <c r="CB89" s="20">
        <v>3</v>
      </c>
      <c r="CC89" s="20">
        <v>12</v>
      </c>
      <c r="CD89" s="22">
        <v>539</v>
      </c>
      <c r="CE89" s="22">
        <f t="shared" si="275"/>
        <v>570</v>
      </c>
      <c r="CF89" s="19">
        <f t="shared" si="179"/>
        <v>1.0575139146567718</v>
      </c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>
        <v>72.538538557999829</v>
      </c>
      <c r="CT89" s="20">
        <v>199.77009892389498</v>
      </c>
      <c r="CU89" s="20">
        <v>207.25296730857093</v>
      </c>
      <c r="CV89" s="20">
        <v>414.50593461714186</v>
      </c>
      <c r="CW89" s="20">
        <v>307.11780960620581</v>
      </c>
      <c r="CX89" s="20">
        <v>207.25296730857093</v>
      </c>
      <c r="CY89" s="20">
        <v>399.99822690554186</v>
      </c>
      <c r="CZ89" s="20">
        <v>399.45936919053963</v>
      </c>
      <c r="DA89" s="20">
        <v>200.16077076727163</v>
      </c>
      <c r="DB89" s="20">
        <v>248.70356077028515</v>
      </c>
      <c r="DC89" s="20">
        <v>721.62374422334767</v>
      </c>
      <c r="DD89" s="20">
        <v>103.62648365428547</v>
      </c>
      <c r="DE89" s="14">
        <v>3317.4525011038595</v>
      </c>
      <c r="DF89" s="14">
        <v>3013.7849999999999</v>
      </c>
      <c r="DG89" s="19">
        <f t="shared" si="177"/>
        <v>0.90846364763238774</v>
      </c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>
        <v>0</v>
      </c>
      <c r="DU89" s="20">
        <v>88.339931342740954</v>
      </c>
      <c r="DV89" s="20">
        <v>150.99965008584792</v>
      </c>
      <c r="DW89" s="20">
        <v>10.2720850398536</v>
      </c>
      <c r="DX89" s="20">
        <v>68.206644664627888</v>
      </c>
      <c r="DY89" s="20">
        <v>64.714135751077677</v>
      </c>
      <c r="DZ89" s="20">
        <v>122.23781197425784</v>
      </c>
      <c r="EA89" s="20">
        <v>41.0883401594144</v>
      </c>
      <c r="EB89" s="20">
        <v>57.523676223180161</v>
      </c>
      <c r="EC89" s="20">
        <v>49.306008191297281</v>
      </c>
      <c r="ED89" s="20">
        <v>143.80919055795039</v>
      </c>
      <c r="EE89" s="20">
        <v>92.448765358682408</v>
      </c>
      <c r="EF89" s="14">
        <v>534.63186087581971</v>
      </c>
      <c r="EG89" s="14">
        <f t="shared" si="236"/>
        <v>888.94623934893059</v>
      </c>
      <c r="EH89" s="19">
        <f t="shared" si="178"/>
        <v>1.6627258949600991</v>
      </c>
      <c r="EI89" s="19"/>
      <c r="EJ89" s="19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>
        <v>0</v>
      </c>
      <c r="FI89" s="14"/>
      <c r="FJ89" s="14"/>
      <c r="FK89" s="19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19"/>
    </row>
    <row r="90" spans="1:194" s="11" customFormat="1" ht="32.25" customHeight="1">
      <c r="A90" s="6"/>
      <c r="B90" s="7" t="s">
        <v>13</v>
      </c>
      <c r="C90" s="8"/>
      <c r="D90" s="8"/>
      <c r="E90" s="8"/>
      <c r="F90" s="8"/>
      <c r="G90" s="9">
        <f>+SUM(G91)</f>
        <v>47</v>
      </c>
      <c r="H90" s="9">
        <f t="shared" ref="H90:O90" si="276">+SUM(H91)</f>
        <v>75</v>
      </c>
      <c r="I90" s="9">
        <f t="shared" si="276"/>
        <v>55</v>
      </c>
      <c r="J90" s="9">
        <f t="shared" si="276"/>
        <v>59</v>
      </c>
      <c r="K90" s="9">
        <f t="shared" si="276"/>
        <v>80</v>
      </c>
      <c r="L90" s="9">
        <f t="shared" si="276"/>
        <v>90</v>
      </c>
      <c r="M90" s="9">
        <f t="shared" si="276"/>
        <v>87</v>
      </c>
      <c r="N90" s="9">
        <f t="shared" si="276"/>
        <v>87</v>
      </c>
      <c r="O90" s="9">
        <f t="shared" si="276"/>
        <v>86</v>
      </c>
      <c r="P90" s="9">
        <f t="shared" ref="P90" si="277">+SUM(P91)</f>
        <v>79</v>
      </c>
      <c r="Q90" s="9">
        <f t="shared" ref="Q90" si="278">+SUM(Q91)</f>
        <v>123</v>
      </c>
      <c r="R90" s="9">
        <f t="shared" ref="R90" si="279">+SUM(R91)</f>
        <v>156</v>
      </c>
      <c r="S90" s="9">
        <f t="shared" ref="S90" si="280">+SUM(S91)</f>
        <v>61</v>
      </c>
      <c r="T90" s="9">
        <f t="shared" ref="T90" si="281">+SUM(T91)</f>
        <v>31</v>
      </c>
      <c r="U90" s="9">
        <f t="shared" ref="U90" si="282">+SUM(U91)</f>
        <v>68</v>
      </c>
      <c r="V90" s="9">
        <f t="shared" ref="V90" si="283">+SUM(V91)</f>
        <v>71</v>
      </c>
      <c r="W90" s="9">
        <f t="shared" ref="W90" si="284">+SUM(W91)</f>
        <v>55</v>
      </c>
      <c r="X90" s="9">
        <f t="shared" ref="X90" si="285">+SUM(X91)</f>
        <v>59</v>
      </c>
      <c r="Y90" s="9">
        <f t="shared" ref="Y90" si="286">+SUM(Y91)</f>
        <v>36</v>
      </c>
      <c r="Z90" s="9">
        <f t="shared" ref="Z90" si="287">+SUM(Z91)</f>
        <v>42</v>
      </c>
      <c r="AA90" s="9">
        <f t="shared" ref="AA90" si="288">+SUM(AA91)</f>
        <v>45</v>
      </c>
      <c r="AB90" s="9">
        <f t="shared" ref="AB90" si="289">+SUM(AB91)</f>
        <v>517</v>
      </c>
      <c r="AC90" s="9">
        <f>+P90+Q90+R90+S90+T90+U90+V90+W90+X90+Y90+Z90+AA90</f>
        <v>826</v>
      </c>
      <c r="AD90" s="10">
        <f t="shared" si="173"/>
        <v>1.5976789168278529</v>
      </c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>
        <v>8</v>
      </c>
      <c r="AR90" s="9">
        <v>29</v>
      </c>
      <c r="AS90" s="9">
        <v>39</v>
      </c>
      <c r="AT90" s="9">
        <v>23</v>
      </c>
      <c r="AU90" s="9">
        <v>31</v>
      </c>
      <c r="AV90" s="9">
        <v>24</v>
      </c>
      <c r="AW90" s="9">
        <v>16</v>
      </c>
      <c r="AX90" s="9">
        <v>9</v>
      </c>
      <c r="AY90" s="9">
        <v>27</v>
      </c>
      <c r="AZ90" s="9">
        <v>17</v>
      </c>
      <c r="BA90" s="9">
        <v>22</v>
      </c>
      <c r="BB90" s="9">
        <v>6</v>
      </c>
      <c r="BC90" s="9">
        <f>+SUM(BC91)</f>
        <v>243</v>
      </c>
      <c r="BD90" s="9">
        <f t="shared" si="174"/>
        <v>251</v>
      </c>
      <c r="BE90" s="10">
        <f t="shared" si="175"/>
        <v>1.0329218106995885</v>
      </c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>
        <f t="shared" ref="BR90:CD90" si="290">+BR91</f>
        <v>60</v>
      </c>
      <c r="BS90" s="9">
        <f t="shared" si="290"/>
        <v>110</v>
      </c>
      <c r="BT90" s="9">
        <f t="shared" si="290"/>
        <v>44</v>
      </c>
      <c r="BU90" s="9">
        <f t="shared" si="290"/>
        <v>78</v>
      </c>
      <c r="BV90" s="9">
        <f t="shared" si="290"/>
        <v>129</v>
      </c>
      <c r="BW90" s="9">
        <f t="shared" si="290"/>
        <v>39</v>
      </c>
      <c r="BX90" s="9">
        <f t="shared" si="290"/>
        <v>45</v>
      </c>
      <c r="BY90" s="9">
        <f t="shared" si="290"/>
        <v>23</v>
      </c>
      <c r="BZ90" s="9">
        <f t="shared" si="290"/>
        <v>55</v>
      </c>
      <c r="CA90" s="9">
        <f t="shared" si="290"/>
        <v>50</v>
      </c>
      <c r="CB90" s="9">
        <f t="shared" si="290"/>
        <v>4</v>
      </c>
      <c r="CC90" s="9">
        <f t="shared" si="290"/>
        <v>10</v>
      </c>
      <c r="CD90" s="9">
        <f t="shared" si="290"/>
        <v>549</v>
      </c>
      <c r="CE90" s="9">
        <f>+CE91</f>
        <v>647</v>
      </c>
      <c r="CF90" s="10">
        <f t="shared" si="179"/>
        <v>1.1785063752276868</v>
      </c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>
        <f t="shared" ref="CS90:DF90" si="291">+SUM(CS91)</f>
        <v>481.8631489924274</v>
      </c>
      <c r="CT90" s="9">
        <f t="shared" si="291"/>
        <v>766.83597904171245</v>
      </c>
      <c r="CU90" s="9">
        <f t="shared" si="291"/>
        <v>1327.3516291277426</v>
      </c>
      <c r="CV90" s="9">
        <f t="shared" si="291"/>
        <v>1108.8033751008545</v>
      </c>
      <c r="CW90" s="9">
        <f t="shared" si="291"/>
        <v>352.33004442457059</v>
      </c>
      <c r="CX90" s="9">
        <f t="shared" si="291"/>
        <v>1061.2699070486337</v>
      </c>
      <c r="CY90" s="9">
        <f t="shared" si="291"/>
        <v>1741.6223316269889</v>
      </c>
      <c r="CZ90" s="9">
        <f t="shared" si="291"/>
        <v>2280.818905230823</v>
      </c>
      <c r="DA90" s="9">
        <f t="shared" si="291"/>
        <v>2064.7654587979118</v>
      </c>
      <c r="DB90" s="9">
        <f t="shared" si="291"/>
        <v>2507.8334429722659</v>
      </c>
      <c r="DC90" s="9">
        <f t="shared" si="291"/>
        <v>1107.7671102643117</v>
      </c>
      <c r="DD90" s="9">
        <f t="shared" si="291"/>
        <v>447.66640938651318</v>
      </c>
      <c r="DE90" s="9">
        <f t="shared" si="291"/>
        <v>8961.3860043176373</v>
      </c>
      <c r="DF90" s="9">
        <f t="shared" si="291"/>
        <v>14715.632820000001</v>
      </c>
      <c r="DG90" s="10">
        <f t="shared" si="177"/>
        <v>1.6421157188084456</v>
      </c>
      <c r="DH90" s="9">
        <v>0</v>
      </c>
      <c r="DI90" s="9">
        <v>0</v>
      </c>
      <c r="DJ90" s="9">
        <v>305</v>
      </c>
      <c r="DK90" s="9">
        <v>458</v>
      </c>
      <c r="DL90" s="9">
        <v>300</v>
      </c>
      <c r="DM90" s="9">
        <v>410</v>
      </c>
      <c r="DN90" s="9">
        <v>426</v>
      </c>
      <c r="DO90" s="9">
        <v>749</v>
      </c>
      <c r="DP90" s="9">
        <v>425</v>
      </c>
      <c r="DQ90" s="9">
        <v>420</v>
      </c>
      <c r="DR90" s="9">
        <v>615</v>
      </c>
      <c r="DS90" s="9">
        <v>0</v>
      </c>
      <c r="DT90" s="9">
        <f t="shared" ref="DT90" si="292">+SUM(DT91)</f>
        <v>0</v>
      </c>
      <c r="DU90" s="9">
        <f t="shared" ref="DU90" si="293">+SUM(DU91)</f>
        <v>0</v>
      </c>
      <c r="DV90" s="9">
        <f t="shared" ref="DV90" si="294">+SUM(DV91)</f>
        <v>267.07421103619362</v>
      </c>
      <c r="DW90" s="9">
        <f t="shared" ref="DW90" si="295">+SUM(DW91)</f>
        <v>74.883499940532715</v>
      </c>
      <c r="DX90" s="9">
        <f t="shared" ref="DX90" si="296">+SUM(DX91)</f>
        <v>0</v>
      </c>
      <c r="DY90" s="9">
        <f t="shared" ref="DY90" si="297">+SUM(DY91)</f>
        <v>0</v>
      </c>
      <c r="DZ90" s="9">
        <f t="shared" ref="DZ90" si="298">+SUM(DZ91)</f>
        <v>0</v>
      </c>
      <c r="EA90" s="9">
        <f t="shared" ref="EA90" si="299">+SUM(EA91)</f>
        <v>102.720850398536</v>
      </c>
      <c r="EB90" s="9">
        <f t="shared" ref="EB90" si="300">+SUM(EB91)</f>
        <v>0</v>
      </c>
      <c r="EC90" s="9">
        <f t="shared" ref="EC90" si="301">+SUM(EC91)</f>
        <v>242.42120694054495</v>
      </c>
      <c r="ED90" s="9">
        <f t="shared" ref="ED90" si="302">+SUM(ED91)</f>
        <v>160.24452662171615</v>
      </c>
      <c r="EE90" s="9">
        <f t="shared" ref="EE90" si="303">+SUM(EE91)</f>
        <v>77.040637798901997</v>
      </c>
      <c r="EF90" s="9">
        <f t="shared" ref="EF90" si="304">+SUM(EF91)</f>
        <v>164.27615376158775</v>
      </c>
      <c r="EG90" s="9">
        <f t="shared" ref="EG90" si="305">+SUM(EG91)</f>
        <v>924.38493273642553</v>
      </c>
      <c r="EH90" s="10">
        <f t="shared" si="178"/>
        <v>5.6270183564071976</v>
      </c>
      <c r="EI90" s="10"/>
      <c r="EJ90" s="10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>
        <v>83</v>
      </c>
      <c r="EZ90" s="9">
        <v>60</v>
      </c>
      <c r="FA90" s="9"/>
      <c r="FB90" s="9">
        <v>60</v>
      </c>
      <c r="FC90" s="9">
        <v>15</v>
      </c>
      <c r="FD90" s="9"/>
      <c r="FE90" s="9"/>
      <c r="FF90" s="9"/>
      <c r="FG90" s="9"/>
      <c r="FH90" s="9">
        <v>0</v>
      </c>
      <c r="FI90" s="9">
        <v>0</v>
      </c>
      <c r="FJ90" s="9">
        <v>218</v>
      </c>
      <c r="FK90" s="10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>
        <v>0</v>
      </c>
      <c r="GJ90" s="9">
        <v>0</v>
      </c>
      <c r="GK90" s="9">
        <v>0</v>
      </c>
      <c r="GL90" s="10"/>
    </row>
    <row r="91" spans="1:194" s="11" customFormat="1" ht="24.95" customHeight="1">
      <c r="A91" s="15">
        <f>+A90+1</f>
        <v>1</v>
      </c>
      <c r="B91" s="16" t="s">
        <v>78</v>
      </c>
      <c r="C91" s="17" t="s">
        <v>37</v>
      </c>
      <c r="D91" s="17"/>
      <c r="E91" s="17"/>
      <c r="F91" s="17"/>
      <c r="G91" s="20">
        <v>47</v>
      </c>
      <c r="H91" s="20">
        <v>75</v>
      </c>
      <c r="I91" s="20">
        <v>55</v>
      </c>
      <c r="J91" s="20">
        <v>59</v>
      </c>
      <c r="K91" s="20">
        <v>80</v>
      </c>
      <c r="L91" s="20">
        <v>90</v>
      </c>
      <c r="M91" s="20">
        <v>87</v>
      </c>
      <c r="N91" s="20">
        <v>87</v>
      </c>
      <c r="O91" s="20">
        <v>86</v>
      </c>
      <c r="P91" s="20">
        <v>79</v>
      </c>
      <c r="Q91" s="20">
        <v>123</v>
      </c>
      <c r="R91" s="20">
        <v>156</v>
      </c>
      <c r="S91" s="20">
        <v>61</v>
      </c>
      <c r="T91" s="20">
        <v>31</v>
      </c>
      <c r="U91" s="20">
        <v>68</v>
      </c>
      <c r="V91" s="20">
        <v>71</v>
      </c>
      <c r="W91" s="20">
        <v>55</v>
      </c>
      <c r="X91" s="20">
        <v>59</v>
      </c>
      <c r="Y91" s="20">
        <v>36</v>
      </c>
      <c r="Z91" s="20">
        <v>42</v>
      </c>
      <c r="AA91" s="20">
        <v>45</v>
      </c>
      <c r="AB91" s="18">
        <v>517</v>
      </c>
      <c r="AC91" s="18">
        <f t="shared" si="172"/>
        <v>826</v>
      </c>
      <c r="AD91" s="19">
        <f t="shared" si="173"/>
        <v>1.5976789168278529</v>
      </c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>
        <v>8</v>
      </c>
      <c r="AR91" s="20">
        <v>29</v>
      </c>
      <c r="AS91" s="20">
        <v>39</v>
      </c>
      <c r="AT91" s="20">
        <v>23</v>
      </c>
      <c r="AU91" s="20">
        <v>31</v>
      </c>
      <c r="AV91" s="20">
        <v>24</v>
      </c>
      <c r="AW91" s="20">
        <v>16</v>
      </c>
      <c r="AX91" s="20">
        <v>9</v>
      </c>
      <c r="AY91" s="20">
        <v>27</v>
      </c>
      <c r="AZ91" s="20">
        <v>17</v>
      </c>
      <c r="BA91" s="20">
        <v>22</v>
      </c>
      <c r="BB91" s="20">
        <v>6</v>
      </c>
      <c r="BC91" s="27">
        <v>243</v>
      </c>
      <c r="BD91" s="27">
        <f t="shared" si="174"/>
        <v>251</v>
      </c>
      <c r="BE91" s="19">
        <f t="shared" si="175"/>
        <v>1.0329218106995885</v>
      </c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>
        <v>60</v>
      </c>
      <c r="BS91" s="20">
        <v>110</v>
      </c>
      <c r="BT91" s="20">
        <v>44</v>
      </c>
      <c r="BU91" s="20">
        <v>78</v>
      </c>
      <c r="BV91" s="20">
        <v>129</v>
      </c>
      <c r="BW91" s="20">
        <v>39</v>
      </c>
      <c r="BX91" s="20">
        <v>45</v>
      </c>
      <c r="BY91" s="20">
        <v>23</v>
      </c>
      <c r="BZ91" s="20">
        <v>55</v>
      </c>
      <c r="CA91" s="20">
        <v>50</v>
      </c>
      <c r="CB91" s="20">
        <v>4</v>
      </c>
      <c r="CC91" s="20">
        <v>10</v>
      </c>
      <c r="CD91" s="22">
        <v>549</v>
      </c>
      <c r="CE91" s="22">
        <f t="shared" si="275"/>
        <v>647</v>
      </c>
      <c r="CF91" s="19">
        <f t="shared" si="179"/>
        <v>1.1785063752276868</v>
      </c>
      <c r="CG91" s="20"/>
      <c r="CH91" s="20"/>
      <c r="CI91" s="20"/>
      <c r="CJ91" s="20"/>
      <c r="CK91" s="20"/>
      <c r="CL91" s="20"/>
      <c r="CM91" s="20"/>
      <c r="CN91" s="20"/>
      <c r="CO91" s="20"/>
      <c r="CP91" s="20">
        <v>135</v>
      </c>
      <c r="CQ91" s="20"/>
      <c r="CR91" s="20"/>
      <c r="CS91" s="20">
        <v>481.8631489924274</v>
      </c>
      <c r="CT91" s="20">
        <v>766.83597904171245</v>
      </c>
      <c r="CU91" s="20">
        <v>1327.3516291277426</v>
      </c>
      <c r="CV91" s="20">
        <v>1108.8033751008545</v>
      </c>
      <c r="CW91" s="20">
        <v>352.33004442457059</v>
      </c>
      <c r="CX91" s="20">
        <v>1061.2699070486337</v>
      </c>
      <c r="CY91" s="20">
        <v>1741.6223316269889</v>
      </c>
      <c r="CZ91" s="20">
        <v>2280.818905230823</v>
      </c>
      <c r="DA91" s="20">
        <v>2064.7654587979118</v>
      </c>
      <c r="DB91" s="20">
        <v>2507.8334429722659</v>
      </c>
      <c r="DC91" s="20">
        <v>1107.7671102643117</v>
      </c>
      <c r="DD91" s="20">
        <v>447.66640938651318</v>
      </c>
      <c r="DE91" s="14">
        <v>8961.3860043176373</v>
      </c>
      <c r="DF91" s="14">
        <v>14715.632820000001</v>
      </c>
      <c r="DG91" s="19">
        <f t="shared" si="177"/>
        <v>1.6421157188084456</v>
      </c>
      <c r="DH91" s="20"/>
      <c r="DI91" s="20"/>
      <c r="DJ91" s="20">
        <v>305</v>
      </c>
      <c r="DK91" s="20">
        <v>458</v>
      </c>
      <c r="DL91" s="20">
        <v>300</v>
      </c>
      <c r="DM91" s="20">
        <v>410</v>
      </c>
      <c r="DN91" s="20">
        <v>426</v>
      </c>
      <c r="DO91" s="20">
        <v>749</v>
      </c>
      <c r="DP91" s="20">
        <v>425</v>
      </c>
      <c r="DQ91" s="20">
        <v>420</v>
      </c>
      <c r="DR91" s="20">
        <v>615</v>
      </c>
      <c r="DS91" s="20"/>
      <c r="DT91" s="20">
        <v>0</v>
      </c>
      <c r="DU91" s="20">
        <v>0</v>
      </c>
      <c r="DV91" s="20">
        <v>267.07421103619362</v>
      </c>
      <c r="DW91" s="20">
        <v>74.883499940532715</v>
      </c>
      <c r="DX91" s="20">
        <v>0</v>
      </c>
      <c r="DY91" s="20">
        <v>0</v>
      </c>
      <c r="DZ91" s="20">
        <v>0</v>
      </c>
      <c r="EA91" s="20">
        <v>102.720850398536</v>
      </c>
      <c r="EB91" s="20">
        <v>0</v>
      </c>
      <c r="EC91" s="20">
        <v>242.42120694054495</v>
      </c>
      <c r="ED91" s="20">
        <v>160.24452662171615</v>
      </c>
      <c r="EE91" s="20">
        <v>77.040637798901997</v>
      </c>
      <c r="EF91" s="20">
        <v>164.27615376158775</v>
      </c>
      <c r="EG91" s="14">
        <f t="shared" si="236"/>
        <v>924.38493273642553</v>
      </c>
      <c r="EH91" s="19"/>
      <c r="EI91" s="19"/>
      <c r="EJ91" s="19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>
        <v>83</v>
      </c>
      <c r="EZ91" s="20">
        <v>60</v>
      </c>
      <c r="FA91" s="20"/>
      <c r="FB91" s="20">
        <v>60</v>
      </c>
      <c r="FC91" s="20">
        <v>15</v>
      </c>
      <c r="FD91" s="20"/>
      <c r="FE91" s="20"/>
      <c r="FF91" s="20"/>
      <c r="FG91" s="20"/>
      <c r="FH91" s="20">
        <v>0</v>
      </c>
      <c r="FI91" s="14"/>
      <c r="FJ91" s="14">
        <v>218</v>
      </c>
      <c r="FK91" s="19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19"/>
    </row>
    <row r="92" spans="1:194" s="11" customFormat="1" ht="32.25" customHeight="1">
      <c r="A92" s="6"/>
      <c r="B92" s="7" t="s">
        <v>4</v>
      </c>
      <c r="C92" s="8"/>
      <c r="D92" s="8"/>
      <c r="E92" s="8"/>
      <c r="F92" s="8"/>
      <c r="G92" s="9">
        <f>+SUM(G93:G100)</f>
        <v>483</v>
      </c>
      <c r="H92" s="9">
        <f t="shared" ref="H92:O92" si="306">+SUM(H93:H100)</f>
        <v>549</v>
      </c>
      <c r="I92" s="9">
        <f t="shared" si="306"/>
        <v>731</v>
      </c>
      <c r="J92" s="9">
        <f t="shared" si="306"/>
        <v>640</v>
      </c>
      <c r="K92" s="9">
        <f t="shared" si="306"/>
        <v>599</v>
      </c>
      <c r="L92" s="9">
        <f t="shared" si="306"/>
        <v>582</v>
      </c>
      <c r="M92" s="9">
        <f t="shared" si="306"/>
        <v>569</v>
      </c>
      <c r="N92" s="9">
        <f t="shared" si="306"/>
        <v>555</v>
      </c>
      <c r="O92" s="9">
        <f t="shared" si="306"/>
        <v>550</v>
      </c>
      <c r="P92" s="9">
        <f t="shared" ref="P92" si="307">+SUM(P93:P100)</f>
        <v>424</v>
      </c>
      <c r="Q92" s="9">
        <f t="shared" ref="Q92" si="308">+SUM(Q93:Q100)</f>
        <v>316</v>
      </c>
      <c r="R92" s="9">
        <f t="shared" ref="R92" si="309">+SUM(R93:R100)</f>
        <v>328</v>
      </c>
      <c r="S92" s="9">
        <f t="shared" ref="S92" si="310">+SUM(S93:S100)</f>
        <v>382</v>
      </c>
      <c r="T92" s="9">
        <f t="shared" ref="T92" si="311">+SUM(T93:T100)</f>
        <v>284</v>
      </c>
      <c r="U92" s="9">
        <f t="shared" ref="U92" si="312">+SUM(U93:U100)</f>
        <v>550</v>
      </c>
      <c r="V92" s="9">
        <f t="shared" ref="V92" si="313">+SUM(V93:V100)</f>
        <v>355</v>
      </c>
      <c r="W92" s="9">
        <f t="shared" ref="W92" si="314">+SUM(W93:W100)</f>
        <v>434</v>
      </c>
      <c r="X92" s="9">
        <f t="shared" ref="X92" si="315">+SUM(X93:X100)</f>
        <v>328</v>
      </c>
      <c r="Y92" s="9">
        <f t="shared" ref="Y92" si="316">+SUM(Y93:Y100)</f>
        <v>203</v>
      </c>
      <c r="Z92" s="9">
        <f t="shared" ref="Z92" si="317">+SUM(Z93:Z100)</f>
        <v>194</v>
      </c>
      <c r="AA92" s="9">
        <f t="shared" ref="AA92" si="318">+SUM(AA93:AA100)</f>
        <v>122</v>
      </c>
      <c r="AB92" s="9">
        <f t="shared" ref="AB92" si="319">+SUM(AB93:AB100)</f>
        <v>3412</v>
      </c>
      <c r="AC92" s="9">
        <f t="shared" si="172"/>
        <v>3920</v>
      </c>
      <c r="AD92" s="10">
        <f t="shared" si="173"/>
        <v>1.1488862837045721</v>
      </c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>
        <f t="shared" ref="AQ92:BB92" si="320">+SUM(AQ93:AQ100)</f>
        <v>2</v>
      </c>
      <c r="AR92" s="9">
        <f t="shared" si="320"/>
        <v>14</v>
      </c>
      <c r="AS92" s="9">
        <f t="shared" si="320"/>
        <v>23</v>
      </c>
      <c r="AT92" s="9">
        <f t="shared" si="320"/>
        <v>16</v>
      </c>
      <c r="AU92" s="9">
        <f t="shared" si="320"/>
        <v>10</v>
      </c>
      <c r="AV92" s="9">
        <f t="shared" si="320"/>
        <v>9</v>
      </c>
      <c r="AW92" s="9">
        <f t="shared" si="320"/>
        <v>8</v>
      </c>
      <c r="AX92" s="9">
        <f t="shared" si="320"/>
        <v>3</v>
      </c>
      <c r="AY92" s="9">
        <f t="shared" si="320"/>
        <v>23</v>
      </c>
      <c r="AZ92" s="9">
        <f t="shared" si="320"/>
        <v>9</v>
      </c>
      <c r="BA92" s="9">
        <f t="shared" si="320"/>
        <v>8</v>
      </c>
      <c r="BB92" s="9">
        <f t="shared" si="320"/>
        <v>15</v>
      </c>
      <c r="BC92" s="9">
        <f>+SUM(BC93:BC96)</f>
        <v>135</v>
      </c>
      <c r="BD92" s="9">
        <f t="shared" si="174"/>
        <v>140</v>
      </c>
      <c r="BE92" s="10">
        <f t="shared" si="175"/>
        <v>1.037037037037037</v>
      </c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>
        <f t="shared" ref="BR92:CD92" si="321">+SUM(BR93:BR100)</f>
        <v>693</v>
      </c>
      <c r="BS92" s="9">
        <f t="shared" si="321"/>
        <v>660</v>
      </c>
      <c r="BT92" s="9">
        <f t="shared" si="321"/>
        <v>204</v>
      </c>
      <c r="BU92" s="9">
        <f t="shared" si="321"/>
        <v>239</v>
      </c>
      <c r="BV92" s="9">
        <f t="shared" si="321"/>
        <v>338</v>
      </c>
      <c r="BW92" s="9">
        <f t="shared" si="321"/>
        <v>273</v>
      </c>
      <c r="BX92" s="9">
        <f t="shared" si="321"/>
        <v>363</v>
      </c>
      <c r="BY92" s="9">
        <f t="shared" si="321"/>
        <v>448</v>
      </c>
      <c r="BZ92" s="9">
        <f t="shared" si="321"/>
        <v>471</v>
      </c>
      <c r="CA92" s="9">
        <f t="shared" si="321"/>
        <v>877</v>
      </c>
      <c r="CB92" s="9">
        <f t="shared" si="321"/>
        <v>413</v>
      </c>
      <c r="CC92" s="9">
        <f t="shared" si="321"/>
        <v>542</v>
      </c>
      <c r="CD92" s="9">
        <f t="shared" si="321"/>
        <v>5202</v>
      </c>
      <c r="CE92" s="9">
        <f>+SUM(CE93:CE100)</f>
        <v>5521</v>
      </c>
      <c r="CF92" s="10">
        <f t="shared" si="179"/>
        <v>1.0613225682429834</v>
      </c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>
        <v>0</v>
      </c>
      <c r="DE92" s="9">
        <v>0</v>
      </c>
      <c r="DF92" s="9">
        <v>0</v>
      </c>
      <c r="DG92" s="10">
        <v>0</v>
      </c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>
        <v>0</v>
      </c>
      <c r="DV92" s="9">
        <v>0</v>
      </c>
      <c r="DW92" s="9">
        <v>0</v>
      </c>
      <c r="DX92" s="9">
        <v>0</v>
      </c>
      <c r="DY92" s="9">
        <v>0</v>
      </c>
      <c r="DZ92" s="9">
        <v>0</v>
      </c>
      <c r="EA92" s="9">
        <v>0</v>
      </c>
      <c r="EB92" s="9">
        <v>0</v>
      </c>
      <c r="EC92" s="9">
        <v>0</v>
      </c>
      <c r="ED92" s="9">
        <v>0</v>
      </c>
      <c r="EE92" s="9">
        <v>0</v>
      </c>
      <c r="EF92" s="9">
        <v>0</v>
      </c>
      <c r="EG92" s="9">
        <v>0</v>
      </c>
      <c r="EH92" s="10"/>
      <c r="EI92" s="10"/>
      <c r="EJ92" s="10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>
        <v>276.294608959757</v>
      </c>
      <c r="FB92" s="9">
        <v>113.02961275626424</v>
      </c>
      <c r="FC92" s="9">
        <v>91.051632498101753</v>
      </c>
      <c r="FD92" s="9">
        <v>86.028094153378888</v>
      </c>
      <c r="FE92" s="9">
        <v>0</v>
      </c>
      <c r="FF92" s="9">
        <v>135.00759301442673</v>
      </c>
      <c r="FG92" s="9">
        <v>125.58845861807137</v>
      </c>
      <c r="FH92" s="9">
        <v>0</v>
      </c>
      <c r="FI92" s="9">
        <v>0</v>
      </c>
      <c r="FJ92" s="9">
        <v>827</v>
      </c>
      <c r="FK92" s="10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>
        <v>0</v>
      </c>
      <c r="GJ92" s="9">
        <v>0</v>
      </c>
      <c r="GK92" s="9">
        <v>0</v>
      </c>
      <c r="GL92" s="10"/>
    </row>
    <row r="93" spans="1:194" s="11" customFormat="1" ht="24.95" customHeight="1">
      <c r="A93" s="15">
        <v>1</v>
      </c>
      <c r="B93" s="16" t="s">
        <v>88</v>
      </c>
      <c r="C93" s="17" t="s">
        <v>27</v>
      </c>
      <c r="D93" s="17"/>
      <c r="E93" s="17"/>
      <c r="F93" s="17"/>
      <c r="G93" s="20">
        <v>110</v>
      </c>
      <c r="H93" s="20">
        <v>138</v>
      </c>
      <c r="I93" s="20">
        <v>135</v>
      </c>
      <c r="J93" s="20">
        <v>104</v>
      </c>
      <c r="K93" s="20">
        <v>97</v>
      </c>
      <c r="L93" s="20">
        <v>99</v>
      </c>
      <c r="M93" s="20">
        <v>98</v>
      </c>
      <c r="N93" s="20">
        <v>89</v>
      </c>
      <c r="O93" s="20">
        <v>99</v>
      </c>
      <c r="P93" s="20">
        <v>124</v>
      </c>
      <c r="Q93" s="20">
        <v>53</v>
      </c>
      <c r="R93" s="20">
        <v>57</v>
      </c>
      <c r="S93" s="20">
        <v>58</v>
      </c>
      <c r="T93" s="20">
        <v>59</v>
      </c>
      <c r="U93" s="20">
        <v>64</v>
      </c>
      <c r="V93" s="20">
        <v>87</v>
      </c>
      <c r="W93" s="20">
        <v>46</v>
      </c>
      <c r="X93" s="20">
        <v>60</v>
      </c>
      <c r="Y93" s="20">
        <v>40</v>
      </c>
      <c r="Z93" s="20">
        <v>4</v>
      </c>
      <c r="AA93" s="20">
        <v>16</v>
      </c>
      <c r="AB93" s="18">
        <v>469</v>
      </c>
      <c r="AC93" s="18">
        <f>(+P93+Q93+R93+S93+T93+U93+V93+W93+X93+Y93+Z93+AA93)</f>
        <v>668</v>
      </c>
      <c r="AD93" s="19">
        <f t="shared" si="173"/>
        <v>1.4243070362473347</v>
      </c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>
        <v>10</v>
      </c>
      <c r="AS93" s="20">
        <v>12</v>
      </c>
      <c r="AT93" s="20">
        <v>8</v>
      </c>
      <c r="AU93" s="20">
        <v>4</v>
      </c>
      <c r="AV93" s="20">
        <v>5</v>
      </c>
      <c r="AW93" s="20">
        <v>4</v>
      </c>
      <c r="AX93" s="20"/>
      <c r="AY93" s="20">
        <v>15</v>
      </c>
      <c r="AZ93" s="20">
        <v>5</v>
      </c>
      <c r="BA93" s="20">
        <v>7</v>
      </c>
      <c r="BB93" s="20">
        <v>8</v>
      </c>
      <c r="BC93" s="27">
        <v>70</v>
      </c>
      <c r="BD93" s="27">
        <f t="shared" si="174"/>
        <v>78</v>
      </c>
      <c r="BE93" s="19">
        <f t="shared" si="175"/>
        <v>1.1142857142857143</v>
      </c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>
        <v>61</v>
      </c>
      <c r="BS93" s="20">
        <v>84</v>
      </c>
      <c r="BT93" s="20">
        <v>22</v>
      </c>
      <c r="BU93" s="20">
        <v>39</v>
      </c>
      <c r="BV93" s="20">
        <v>82</v>
      </c>
      <c r="BW93" s="20">
        <v>31</v>
      </c>
      <c r="BX93" s="20">
        <v>112</v>
      </c>
      <c r="BY93" s="20">
        <v>25</v>
      </c>
      <c r="BZ93" s="20">
        <v>47</v>
      </c>
      <c r="CA93" s="20">
        <v>118</v>
      </c>
      <c r="CB93" s="20">
        <v>16</v>
      </c>
      <c r="CC93" s="20">
        <v>91</v>
      </c>
      <c r="CD93" s="21">
        <v>750</v>
      </c>
      <c r="CE93" s="22">
        <f t="shared" ref="CE93:CE102" si="322">+SUM(BR93:CC93)</f>
        <v>728</v>
      </c>
      <c r="CF93" s="19">
        <f t="shared" si="179"/>
        <v>0.97066666666666668</v>
      </c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>
        <v>0</v>
      </c>
      <c r="CT93" s="20">
        <v>0</v>
      </c>
      <c r="CU93" s="20">
        <v>0</v>
      </c>
      <c r="CV93" s="20">
        <v>0</v>
      </c>
      <c r="CW93" s="20">
        <v>0</v>
      </c>
      <c r="CX93" s="20">
        <v>0</v>
      </c>
      <c r="CY93" s="20">
        <v>0</v>
      </c>
      <c r="CZ93" s="20">
        <v>0</v>
      </c>
      <c r="DA93" s="20">
        <v>0</v>
      </c>
      <c r="DB93" s="20">
        <v>0</v>
      </c>
      <c r="DC93" s="20">
        <v>0</v>
      </c>
      <c r="DD93" s="20">
        <v>0</v>
      </c>
      <c r="DE93" s="14"/>
      <c r="DF93" s="14">
        <v>0</v>
      </c>
      <c r="DG93" s="19">
        <v>0</v>
      </c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>
        <v>0</v>
      </c>
      <c r="DU93" s="20">
        <v>0</v>
      </c>
      <c r="DV93" s="20">
        <v>0</v>
      </c>
      <c r="DW93" s="20">
        <v>0</v>
      </c>
      <c r="DX93" s="20">
        <v>0</v>
      </c>
      <c r="DY93" s="20">
        <v>0</v>
      </c>
      <c r="DZ93" s="20">
        <v>0</v>
      </c>
      <c r="EA93" s="20">
        <v>0</v>
      </c>
      <c r="EB93" s="20">
        <v>0</v>
      </c>
      <c r="EC93" s="20">
        <v>0</v>
      </c>
      <c r="ED93" s="20">
        <v>0</v>
      </c>
      <c r="EE93" s="20">
        <v>0</v>
      </c>
      <c r="EF93" s="14"/>
      <c r="EG93" s="14"/>
      <c r="EH93" s="19"/>
      <c r="EI93" s="19"/>
      <c r="EJ93" s="19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>
        <v>0</v>
      </c>
      <c r="FI93" s="14"/>
      <c r="FJ93" s="14"/>
      <c r="FK93" s="19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19"/>
    </row>
    <row r="94" spans="1:194" s="11" customFormat="1" ht="24.95" customHeight="1">
      <c r="A94" s="15">
        <f t="shared" si="24"/>
        <v>2</v>
      </c>
      <c r="B94" s="16" t="s">
        <v>89</v>
      </c>
      <c r="C94" s="17" t="s">
        <v>28</v>
      </c>
      <c r="D94" s="17"/>
      <c r="E94" s="17"/>
      <c r="F94" s="17"/>
      <c r="G94" s="20">
        <v>58</v>
      </c>
      <c r="H94" s="20">
        <v>13</v>
      </c>
      <c r="I94" s="20">
        <v>104</v>
      </c>
      <c r="J94" s="20">
        <v>95</v>
      </c>
      <c r="K94" s="20">
        <v>77</v>
      </c>
      <c r="L94" s="20">
        <v>85</v>
      </c>
      <c r="M94" s="20">
        <v>80</v>
      </c>
      <c r="N94" s="20">
        <v>83</v>
      </c>
      <c r="O94" s="20">
        <v>80</v>
      </c>
      <c r="P94" s="20">
        <v>67</v>
      </c>
      <c r="Q94" s="20">
        <v>52</v>
      </c>
      <c r="R94" s="20">
        <v>43</v>
      </c>
      <c r="S94" s="20">
        <v>31</v>
      </c>
      <c r="T94" s="20">
        <v>48</v>
      </c>
      <c r="U94" s="20">
        <v>50</v>
      </c>
      <c r="V94" s="20">
        <v>48</v>
      </c>
      <c r="W94" s="20">
        <v>76</v>
      </c>
      <c r="X94" s="20"/>
      <c r="Y94" s="20">
        <v>25</v>
      </c>
      <c r="Z94" s="20">
        <v>34</v>
      </c>
      <c r="AA94" s="20">
        <v>16</v>
      </c>
      <c r="AB94" s="18">
        <v>507</v>
      </c>
      <c r="AC94" s="18">
        <f t="shared" si="172"/>
        <v>490</v>
      </c>
      <c r="AD94" s="19">
        <f t="shared" si="173"/>
        <v>0.9664694280078896</v>
      </c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7"/>
      <c r="BD94" s="27">
        <f t="shared" si="174"/>
        <v>0</v>
      </c>
      <c r="BE94" s="19">
        <v>0</v>
      </c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>
        <v>96</v>
      </c>
      <c r="BS94" s="20">
        <v>162</v>
      </c>
      <c r="BT94" s="20">
        <v>22</v>
      </c>
      <c r="BU94" s="20">
        <v>25</v>
      </c>
      <c r="BV94" s="20">
        <v>47</v>
      </c>
      <c r="BW94" s="20">
        <v>55</v>
      </c>
      <c r="BX94" s="20">
        <v>49</v>
      </c>
      <c r="BY94" s="20">
        <v>132</v>
      </c>
      <c r="BZ94" s="20">
        <v>85</v>
      </c>
      <c r="CA94" s="20">
        <v>84</v>
      </c>
      <c r="CB94" s="20">
        <v>10</v>
      </c>
      <c r="CC94" s="20">
        <v>90</v>
      </c>
      <c r="CD94" s="21">
        <v>943</v>
      </c>
      <c r="CE94" s="22">
        <f t="shared" si="322"/>
        <v>857</v>
      </c>
      <c r="CF94" s="19">
        <f t="shared" si="179"/>
        <v>0.90880169671261934</v>
      </c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>
        <v>0</v>
      </c>
      <c r="CT94" s="20">
        <v>0</v>
      </c>
      <c r="CU94" s="20">
        <v>0</v>
      </c>
      <c r="CV94" s="20">
        <v>0</v>
      </c>
      <c r="CW94" s="20">
        <v>0</v>
      </c>
      <c r="CX94" s="20">
        <v>0</v>
      </c>
      <c r="CY94" s="20">
        <v>0</v>
      </c>
      <c r="CZ94" s="20">
        <v>0</v>
      </c>
      <c r="DA94" s="20">
        <v>0</v>
      </c>
      <c r="DB94" s="20">
        <v>0</v>
      </c>
      <c r="DC94" s="20">
        <v>0</v>
      </c>
      <c r="DD94" s="20">
        <v>0</v>
      </c>
      <c r="DE94" s="14"/>
      <c r="DF94" s="14">
        <v>0</v>
      </c>
      <c r="DG94" s="19">
        <v>0</v>
      </c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>
        <v>0</v>
      </c>
      <c r="DU94" s="20">
        <v>0</v>
      </c>
      <c r="DV94" s="20">
        <v>0</v>
      </c>
      <c r="DW94" s="20">
        <v>0</v>
      </c>
      <c r="DX94" s="20">
        <v>0</v>
      </c>
      <c r="DY94" s="20">
        <v>0</v>
      </c>
      <c r="DZ94" s="20">
        <v>0</v>
      </c>
      <c r="EA94" s="20">
        <v>0</v>
      </c>
      <c r="EB94" s="20">
        <v>0</v>
      </c>
      <c r="EC94" s="20">
        <v>0</v>
      </c>
      <c r="ED94" s="20">
        <v>0</v>
      </c>
      <c r="EE94" s="20">
        <v>0</v>
      </c>
      <c r="EF94" s="14"/>
      <c r="EG94" s="14"/>
      <c r="EH94" s="19"/>
      <c r="EI94" s="19"/>
      <c r="EJ94" s="19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>
        <v>0</v>
      </c>
      <c r="FI94" s="14"/>
      <c r="FJ94" s="14"/>
      <c r="FK94" s="19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19"/>
    </row>
    <row r="95" spans="1:194" s="11" customFormat="1" ht="24.95" customHeight="1">
      <c r="A95" s="15">
        <f t="shared" si="24"/>
        <v>3</v>
      </c>
      <c r="B95" s="16" t="s">
        <v>90</v>
      </c>
      <c r="C95" s="17" t="s">
        <v>29</v>
      </c>
      <c r="D95" s="17"/>
      <c r="E95" s="17"/>
      <c r="F95" s="17"/>
      <c r="G95" s="20">
        <v>75</v>
      </c>
      <c r="H95" s="20">
        <v>106</v>
      </c>
      <c r="I95" s="20">
        <v>93</v>
      </c>
      <c r="J95" s="20">
        <v>136</v>
      </c>
      <c r="K95" s="20">
        <v>85</v>
      </c>
      <c r="L95" s="20">
        <v>84</v>
      </c>
      <c r="M95" s="20">
        <v>82</v>
      </c>
      <c r="N95" s="20">
        <v>83</v>
      </c>
      <c r="O95" s="20">
        <v>68</v>
      </c>
      <c r="P95" s="20">
        <v>101</v>
      </c>
      <c r="Q95" s="20">
        <v>54</v>
      </c>
      <c r="R95" s="20">
        <v>46</v>
      </c>
      <c r="S95" s="20">
        <v>30</v>
      </c>
      <c r="T95" s="20">
        <v>52</v>
      </c>
      <c r="U95" s="20">
        <v>22</v>
      </c>
      <c r="V95" s="20">
        <v>55</v>
      </c>
      <c r="W95" s="20">
        <v>79</v>
      </c>
      <c r="X95" s="20">
        <v>60</v>
      </c>
      <c r="Y95" s="20">
        <v>55</v>
      </c>
      <c r="Z95" s="20">
        <v>37</v>
      </c>
      <c r="AA95" s="20">
        <v>19</v>
      </c>
      <c r="AB95" s="18">
        <v>489</v>
      </c>
      <c r="AC95" s="18">
        <f t="shared" si="172"/>
        <v>610</v>
      </c>
      <c r="AD95" s="19">
        <f t="shared" si="173"/>
        <v>1.2474437627811861</v>
      </c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7"/>
      <c r="BD95" s="27">
        <f t="shared" si="174"/>
        <v>0</v>
      </c>
      <c r="BE95" s="19">
        <v>0</v>
      </c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>
        <v>15</v>
      </c>
      <c r="BS95" s="20">
        <v>57</v>
      </c>
      <c r="BT95" s="20">
        <v>25</v>
      </c>
      <c r="BU95" s="20">
        <v>34</v>
      </c>
      <c r="BV95" s="20">
        <v>40</v>
      </c>
      <c r="BW95" s="20">
        <v>44</v>
      </c>
      <c r="BX95" s="20">
        <v>34</v>
      </c>
      <c r="BY95" s="20">
        <v>137</v>
      </c>
      <c r="BZ95" s="20">
        <v>61</v>
      </c>
      <c r="CA95" s="20">
        <v>203</v>
      </c>
      <c r="CB95" s="20">
        <v>82</v>
      </c>
      <c r="CC95" s="20">
        <v>109</v>
      </c>
      <c r="CD95" s="21">
        <v>751</v>
      </c>
      <c r="CE95" s="22">
        <f t="shared" si="322"/>
        <v>841</v>
      </c>
      <c r="CF95" s="19">
        <f t="shared" si="179"/>
        <v>1.1198402130492677</v>
      </c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>
        <v>0</v>
      </c>
      <c r="CT95" s="20">
        <v>0</v>
      </c>
      <c r="CU95" s="20">
        <v>0</v>
      </c>
      <c r="CV95" s="20">
        <v>0</v>
      </c>
      <c r="CW95" s="20">
        <v>0</v>
      </c>
      <c r="CX95" s="20">
        <v>0</v>
      </c>
      <c r="CY95" s="20">
        <v>0</v>
      </c>
      <c r="CZ95" s="20">
        <v>0</v>
      </c>
      <c r="DA95" s="20">
        <v>0</v>
      </c>
      <c r="DB95" s="20">
        <v>0</v>
      </c>
      <c r="DC95" s="20">
        <v>0</v>
      </c>
      <c r="DD95" s="20">
        <v>0</v>
      </c>
      <c r="DE95" s="14"/>
      <c r="DF95" s="14">
        <v>0</v>
      </c>
      <c r="DG95" s="19">
        <v>0</v>
      </c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>
        <v>0</v>
      </c>
      <c r="DU95" s="20">
        <v>0</v>
      </c>
      <c r="DV95" s="20">
        <v>0</v>
      </c>
      <c r="DW95" s="20">
        <v>0</v>
      </c>
      <c r="DX95" s="20">
        <v>0</v>
      </c>
      <c r="DY95" s="20">
        <v>0</v>
      </c>
      <c r="DZ95" s="20">
        <v>0</v>
      </c>
      <c r="EA95" s="20">
        <v>0</v>
      </c>
      <c r="EB95" s="20">
        <v>0</v>
      </c>
      <c r="EC95" s="20">
        <v>0</v>
      </c>
      <c r="ED95" s="20">
        <v>0</v>
      </c>
      <c r="EE95" s="20">
        <v>0</v>
      </c>
      <c r="EF95" s="14"/>
      <c r="EG95" s="14"/>
      <c r="EH95" s="19"/>
      <c r="EI95" s="19"/>
      <c r="EJ95" s="19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>
        <v>0</v>
      </c>
      <c r="FI95" s="14"/>
      <c r="FJ95" s="14"/>
      <c r="FK95" s="19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19"/>
    </row>
    <row r="96" spans="1:194" s="11" customFormat="1" ht="24.95" customHeight="1">
      <c r="A96" s="15">
        <f t="shared" si="24"/>
        <v>4</v>
      </c>
      <c r="B96" s="16" t="s">
        <v>68</v>
      </c>
      <c r="C96" s="17" t="s">
        <v>30</v>
      </c>
      <c r="D96" s="17"/>
      <c r="E96" s="17"/>
      <c r="F96" s="17"/>
      <c r="G96" s="20">
        <v>56</v>
      </c>
      <c r="H96" s="20">
        <v>39</v>
      </c>
      <c r="I96" s="20">
        <v>156</v>
      </c>
      <c r="J96" s="20">
        <v>90</v>
      </c>
      <c r="K96" s="20">
        <v>94</v>
      </c>
      <c r="L96" s="20">
        <v>81</v>
      </c>
      <c r="M96" s="20">
        <v>66</v>
      </c>
      <c r="N96" s="20">
        <v>76</v>
      </c>
      <c r="O96" s="20">
        <v>76</v>
      </c>
      <c r="P96" s="20">
        <v>31</v>
      </c>
      <c r="Q96" s="20">
        <v>76</v>
      </c>
      <c r="R96" s="20">
        <v>45</v>
      </c>
      <c r="S96" s="20">
        <v>32</v>
      </c>
      <c r="T96" s="20">
        <v>47</v>
      </c>
      <c r="U96" s="20">
        <v>35</v>
      </c>
      <c r="V96" s="20">
        <v>34</v>
      </c>
      <c r="W96" s="20">
        <v>72</v>
      </c>
      <c r="X96" s="20">
        <v>67</v>
      </c>
      <c r="Y96" s="20">
        <v>25</v>
      </c>
      <c r="Z96" s="20">
        <v>23</v>
      </c>
      <c r="AA96" s="20">
        <v>12</v>
      </c>
      <c r="AB96" s="18">
        <v>482</v>
      </c>
      <c r="AC96" s="18">
        <f t="shared" si="172"/>
        <v>499</v>
      </c>
      <c r="AD96" s="19">
        <f t="shared" si="173"/>
        <v>1.0352697095435686</v>
      </c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>
        <v>2</v>
      </c>
      <c r="AR96" s="20">
        <v>4</v>
      </c>
      <c r="AS96" s="20">
        <v>11</v>
      </c>
      <c r="AT96" s="20">
        <v>8</v>
      </c>
      <c r="AU96" s="20">
        <v>6</v>
      </c>
      <c r="AV96" s="20">
        <v>4</v>
      </c>
      <c r="AW96" s="20">
        <v>4</v>
      </c>
      <c r="AX96" s="20">
        <v>3</v>
      </c>
      <c r="AY96" s="20">
        <v>8</v>
      </c>
      <c r="AZ96" s="20">
        <v>4</v>
      </c>
      <c r="BA96" s="20">
        <v>1</v>
      </c>
      <c r="BB96" s="20">
        <v>7</v>
      </c>
      <c r="BC96" s="27">
        <v>65</v>
      </c>
      <c r="BD96" s="27">
        <f t="shared" si="174"/>
        <v>62</v>
      </c>
      <c r="BE96" s="19">
        <f t="shared" si="175"/>
        <v>0.9538461538461539</v>
      </c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>
        <v>13</v>
      </c>
      <c r="BS96" s="20">
        <v>42</v>
      </c>
      <c r="BT96" s="20">
        <v>36</v>
      </c>
      <c r="BU96" s="20">
        <v>24</v>
      </c>
      <c r="BV96" s="20">
        <v>28</v>
      </c>
      <c r="BW96" s="20">
        <v>30</v>
      </c>
      <c r="BX96" s="20">
        <v>22</v>
      </c>
      <c r="BY96" s="20">
        <v>42</v>
      </c>
      <c r="BZ96" s="20">
        <v>36</v>
      </c>
      <c r="CA96" s="20">
        <v>130</v>
      </c>
      <c r="CB96" s="20">
        <v>93</v>
      </c>
      <c r="CC96" s="20">
        <v>86</v>
      </c>
      <c r="CD96" s="21">
        <v>590</v>
      </c>
      <c r="CE96" s="22">
        <f t="shared" si="322"/>
        <v>582</v>
      </c>
      <c r="CF96" s="19">
        <f t="shared" si="179"/>
        <v>0.98644067796610169</v>
      </c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>
        <v>0</v>
      </c>
      <c r="CT96" s="20">
        <v>0</v>
      </c>
      <c r="CU96" s="20">
        <v>0</v>
      </c>
      <c r="CV96" s="20">
        <v>0</v>
      </c>
      <c r="CW96" s="20">
        <v>0</v>
      </c>
      <c r="CX96" s="20">
        <v>0</v>
      </c>
      <c r="CY96" s="20">
        <v>0</v>
      </c>
      <c r="CZ96" s="20">
        <v>0</v>
      </c>
      <c r="DA96" s="20">
        <v>0</v>
      </c>
      <c r="DB96" s="20">
        <v>0</v>
      </c>
      <c r="DC96" s="20">
        <v>0</v>
      </c>
      <c r="DD96" s="20">
        <v>0</v>
      </c>
      <c r="DE96" s="14"/>
      <c r="DF96" s="14">
        <v>0</v>
      </c>
      <c r="DG96" s="19">
        <v>0</v>
      </c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>
        <v>0</v>
      </c>
      <c r="DU96" s="20">
        <v>0</v>
      </c>
      <c r="DV96" s="20">
        <v>0</v>
      </c>
      <c r="DW96" s="20">
        <v>0</v>
      </c>
      <c r="DX96" s="20">
        <v>0</v>
      </c>
      <c r="DY96" s="20">
        <v>0</v>
      </c>
      <c r="DZ96" s="20">
        <v>0</v>
      </c>
      <c r="EA96" s="20">
        <v>0</v>
      </c>
      <c r="EB96" s="20">
        <v>0</v>
      </c>
      <c r="EC96" s="20">
        <v>0</v>
      </c>
      <c r="ED96" s="20">
        <v>0</v>
      </c>
      <c r="EE96" s="20">
        <v>0</v>
      </c>
      <c r="EF96" s="14"/>
      <c r="EG96" s="14"/>
      <c r="EH96" s="19"/>
      <c r="EI96" s="19"/>
      <c r="EJ96" s="19"/>
      <c r="EK96" s="20"/>
      <c r="EL96" s="20">
        <f t="shared" ref="EL96:EL100" si="323">+DU96-DT96</f>
        <v>0</v>
      </c>
      <c r="EM96" s="20">
        <f t="shared" ref="EM96:EM100" si="324">+DV96-DU96</f>
        <v>0</v>
      </c>
      <c r="EN96" s="20">
        <f t="shared" ref="EN96:EN100" si="325">+DW96-DV96</f>
        <v>0</v>
      </c>
      <c r="EO96" s="20">
        <f t="shared" ref="EO96:EO100" si="326">+DX96-DW96</f>
        <v>0</v>
      </c>
      <c r="EP96" s="20">
        <f t="shared" ref="EP96:EP100" si="327">+DY96-DX96</f>
        <v>0</v>
      </c>
      <c r="EQ96" s="20">
        <f t="shared" ref="EQ96:EQ100" si="328">+DZ96-DY96</f>
        <v>0</v>
      </c>
      <c r="ER96" s="20">
        <f t="shared" ref="ER96:ER100" si="329">+EA96-DZ96</f>
        <v>0</v>
      </c>
      <c r="ES96" s="20">
        <f t="shared" ref="ES96:ES100" si="330">+EB96-EA96</f>
        <v>0</v>
      </c>
      <c r="ET96" s="20">
        <f t="shared" ref="ET96:ET100" si="331">+EC96-EB96</f>
        <v>0</v>
      </c>
      <c r="EU96" s="20">
        <f t="shared" ref="EU96:EU100" si="332">+ED96-EC96</f>
        <v>0</v>
      </c>
      <c r="EV96" s="20">
        <f t="shared" ref="EV96:EV100" si="333">+EE96-ED96</f>
        <v>0</v>
      </c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>
        <v>0</v>
      </c>
      <c r="FI96" s="14"/>
      <c r="FJ96" s="14"/>
      <c r="FK96" s="19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19"/>
    </row>
    <row r="97" spans="1:194" s="11" customFormat="1" ht="24.95" customHeight="1">
      <c r="A97" s="15">
        <f t="shared" si="24"/>
        <v>5</v>
      </c>
      <c r="B97" s="16" t="s">
        <v>71</v>
      </c>
      <c r="C97" s="17" t="s">
        <v>31</v>
      </c>
      <c r="D97" s="17"/>
      <c r="E97" s="17"/>
      <c r="F97" s="17"/>
      <c r="G97" s="20">
        <v>88</v>
      </c>
      <c r="H97" s="20">
        <v>98</v>
      </c>
      <c r="I97" s="20">
        <v>83</v>
      </c>
      <c r="J97" s="20">
        <v>95</v>
      </c>
      <c r="K97" s="20">
        <v>92</v>
      </c>
      <c r="L97" s="20">
        <v>90</v>
      </c>
      <c r="M97" s="20">
        <v>94</v>
      </c>
      <c r="N97" s="20">
        <v>86</v>
      </c>
      <c r="O97" s="20">
        <v>86</v>
      </c>
      <c r="P97" s="20">
        <v>32</v>
      </c>
      <c r="Q97" s="20">
        <v>3</v>
      </c>
      <c r="R97" s="20">
        <v>12</v>
      </c>
      <c r="S97" s="20">
        <v>55</v>
      </c>
      <c r="T97" s="20">
        <v>25</v>
      </c>
      <c r="U97" s="20">
        <v>293</v>
      </c>
      <c r="V97" s="20">
        <v>5</v>
      </c>
      <c r="W97" s="20">
        <v>10</v>
      </c>
      <c r="X97" s="20">
        <v>43</v>
      </c>
      <c r="Y97" s="20">
        <v>31</v>
      </c>
      <c r="Z97" s="20">
        <v>49</v>
      </c>
      <c r="AA97" s="20">
        <v>10</v>
      </c>
      <c r="AB97" s="18">
        <v>422</v>
      </c>
      <c r="AC97" s="18">
        <f t="shared" si="172"/>
        <v>568</v>
      </c>
      <c r="AD97" s="19">
        <f t="shared" si="173"/>
        <v>1.3459715639810426</v>
      </c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7"/>
      <c r="BD97" s="27">
        <f t="shared" si="174"/>
        <v>0</v>
      </c>
      <c r="BE97" s="19">
        <v>0</v>
      </c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>
        <v>113</v>
      </c>
      <c r="BS97" s="20">
        <v>160</v>
      </c>
      <c r="BT97" s="20">
        <v>25</v>
      </c>
      <c r="BU97" s="20">
        <v>31</v>
      </c>
      <c r="BV97" s="20">
        <v>23</v>
      </c>
      <c r="BW97" s="20">
        <v>1</v>
      </c>
      <c r="BX97" s="20">
        <v>47</v>
      </c>
      <c r="BY97" s="20">
        <v>12</v>
      </c>
      <c r="BZ97" s="20">
        <v>56</v>
      </c>
      <c r="CA97" s="20">
        <v>132</v>
      </c>
      <c r="CB97" s="20">
        <v>88</v>
      </c>
      <c r="CC97" s="20">
        <v>88</v>
      </c>
      <c r="CD97" s="21">
        <v>650</v>
      </c>
      <c r="CE97" s="22">
        <f t="shared" si="322"/>
        <v>776</v>
      </c>
      <c r="CF97" s="19">
        <f t="shared" si="179"/>
        <v>1.1938461538461538</v>
      </c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>
        <v>0</v>
      </c>
      <c r="CT97" s="20">
        <v>0</v>
      </c>
      <c r="CU97" s="20">
        <v>0</v>
      </c>
      <c r="CV97" s="20">
        <v>0</v>
      </c>
      <c r="CW97" s="20">
        <v>0</v>
      </c>
      <c r="CX97" s="20">
        <v>0</v>
      </c>
      <c r="CY97" s="20">
        <v>0</v>
      </c>
      <c r="CZ97" s="20">
        <v>0</v>
      </c>
      <c r="DA97" s="20">
        <v>0</v>
      </c>
      <c r="DB97" s="20">
        <v>0</v>
      </c>
      <c r="DC97" s="20">
        <v>0</v>
      </c>
      <c r="DD97" s="20">
        <v>0</v>
      </c>
      <c r="DE97" s="14"/>
      <c r="DF97" s="14">
        <v>0</v>
      </c>
      <c r="DG97" s="19">
        <v>0</v>
      </c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>
        <v>0</v>
      </c>
      <c r="DU97" s="20">
        <v>0</v>
      </c>
      <c r="DV97" s="20">
        <v>0</v>
      </c>
      <c r="DW97" s="20">
        <v>0</v>
      </c>
      <c r="DX97" s="20">
        <v>0</v>
      </c>
      <c r="DY97" s="20">
        <v>0</v>
      </c>
      <c r="DZ97" s="20">
        <v>0</v>
      </c>
      <c r="EA97" s="20">
        <v>0</v>
      </c>
      <c r="EB97" s="20">
        <v>0</v>
      </c>
      <c r="EC97" s="20">
        <v>0</v>
      </c>
      <c r="ED97" s="20">
        <v>0</v>
      </c>
      <c r="EE97" s="20">
        <v>0</v>
      </c>
      <c r="EF97" s="14"/>
      <c r="EG97" s="14"/>
      <c r="EH97" s="19"/>
      <c r="EI97" s="19"/>
      <c r="EJ97" s="19"/>
      <c r="EK97" s="20"/>
      <c r="EL97" s="20">
        <f t="shared" si="323"/>
        <v>0</v>
      </c>
      <c r="EM97" s="20">
        <f t="shared" si="324"/>
        <v>0</v>
      </c>
      <c r="EN97" s="20">
        <f t="shared" si="325"/>
        <v>0</v>
      </c>
      <c r="EO97" s="20">
        <f t="shared" si="326"/>
        <v>0</v>
      </c>
      <c r="EP97" s="20">
        <f t="shared" si="327"/>
        <v>0</v>
      </c>
      <c r="EQ97" s="20">
        <f t="shared" si="328"/>
        <v>0</v>
      </c>
      <c r="ER97" s="20">
        <f t="shared" si="329"/>
        <v>0</v>
      </c>
      <c r="ES97" s="20">
        <f t="shared" si="330"/>
        <v>0</v>
      </c>
      <c r="ET97" s="20">
        <f t="shared" si="331"/>
        <v>0</v>
      </c>
      <c r="EU97" s="20">
        <f t="shared" si="332"/>
        <v>0</v>
      </c>
      <c r="EV97" s="20">
        <f t="shared" si="333"/>
        <v>0</v>
      </c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>
        <v>0</v>
      </c>
      <c r="FI97" s="14"/>
      <c r="FJ97" s="14"/>
      <c r="FK97" s="19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20"/>
      <c r="GK97" s="20"/>
      <c r="GL97" s="19"/>
    </row>
    <row r="98" spans="1:194" s="11" customFormat="1" ht="24.95" customHeight="1">
      <c r="A98" s="15">
        <f t="shared" si="24"/>
        <v>6</v>
      </c>
      <c r="B98" s="16" t="s">
        <v>75</v>
      </c>
      <c r="C98" s="17" t="s">
        <v>32</v>
      </c>
      <c r="D98" s="17"/>
      <c r="E98" s="17"/>
      <c r="F98" s="17"/>
      <c r="G98" s="20">
        <v>27</v>
      </c>
      <c r="H98" s="20">
        <v>41</v>
      </c>
      <c r="I98" s="20">
        <v>30</v>
      </c>
      <c r="J98" s="20">
        <v>9</v>
      </c>
      <c r="K98" s="20">
        <v>27</v>
      </c>
      <c r="L98" s="20">
        <v>29</v>
      </c>
      <c r="M98" s="20">
        <v>30</v>
      </c>
      <c r="N98" s="20">
        <v>54</v>
      </c>
      <c r="O98" s="20">
        <v>28</v>
      </c>
      <c r="P98" s="20">
        <v>24</v>
      </c>
      <c r="Q98" s="20">
        <v>11</v>
      </c>
      <c r="R98" s="20">
        <v>10</v>
      </c>
      <c r="S98" s="20">
        <v>79</v>
      </c>
      <c r="T98" s="20">
        <v>19</v>
      </c>
      <c r="U98" s="20">
        <v>35</v>
      </c>
      <c r="V98" s="20">
        <v>62</v>
      </c>
      <c r="W98" s="20">
        <v>15</v>
      </c>
      <c r="X98" s="20">
        <v>4</v>
      </c>
      <c r="Y98" s="20">
        <v>5</v>
      </c>
      <c r="Z98" s="20">
        <v>15</v>
      </c>
      <c r="AA98" s="20">
        <v>15</v>
      </c>
      <c r="AB98" s="18">
        <v>287</v>
      </c>
      <c r="AC98" s="18">
        <f t="shared" si="172"/>
        <v>294</v>
      </c>
      <c r="AD98" s="19">
        <f t="shared" si="173"/>
        <v>1.024390243902439</v>
      </c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7"/>
      <c r="BD98" s="27">
        <f t="shared" si="174"/>
        <v>0</v>
      </c>
      <c r="BE98" s="19">
        <v>0</v>
      </c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>
        <v>28</v>
      </c>
      <c r="BS98" s="20">
        <v>36</v>
      </c>
      <c r="BT98" s="20">
        <v>20</v>
      </c>
      <c r="BU98" s="20">
        <v>19</v>
      </c>
      <c r="BV98" s="20">
        <v>33</v>
      </c>
      <c r="BW98" s="20">
        <v>22</v>
      </c>
      <c r="BX98" s="20">
        <v>46</v>
      </c>
      <c r="BY98" s="20">
        <v>19</v>
      </c>
      <c r="BZ98" s="20">
        <v>32</v>
      </c>
      <c r="CA98" s="20">
        <v>80</v>
      </c>
      <c r="CB98" s="20">
        <v>79</v>
      </c>
      <c r="CC98" s="20">
        <v>60</v>
      </c>
      <c r="CD98" s="21">
        <v>474</v>
      </c>
      <c r="CE98" s="22">
        <f t="shared" si="322"/>
        <v>474</v>
      </c>
      <c r="CF98" s="19">
        <f t="shared" si="179"/>
        <v>1</v>
      </c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>
        <v>0</v>
      </c>
      <c r="CT98" s="20">
        <v>0</v>
      </c>
      <c r="CU98" s="20">
        <v>0</v>
      </c>
      <c r="CV98" s="20">
        <v>0</v>
      </c>
      <c r="CW98" s="20">
        <v>0</v>
      </c>
      <c r="CX98" s="20">
        <v>0</v>
      </c>
      <c r="CY98" s="20">
        <v>0</v>
      </c>
      <c r="CZ98" s="20">
        <v>0</v>
      </c>
      <c r="DA98" s="20">
        <v>0</v>
      </c>
      <c r="DB98" s="20">
        <v>0</v>
      </c>
      <c r="DC98" s="20">
        <v>0</v>
      </c>
      <c r="DD98" s="20">
        <v>0</v>
      </c>
      <c r="DE98" s="14"/>
      <c r="DF98" s="14">
        <v>0</v>
      </c>
      <c r="DG98" s="19">
        <v>0</v>
      </c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>
        <v>0</v>
      </c>
      <c r="DU98" s="20">
        <v>0</v>
      </c>
      <c r="DV98" s="20">
        <v>0</v>
      </c>
      <c r="DW98" s="20">
        <v>0</v>
      </c>
      <c r="DX98" s="20">
        <v>0</v>
      </c>
      <c r="DY98" s="20">
        <v>0</v>
      </c>
      <c r="DZ98" s="20">
        <v>0</v>
      </c>
      <c r="EA98" s="20">
        <v>0</v>
      </c>
      <c r="EB98" s="20">
        <v>0</v>
      </c>
      <c r="EC98" s="20">
        <v>0</v>
      </c>
      <c r="ED98" s="20">
        <v>0</v>
      </c>
      <c r="EE98" s="20">
        <v>0</v>
      </c>
      <c r="EF98" s="14"/>
      <c r="EG98" s="14"/>
      <c r="EH98" s="19"/>
      <c r="EI98" s="19"/>
      <c r="EJ98" s="19"/>
      <c r="EK98" s="20"/>
      <c r="EL98" s="20">
        <f t="shared" si="323"/>
        <v>0</v>
      </c>
      <c r="EM98" s="20">
        <f t="shared" si="324"/>
        <v>0</v>
      </c>
      <c r="EN98" s="20">
        <f t="shared" si="325"/>
        <v>0</v>
      </c>
      <c r="EO98" s="20">
        <f t="shared" si="326"/>
        <v>0</v>
      </c>
      <c r="EP98" s="20">
        <f t="shared" si="327"/>
        <v>0</v>
      </c>
      <c r="EQ98" s="20">
        <f t="shared" si="328"/>
        <v>0</v>
      </c>
      <c r="ER98" s="20">
        <f t="shared" si="329"/>
        <v>0</v>
      </c>
      <c r="ES98" s="20">
        <f t="shared" si="330"/>
        <v>0</v>
      </c>
      <c r="ET98" s="20">
        <f t="shared" si="331"/>
        <v>0</v>
      </c>
      <c r="EU98" s="20">
        <f t="shared" si="332"/>
        <v>0</v>
      </c>
      <c r="EV98" s="20">
        <f t="shared" si="333"/>
        <v>0</v>
      </c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>
        <v>0</v>
      </c>
      <c r="FI98" s="14"/>
      <c r="FJ98" s="14"/>
      <c r="FK98" s="19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20"/>
      <c r="GK98" s="20"/>
      <c r="GL98" s="19"/>
    </row>
    <row r="99" spans="1:194" s="11" customFormat="1" ht="24.95" customHeight="1">
      <c r="A99" s="15">
        <f t="shared" si="24"/>
        <v>7</v>
      </c>
      <c r="B99" s="16" t="s">
        <v>82</v>
      </c>
      <c r="C99" s="17" t="s">
        <v>33</v>
      </c>
      <c r="D99" s="17"/>
      <c r="E99" s="17"/>
      <c r="F99" s="17"/>
      <c r="G99" s="20">
        <v>28</v>
      </c>
      <c r="H99" s="20">
        <v>55</v>
      </c>
      <c r="I99" s="20">
        <v>92</v>
      </c>
      <c r="J99" s="20">
        <v>88</v>
      </c>
      <c r="K99" s="20">
        <v>89</v>
      </c>
      <c r="L99" s="20">
        <v>73</v>
      </c>
      <c r="M99" s="20">
        <v>79</v>
      </c>
      <c r="N99" s="20">
        <v>73</v>
      </c>
      <c r="O99" s="20">
        <v>76</v>
      </c>
      <c r="P99" s="20">
        <v>13</v>
      </c>
      <c r="Q99" s="20">
        <v>46</v>
      </c>
      <c r="R99" s="20">
        <v>49</v>
      </c>
      <c r="S99" s="20">
        <v>30</v>
      </c>
      <c r="T99" s="20">
        <v>23</v>
      </c>
      <c r="U99" s="20">
        <v>29</v>
      </c>
      <c r="V99" s="20">
        <v>40</v>
      </c>
      <c r="W99" s="20">
        <v>78</v>
      </c>
      <c r="X99" s="20">
        <v>47</v>
      </c>
      <c r="Y99" s="20">
        <v>14</v>
      </c>
      <c r="Z99" s="20">
        <v>1</v>
      </c>
      <c r="AA99" s="20">
        <v>18</v>
      </c>
      <c r="AB99" s="18">
        <v>376</v>
      </c>
      <c r="AC99" s="18">
        <f t="shared" si="172"/>
        <v>388</v>
      </c>
      <c r="AD99" s="19">
        <f t="shared" si="173"/>
        <v>1.0319148936170213</v>
      </c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7"/>
      <c r="BD99" s="27">
        <f t="shared" si="174"/>
        <v>0</v>
      </c>
      <c r="BE99" s="19">
        <v>0</v>
      </c>
      <c r="BF99" s="20">
        <v>15</v>
      </c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>
        <v>215</v>
      </c>
      <c r="BS99" s="20">
        <v>49</v>
      </c>
      <c r="BT99" s="20">
        <v>17</v>
      </c>
      <c r="BU99" s="20">
        <v>26</v>
      </c>
      <c r="BV99" s="20">
        <v>40</v>
      </c>
      <c r="BW99" s="20">
        <v>26</v>
      </c>
      <c r="BX99" s="20">
        <v>20</v>
      </c>
      <c r="BY99" s="20">
        <v>81</v>
      </c>
      <c r="BZ99" s="20">
        <v>102</v>
      </c>
      <c r="CA99" s="20">
        <v>130</v>
      </c>
      <c r="CB99" s="20">
        <v>43</v>
      </c>
      <c r="CC99" s="20">
        <v>18</v>
      </c>
      <c r="CD99" s="21">
        <v>525</v>
      </c>
      <c r="CE99" s="22">
        <f t="shared" si="322"/>
        <v>767</v>
      </c>
      <c r="CF99" s="19">
        <f t="shared" si="179"/>
        <v>1.460952380952381</v>
      </c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>
        <v>0</v>
      </c>
      <c r="CT99" s="20">
        <v>0</v>
      </c>
      <c r="CU99" s="20">
        <v>0</v>
      </c>
      <c r="CV99" s="20">
        <v>0</v>
      </c>
      <c r="CW99" s="20">
        <v>0</v>
      </c>
      <c r="CX99" s="20">
        <v>0</v>
      </c>
      <c r="CY99" s="20">
        <v>0</v>
      </c>
      <c r="CZ99" s="20">
        <v>0</v>
      </c>
      <c r="DA99" s="20">
        <v>0</v>
      </c>
      <c r="DB99" s="20">
        <v>0</v>
      </c>
      <c r="DC99" s="20">
        <v>0</v>
      </c>
      <c r="DD99" s="20">
        <v>0</v>
      </c>
      <c r="DE99" s="14"/>
      <c r="DF99" s="14">
        <v>0</v>
      </c>
      <c r="DG99" s="19">
        <v>0</v>
      </c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>
        <v>0</v>
      </c>
      <c r="DU99" s="20">
        <v>0</v>
      </c>
      <c r="DV99" s="20">
        <v>0</v>
      </c>
      <c r="DW99" s="20">
        <v>0</v>
      </c>
      <c r="DX99" s="20">
        <v>0</v>
      </c>
      <c r="DY99" s="20">
        <v>0</v>
      </c>
      <c r="DZ99" s="20">
        <v>0</v>
      </c>
      <c r="EA99" s="20">
        <v>0</v>
      </c>
      <c r="EB99" s="20">
        <v>0</v>
      </c>
      <c r="EC99" s="20">
        <v>0</v>
      </c>
      <c r="ED99" s="20">
        <v>0</v>
      </c>
      <c r="EE99" s="20">
        <v>0</v>
      </c>
      <c r="EF99" s="14"/>
      <c r="EG99" s="14"/>
      <c r="EH99" s="19"/>
      <c r="EI99" s="19"/>
      <c r="EJ99" s="19"/>
      <c r="EK99" s="20"/>
      <c r="EL99" s="20">
        <f t="shared" si="323"/>
        <v>0</v>
      </c>
      <c r="EM99" s="20">
        <f t="shared" si="324"/>
        <v>0</v>
      </c>
      <c r="EN99" s="20">
        <f t="shared" si="325"/>
        <v>0</v>
      </c>
      <c r="EO99" s="20">
        <f t="shared" si="326"/>
        <v>0</v>
      </c>
      <c r="EP99" s="20">
        <f t="shared" si="327"/>
        <v>0</v>
      </c>
      <c r="EQ99" s="20">
        <f t="shared" si="328"/>
        <v>0</v>
      </c>
      <c r="ER99" s="20">
        <f t="shared" si="329"/>
        <v>0</v>
      </c>
      <c r="ES99" s="20">
        <f t="shared" si="330"/>
        <v>0</v>
      </c>
      <c r="ET99" s="20">
        <f t="shared" si="331"/>
        <v>0</v>
      </c>
      <c r="EU99" s="20">
        <f t="shared" si="332"/>
        <v>0</v>
      </c>
      <c r="EV99" s="20">
        <f t="shared" si="333"/>
        <v>0</v>
      </c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>
        <v>0</v>
      </c>
      <c r="FI99" s="14"/>
      <c r="FJ99" s="14"/>
      <c r="FK99" s="19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20"/>
      <c r="GK99" s="20"/>
      <c r="GL99" s="19"/>
    </row>
    <row r="100" spans="1:194" s="11" customFormat="1" ht="24.95" customHeight="1">
      <c r="A100" s="15">
        <f t="shared" si="24"/>
        <v>8</v>
      </c>
      <c r="B100" s="16" t="s">
        <v>91</v>
      </c>
      <c r="C100" s="17" t="s">
        <v>34</v>
      </c>
      <c r="D100" s="17"/>
      <c r="E100" s="17"/>
      <c r="F100" s="17"/>
      <c r="G100" s="20">
        <v>41</v>
      </c>
      <c r="H100" s="20">
        <v>59</v>
      </c>
      <c r="I100" s="20">
        <v>38</v>
      </c>
      <c r="J100" s="20">
        <v>23</v>
      </c>
      <c r="K100" s="20">
        <v>38</v>
      </c>
      <c r="L100" s="20">
        <v>41</v>
      </c>
      <c r="M100" s="20">
        <v>40</v>
      </c>
      <c r="N100" s="20">
        <v>11</v>
      </c>
      <c r="O100" s="20">
        <v>37</v>
      </c>
      <c r="P100" s="20">
        <v>32</v>
      </c>
      <c r="Q100" s="20">
        <v>21</v>
      </c>
      <c r="R100" s="20">
        <v>66</v>
      </c>
      <c r="S100" s="20">
        <v>67</v>
      </c>
      <c r="T100" s="20">
        <v>11</v>
      </c>
      <c r="U100" s="20">
        <v>22</v>
      </c>
      <c r="V100" s="20">
        <v>24</v>
      </c>
      <c r="W100" s="20">
        <v>58</v>
      </c>
      <c r="X100" s="20">
        <v>47</v>
      </c>
      <c r="Y100" s="20">
        <v>8</v>
      </c>
      <c r="Z100" s="20">
        <v>31</v>
      </c>
      <c r="AA100" s="20">
        <v>16</v>
      </c>
      <c r="AB100" s="18">
        <v>380</v>
      </c>
      <c r="AC100" s="18">
        <f t="shared" si="172"/>
        <v>403</v>
      </c>
      <c r="AD100" s="19">
        <f t="shared" si="173"/>
        <v>1.0605263157894738</v>
      </c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7"/>
      <c r="BD100" s="27">
        <f t="shared" si="174"/>
        <v>0</v>
      </c>
      <c r="BE100" s="19">
        <v>0</v>
      </c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>
        <v>152</v>
      </c>
      <c r="BS100" s="20">
        <v>70</v>
      </c>
      <c r="BT100" s="20">
        <v>37</v>
      </c>
      <c r="BU100" s="20">
        <v>41</v>
      </c>
      <c r="BV100" s="20">
        <v>45</v>
      </c>
      <c r="BW100" s="20">
        <v>64</v>
      </c>
      <c r="BX100" s="20">
        <v>33</v>
      </c>
      <c r="BY100" s="20">
        <v>0</v>
      </c>
      <c r="BZ100" s="20">
        <v>52</v>
      </c>
      <c r="CA100" s="20">
        <v>0</v>
      </c>
      <c r="CB100" s="20">
        <v>2</v>
      </c>
      <c r="CC100" s="20">
        <v>0</v>
      </c>
      <c r="CD100" s="21">
        <v>519</v>
      </c>
      <c r="CE100" s="22">
        <f t="shared" si="322"/>
        <v>496</v>
      </c>
      <c r="CF100" s="19">
        <f t="shared" si="179"/>
        <v>0.95568400770712914</v>
      </c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>
        <v>0</v>
      </c>
      <c r="CT100" s="20">
        <v>0</v>
      </c>
      <c r="CU100" s="20">
        <v>0</v>
      </c>
      <c r="CV100" s="20">
        <v>0</v>
      </c>
      <c r="CW100" s="20">
        <v>0</v>
      </c>
      <c r="CX100" s="20">
        <v>0</v>
      </c>
      <c r="CY100" s="20">
        <v>0</v>
      </c>
      <c r="CZ100" s="20">
        <v>0</v>
      </c>
      <c r="DA100" s="20">
        <v>0</v>
      </c>
      <c r="DB100" s="20">
        <v>0</v>
      </c>
      <c r="DC100" s="20">
        <v>0</v>
      </c>
      <c r="DD100" s="20">
        <v>0</v>
      </c>
      <c r="DE100" s="14"/>
      <c r="DF100" s="14">
        <v>0</v>
      </c>
      <c r="DG100" s="19">
        <v>0</v>
      </c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>
        <v>0</v>
      </c>
      <c r="DU100" s="20">
        <v>0</v>
      </c>
      <c r="DV100" s="20">
        <v>0</v>
      </c>
      <c r="DW100" s="20">
        <v>0</v>
      </c>
      <c r="DX100" s="20">
        <v>0</v>
      </c>
      <c r="DY100" s="20">
        <v>0</v>
      </c>
      <c r="DZ100" s="20">
        <v>0</v>
      </c>
      <c r="EA100" s="20">
        <v>0</v>
      </c>
      <c r="EB100" s="20">
        <v>0</v>
      </c>
      <c r="EC100" s="20">
        <v>0</v>
      </c>
      <c r="ED100" s="20">
        <v>0</v>
      </c>
      <c r="EE100" s="20">
        <v>0</v>
      </c>
      <c r="EF100" s="14"/>
      <c r="EG100" s="14"/>
      <c r="EH100" s="19"/>
      <c r="EI100" s="19"/>
      <c r="EJ100" s="19"/>
      <c r="EK100" s="20"/>
      <c r="EL100" s="20">
        <f t="shared" si="323"/>
        <v>0</v>
      </c>
      <c r="EM100" s="20">
        <f t="shared" si="324"/>
        <v>0</v>
      </c>
      <c r="EN100" s="20">
        <f t="shared" si="325"/>
        <v>0</v>
      </c>
      <c r="EO100" s="20">
        <f t="shared" si="326"/>
        <v>0</v>
      </c>
      <c r="EP100" s="20">
        <f t="shared" si="327"/>
        <v>0</v>
      </c>
      <c r="EQ100" s="20">
        <f t="shared" si="328"/>
        <v>0</v>
      </c>
      <c r="ER100" s="20">
        <f t="shared" si="329"/>
        <v>0</v>
      </c>
      <c r="ES100" s="20">
        <f t="shared" si="330"/>
        <v>0</v>
      </c>
      <c r="ET100" s="20">
        <f t="shared" si="331"/>
        <v>0</v>
      </c>
      <c r="EU100" s="20">
        <f t="shared" si="332"/>
        <v>0</v>
      </c>
      <c r="EV100" s="20">
        <f t="shared" si="333"/>
        <v>0</v>
      </c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>
        <v>0</v>
      </c>
      <c r="FI100" s="14"/>
      <c r="FJ100" s="14"/>
      <c r="FK100" s="19"/>
      <c r="FL100" s="17"/>
      <c r="FM100" s="17"/>
      <c r="FN100" s="17"/>
      <c r="FO100" s="17"/>
      <c r="FP100" s="17"/>
      <c r="FQ100" s="17"/>
      <c r="FR100" s="17"/>
      <c r="FS100" s="17"/>
      <c r="FT100" s="17"/>
      <c r="FU100" s="17"/>
      <c r="FV100" s="17"/>
      <c r="FW100" s="17"/>
      <c r="FX100" s="17"/>
      <c r="FY100" s="17"/>
      <c r="FZ100" s="17"/>
      <c r="GA100" s="17"/>
      <c r="GB100" s="17"/>
      <c r="GC100" s="17"/>
      <c r="GD100" s="17"/>
      <c r="GE100" s="17"/>
      <c r="GF100" s="17"/>
      <c r="GG100" s="17"/>
      <c r="GH100" s="17"/>
      <c r="GI100" s="17"/>
      <c r="GJ100" s="20"/>
      <c r="GK100" s="20"/>
      <c r="GL100" s="19"/>
    </row>
    <row r="101" spans="1:194" s="11" customFormat="1" ht="32.25" customHeight="1">
      <c r="A101" s="6"/>
      <c r="B101" s="7" t="s">
        <v>12</v>
      </c>
      <c r="C101" s="8"/>
      <c r="D101" s="8"/>
      <c r="E101" s="8"/>
      <c r="F101" s="8"/>
      <c r="G101" s="9">
        <f>+SUM(G102)</f>
        <v>23</v>
      </c>
      <c r="H101" s="9">
        <f t="shared" ref="H101:O101" si="334">+SUM(H102)</f>
        <v>13</v>
      </c>
      <c r="I101" s="9">
        <f t="shared" si="334"/>
        <v>22</v>
      </c>
      <c r="J101" s="9">
        <f t="shared" si="334"/>
        <v>19</v>
      </c>
      <c r="K101" s="9">
        <f t="shared" si="334"/>
        <v>42</v>
      </c>
      <c r="L101" s="9">
        <f t="shared" si="334"/>
        <v>139</v>
      </c>
      <c r="M101" s="9">
        <f t="shared" si="334"/>
        <v>139</v>
      </c>
      <c r="N101" s="9">
        <f t="shared" si="334"/>
        <v>127</v>
      </c>
      <c r="O101" s="9">
        <f t="shared" si="334"/>
        <v>121</v>
      </c>
      <c r="P101" s="9">
        <f t="shared" ref="P101" si="335">+SUM(P102)</f>
        <v>34</v>
      </c>
      <c r="Q101" s="9">
        <f t="shared" ref="Q101" si="336">+SUM(Q102)</f>
        <v>146</v>
      </c>
      <c r="R101" s="9">
        <f t="shared" ref="R101" si="337">+SUM(R102)</f>
        <v>88</v>
      </c>
      <c r="S101" s="9">
        <f t="shared" ref="S101" si="338">+SUM(S102)</f>
        <v>72</v>
      </c>
      <c r="T101" s="9">
        <f t="shared" ref="T101" si="339">+SUM(T102)</f>
        <v>36</v>
      </c>
      <c r="U101" s="9">
        <f t="shared" ref="U101" si="340">+SUM(U102)</f>
        <v>7</v>
      </c>
      <c r="V101" s="9">
        <f t="shared" ref="V101" si="341">+SUM(V102)</f>
        <v>16</v>
      </c>
      <c r="W101" s="9">
        <f t="shared" ref="W101" si="342">+SUM(W102)</f>
        <v>48</v>
      </c>
      <c r="X101" s="9">
        <f t="shared" ref="X101" si="343">+SUM(X102)</f>
        <v>176</v>
      </c>
      <c r="Y101" s="9">
        <f t="shared" ref="Y101" si="344">+SUM(Y102)</f>
        <v>19</v>
      </c>
      <c r="Z101" s="9">
        <f t="shared" ref="Z101" si="345">+SUM(Z102)</f>
        <v>64</v>
      </c>
      <c r="AA101" s="9">
        <f t="shared" ref="AA101" si="346">+SUM(AA102)</f>
        <v>15</v>
      </c>
      <c r="AB101" s="9">
        <f t="shared" ref="AB101" si="347">+SUM(AB102)</f>
        <v>559</v>
      </c>
      <c r="AC101" s="9">
        <f t="shared" si="172"/>
        <v>721</v>
      </c>
      <c r="AD101" s="10">
        <f t="shared" si="173"/>
        <v>1.2898032200357781</v>
      </c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>
        <v>0</v>
      </c>
      <c r="BC101" s="9">
        <v>0</v>
      </c>
      <c r="BD101" s="9">
        <f t="shared" si="174"/>
        <v>0</v>
      </c>
      <c r="BE101" s="10">
        <v>0</v>
      </c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>
        <f t="shared" ref="BR101:CD101" si="348">+SUM(BR102)</f>
        <v>35</v>
      </c>
      <c r="BS101" s="9">
        <f t="shared" si="348"/>
        <v>25</v>
      </c>
      <c r="BT101" s="9">
        <f t="shared" si="348"/>
        <v>31</v>
      </c>
      <c r="BU101" s="9">
        <f t="shared" si="348"/>
        <v>41</v>
      </c>
      <c r="BV101" s="9">
        <f t="shared" si="348"/>
        <v>47</v>
      </c>
      <c r="BW101" s="9">
        <f t="shared" si="348"/>
        <v>28</v>
      </c>
      <c r="BX101" s="9">
        <f t="shared" si="348"/>
        <v>32</v>
      </c>
      <c r="BY101" s="9">
        <f t="shared" si="348"/>
        <v>19</v>
      </c>
      <c r="BZ101" s="9">
        <f t="shared" si="348"/>
        <v>24</v>
      </c>
      <c r="CA101" s="9">
        <f t="shared" si="348"/>
        <v>38</v>
      </c>
      <c r="CB101" s="9">
        <f t="shared" si="348"/>
        <v>55</v>
      </c>
      <c r="CC101" s="9">
        <f t="shared" si="348"/>
        <v>9</v>
      </c>
      <c r="CD101" s="9">
        <f t="shared" si="348"/>
        <v>360</v>
      </c>
      <c r="CE101" s="9">
        <f t="shared" ref="CE101" si="349">+SUM(CE102)</f>
        <v>384</v>
      </c>
      <c r="CF101" s="10">
        <f t="shared" si="179"/>
        <v>1.0666666666666667</v>
      </c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>
        <v>1970</v>
      </c>
      <c r="DE101" s="9">
        <v>3410.3217049153236</v>
      </c>
      <c r="DF101" s="9">
        <v>1970</v>
      </c>
      <c r="DG101" s="10">
        <f t="shared" si="177"/>
        <v>0.57765811277001333</v>
      </c>
      <c r="DH101" s="9">
        <v>15</v>
      </c>
      <c r="DI101" s="9">
        <v>47</v>
      </c>
      <c r="DJ101" s="9">
        <v>0</v>
      </c>
      <c r="DK101" s="9">
        <v>20</v>
      </c>
      <c r="DL101" s="9">
        <v>0</v>
      </c>
      <c r="DM101" s="9">
        <v>0</v>
      </c>
      <c r="DN101" s="9">
        <v>0</v>
      </c>
      <c r="DO101" s="9">
        <v>0</v>
      </c>
      <c r="DP101" s="9">
        <v>0</v>
      </c>
      <c r="DQ101" s="9">
        <v>0</v>
      </c>
      <c r="DR101" s="9">
        <v>0</v>
      </c>
      <c r="DS101" s="9">
        <v>0</v>
      </c>
      <c r="DT101" s="9">
        <f t="shared" ref="DT101:EG101" si="350">+SUM(DT102)</f>
        <v>30.8162551195608</v>
      </c>
      <c r="DU101" s="9">
        <f t="shared" si="350"/>
        <v>174.62544567751121</v>
      </c>
      <c r="DV101" s="9">
        <f t="shared" si="350"/>
        <v>0</v>
      </c>
      <c r="DW101" s="9">
        <f t="shared" si="350"/>
        <v>87.312722838755604</v>
      </c>
      <c r="DX101" s="9">
        <f t="shared" si="350"/>
        <v>0</v>
      </c>
      <c r="DY101" s="9">
        <f t="shared" si="350"/>
        <v>51.360425199268001</v>
      </c>
      <c r="DZ101" s="9">
        <f t="shared" si="350"/>
        <v>235.23074741264745</v>
      </c>
      <c r="EA101" s="9">
        <f t="shared" si="350"/>
        <v>328.7067212753152</v>
      </c>
      <c r="EB101" s="9">
        <f t="shared" si="350"/>
        <v>277.34629607604722</v>
      </c>
      <c r="EC101" s="9">
        <f t="shared" si="350"/>
        <v>102.720850398536</v>
      </c>
      <c r="ED101" s="9">
        <f t="shared" si="350"/>
        <v>0</v>
      </c>
      <c r="EE101" s="9">
        <f t="shared" si="350"/>
        <v>1176.1537370632373</v>
      </c>
      <c r="EF101" s="9">
        <f t="shared" si="350"/>
        <v>1119.1007549634967</v>
      </c>
      <c r="EG101" s="9">
        <f t="shared" si="350"/>
        <v>2464.2732010608788</v>
      </c>
      <c r="EH101" s="10">
        <v>1.3416472378552233</v>
      </c>
      <c r="EI101" s="10"/>
      <c r="EJ101" s="10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>
        <v>0</v>
      </c>
      <c r="FI101" s="9">
        <v>0</v>
      </c>
      <c r="FJ101" s="9">
        <v>0</v>
      </c>
      <c r="FK101" s="10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9"/>
      <c r="GI101" s="8">
        <v>0</v>
      </c>
      <c r="GJ101" s="9">
        <v>0</v>
      </c>
      <c r="GK101" s="9">
        <v>0</v>
      </c>
      <c r="GL101" s="10"/>
    </row>
    <row r="102" spans="1:194" s="11" customFormat="1" ht="24.95" customHeight="1">
      <c r="A102" s="15">
        <f t="shared" ref="A102" si="351">+A101+1</f>
        <v>1</v>
      </c>
      <c r="B102" s="16" t="s">
        <v>56</v>
      </c>
      <c r="C102" s="17">
        <v>11853</v>
      </c>
      <c r="D102" s="17"/>
      <c r="E102" s="17"/>
      <c r="F102" s="17"/>
      <c r="G102" s="20">
        <v>23</v>
      </c>
      <c r="H102" s="20">
        <v>13</v>
      </c>
      <c r="I102" s="20">
        <v>22</v>
      </c>
      <c r="J102" s="20">
        <v>19</v>
      </c>
      <c r="K102" s="20">
        <v>42</v>
      </c>
      <c r="L102" s="20">
        <v>139</v>
      </c>
      <c r="M102" s="20">
        <v>139</v>
      </c>
      <c r="N102" s="20">
        <v>127</v>
      </c>
      <c r="O102" s="20">
        <v>121</v>
      </c>
      <c r="P102" s="20">
        <v>34</v>
      </c>
      <c r="Q102" s="20">
        <v>146</v>
      </c>
      <c r="R102" s="20">
        <v>88</v>
      </c>
      <c r="S102" s="20">
        <v>72</v>
      </c>
      <c r="T102" s="20">
        <v>36</v>
      </c>
      <c r="U102" s="20">
        <v>7</v>
      </c>
      <c r="V102" s="20">
        <v>16</v>
      </c>
      <c r="W102" s="20">
        <v>48</v>
      </c>
      <c r="X102" s="20">
        <v>176</v>
      </c>
      <c r="Y102" s="20">
        <v>19</v>
      </c>
      <c r="Z102" s="20">
        <v>64</v>
      </c>
      <c r="AA102" s="20">
        <v>15</v>
      </c>
      <c r="AB102" s="18">
        <v>559</v>
      </c>
      <c r="AC102" s="18">
        <f t="shared" si="172"/>
        <v>721</v>
      </c>
      <c r="AD102" s="19">
        <f t="shared" si="173"/>
        <v>1.2898032200357781</v>
      </c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7"/>
      <c r="BD102" s="27">
        <f t="shared" si="174"/>
        <v>0</v>
      </c>
      <c r="BE102" s="19">
        <v>0</v>
      </c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>
        <v>35</v>
      </c>
      <c r="BS102" s="20">
        <v>25</v>
      </c>
      <c r="BT102" s="20">
        <v>31</v>
      </c>
      <c r="BU102" s="20">
        <v>41</v>
      </c>
      <c r="BV102" s="20">
        <v>47</v>
      </c>
      <c r="BW102" s="20">
        <v>28</v>
      </c>
      <c r="BX102" s="20">
        <v>32</v>
      </c>
      <c r="BY102" s="20">
        <v>19</v>
      </c>
      <c r="BZ102" s="20">
        <v>24</v>
      </c>
      <c r="CA102" s="20">
        <v>38</v>
      </c>
      <c r="CB102" s="20">
        <v>55</v>
      </c>
      <c r="CC102" s="20">
        <v>9</v>
      </c>
      <c r="CD102" s="22">
        <v>360</v>
      </c>
      <c r="CE102" s="22">
        <f t="shared" si="322"/>
        <v>384</v>
      </c>
      <c r="CF102" s="19">
        <f t="shared" si="179"/>
        <v>1.0666666666666667</v>
      </c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>
        <v>100</v>
      </c>
      <c r="CR102" s="20"/>
      <c r="CS102" s="20">
        <v>0</v>
      </c>
      <c r="CT102" s="20">
        <v>0</v>
      </c>
      <c r="CU102" s="20">
        <v>0</v>
      </c>
      <c r="CV102" s="20">
        <v>0</v>
      </c>
      <c r="CW102" s="20">
        <v>0</v>
      </c>
      <c r="CX102" s="20">
        <v>0</v>
      </c>
      <c r="CY102" s="20">
        <v>0</v>
      </c>
      <c r="CZ102" s="20">
        <v>0</v>
      </c>
      <c r="DA102" s="20">
        <v>0</v>
      </c>
      <c r="DB102" s="20">
        <v>0</v>
      </c>
      <c r="DC102" s="20">
        <v>0</v>
      </c>
      <c r="DD102" s="20">
        <v>2041.4417279894235</v>
      </c>
      <c r="DE102" s="14">
        <v>3410.3217049153236</v>
      </c>
      <c r="DF102" s="14">
        <v>1970</v>
      </c>
      <c r="DG102" s="19">
        <f t="shared" si="177"/>
        <v>0.57765811277001333</v>
      </c>
      <c r="DH102" s="20">
        <v>15</v>
      </c>
      <c r="DI102" s="20">
        <v>47</v>
      </c>
      <c r="DJ102" s="20"/>
      <c r="DK102" s="20">
        <v>20</v>
      </c>
      <c r="DL102" s="20"/>
      <c r="DM102" s="20"/>
      <c r="DN102" s="20"/>
      <c r="DO102" s="20"/>
      <c r="DP102" s="20"/>
      <c r="DQ102" s="20"/>
      <c r="DR102" s="20"/>
      <c r="DS102" s="20"/>
      <c r="DT102" s="20">
        <v>30.8162551195608</v>
      </c>
      <c r="DU102" s="20">
        <v>174.62544567751121</v>
      </c>
      <c r="DV102" s="20">
        <v>0</v>
      </c>
      <c r="DW102" s="20">
        <v>87.312722838755604</v>
      </c>
      <c r="DX102" s="20">
        <v>0</v>
      </c>
      <c r="DY102" s="20">
        <v>51.360425199268001</v>
      </c>
      <c r="DZ102" s="20">
        <v>235.23074741264745</v>
      </c>
      <c r="EA102" s="20">
        <v>328.7067212753152</v>
      </c>
      <c r="EB102" s="20">
        <v>277.34629607604722</v>
      </c>
      <c r="EC102" s="20">
        <v>102.720850398536</v>
      </c>
      <c r="ED102" s="20">
        <v>0</v>
      </c>
      <c r="EE102" s="20">
        <v>1176.1537370632373</v>
      </c>
      <c r="EF102" s="14">
        <v>1119.1007549634967</v>
      </c>
      <c r="EG102" s="14">
        <f t="shared" ref="EG102:EG105" si="352">+DT102+DU102+DV102+DW102+DX102+DY102+DZ102+EA102+EB102+EC102+ED102+EE102</f>
        <v>2464.2732010608788</v>
      </c>
      <c r="EH102" s="19">
        <v>1.3416472378552233</v>
      </c>
      <c r="EI102" s="19"/>
      <c r="EJ102" s="19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>
        <v>0</v>
      </c>
      <c r="FI102" s="14"/>
      <c r="FJ102" s="14"/>
      <c r="FK102" s="19"/>
      <c r="FL102" s="17"/>
      <c r="FM102" s="17"/>
      <c r="FN102" s="17"/>
      <c r="FO102" s="17"/>
      <c r="FP102" s="17"/>
      <c r="FQ102" s="17"/>
      <c r="FR102" s="17"/>
      <c r="FS102" s="17"/>
      <c r="FT102" s="17"/>
      <c r="FU102" s="17"/>
      <c r="FV102" s="17"/>
      <c r="FW102" s="17"/>
      <c r="FX102" s="17"/>
      <c r="FY102" s="17"/>
      <c r="FZ102" s="17"/>
      <c r="GA102" s="17"/>
      <c r="GB102" s="17"/>
      <c r="GC102" s="17"/>
      <c r="GD102" s="17"/>
      <c r="GE102" s="17"/>
      <c r="GF102" s="17"/>
      <c r="GG102" s="17"/>
      <c r="GH102" s="17"/>
      <c r="GI102" s="17"/>
      <c r="GJ102" s="20"/>
      <c r="GK102" s="20"/>
      <c r="GL102" s="19"/>
    </row>
    <row r="103" spans="1:194" s="11" customFormat="1" ht="32.25" customHeight="1">
      <c r="A103" s="6"/>
      <c r="B103" s="7" t="s">
        <v>11</v>
      </c>
      <c r="C103" s="8"/>
      <c r="D103" s="8"/>
      <c r="E103" s="8"/>
      <c r="F103" s="8"/>
      <c r="G103" s="9">
        <f>+SUM(G104:G105)</f>
        <v>115</v>
      </c>
      <c r="H103" s="9">
        <f t="shared" ref="H103:O103" si="353">+SUM(H104:H105)</f>
        <v>73</v>
      </c>
      <c r="I103" s="9">
        <f t="shared" si="353"/>
        <v>105</v>
      </c>
      <c r="J103" s="9">
        <f t="shared" si="353"/>
        <v>274</v>
      </c>
      <c r="K103" s="9">
        <f t="shared" si="353"/>
        <v>277</v>
      </c>
      <c r="L103" s="9">
        <f t="shared" si="353"/>
        <v>272</v>
      </c>
      <c r="M103" s="9">
        <f t="shared" si="353"/>
        <v>252</v>
      </c>
      <c r="N103" s="9">
        <f t="shared" si="353"/>
        <v>307</v>
      </c>
      <c r="O103" s="9">
        <f t="shared" si="353"/>
        <v>235</v>
      </c>
      <c r="P103" s="9">
        <f t="shared" ref="P103" si="354">+SUM(P104:P105)</f>
        <v>201</v>
      </c>
      <c r="Q103" s="9">
        <f t="shared" ref="Q103" si="355">+SUM(Q104:Q105)</f>
        <v>181</v>
      </c>
      <c r="R103" s="9">
        <f t="shared" ref="R103" si="356">+SUM(R104:R105)</f>
        <v>130</v>
      </c>
      <c r="S103" s="9">
        <f t="shared" ref="S103" si="357">+SUM(S104:S105)</f>
        <v>102</v>
      </c>
      <c r="T103" s="9">
        <f t="shared" ref="T103" si="358">+SUM(T104:T105)</f>
        <v>130</v>
      </c>
      <c r="U103" s="9">
        <f t="shared" ref="U103" si="359">+SUM(U104:U105)</f>
        <v>170</v>
      </c>
      <c r="V103" s="9">
        <f t="shared" ref="V103" si="360">+SUM(V104:V105)</f>
        <v>205</v>
      </c>
      <c r="W103" s="9">
        <f t="shared" ref="W103" si="361">+SUM(W104:W105)</f>
        <v>305</v>
      </c>
      <c r="X103" s="9">
        <f t="shared" ref="X103" si="362">+SUM(X104:X105)</f>
        <v>126</v>
      </c>
      <c r="Y103" s="9">
        <f t="shared" ref="Y103" si="363">+SUM(Y104:Y105)</f>
        <v>75</v>
      </c>
      <c r="Z103" s="9">
        <f t="shared" ref="Z103" si="364">+SUM(Z104:Z105)</f>
        <v>62</v>
      </c>
      <c r="AA103" s="9">
        <f t="shared" ref="AA103" si="365">+SUM(AA104:AA105)</f>
        <v>22</v>
      </c>
      <c r="AB103" s="9">
        <f t="shared" ref="AB103" si="366">+SUM(AB104:AB105)</f>
        <v>1249</v>
      </c>
      <c r="AC103" s="9">
        <f t="shared" si="172"/>
        <v>1709</v>
      </c>
      <c r="AD103" s="10">
        <f t="shared" si="173"/>
        <v>1.3682946357085668</v>
      </c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>
        <f>+SUM(AQ104:AQ105)</f>
        <v>44</v>
      </c>
      <c r="AR103" s="9">
        <f t="shared" ref="AR103:BB103" si="367">+SUM(AR104:AR105)</f>
        <v>109</v>
      </c>
      <c r="AS103" s="9">
        <f t="shared" si="367"/>
        <v>89</v>
      </c>
      <c r="AT103" s="9">
        <f t="shared" si="367"/>
        <v>74</v>
      </c>
      <c r="AU103" s="9">
        <f t="shared" si="367"/>
        <v>62</v>
      </c>
      <c r="AV103" s="9">
        <f t="shared" si="367"/>
        <v>55</v>
      </c>
      <c r="AW103" s="9">
        <f t="shared" si="367"/>
        <v>43</v>
      </c>
      <c r="AX103" s="9">
        <f t="shared" si="367"/>
        <v>31</v>
      </c>
      <c r="AY103" s="9">
        <f t="shared" si="367"/>
        <v>64</v>
      </c>
      <c r="AZ103" s="9">
        <f t="shared" si="367"/>
        <v>23</v>
      </c>
      <c r="BA103" s="9">
        <f t="shared" si="367"/>
        <v>40</v>
      </c>
      <c r="BB103" s="9">
        <f t="shared" si="367"/>
        <v>28</v>
      </c>
      <c r="BC103" s="9">
        <f>+SUM(BC104:BC105)</f>
        <v>619</v>
      </c>
      <c r="BD103" s="9">
        <f t="shared" si="174"/>
        <v>662</v>
      </c>
      <c r="BE103" s="10">
        <f t="shared" si="175"/>
        <v>1.0694668820678515</v>
      </c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>
        <f t="shared" ref="BR103:CD103" si="368">+SUM(BR104:BR105)</f>
        <v>170</v>
      </c>
      <c r="BS103" s="9">
        <f t="shared" si="368"/>
        <v>90</v>
      </c>
      <c r="BT103" s="9">
        <f t="shared" si="368"/>
        <v>116</v>
      </c>
      <c r="BU103" s="9">
        <f t="shared" si="368"/>
        <v>102</v>
      </c>
      <c r="BV103" s="9">
        <f t="shared" si="368"/>
        <v>146</v>
      </c>
      <c r="BW103" s="9">
        <f t="shared" si="368"/>
        <v>124</v>
      </c>
      <c r="BX103" s="9">
        <f t="shared" si="368"/>
        <v>113</v>
      </c>
      <c r="BY103" s="9">
        <f t="shared" si="368"/>
        <v>122</v>
      </c>
      <c r="BZ103" s="9">
        <f t="shared" si="368"/>
        <v>118</v>
      </c>
      <c r="CA103" s="9">
        <f t="shared" si="368"/>
        <v>197</v>
      </c>
      <c r="CB103" s="9">
        <f t="shared" si="368"/>
        <v>83</v>
      </c>
      <c r="CC103" s="9">
        <f t="shared" si="368"/>
        <v>9</v>
      </c>
      <c r="CD103" s="9">
        <f t="shared" si="368"/>
        <v>1224</v>
      </c>
      <c r="CE103" s="9">
        <f t="shared" ref="CE103" si="369">+SUM(CE104:CE105)</f>
        <v>1390</v>
      </c>
      <c r="CF103" s="10">
        <f t="shared" si="179"/>
        <v>1.1356209150326797</v>
      </c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>
        <f t="shared" ref="CS103:DF103" si="370">+SUM(CS104:CS105)</f>
        <v>207.25296730857093</v>
      </c>
      <c r="CT103" s="9">
        <f t="shared" si="370"/>
        <v>414.50593461714186</v>
      </c>
      <c r="CU103" s="9">
        <f t="shared" si="370"/>
        <v>308.59966832246209</v>
      </c>
      <c r="CV103" s="9">
        <f t="shared" si="370"/>
        <v>310.87945096285637</v>
      </c>
      <c r="CW103" s="9">
        <f t="shared" si="370"/>
        <v>725.38538557999823</v>
      </c>
      <c r="CX103" s="9">
        <f t="shared" si="370"/>
        <v>621.75890192571273</v>
      </c>
      <c r="CY103" s="9">
        <f t="shared" si="370"/>
        <v>1782.8988325961641</v>
      </c>
      <c r="CZ103" s="9">
        <f t="shared" si="370"/>
        <v>1896.0956365218576</v>
      </c>
      <c r="DA103" s="9">
        <f t="shared" si="370"/>
        <v>1707.7644506226243</v>
      </c>
      <c r="DB103" s="9">
        <f t="shared" si="370"/>
        <v>932.63835288856922</v>
      </c>
      <c r="DC103" s="9">
        <f t="shared" si="370"/>
        <v>0</v>
      </c>
      <c r="DD103" s="9">
        <f t="shared" si="370"/>
        <v>0</v>
      </c>
      <c r="DE103" s="9">
        <f t="shared" si="370"/>
        <v>8529.9609806503904</v>
      </c>
      <c r="DF103" s="9">
        <f t="shared" si="370"/>
        <v>8596.0454000000009</v>
      </c>
      <c r="DG103" s="10">
        <f t="shared" si="177"/>
        <v>1.0077473296184494</v>
      </c>
      <c r="DH103" s="9">
        <v>0</v>
      </c>
      <c r="DI103" s="9">
        <v>0</v>
      </c>
      <c r="DJ103" s="9">
        <v>100</v>
      </c>
      <c r="DK103" s="9">
        <v>188</v>
      </c>
      <c r="DL103" s="9">
        <v>96</v>
      </c>
      <c r="DM103" s="9">
        <v>0</v>
      </c>
      <c r="DN103" s="9">
        <v>140</v>
      </c>
      <c r="DO103" s="9">
        <v>170</v>
      </c>
      <c r="DP103" s="9">
        <v>190</v>
      </c>
      <c r="DQ103" s="9">
        <v>0</v>
      </c>
      <c r="DR103" s="9">
        <v>145</v>
      </c>
      <c r="DS103" s="9">
        <v>550</v>
      </c>
      <c r="DT103" s="9">
        <f t="shared" ref="DT103:EG103" si="371">+SUM(DT104:DT105)</f>
        <v>0</v>
      </c>
      <c r="DU103" s="9">
        <f t="shared" ref="DU103" si="372">+SUM(DU104:DU105)</f>
        <v>442.72686521769015</v>
      </c>
      <c r="DV103" s="9">
        <f t="shared" ref="DV103" si="373">+SUM(DV104:DV105)</f>
        <v>1083.7049717045547</v>
      </c>
      <c r="DW103" s="9">
        <f t="shared" ref="DW103" si="374">+SUM(DW104:DW105)</f>
        <v>0</v>
      </c>
      <c r="DX103" s="9">
        <f t="shared" ref="DX103" si="375">+SUM(DX104:DX105)</f>
        <v>187.97915622932089</v>
      </c>
      <c r="DY103" s="9">
        <f t="shared" ref="DY103" si="376">+SUM(DY104:DY105)</f>
        <v>233.17633040467672</v>
      </c>
      <c r="DZ103" s="9">
        <f t="shared" ref="DZ103" si="377">+SUM(DZ104:DZ105)</f>
        <v>297.89046615575444</v>
      </c>
      <c r="EA103" s="9">
        <f t="shared" ref="EA103" si="378">+SUM(EA104:EA105)</f>
        <v>0</v>
      </c>
      <c r="EB103" s="9">
        <f t="shared" ref="EB103" si="379">+SUM(EB104:EB105)</f>
        <v>44.169965671370477</v>
      </c>
      <c r="EC103" s="9">
        <f t="shared" ref="EC103" si="380">+SUM(EC104:EC105)</f>
        <v>195.16961575721842</v>
      </c>
      <c r="ED103" s="9">
        <f t="shared" ref="ED103" si="381">+SUM(ED104:ED105)</f>
        <v>0</v>
      </c>
      <c r="EE103" s="9">
        <f t="shared" ref="EE103" si="382">+SUM(EE104:EE105)</f>
        <v>0</v>
      </c>
      <c r="EF103" s="9">
        <f t="shared" ref="EF103" si="383">+SUM(EF104:EF105)</f>
        <v>732.95127871293948</v>
      </c>
      <c r="EG103" s="9">
        <f t="shared" ref="EG103" si="384">+SUM(EG104:EG105)</f>
        <v>2484.8173711405857</v>
      </c>
      <c r="EH103" s="10">
        <v>4.3762018968987455</v>
      </c>
      <c r="EI103" s="10"/>
      <c r="EJ103" s="10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>
        <f>+SUM(EW104:EW105)</f>
        <v>0</v>
      </c>
      <c r="EX103" s="9">
        <f>+SUM(EX104:EX105)</f>
        <v>150</v>
      </c>
      <c r="EY103" s="9">
        <f>+SUM(EY104:EY105)</f>
        <v>150</v>
      </c>
      <c r="EZ103" s="9">
        <f t="shared" ref="EZ103:FH103" si="385">+SUM(EZ104:EZ105)</f>
        <v>515</v>
      </c>
      <c r="FA103" s="9">
        <f t="shared" si="385"/>
        <v>500</v>
      </c>
      <c r="FB103" s="9">
        <f t="shared" si="385"/>
        <v>250</v>
      </c>
      <c r="FC103" s="9">
        <f t="shared" si="385"/>
        <v>100</v>
      </c>
      <c r="FD103" s="9">
        <f t="shared" si="385"/>
        <v>200</v>
      </c>
      <c r="FE103" s="9">
        <f t="shared" si="385"/>
        <v>100</v>
      </c>
      <c r="FF103" s="9">
        <f t="shared" si="385"/>
        <v>0</v>
      </c>
      <c r="FG103" s="9">
        <f t="shared" si="385"/>
        <v>0</v>
      </c>
      <c r="FH103" s="9">
        <v>0</v>
      </c>
      <c r="FI103" s="9">
        <v>0</v>
      </c>
      <c r="FJ103" s="9">
        <f>+SUM(FJ104:FJ105)</f>
        <v>1965</v>
      </c>
      <c r="FK103" s="10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9"/>
      <c r="GI103" s="8">
        <v>0</v>
      </c>
      <c r="GJ103" s="9">
        <v>0</v>
      </c>
      <c r="GK103" s="9">
        <v>0</v>
      </c>
      <c r="GL103" s="10"/>
    </row>
    <row r="104" spans="1:194" s="11" customFormat="1" ht="24.95" customHeight="1">
      <c r="A104" s="15">
        <f t="shared" si="24"/>
        <v>1</v>
      </c>
      <c r="B104" s="16" t="s">
        <v>92</v>
      </c>
      <c r="C104" s="17" t="s">
        <v>35</v>
      </c>
      <c r="D104" s="17"/>
      <c r="E104" s="17"/>
      <c r="F104" s="17"/>
      <c r="G104" s="20">
        <v>98</v>
      </c>
      <c r="H104" s="20">
        <v>59</v>
      </c>
      <c r="I104" s="20">
        <v>73</v>
      </c>
      <c r="J104" s="20">
        <v>167</v>
      </c>
      <c r="K104" s="20">
        <v>150</v>
      </c>
      <c r="L104" s="20">
        <v>154</v>
      </c>
      <c r="M104" s="20">
        <v>131</v>
      </c>
      <c r="N104" s="20">
        <v>192</v>
      </c>
      <c r="O104" s="20">
        <v>130</v>
      </c>
      <c r="P104" s="20">
        <v>166</v>
      </c>
      <c r="Q104" s="20">
        <v>100</v>
      </c>
      <c r="R104" s="20">
        <v>81</v>
      </c>
      <c r="S104" s="20">
        <v>37</v>
      </c>
      <c r="T104" s="20">
        <v>60</v>
      </c>
      <c r="U104" s="20">
        <v>73</v>
      </c>
      <c r="V104" s="20">
        <v>91</v>
      </c>
      <c r="W104" s="20">
        <v>218</v>
      </c>
      <c r="X104" s="20">
        <v>59</v>
      </c>
      <c r="Y104" s="20">
        <v>64</v>
      </c>
      <c r="Z104" s="20">
        <v>36</v>
      </c>
      <c r="AA104" s="20">
        <v>6</v>
      </c>
      <c r="AB104" s="18">
        <v>644</v>
      </c>
      <c r="AC104" s="18">
        <f t="shared" si="172"/>
        <v>991</v>
      </c>
      <c r="AD104" s="19">
        <f t="shared" si="173"/>
        <v>1.5388198757763976</v>
      </c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>
        <v>15</v>
      </c>
      <c r="AR104" s="20">
        <v>52</v>
      </c>
      <c r="AS104" s="20">
        <v>44</v>
      </c>
      <c r="AT104" s="20">
        <v>41</v>
      </c>
      <c r="AU104" s="20">
        <v>40</v>
      </c>
      <c r="AV104" s="20">
        <v>27</v>
      </c>
      <c r="AW104" s="20">
        <v>14</v>
      </c>
      <c r="AX104" s="20">
        <v>10</v>
      </c>
      <c r="AY104" s="20">
        <v>43</v>
      </c>
      <c r="AZ104" s="20">
        <v>10</v>
      </c>
      <c r="BA104" s="20">
        <v>20</v>
      </c>
      <c r="BB104" s="20">
        <v>16</v>
      </c>
      <c r="BC104" s="27">
        <v>309</v>
      </c>
      <c r="BD104" s="27">
        <f t="shared" si="174"/>
        <v>332</v>
      </c>
      <c r="BE104" s="19">
        <f t="shared" si="175"/>
        <v>1.0744336569579287</v>
      </c>
      <c r="BF104" s="20">
        <v>135</v>
      </c>
      <c r="BG104" s="20">
        <v>-12</v>
      </c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>
        <v>149</v>
      </c>
      <c r="BS104" s="20">
        <v>61</v>
      </c>
      <c r="BT104" s="20">
        <v>93</v>
      </c>
      <c r="BU104" s="20">
        <v>61</v>
      </c>
      <c r="BV104" s="20">
        <v>108</v>
      </c>
      <c r="BW104" s="20">
        <v>80</v>
      </c>
      <c r="BX104" s="20">
        <v>84</v>
      </c>
      <c r="BY104" s="20">
        <v>91</v>
      </c>
      <c r="BZ104" s="20">
        <v>92</v>
      </c>
      <c r="CA104" s="20">
        <v>133</v>
      </c>
      <c r="CB104" s="20">
        <v>3</v>
      </c>
      <c r="CC104" s="20">
        <v>1</v>
      </c>
      <c r="CD104" s="22">
        <v>725</v>
      </c>
      <c r="CE104" s="22">
        <f>+SUM(BR104:CC104)</f>
        <v>956</v>
      </c>
      <c r="CF104" s="19">
        <f t="shared" si="179"/>
        <v>1.3186206896551724</v>
      </c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>
        <v>207.25296730857093</v>
      </c>
      <c r="CT104" s="20">
        <v>207.25296730857093</v>
      </c>
      <c r="CU104" s="20">
        <v>103.62648365428547</v>
      </c>
      <c r="CV104" s="20">
        <v>0</v>
      </c>
      <c r="CW104" s="20">
        <v>207.25296730857093</v>
      </c>
      <c r="CX104" s="20">
        <v>207.25296730857093</v>
      </c>
      <c r="CY104" s="20">
        <v>310.87945096285637</v>
      </c>
      <c r="CZ104" s="20">
        <v>833.45164229996794</v>
      </c>
      <c r="DA104" s="20">
        <v>1243.5178038514255</v>
      </c>
      <c r="DB104" s="20">
        <v>829.01186923428372</v>
      </c>
      <c r="DC104" s="20">
        <v>0</v>
      </c>
      <c r="DD104" s="20">
        <v>0</v>
      </c>
      <c r="DE104" s="14">
        <v>3992.8548861496579</v>
      </c>
      <c r="DF104" s="14">
        <v>3904.2844</v>
      </c>
      <c r="DG104" s="19">
        <f t="shared" si="177"/>
        <v>0.9778177547957253</v>
      </c>
      <c r="DH104" s="20"/>
      <c r="DI104" s="20"/>
      <c r="DJ104" s="20">
        <v>100</v>
      </c>
      <c r="DK104" s="20">
        <v>188</v>
      </c>
      <c r="DL104" s="20">
        <v>96</v>
      </c>
      <c r="DM104" s="20"/>
      <c r="DN104" s="20">
        <v>140</v>
      </c>
      <c r="DO104" s="20">
        <v>170</v>
      </c>
      <c r="DP104" s="20">
        <v>190</v>
      </c>
      <c r="DQ104" s="20"/>
      <c r="DR104" s="20">
        <v>110</v>
      </c>
      <c r="DS104" s="20">
        <v>482</v>
      </c>
      <c r="DT104" s="20">
        <v>0</v>
      </c>
      <c r="DU104" s="20">
        <v>51.360425199268001</v>
      </c>
      <c r="DV104" s="20">
        <v>205.441700797072</v>
      </c>
      <c r="DW104" s="20">
        <v>0</v>
      </c>
      <c r="DX104" s="20">
        <v>187.97915622932089</v>
      </c>
      <c r="DY104" s="20">
        <v>130.45548000614073</v>
      </c>
      <c r="DZ104" s="20">
        <v>92.448765358682408</v>
      </c>
      <c r="EA104" s="20">
        <v>0</v>
      </c>
      <c r="EB104" s="20">
        <v>44.169965671370477</v>
      </c>
      <c r="EC104" s="20">
        <v>92.448765358682408</v>
      </c>
      <c r="ED104" s="20">
        <v>0</v>
      </c>
      <c r="EE104" s="20">
        <v>0</v>
      </c>
      <c r="EF104" s="14">
        <v>498.37335940547644</v>
      </c>
      <c r="EG104" s="14">
        <f t="shared" si="352"/>
        <v>804.30425862053698</v>
      </c>
      <c r="EH104" s="19">
        <v>2.2148206692787689</v>
      </c>
      <c r="EI104" s="19"/>
      <c r="EJ104" s="19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>
        <v>150</v>
      </c>
      <c r="EY104" s="20">
        <v>150</v>
      </c>
      <c r="EZ104" s="20">
        <v>150</v>
      </c>
      <c r="FA104" s="20">
        <v>150</v>
      </c>
      <c r="FB104" s="20">
        <v>50</v>
      </c>
      <c r="FC104" s="20">
        <v>50</v>
      </c>
      <c r="FD104" s="20">
        <v>50</v>
      </c>
      <c r="FE104" s="20">
        <v>50</v>
      </c>
      <c r="FF104" s="20"/>
      <c r="FG104" s="20"/>
      <c r="FH104" s="20">
        <v>0</v>
      </c>
      <c r="FI104" s="14">
        <v>0</v>
      </c>
      <c r="FJ104" s="14">
        <v>800</v>
      </c>
      <c r="FK104" s="19"/>
      <c r="FL104" s="17"/>
      <c r="FM104" s="17"/>
      <c r="FN104" s="17"/>
      <c r="FO104" s="17"/>
      <c r="FP104" s="17"/>
      <c r="FQ104" s="17"/>
      <c r="FR104" s="17"/>
      <c r="FS104" s="17"/>
      <c r="FT104" s="17"/>
      <c r="FU104" s="17"/>
      <c r="FV104" s="17"/>
      <c r="FW104" s="17"/>
      <c r="FX104" s="17"/>
      <c r="FY104" s="17"/>
      <c r="FZ104" s="17"/>
      <c r="GA104" s="17"/>
      <c r="GB104" s="17"/>
      <c r="GC104" s="17"/>
      <c r="GD104" s="17"/>
      <c r="GE104" s="17"/>
      <c r="GF104" s="17"/>
      <c r="GG104" s="17"/>
      <c r="GH104" s="17"/>
      <c r="GI104" s="17"/>
      <c r="GJ104" s="20"/>
      <c r="GK104" s="20"/>
      <c r="GL104" s="19"/>
    </row>
    <row r="105" spans="1:194" s="11" customFormat="1" ht="33" customHeight="1">
      <c r="A105" s="15">
        <f t="shared" si="24"/>
        <v>2</v>
      </c>
      <c r="B105" s="16" t="s">
        <v>82</v>
      </c>
      <c r="C105" s="17" t="s">
        <v>36</v>
      </c>
      <c r="D105" s="17"/>
      <c r="E105" s="17"/>
      <c r="F105" s="17"/>
      <c r="G105" s="20">
        <v>17</v>
      </c>
      <c r="H105" s="20">
        <v>14</v>
      </c>
      <c r="I105" s="20">
        <v>32</v>
      </c>
      <c r="J105" s="20">
        <v>107</v>
      </c>
      <c r="K105" s="20">
        <v>127</v>
      </c>
      <c r="L105" s="20">
        <v>118</v>
      </c>
      <c r="M105" s="20">
        <v>121</v>
      </c>
      <c r="N105" s="20">
        <v>115</v>
      </c>
      <c r="O105" s="20">
        <v>105</v>
      </c>
      <c r="P105" s="20">
        <v>35</v>
      </c>
      <c r="Q105" s="20">
        <v>81</v>
      </c>
      <c r="R105" s="20">
        <v>49</v>
      </c>
      <c r="S105" s="20">
        <v>65</v>
      </c>
      <c r="T105" s="20">
        <v>70</v>
      </c>
      <c r="U105" s="20">
        <v>97</v>
      </c>
      <c r="V105" s="20">
        <v>114</v>
      </c>
      <c r="W105" s="20">
        <v>87</v>
      </c>
      <c r="X105" s="20">
        <v>67</v>
      </c>
      <c r="Y105" s="20">
        <v>11</v>
      </c>
      <c r="Z105" s="20">
        <v>26</v>
      </c>
      <c r="AA105" s="20">
        <v>16</v>
      </c>
      <c r="AB105" s="18">
        <v>605</v>
      </c>
      <c r="AC105" s="18">
        <f t="shared" si="172"/>
        <v>718</v>
      </c>
      <c r="AD105" s="19">
        <f t="shared" si="173"/>
        <v>1.1867768595041321</v>
      </c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>
        <v>29</v>
      </c>
      <c r="AR105" s="20">
        <v>57</v>
      </c>
      <c r="AS105" s="20">
        <v>45</v>
      </c>
      <c r="AT105" s="20">
        <v>33</v>
      </c>
      <c r="AU105" s="20">
        <v>22</v>
      </c>
      <c r="AV105" s="20">
        <v>28</v>
      </c>
      <c r="AW105" s="20">
        <v>29</v>
      </c>
      <c r="AX105" s="20">
        <v>21</v>
      </c>
      <c r="AY105" s="20">
        <v>21</v>
      </c>
      <c r="AZ105" s="20">
        <v>13</v>
      </c>
      <c r="BA105" s="20">
        <v>20</v>
      </c>
      <c r="BB105" s="20">
        <v>12</v>
      </c>
      <c r="BC105" s="27">
        <v>310</v>
      </c>
      <c r="BD105" s="27">
        <f t="shared" si="174"/>
        <v>330</v>
      </c>
      <c r="BE105" s="19">
        <f t="shared" si="175"/>
        <v>1.064516129032258</v>
      </c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>
        <v>21</v>
      </c>
      <c r="BS105" s="20">
        <v>29</v>
      </c>
      <c r="BT105" s="20">
        <v>23</v>
      </c>
      <c r="BU105" s="20">
        <v>41</v>
      </c>
      <c r="BV105" s="20">
        <v>38</v>
      </c>
      <c r="BW105" s="20">
        <v>44</v>
      </c>
      <c r="BX105" s="20">
        <v>29</v>
      </c>
      <c r="BY105" s="20">
        <v>31</v>
      </c>
      <c r="BZ105" s="20">
        <v>26</v>
      </c>
      <c r="CA105" s="20">
        <v>64</v>
      </c>
      <c r="CB105" s="20">
        <v>80</v>
      </c>
      <c r="CC105" s="20">
        <v>8</v>
      </c>
      <c r="CD105" s="20">
        <v>499</v>
      </c>
      <c r="CE105" s="22">
        <f>+SUM(BR105:CC105)</f>
        <v>434</v>
      </c>
      <c r="CF105" s="19">
        <f t="shared" si="179"/>
        <v>0.86973947895791581</v>
      </c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>
        <v>0</v>
      </c>
      <c r="CT105" s="20">
        <v>207.25296730857093</v>
      </c>
      <c r="CU105" s="20">
        <v>204.97318466817666</v>
      </c>
      <c r="CV105" s="20">
        <v>310.87945096285637</v>
      </c>
      <c r="CW105" s="20">
        <v>518.13241827142735</v>
      </c>
      <c r="CX105" s="20">
        <v>414.50593461714186</v>
      </c>
      <c r="CY105" s="20">
        <v>1472.0193816333076</v>
      </c>
      <c r="CZ105" s="20">
        <v>1062.6439942218897</v>
      </c>
      <c r="DA105" s="20">
        <v>464.24664677119887</v>
      </c>
      <c r="DB105" s="20">
        <v>103.62648365428547</v>
      </c>
      <c r="DC105" s="20">
        <v>0</v>
      </c>
      <c r="DD105" s="20">
        <v>0</v>
      </c>
      <c r="DE105" s="14">
        <v>4537.1060945007321</v>
      </c>
      <c r="DF105" s="14">
        <v>4691.7610000000004</v>
      </c>
      <c r="DG105" s="19">
        <f t="shared" si="177"/>
        <v>1.0340866848334713</v>
      </c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>
        <v>35</v>
      </c>
      <c r="DS105" s="20">
        <v>68</v>
      </c>
      <c r="DT105" s="20">
        <v>0</v>
      </c>
      <c r="DU105" s="20">
        <v>391.36644001842217</v>
      </c>
      <c r="DV105" s="20">
        <v>878.26327090748282</v>
      </c>
      <c r="DW105" s="20">
        <v>0</v>
      </c>
      <c r="DX105" s="20">
        <v>0</v>
      </c>
      <c r="DY105" s="20">
        <v>102.720850398536</v>
      </c>
      <c r="DZ105" s="20">
        <v>205.441700797072</v>
      </c>
      <c r="EA105" s="20">
        <v>0</v>
      </c>
      <c r="EB105" s="20">
        <v>0</v>
      </c>
      <c r="EC105" s="20">
        <v>102.720850398536</v>
      </c>
      <c r="ED105" s="20">
        <v>0</v>
      </c>
      <c r="EE105" s="20">
        <v>0</v>
      </c>
      <c r="EF105" s="14">
        <v>234.57791930746299</v>
      </c>
      <c r="EG105" s="14">
        <f t="shared" si="352"/>
        <v>1680.5131125200487</v>
      </c>
      <c r="EH105" s="19">
        <v>8.2114112096892331</v>
      </c>
      <c r="EI105" s="19"/>
      <c r="EJ105" s="19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>
        <v>365</v>
      </c>
      <c r="FA105" s="20">
        <v>350</v>
      </c>
      <c r="FB105" s="20">
        <v>200</v>
      </c>
      <c r="FC105" s="20">
        <v>50</v>
      </c>
      <c r="FD105" s="20">
        <v>150</v>
      </c>
      <c r="FE105" s="20">
        <v>50</v>
      </c>
      <c r="FF105" s="20"/>
      <c r="FG105" s="20"/>
      <c r="FH105" s="20">
        <v>0</v>
      </c>
      <c r="FI105" s="14">
        <v>0</v>
      </c>
      <c r="FJ105" s="14">
        <v>1165</v>
      </c>
      <c r="FK105" s="19"/>
      <c r="FL105" s="17"/>
      <c r="FM105" s="17"/>
      <c r="FN105" s="17"/>
      <c r="FO105" s="17"/>
      <c r="FP105" s="17"/>
      <c r="FQ105" s="17"/>
      <c r="FR105" s="17"/>
      <c r="FS105" s="17"/>
      <c r="FT105" s="17"/>
      <c r="FU105" s="17"/>
      <c r="FV105" s="17"/>
      <c r="FW105" s="17"/>
      <c r="FX105" s="17"/>
      <c r="FY105" s="17"/>
      <c r="FZ105" s="17"/>
      <c r="GA105" s="17"/>
      <c r="GB105" s="17"/>
      <c r="GC105" s="17"/>
      <c r="GD105" s="17"/>
      <c r="GE105" s="17"/>
      <c r="GF105" s="17"/>
      <c r="GG105" s="17"/>
      <c r="GH105" s="17"/>
      <c r="GI105" s="17"/>
      <c r="GJ105" s="20"/>
      <c r="GK105" s="20"/>
      <c r="GL105" s="19"/>
    </row>
    <row r="106" spans="1:194" s="11" customFormat="1" ht="37.5" customHeight="1">
      <c r="A106" s="6"/>
      <c r="B106" s="38" t="s">
        <v>123</v>
      </c>
      <c r="C106" s="8"/>
      <c r="D106" s="8"/>
      <c r="E106" s="8"/>
      <c r="F106" s="8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10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10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10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>
        <v>4355</v>
      </c>
      <c r="DG106" s="10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10"/>
      <c r="EI106" s="10"/>
      <c r="EJ106" s="10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>
        <v>0</v>
      </c>
      <c r="FI106" s="9"/>
      <c r="FJ106" s="9"/>
      <c r="FK106" s="10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9"/>
      <c r="GI106" s="8"/>
      <c r="GJ106" s="9"/>
      <c r="GK106" s="9"/>
      <c r="GL106" s="10"/>
    </row>
  </sheetData>
  <autoFilter ref="A5:GN5" xr:uid="{00000000-0001-0000-0000-000000000000}"/>
  <mergeCells count="32">
    <mergeCell ref="FI3:FK3"/>
    <mergeCell ref="FL2:GL2"/>
    <mergeCell ref="EK2:FK2"/>
    <mergeCell ref="DH2:EH2"/>
    <mergeCell ref="GJ3:GL3"/>
    <mergeCell ref="DH3:DS3"/>
    <mergeCell ref="DT3:EE3"/>
    <mergeCell ref="EK3:EV3"/>
    <mergeCell ref="EW3:FH3"/>
    <mergeCell ref="FL3:FW3"/>
    <mergeCell ref="FX3:GI3"/>
    <mergeCell ref="CG3:CR3"/>
    <mergeCell ref="CS3:DD3"/>
    <mergeCell ref="CG2:DG2"/>
    <mergeCell ref="DE3:DG3"/>
    <mergeCell ref="EF3:EH3"/>
    <mergeCell ref="A1:GL1"/>
    <mergeCell ref="C2:C4"/>
    <mergeCell ref="B2:B4"/>
    <mergeCell ref="A2:A4"/>
    <mergeCell ref="D3:O3"/>
    <mergeCell ref="P3:AA3"/>
    <mergeCell ref="D2:AD2"/>
    <mergeCell ref="AB3:AD3"/>
    <mergeCell ref="AE3:AP3"/>
    <mergeCell ref="AQ3:BB3"/>
    <mergeCell ref="BC3:BE3"/>
    <mergeCell ref="AE2:BE2"/>
    <mergeCell ref="BF3:BQ3"/>
    <mergeCell ref="BR3:CC3"/>
    <mergeCell ref="BF2:CF2"/>
    <mergeCell ref="CD3:CF3"/>
  </mergeCells>
  <conditionalFormatting sqref="DE7:DF10 DE34:DF43">
    <cfRule type="cellIs" dxfId="16" priority="78" operator="equal">
      <formula>0</formula>
    </cfRule>
  </conditionalFormatting>
  <conditionalFormatting sqref="DE15:DF17">
    <cfRule type="cellIs" dxfId="15" priority="64" operator="equal">
      <formula>0</formula>
    </cfRule>
  </conditionalFormatting>
  <conditionalFormatting sqref="DE19:DF20">
    <cfRule type="cellIs" dxfId="14" priority="70" operator="equal">
      <formula>0</formula>
    </cfRule>
  </conditionalFormatting>
  <conditionalFormatting sqref="DE22:DF32">
    <cfRule type="cellIs" dxfId="13" priority="128" operator="equal">
      <formula>0</formula>
    </cfRule>
  </conditionalFormatting>
  <conditionalFormatting sqref="DE45:DF63">
    <cfRule type="cellIs" dxfId="12" priority="24" operator="equal">
      <formula>0</formula>
    </cfRule>
  </conditionalFormatting>
  <conditionalFormatting sqref="DE65:DF68">
    <cfRule type="cellIs" dxfId="11" priority="108" operator="equal">
      <formula>0</formula>
    </cfRule>
  </conditionalFormatting>
  <conditionalFormatting sqref="DE70:DF70">
    <cfRule type="cellIs" dxfId="10" priority="76" operator="equal">
      <formula>0</formula>
    </cfRule>
  </conditionalFormatting>
  <conditionalFormatting sqref="DE72:DF72">
    <cfRule type="cellIs" dxfId="9" priority="116" operator="equal">
      <formula>0</formula>
    </cfRule>
  </conditionalFormatting>
  <conditionalFormatting sqref="DE74:DF78">
    <cfRule type="cellIs" dxfId="8" priority="118" operator="equal">
      <formula>0</formula>
    </cfRule>
  </conditionalFormatting>
  <conditionalFormatting sqref="DE84:DF89">
    <cfRule type="cellIs" dxfId="7" priority="10" operator="equal">
      <formula>0</formula>
    </cfRule>
  </conditionalFormatting>
  <conditionalFormatting sqref="DE91:DF91">
    <cfRule type="cellIs" dxfId="6" priority="8" operator="equal">
      <formula>0</formula>
    </cfRule>
  </conditionalFormatting>
  <conditionalFormatting sqref="DE102:DF102">
    <cfRule type="cellIs" dxfId="5" priority="6" operator="equal">
      <formula>0</formula>
    </cfRule>
  </conditionalFormatting>
  <conditionalFormatting sqref="DE104:DF105">
    <cfRule type="cellIs" dxfId="4" priority="2" operator="equal">
      <formula>0</formula>
    </cfRule>
  </conditionalFormatting>
  <printOptions horizontalCentered="1"/>
  <pageMargins left="0.19685039370078741" right="0.19685039370078741" top="0.39370078740157483" bottom="0.19685039370078741" header="0" footer="0"/>
  <pageSetup paperSize="9" scale="10" fitToHeight="1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Филиал</vt:lpstr>
      <vt:lpstr>Филиал!Заголовки_для_печати</vt:lpstr>
      <vt:lpstr>Филиал!Область_печати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CBUser</dc:creator>
  <cp:lastModifiedBy>CBuser</cp:lastModifiedBy>
  <cp:lastPrinted>2025-01-09T05:27:34Z</cp:lastPrinted>
  <dcterms:created xsi:type="dcterms:W3CDTF">2017-12-21T11:54:16Z</dcterms:created>
  <dcterms:modified xsi:type="dcterms:W3CDTF">2026-01-17T17:11:30Z</dcterms:modified>
</cp:coreProperties>
</file>