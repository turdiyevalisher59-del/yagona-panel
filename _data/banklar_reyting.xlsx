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38640" windowHeight="21120"/>
  </bookViews>
  <sheets>
    <sheet name="Филиал" sheetId="5" r:id="rId1"/>
  </sheets>
  <externalReferences>
    <externalReference r:id="rId2"/>
  </externalReferences>
  <definedNames>
    <definedName name="_____xlfn.BAHTTEXT" hidden="1">#NAME?</definedName>
    <definedName name="____xlfn.BAHTTEXT" hidden="1">#NAME?</definedName>
    <definedName name="___xlfn.BAHTTEXT" hidden="1">#NAME?</definedName>
    <definedName name="__xlfn.BAHTTEXT" hidden="1">#NAME?</definedName>
    <definedName name="_xlnm._FilterDatabase" localSheetId="0" hidden="1">Филиал!$A$5:$GJ$105</definedName>
    <definedName name="_xlnm._FilterDatabase" hidden="1">#REF!</definedName>
    <definedName name="Access_Button" hidden="1">"Kaspl_5_ПЛАН_4_Таблица1"</definedName>
    <definedName name="AccessDatabase" hidden="1">"C:\Мои документы\Kaspl_5.mdb"</definedName>
    <definedName name="Z_3A9B8CE0_90FE_45F7_B16A_6C9B6CFEF69B_.wvu.PrintTitles" hidden="1">[1]оборот!$A$1:$B$65536,[1]оборот!$A$1:$IV$1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апапап" localSheetId="0" hidden="1">#REF!</definedName>
    <definedName name="апапап" hidden="1">#REF!</definedName>
    <definedName name="банклар" localSheetId="0" hidden="1">#REF!</definedName>
    <definedName name="банклар" hidden="1">#REF!</definedName>
    <definedName name="_xlnm.Print_Titles" localSheetId="0">Филиал!$2:$2</definedName>
    <definedName name="ипотека" localSheetId="0" hidden="1">#REF!,#REF!,#REF!,#REF!</definedName>
    <definedName name="ипотека" hidden="1">#REF!,#REF!,#REF!,#REF!</definedName>
    <definedName name="нар26" localSheetId="0" hidden="1">#REF!,#REF!,#REF!,#REF!</definedName>
    <definedName name="нар26" hidden="1">#REF!,#REF!,#REF!,#REF!</definedName>
    <definedName name="_xlnm.Print_Area" localSheetId="0">Филиал!$A$1:$GJ$105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I5" i="5" l="1"/>
  <c r="GH5" i="5"/>
  <c r="GG5" i="5"/>
  <c r="GF5" i="5"/>
  <c r="GE5" i="5"/>
  <c r="GD5" i="5"/>
  <c r="GC5" i="5"/>
  <c r="GB5" i="5"/>
  <c r="GA5" i="5"/>
  <c r="FZ5" i="5"/>
  <c r="FY5" i="5"/>
  <c r="FX5" i="5"/>
  <c r="FW5" i="5"/>
  <c r="FV5" i="5"/>
  <c r="FU5" i="5"/>
  <c r="FT5" i="5"/>
  <c r="FS5" i="5"/>
  <c r="FR5" i="5"/>
  <c r="FQ5" i="5"/>
  <c r="FP5" i="5"/>
  <c r="FO5" i="5"/>
  <c r="FN5" i="5"/>
  <c r="FM5" i="5"/>
  <c r="FL5" i="5"/>
  <c r="FK5" i="5"/>
  <c r="FJ5" i="5"/>
  <c r="FH5" i="5"/>
  <c r="FG5" i="5"/>
  <c r="FF5" i="5"/>
  <c r="FE5" i="5"/>
  <c r="FD5" i="5"/>
  <c r="FC5" i="5"/>
  <c r="FB5" i="5"/>
  <c r="FA5" i="5"/>
  <c r="EZ5" i="5"/>
  <c r="EY5" i="5"/>
  <c r="EX5" i="5"/>
  <c r="EW5" i="5"/>
  <c r="EV5" i="5"/>
  <c r="EU5" i="5"/>
  <c r="CE5" i="5"/>
  <c r="CD5" i="5"/>
  <c r="BD5" i="5" l="1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C93" i="5"/>
  <c r="DF38" i="5"/>
  <c r="GI63" i="5" l="1"/>
  <c r="GJ63" i="5" s="1"/>
  <c r="GI62" i="5"/>
  <c r="GJ62" i="5" s="1"/>
  <c r="GI61" i="5"/>
  <c r="GJ61" i="5" s="1"/>
  <c r="GI60" i="5"/>
  <c r="GJ60" i="5" s="1"/>
  <c r="GI59" i="5"/>
  <c r="GJ59" i="5" s="1"/>
  <c r="GI58" i="5"/>
  <c r="GJ58" i="5" s="1"/>
  <c r="GI57" i="5"/>
  <c r="GJ57" i="5" s="1"/>
  <c r="GI56" i="5"/>
  <c r="GJ56" i="5" s="1"/>
  <c r="GI55" i="5"/>
  <c r="GJ55" i="5" s="1"/>
  <c r="GI54" i="5"/>
  <c r="GJ54" i="5" s="1"/>
  <c r="GI53" i="5"/>
  <c r="GJ53" i="5" s="1"/>
  <c r="GI52" i="5"/>
  <c r="GJ52" i="5" s="1"/>
  <c r="GI51" i="5"/>
  <c r="GJ51" i="5" s="1"/>
  <c r="GI50" i="5"/>
  <c r="GJ50" i="5" s="1"/>
  <c r="GI49" i="5"/>
  <c r="GJ49" i="5" s="1"/>
  <c r="GI48" i="5"/>
  <c r="GJ48" i="5" s="1"/>
  <c r="GI47" i="5"/>
  <c r="GJ47" i="5" s="1"/>
  <c r="GI46" i="5"/>
  <c r="GJ46" i="5" s="1"/>
  <c r="GI45" i="5"/>
  <c r="GJ45" i="5" s="1"/>
  <c r="GI43" i="5"/>
  <c r="GJ43" i="5" s="1"/>
  <c r="GI42" i="5"/>
  <c r="GJ42" i="5" s="1"/>
  <c r="GI41" i="5"/>
  <c r="GJ41" i="5" s="1"/>
  <c r="GI40" i="5"/>
  <c r="GJ40" i="5" s="1"/>
  <c r="GI39" i="5"/>
  <c r="GJ39" i="5" s="1"/>
  <c r="GI38" i="5"/>
  <c r="GJ38" i="5" s="1"/>
  <c r="GI37" i="5"/>
  <c r="GJ37" i="5" s="1"/>
  <c r="GI36" i="5"/>
  <c r="GJ36" i="5" s="1"/>
  <c r="GI35" i="5"/>
  <c r="GJ35" i="5" s="1"/>
  <c r="GI34" i="5"/>
  <c r="GJ34" i="5" s="1"/>
  <c r="EG91" i="5"/>
  <c r="EG90" i="5"/>
  <c r="EG89" i="5"/>
  <c r="EH89" i="5" s="1"/>
  <c r="EG88" i="5"/>
  <c r="EH88" i="5" s="1"/>
  <c r="EG87" i="5"/>
  <c r="EH87" i="5" s="1"/>
  <c r="EG86" i="5"/>
  <c r="EH86" i="5" s="1"/>
  <c r="EG85" i="5"/>
  <c r="EH85" i="5" s="1"/>
  <c r="EG84" i="5"/>
  <c r="EH84" i="5" s="1"/>
  <c r="EG83" i="5"/>
  <c r="EH83" i="5" s="1"/>
  <c r="EG82" i="5"/>
  <c r="EH82" i="5" s="1"/>
  <c r="EG81" i="5"/>
  <c r="EH81" i="5" s="1"/>
  <c r="EG80" i="5"/>
  <c r="EH80" i="5" s="1"/>
  <c r="EG79" i="5"/>
  <c r="EH79" i="5" s="1"/>
  <c r="EG78" i="5"/>
  <c r="EH78" i="5" s="1"/>
  <c r="EG77" i="5"/>
  <c r="EH77" i="5" s="1"/>
  <c r="EG76" i="5"/>
  <c r="EH76" i="5" s="1"/>
  <c r="EG75" i="5"/>
  <c r="EG74" i="5"/>
  <c r="EH74" i="5" s="1"/>
  <c r="EG73" i="5"/>
  <c r="EH73" i="5" s="1"/>
  <c r="EG72" i="5"/>
  <c r="EH72" i="5" s="1"/>
  <c r="EG71" i="5"/>
  <c r="EH71" i="5" s="1"/>
  <c r="EG70" i="5"/>
  <c r="EH70" i="5" s="1"/>
  <c r="EG69" i="5"/>
  <c r="EH69" i="5" s="1"/>
  <c r="EG68" i="5"/>
  <c r="EH68" i="5" s="1"/>
  <c r="EG67" i="5"/>
  <c r="EH67" i="5" s="1"/>
  <c r="EG66" i="5"/>
  <c r="EH66" i="5" s="1"/>
  <c r="EG65" i="5"/>
  <c r="EH65" i="5" s="1"/>
  <c r="EG64" i="5"/>
  <c r="EH64" i="5" s="1"/>
  <c r="EG63" i="5"/>
  <c r="EH63" i="5" s="1"/>
  <c r="EG62" i="5"/>
  <c r="EH62" i="5" s="1"/>
  <c r="EG61" i="5"/>
  <c r="EH61" i="5" s="1"/>
  <c r="EG60" i="5"/>
  <c r="EH60" i="5" s="1"/>
  <c r="EG59" i="5"/>
  <c r="EH59" i="5" s="1"/>
  <c r="EG58" i="5"/>
  <c r="EH58" i="5" s="1"/>
  <c r="EG57" i="5"/>
  <c r="EH57" i="5" s="1"/>
  <c r="EG56" i="5"/>
  <c r="EH56" i="5" s="1"/>
  <c r="EG55" i="5"/>
  <c r="EH55" i="5" s="1"/>
  <c r="EG54" i="5"/>
  <c r="EH54" i="5" s="1"/>
  <c r="EG53" i="5"/>
  <c r="EH53" i="5" s="1"/>
  <c r="EG52" i="5"/>
  <c r="EH52" i="5" s="1"/>
  <c r="EG51" i="5"/>
  <c r="EH51" i="5" s="1"/>
  <c r="EG50" i="5"/>
  <c r="EH50" i="5" s="1"/>
  <c r="EG49" i="5"/>
  <c r="EH49" i="5" s="1"/>
  <c r="EG48" i="5"/>
  <c r="EH48" i="5" s="1"/>
  <c r="EG47" i="5"/>
  <c r="EH47" i="5" s="1"/>
  <c r="EG46" i="5"/>
  <c r="EH46" i="5" s="1"/>
  <c r="EG45" i="5"/>
  <c r="EH45" i="5" s="1"/>
  <c r="EG44" i="5"/>
  <c r="EH44" i="5" s="1"/>
  <c r="EG43" i="5"/>
  <c r="EH43" i="5" s="1"/>
  <c r="EG42" i="5"/>
  <c r="EH42" i="5" s="1"/>
  <c r="EG41" i="5"/>
  <c r="EH41" i="5" s="1"/>
  <c r="EG40" i="5"/>
  <c r="EH40" i="5" s="1"/>
  <c r="EG39" i="5"/>
  <c r="EH39" i="5" s="1"/>
  <c r="EG38" i="5"/>
  <c r="EH38" i="5" s="1"/>
  <c r="EG37" i="5"/>
  <c r="EH37" i="5" s="1"/>
  <c r="EG36" i="5"/>
  <c r="EH36" i="5" s="1"/>
  <c r="EG35" i="5"/>
  <c r="EH35" i="5" s="1"/>
  <c r="EG34" i="5"/>
  <c r="EG33" i="5"/>
  <c r="EH33" i="5" s="1"/>
  <c r="EG32" i="5"/>
  <c r="EH32" i="5" s="1"/>
  <c r="EG31" i="5"/>
  <c r="EH31" i="5" s="1"/>
  <c r="EG30" i="5"/>
  <c r="EH30" i="5" s="1"/>
  <c r="EG29" i="5"/>
  <c r="EH29" i="5" s="1"/>
  <c r="EG28" i="5"/>
  <c r="EH28" i="5" s="1"/>
  <c r="EG27" i="5"/>
  <c r="EH27" i="5" s="1"/>
  <c r="EG26" i="5"/>
  <c r="EH26" i="5" s="1"/>
  <c r="EG25" i="5"/>
  <c r="EH25" i="5" s="1"/>
  <c r="EG24" i="5"/>
  <c r="EH24" i="5" s="1"/>
  <c r="EG23" i="5"/>
  <c r="EH23" i="5" s="1"/>
  <c r="EG22" i="5"/>
  <c r="EH22" i="5" s="1"/>
  <c r="EG21" i="5"/>
  <c r="EH21" i="5" s="1"/>
  <c r="EG20" i="5"/>
  <c r="EH20" i="5" s="1"/>
  <c r="EG19" i="5"/>
  <c r="EH19" i="5" s="1"/>
  <c r="EG18" i="5"/>
  <c r="EH18" i="5" s="1"/>
  <c r="EG17" i="5"/>
  <c r="EH17" i="5" s="1"/>
  <c r="EG16" i="5"/>
  <c r="EH16" i="5" s="1"/>
  <c r="EG15" i="5"/>
  <c r="EH15" i="5" s="1"/>
  <c r="EG14" i="5"/>
  <c r="EH14" i="5" s="1"/>
  <c r="EG13" i="5"/>
  <c r="EH13" i="5" s="1"/>
  <c r="EG12" i="5"/>
  <c r="EH12" i="5" s="1"/>
  <c r="EG11" i="5"/>
  <c r="EH11" i="5" s="1"/>
  <c r="EG10" i="5"/>
  <c r="EH10" i="5" s="1"/>
  <c r="EG9" i="5"/>
  <c r="EH9" i="5" s="1"/>
  <c r="EG8" i="5"/>
  <c r="EH8" i="5" s="1"/>
  <c r="EG7" i="5"/>
  <c r="EH7" i="5" s="1"/>
  <c r="EG6" i="5"/>
  <c r="EH6" i="5" s="1"/>
  <c r="EG5" i="5"/>
  <c r="EH5" i="5" s="1"/>
  <c r="ET100" i="5"/>
  <c r="ES100" i="5"/>
  <c r="ER100" i="5"/>
  <c r="EQ100" i="5"/>
  <c r="EP100" i="5"/>
  <c r="EO100" i="5"/>
  <c r="EN100" i="5"/>
  <c r="EM100" i="5"/>
  <c r="EL100" i="5"/>
  <c r="EK100" i="5"/>
  <c r="EJ100" i="5"/>
  <c r="ET99" i="5"/>
  <c r="ES99" i="5"/>
  <c r="ER99" i="5"/>
  <c r="EQ99" i="5"/>
  <c r="EP99" i="5"/>
  <c r="EO99" i="5"/>
  <c r="EN99" i="5"/>
  <c r="EM99" i="5"/>
  <c r="EL99" i="5"/>
  <c r="EK99" i="5"/>
  <c r="EJ99" i="5"/>
  <c r="ET98" i="5"/>
  <c r="ES98" i="5"/>
  <c r="ER98" i="5"/>
  <c r="EQ98" i="5"/>
  <c r="EP98" i="5"/>
  <c r="EO98" i="5"/>
  <c r="EN98" i="5"/>
  <c r="EM98" i="5"/>
  <c r="EL98" i="5"/>
  <c r="EK98" i="5"/>
  <c r="EJ98" i="5"/>
  <c r="ET97" i="5"/>
  <c r="ES97" i="5"/>
  <c r="ER97" i="5"/>
  <c r="EQ97" i="5"/>
  <c r="EP97" i="5"/>
  <c r="EO97" i="5"/>
  <c r="EN97" i="5"/>
  <c r="EM97" i="5"/>
  <c r="EL97" i="5"/>
  <c r="EK97" i="5"/>
  <c r="EJ97" i="5"/>
  <c r="ET96" i="5"/>
  <c r="ES96" i="5"/>
  <c r="ER96" i="5"/>
  <c r="EQ96" i="5"/>
  <c r="EP96" i="5"/>
  <c r="EO96" i="5"/>
  <c r="EN96" i="5"/>
  <c r="EM96" i="5"/>
  <c r="EL96" i="5"/>
  <c r="EK96" i="5"/>
  <c r="EJ96" i="5"/>
  <c r="DF105" i="5"/>
  <c r="DG105" i="5" s="1"/>
  <c r="DF104" i="5"/>
  <c r="DG104" i="5" s="1"/>
  <c r="DF103" i="5"/>
  <c r="DG103" i="5" s="1"/>
  <c r="DF102" i="5"/>
  <c r="DG102" i="5" s="1"/>
  <c r="DF101" i="5"/>
  <c r="DG101" i="5" s="1"/>
  <c r="DF100" i="5"/>
  <c r="DF99" i="5"/>
  <c r="DF98" i="5"/>
  <c r="DF97" i="5"/>
  <c r="DF96" i="5"/>
  <c r="DF95" i="5"/>
  <c r="DF94" i="5"/>
  <c r="DF93" i="5"/>
  <c r="DF92" i="5"/>
  <c r="DF91" i="5"/>
  <c r="DG91" i="5" s="1"/>
  <c r="DF90" i="5"/>
  <c r="DG90" i="5" s="1"/>
  <c r="DF89" i="5"/>
  <c r="DG89" i="5" s="1"/>
  <c r="DF88" i="5"/>
  <c r="DG88" i="5" s="1"/>
  <c r="DF87" i="5"/>
  <c r="DG87" i="5" s="1"/>
  <c r="DF86" i="5"/>
  <c r="DG86" i="5" s="1"/>
  <c r="DF85" i="5"/>
  <c r="DG85" i="5" s="1"/>
  <c r="DF84" i="5"/>
  <c r="DG84" i="5" s="1"/>
  <c r="DF83" i="5"/>
  <c r="DG83" i="5" s="1"/>
  <c r="DF82" i="5"/>
  <c r="DF81" i="5"/>
  <c r="DF80" i="5"/>
  <c r="DF79" i="5"/>
  <c r="DF78" i="5"/>
  <c r="DG78" i="5" s="1"/>
  <c r="DF77" i="5"/>
  <c r="DG77" i="5" s="1"/>
  <c r="DF76" i="5"/>
  <c r="DG76" i="5" s="1"/>
  <c r="DF75" i="5"/>
  <c r="DG75" i="5" s="1"/>
  <c r="DF74" i="5"/>
  <c r="DG74" i="5" s="1"/>
  <c r="DF73" i="5"/>
  <c r="DG73" i="5" s="1"/>
  <c r="DF72" i="5"/>
  <c r="DG72" i="5" s="1"/>
  <c r="DF71" i="5"/>
  <c r="DG71" i="5" s="1"/>
  <c r="DF70" i="5"/>
  <c r="DG70" i="5" s="1"/>
  <c r="DF69" i="5"/>
  <c r="DG69" i="5" s="1"/>
  <c r="DF68" i="5"/>
  <c r="DG68" i="5" s="1"/>
  <c r="DF67" i="5"/>
  <c r="DG67" i="5" s="1"/>
  <c r="DF66" i="5"/>
  <c r="DG66" i="5" s="1"/>
  <c r="DF65" i="5"/>
  <c r="DG65" i="5" s="1"/>
  <c r="DF64" i="5"/>
  <c r="DG64" i="5" s="1"/>
  <c r="DF63" i="5"/>
  <c r="DG63" i="5" s="1"/>
  <c r="DF62" i="5"/>
  <c r="DG62" i="5" s="1"/>
  <c r="DF61" i="5"/>
  <c r="DG61" i="5" s="1"/>
  <c r="DF60" i="5"/>
  <c r="DG60" i="5" s="1"/>
  <c r="DF59" i="5"/>
  <c r="DG59" i="5" s="1"/>
  <c r="DF58" i="5"/>
  <c r="DG58" i="5" s="1"/>
  <c r="DF57" i="5"/>
  <c r="DG57" i="5" s="1"/>
  <c r="DF56" i="5"/>
  <c r="DG56" i="5" s="1"/>
  <c r="DF55" i="5"/>
  <c r="DG55" i="5" s="1"/>
  <c r="DF54" i="5"/>
  <c r="DG54" i="5" s="1"/>
  <c r="DF53" i="5"/>
  <c r="DG53" i="5" s="1"/>
  <c r="DF52" i="5"/>
  <c r="DG52" i="5" s="1"/>
  <c r="DF51" i="5"/>
  <c r="DG51" i="5" s="1"/>
  <c r="DF50" i="5"/>
  <c r="DG50" i="5" s="1"/>
  <c r="DF49" i="5"/>
  <c r="DG49" i="5" s="1"/>
  <c r="DF48" i="5"/>
  <c r="DG48" i="5" s="1"/>
  <c r="DF47" i="5"/>
  <c r="DG47" i="5" s="1"/>
  <c r="DF46" i="5"/>
  <c r="DG46" i="5" s="1"/>
  <c r="DF45" i="5"/>
  <c r="DG45" i="5" s="1"/>
  <c r="DF44" i="5"/>
  <c r="DG44" i="5" s="1"/>
  <c r="DF43" i="5"/>
  <c r="DG43" i="5" s="1"/>
  <c r="DF42" i="5"/>
  <c r="DG42" i="5" s="1"/>
  <c r="DF41" i="5"/>
  <c r="DG41" i="5" s="1"/>
  <c r="DF40" i="5"/>
  <c r="DF39" i="5"/>
  <c r="DG39" i="5" s="1"/>
  <c r="DG38" i="5"/>
  <c r="DF37" i="5"/>
  <c r="DG37" i="5" s="1"/>
  <c r="DF36" i="5"/>
  <c r="DG36" i="5" s="1"/>
  <c r="DF35" i="5"/>
  <c r="DG35" i="5" s="1"/>
  <c r="DF34" i="5"/>
  <c r="DG34" i="5" s="1"/>
  <c r="DF33" i="5"/>
  <c r="DG33" i="5" s="1"/>
  <c r="DF32" i="5"/>
  <c r="DG32" i="5" s="1"/>
  <c r="DF31" i="5"/>
  <c r="DG31" i="5" s="1"/>
  <c r="DF30" i="5"/>
  <c r="DG30" i="5" s="1"/>
  <c r="DF29" i="5"/>
  <c r="DG29" i="5" s="1"/>
  <c r="DF28" i="5"/>
  <c r="DG28" i="5" s="1"/>
  <c r="DF27" i="5"/>
  <c r="DG27" i="5" s="1"/>
  <c r="DF26" i="5"/>
  <c r="DG26" i="5" s="1"/>
  <c r="DF25" i="5"/>
  <c r="DG25" i="5" s="1"/>
  <c r="DF24" i="5"/>
  <c r="DG24" i="5" s="1"/>
  <c r="DF23" i="5"/>
  <c r="DG23" i="5" s="1"/>
  <c r="DF22" i="5"/>
  <c r="DG22" i="5" s="1"/>
  <c r="DF21" i="5"/>
  <c r="DG21" i="5" s="1"/>
  <c r="DF20" i="5"/>
  <c r="DG20" i="5" s="1"/>
  <c r="DF19" i="5"/>
  <c r="DG19" i="5" s="1"/>
  <c r="DF18" i="5"/>
  <c r="DG18" i="5" s="1"/>
  <c r="DF17" i="5"/>
  <c r="DG17" i="5" s="1"/>
  <c r="DF16" i="5"/>
  <c r="DG16" i="5" s="1"/>
  <c r="DF15" i="5"/>
  <c r="DG15" i="5" s="1"/>
  <c r="DF14" i="5"/>
  <c r="DG14" i="5" s="1"/>
  <c r="DF13" i="5"/>
  <c r="DF12" i="5"/>
  <c r="DF11" i="5"/>
  <c r="DF10" i="5"/>
  <c r="DG10" i="5" s="1"/>
  <c r="DF9" i="5"/>
  <c r="DG9" i="5" s="1"/>
  <c r="DF8" i="5"/>
  <c r="DG8" i="5" s="1"/>
  <c r="DF7" i="5"/>
  <c r="DG7" i="5" s="1"/>
  <c r="DF6" i="5"/>
  <c r="DG6" i="5" s="1"/>
  <c r="DF5" i="5"/>
  <c r="DG5" i="5" s="1"/>
  <c r="BD105" i="5"/>
  <c r="BE105" i="5" s="1"/>
  <c r="BD104" i="5"/>
  <c r="BE104" i="5" s="1"/>
  <c r="BD102" i="5"/>
  <c r="BD101" i="5"/>
  <c r="BD100" i="5"/>
  <c r="BD99" i="5"/>
  <c r="BD98" i="5"/>
  <c r="BD97" i="5"/>
  <c r="BD96" i="5"/>
  <c r="BE96" i="5" s="1"/>
  <c r="BD95" i="5"/>
  <c r="BD94" i="5"/>
  <c r="BD93" i="5"/>
  <c r="BE93" i="5" s="1"/>
  <c r="BD91" i="5"/>
  <c r="BE91" i="5" s="1"/>
  <c r="BD90" i="5"/>
  <c r="BE90" i="5" s="1"/>
  <c r="BD89" i="5"/>
  <c r="BD88" i="5"/>
  <c r="BE88" i="5" s="1"/>
  <c r="BD87" i="5"/>
  <c r="BE87" i="5" s="1"/>
  <c r="BD86" i="5"/>
  <c r="BE86" i="5" s="1"/>
  <c r="BD85" i="5"/>
  <c r="BE85" i="5" s="1"/>
  <c r="BD84" i="5"/>
  <c r="BE84" i="5" s="1"/>
  <c r="BD82" i="5"/>
  <c r="BD81" i="5"/>
  <c r="BD80" i="5"/>
  <c r="BD79" i="5"/>
  <c r="BD78" i="5"/>
  <c r="BD77" i="5"/>
  <c r="BE77" i="5" s="1"/>
  <c r="BD76" i="5"/>
  <c r="BD75" i="5"/>
  <c r="BD74" i="5"/>
  <c r="BE74" i="5" s="1"/>
  <c r="BD72" i="5"/>
  <c r="BE72" i="5" s="1"/>
  <c r="BD71" i="5"/>
  <c r="BE71" i="5" s="1"/>
  <c r="BD70" i="5"/>
  <c r="BE70" i="5" s="1"/>
  <c r="BD69" i="5"/>
  <c r="BE69" i="5" s="1"/>
  <c r="BD68" i="5"/>
  <c r="BD67" i="5"/>
  <c r="BE67" i="5" s="1"/>
  <c r="BD66" i="5"/>
  <c r="BE66" i="5" s="1"/>
  <c r="BD65" i="5"/>
  <c r="BE65" i="5" s="1"/>
  <c r="BD63" i="5"/>
  <c r="BE63" i="5" s="1"/>
  <c r="BD62" i="5"/>
  <c r="BE62" i="5" s="1"/>
  <c r="BD61" i="5"/>
  <c r="BE61" i="5" s="1"/>
  <c r="BD60" i="5"/>
  <c r="BE60" i="5" s="1"/>
  <c r="BD59" i="5"/>
  <c r="BE59" i="5" s="1"/>
  <c r="BD58" i="5"/>
  <c r="BE58" i="5" s="1"/>
  <c r="BD57" i="5"/>
  <c r="BE57" i="5" s="1"/>
  <c r="BD56" i="5"/>
  <c r="BE56" i="5" s="1"/>
  <c r="BD55" i="5"/>
  <c r="BE55" i="5" s="1"/>
  <c r="BD54" i="5"/>
  <c r="BE54" i="5" s="1"/>
  <c r="BD53" i="5"/>
  <c r="BE53" i="5" s="1"/>
  <c r="BD52" i="5"/>
  <c r="BE52" i="5" s="1"/>
  <c r="BD51" i="5"/>
  <c r="BE51" i="5" s="1"/>
  <c r="BD50" i="5"/>
  <c r="BE50" i="5" s="1"/>
  <c r="BD49" i="5"/>
  <c r="BE49" i="5" s="1"/>
  <c r="BD48" i="5"/>
  <c r="BE48" i="5" s="1"/>
  <c r="BD47" i="5"/>
  <c r="BE47" i="5" s="1"/>
  <c r="BD46" i="5"/>
  <c r="BE46" i="5" s="1"/>
  <c r="BD45" i="5"/>
  <c r="BE45" i="5" s="1"/>
  <c r="BD43" i="5"/>
  <c r="BE43" i="5" s="1"/>
  <c r="BD42" i="5"/>
  <c r="BE42" i="5" s="1"/>
  <c r="BD41" i="5"/>
  <c r="BE41" i="5" s="1"/>
  <c r="BD40" i="5"/>
  <c r="BE40" i="5" s="1"/>
  <c r="BD39" i="5"/>
  <c r="BE39" i="5" s="1"/>
  <c r="BD38" i="5"/>
  <c r="BE38" i="5" s="1"/>
  <c r="BD37" i="5"/>
  <c r="BE37" i="5" s="1"/>
  <c r="BD36" i="5"/>
  <c r="BE36" i="5" s="1"/>
  <c r="BD35" i="5"/>
  <c r="BE35" i="5" s="1"/>
  <c r="BD34" i="5"/>
  <c r="BD32" i="5"/>
  <c r="BE32" i="5" s="1"/>
  <c r="BD31" i="5"/>
  <c r="BE31" i="5" s="1"/>
  <c r="BD30" i="5"/>
  <c r="BE30" i="5" s="1"/>
  <c r="BD29" i="5"/>
  <c r="BE29" i="5" s="1"/>
  <c r="BD28" i="5"/>
  <c r="BE28" i="5" s="1"/>
  <c r="BD27" i="5"/>
  <c r="BE27" i="5" s="1"/>
  <c r="BD26" i="5"/>
  <c r="BE26" i="5" s="1"/>
  <c r="BD25" i="5"/>
  <c r="BE25" i="5" s="1"/>
  <c r="BD24" i="5"/>
  <c r="BE24" i="5" s="1"/>
  <c r="BD23" i="5"/>
  <c r="BE23" i="5" s="1"/>
  <c r="BD22" i="5"/>
  <c r="BE22" i="5" s="1"/>
  <c r="BD20" i="5"/>
  <c r="BE20" i="5" s="1"/>
  <c r="BD19" i="5"/>
  <c r="BE19" i="5" s="1"/>
  <c r="BD18" i="5"/>
  <c r="BE18" i="5" s="1"/>
  <c r="BD17" i="5"/>
  <c r="BE17" i="5" s="1"/>
  <c r="BD16" i="5"/>
  <c r="BE16" i="5" s="1"/>
  <c r="BD15" i="5"/>
  <c r="BE15" i="5" s="1"/>
  <c r="BD13" i="5"/>
  <c r="BE13" i="5" s="1"/>
  <c r="BD12" i="5"/>
  <c r="BE12" i="5" s="1"/>
  <c r="BD11" i="5"/>
  <c r="BE11" i="5" s="1"/>
  <c r="BD10" i="5"/>
  <c r="BE10" i="5" s="1"/>
  <c r="BD9" i="5"/>
  <c r="BE9" i="5" s="1"/>
  <c r="BD8" i="5"/>
  <c r="BE8" i="5" s="1"/>
  <c r="BD7" i="5"/>
  <c r="BE7" i="5" s="1"/>
  <c r="AC105" i="5"/>
  <c r="AD105" i="5" s="1"/>
  <c r="AC104" i="5"/>
  <c r="AD104" i="5" s="1"/>
  <c r="AC103" i="5"/>
  <c r="AD103" i="5" s="1"/>
  <c r="AC102" i="5"/>
  <c r="AD102" i="5" s="1"/>
  <c r="AC101" i="5"/>
  <c r="AD101" i="5" s="1"/>
  <c r="AC100" i="5"/>
  <c r="AD100" i="5" s="1"/>
  <c r="AC99" i="5"/>
  <c r="AD99" i="5" s="1"/>
  <c r="AC98" i="5"/>
  <c r="AD98" i="5" s="1"/>
  <c r="AC97" i="5"/>
  <c r="AD97" i="5" s="1"/>
  <c r="AC96" i="5"/>
  <c r="AD96" i="5" s="1"/>
  <c r="AC95" i="5"/>
  <c r="AD95" i="5" s="1"/>
  <c r="AC94" i="5"/>
  <c r="AD94" i="5" s="1"/>
  <c r="AD93" i="5"/>
  <c r="AC92" i="5"/>
  <c r="AD92" i="5" s="1"/>
  <c r="AC91" i="5"/>
  <c r="AD91" i="5" s="1"/>
  <c r="AC90" i="5"/>
  <c r="AD90" i="5" s="1"/>
  <c r="AC89" i="5"/>
  <c r="AD89" i="5" s="1"/>
  <c r="AC88" i="5"/>
  <c r="AD88" i="5" s="1"/>
  <c r="AC87" i="5"/>
  <c r="AD87" i="5" s="1"/>
  <c r="AC86" i="5"/>
  <c r="AD86" i="5" s="1"/>
  <c r="AC85" i="5"/>
  <c r="AD85" i="5" s="1"/>
  <c r="AC84" i="5"/>
  <c r="AD84" i="5" s="1"/>
  <c r="AC83" i="5"/>
  <c r="AD83" i="5" s="1"/>
  <c r="AC82" i="5"/>
  <c r="AD82" i="5" s="1"/>
  <c r="AC81" i="5"/>
  <c r="AD81" i="5" s="1"/>
  <c r="AC80" i="5"/>
  <c r="AD80" i="5" s="1"/>
  <c r="AC79" i="5"/>
  <c r="AD79" i="5" s="1"/>
  <c r="AC78" i="5"/>
  <c r="AD78" i="5" s="1"/>
  <c r="AC77" i="5"/>
  <c r="AD77" i="5" s="1"/>
  <c r="AC76" i="5"/>
  <c r="AD76" i="5" s="1"/>
  <c r="AC75" i="5"/>
  <c r="AC74" i="5"/>
  <c r="AD74" i="5" s="1"/>
  <c r="AC73" i="5"/>
  <c r="AD73" i="5" s="1"/>
  <c r="AC72" i="5"/>
  <c r="AD72" i="5" s="1"/>
  <c r="AC71" i="5"/>
  <c r="AD71" i="5" s="1"/>
  <c r="AC70" i="5"/>
  <c r="AD70" i="5" s="1"/>
  <c r="AC69" i="5"/>
  <c r="AD69" i="5" s="1"/>
  <c r="AC68" i="5"/>
  <c r="AD68" i="5" s="1"/>
  <c r="AC67" i="5"/>
  <c r="AD67" i="5" s="1"/>
  <c r="AC66" i="5"/>
  <c r="AD66" i="5" s="1"/>
  <c r="AC65" i="5"/>
  <c r="AD65" i="5" s="1"/>
  <c r="AC64" i="5"/>
  <c r="AD64" i="5" s="1"/>
  <c r="AC63" i="5"/>
  <c r="AD63" i="5" s="1"/>
  <c r="AC62" i="5"/>
  <c r="AD62" i="5" s="1"/>
  <c r="AC61" i="5"/>
  <c r="AD61" i="5" s="1"/>
  <c r="AC60" i="5"/>
  <c r="AD60" i="5" s="1"/>
  <c r="AC59" i="5"/>
  <c r="AD59" i="5" s="1"/>
  <c r="AC58" i="5"/>
  <c r="AD58" i="5" s="1"/>
  <c r="AC57" i="5"/>
  <c r="AD57" i="5" s="1"/>
  <c r="AC56" i="5"/>
  <c r="AD56" i="5" s="1"/>
  <c r="AC55" i="5"/>
  <c r="AD55" i="5" s="1"/>
  <c r="AC54" i="5"/>
  <c r="AD54" i="5" s="1"/>
  <c r="AC53" i="5"/>
  <c r="AD53" i="5" s="1"/>
  <c r="AC52" i="5"/>
  <c r="AD52" i="5" s="1"/>
  <c r="AC51" i="5"/>
  <c r="AD51" i="5" s="1"/>
  <c r="AC50" i="5"/>
  <c r="AD50" i="5" s="1"/>
  <c r="AC49" i="5"/>
  <c r="AD49" i="5" s="1"/>
  <c r="AC48" i="5"/>
  <c r="AD48" i="5" s="1"/>
  <c r="AC47" i="5"/>
  <c r="AD47" i="5" s="1"/>
  <c r="AC46" i="5"/>
  <c r="AD46" i="5" s="1"/>
  <c r="AC45" i="5"/>
  <c r="AD45" i="5" s="1"/>
  <c r="AC44" i="5"/>
  <c r="AD44" i="5" s="1"/>
  <c r="AC43" i="5"/>
  <c r="AD43" i="5" s="1"/>
  <c r="AC42" i="5"/>
  <c r="AD42" i="5" s="1"/>
  <c r="AC41" i="5"/>
  <c r="AD41" i="5" s="1"/>
  <c r="AC40" i="5"/>
  <c r="AD40" i="5" s="1"/>
  <c r="AC39" i="5"/>
  <c r="AD39" i="5" s="1"/>
  <c r="AC38" i="5"/>
  <c r="AD38" i="5" s="1"/>
  <c r="AC37" i="5"/>
  <c r="AD37" i="5" s="1"/>
  <c r="AC36" i="5"/>
  <c r="AD36" i="5" s="1"/>
  <c r="AC35" i="5"/>
  <c r="AD35" i="5" s="1"/>
  <c r="AC34" i="5"/>
  <c r="AD34" i="5" s="1"/>
  <c r="AC33" i="5"/>
  <c r="AD33" i="5" s="1"/>
  <c r="AC32" i="5"/>
  <c r="AD32" i="5" s="1"/>
  <c r="AC31" i="5"/>
  <c r="AD31" i="5" s="1"/>
  <c r="AC30" i="5"/>
  <c r="AD30" i="5" s="1"/>
  <c r="AC29" i="5"/>
  <c r="AD29" i="5" s="1"/>
  <c r="AC28" i="5"/>
  <c r="AD28" i="5" s="1"/>
  <c r="AC27" i="5"/>
  <c r="AD27" i="5" s="1"/>
  <c r="AC26" i="5"/>
  <c r="AD26" i="5" s="1"/>
  <c r="AC25" i="5"/>
  <c r="AD25" i="5" s="1"/>
  <c r="AC24" i="5"/>
  <c r="AD24" i="5" s="1"/>
  <c r="AC23" i="5"/>
  <c r="AD23" i="5" s="1"/>
  <c r="AC22" i="5"/>
  <c r="AD22" i="5" s="1"/>
  <c r="AC21" i="5"/>
  <c r="AD21" i="5" s="1"/>
  <c r="AC20" i="5"/>
  <c r="AD20" i="5" s="1"/>
  <c r="AC19" i="5"/>
  <c r="AD19" i="5" s="1"/>
  <c r="AC18" i="5"/>
  <c r="AD18" i="5" s="1"/>
  <c r="AC17" i="5"/>
  <c r="AD17" i="5" s="1"/>
  <c r="AC16" i="5"/>
  <c r="AD16" i="5" s="1"/>
  <c r="AC15" i="5"/>
  <c r="AD15" i="5" s="1"/>
  <c r="AC14" i="5"/>
  <c r="AD14" i="5" s="1"/>
  <c r="AC13" i="5"/>
  <c r="AD13" i="5" s="1"/>
  <c r="AC12" i="5"/>
  <c r="AD12" i="5" s="1"/>
  <c r="AC11" i="5"/>
  <c r="AD11" i="5" s="1"/>
  <c r="AC10" i="5"/>
  <c r="AD10" i="5" s="1"/>
  <c r="AC9" i="5"/>
  <c r="AD9" i="5" s="1"/>
  <c r="AC8" i="5"/>
  <c r="AD8" i="5" s="1"/>
  <c r="AC7" i="5"/>
  <c r="AD7" i="5" s="1"/>
  <c r="AC6" i="5"/>
  <c r="AD6" i="5" s="1"/>
  <c r="AC5" i="5"/>
  <c r="AD5" i="5" s="1"/>
  <c r="BB83" i="5"/>
  <c r="BA83" i="5"/>
  <c r="AZ83" i="5"/>
  <c r="AY83" i="5"/>
  <c r="AX83" i="5"/>
  <c r="AW83" i="5"/>
  <c r="AV83" i="5"/>
  <c r="AU83" i="5"/>
  <c r="AT83" i="5"/>
  <c r="AS83" i="5"/>
  <c r="AR83" i="5"/>
  <c r="AQ8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BD103" i="5" l="1"/>
  <c r="BE103" i="5" s="1"/>
  <c r="BD83" i="5"/>
  <c r="BE83" i="5" s="1"/>
  <c r="BD92" i="5"/>
  <c r="BE92" i="5" s="1"/>
  <c r="BD33" i="5"/>
  <c r="BE33" i="5" s="1"/>
  <c r="BD21" i="5"/>
  <c r="BE21" i="5" s="1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P33" i="5"/>
  <c r="AO33" i="5"/>
  <c r="AN33" i="5"/>
  <c r="AM33" i="5"/>
  <c r="AL33" i="5"/>
  <c r="AK33" i="5"/>
  <c r="AJ33" i="5"/>
  <c r="AI33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P21" i="5"/>
  <c r="AO21" i="5"/>
  <c r="AN21" i="5"/>
  <c r="AM21" i="5"/>
  <c r="AL21" i="5"/>
  <c r="AK21" i="5"/>
  <c r="AJ21" i="5"/>
  <c r="AH21" i="5"/>
  <c r="AG21" i="5"/>
  <c r="AF21" i="5"/>
  <c r="AE21" i="5"/>
  <c r="AI21" i="5"/>
  <c r="BD44" i="5" l="1"/>
  <c r="BE44" i="5" s="1"/>
  <c r="BD73" i="5"/>
  <c r="BE73" i="5" s="1"/>
  <c r="BD14" i="5"/>
  <c r="BE14" i="5" s="1"/>
  <c r="BD64" i="5"/>
  <c r="BE64" i="5" s="1"/>
  <c r="BD6" i="5"/>
  <c r="BE6" i="5" s="1"/>
  <c r="FF44" i="5"/>
  <c r="FE44" i="5"/>
  <c r="FD44" i="5"/>
  <c r="FC44" i="5"/>
  <c r="FB44" i="5"/>
  <c r="FA44" i="5"/>
  <c r="EZ44" i="5"/>
  <c r="EY44" i="5"/>
  <c r="EX44" i="5"/>
  <c r="EW44" i="5"/>
  <c r="EV44" i="5"/>
  <c r="EU44" i="5"/>
  <c r="FF14" i="5"/>
  <c r="FE14" i="5"/>
  <c r="FD14" i="5"/>
  <c r="FC14" i="5"/>
  <c r="FB14" i="5"/>
  <c r="FA14" i="5"/>
  <c r="EZ14" i="5"/>
  <c r="EY14" i="5"/>
  <c r="EX14" i="5"/>
  <c r="EW14" i="5"/>
  <c r="EV14" i="5"/>
  <c r="EU14" i="5"/>
  <c r="FF6" i="5"/>
  <c r="FE6" i="5"/>
  <c r="FD6" i="5"/>
  <c r="FC6" i="5"/>
  <c r="FB6" i="5"/>
  <c r="FA6" i="5"/>
  <c r="EZ6" i="5"/>
  <c r="EY6" i="5"/>
  <c r="EX6" i="5"/>
  <c r="EW6" i="5"/>
  <c r="EV6" i="5"/>
  <c r="EU6" i="5"/>
  <c r="FF33" i="5"/>
  <c r="FE33" i="5"/>
  <c r="FD33" i="5"/>
  <c r="FC33" i="5"/>
  <c r="FB33" i="5"/>
  <c r="FA33" i="5"/>
  <c r="EZ33" i="5"/>
  <c r="EY33" i="5"/>
  <c r="EX33" i="5"/>
  <c r="EW33" i="5"/>
  <c r="EV33" i="5"/>
  <c r="EU33" i="5"/>
  <c r="FF103" i="5"/>
  <c r="FE103" i="5"/>
  <c r="FD103" i="5"/>
  <c r="FC103" i="5"/>
  <c r="FB103" i="5"/>
  <c r="FA103" i="5"/>
  <c r="EZ103" i="5"/>
  <c r="EY103" i="5"/>
  <c r="EX103" i="5"/>
  <c r="EW103" i="5"/>
  <c r="EV103" i="5"/>
  <c r="EU103" i="5"/>
  <c r="FF64" i="5"/>
  <c r="FE64" i="5"/>
  <c r="FD64" i="5"/>
  <c r="FC64" i="5"/>
  <c r="FB64" i="5"/>
  <c r="FA64" i="5"/>
  <c r="EZ64" i="5"/>
  <c r="EY64" i="5"/>
  <c r="EX64" i="5"/>
  <c r="EW64" i="5"/>
  <c r="EV64" i="5"/>
  <c r="EU64" i="5"/>
  <c r="FF73" i="5"/>
  <c r="FE73" i="5"/>
  <c r="FD73" i="5"/>
  <c r="FC73" i="5"/>
  <c r="FB73" i="5"/>
  <c r="FA73" i="5"/>
  <c r="EZ73" i="5"/>
  <c r="EY73" i="5"/>
  <c r="EX73" i="5"/>
  <c r="EW73" i="5"/>
  <c r="EV73" i="5"/>
  <c r="EU73" i="5"/>
  <c r="FH21" i="5"/>
  <c r="FG21" i="5"/>
  <c r="FF21" i="5"/>
  <c r="FE21" i="5"/>
  <c r="FD21" i="5"/>
  <c r="FC21" i="5"/>
  <c r="FB21" i="5"/>
  <c r="FA21" i="5"/>
  <c r="EZ21" i="5"/>
  <c r="EY21" i="5"/>
  <c r="EX21" i="5"/>
  <c r="EW21" i="5"/>
  <c r="EV21" i="5"/>
  <c r="EU21" i="5"/>
  <c r="BE5" i="5" l="1"/>
  <c r="GH33" i="5"/>
  <c r="GG33" i="5"/>
  <c r="GF33" i="5"/>
  <c r="GE33" i="5"/>
  <c r="GD33" i="5"/>
  <c r="GC33" i="5"/>
  <c r="GB33" i="5"/>
  <c r="GA33" i="5"/>
  <c r="FZ33" i="5"/>
  <c r="FY33" i="5"/>
  <c r="FX33" i="5"/>
  <c r="FW33" i="5"/>
  <c r="FV33" i="5"/>
  <c r="GI21" i="5"/>
  <c r="GH21" i="5"/>
  <c r="GG21" i="5"/>
  <c r="GF21" i="5"/>
  <c r="GE21" i="5"/>
  <c r="GD21" i="5"/>
  <c r="GC21" i="5"/>
  <c r="GB21" i="5"/>
  <c r="GA21" i="5"/>
  <c r="FZ21" i="5"/>
  <c r="FY21" i="5"/>
  <c r="FX21" i="5"/>
  <c r="FW21" i="5"/>
  <c r="FV21" i="5"/>
  <c r="GI33" i="5" l="1"/>
  <c r="GJ33" i="5" s="1"/>
  <c r="GH44" i="5"/>
  <c r="GG44" i="5"/>
  <c r="GF44" i="5"/>
  <c r="GE44" i="5"/>
  <c r="GD44" i="5"/>
  <c r="GC44" i="5"/>
  <c r="GB44" i="5"/>
  <c r="GA44" i="5"/>
  <c r="FZ44" i="5"/>
  <c r="FY44" i="5"/>
  <c r="FX44" i="5"/>
  <c r="FW44" i="5"/>
  <c r="FV44" i="5"/>
  <c r="FU44" i="5"/>
  <c r="FT44" i="5"/>
  <c r="FS44" i="5"/>
  <c r="FR44" i="5"/>
  <c r="FQ44" i="5"/>
  <c r="FP44" i="5"/>
  <c r="FO44" i="5"/>
  <c r="FN44" i="5"/>
  <c r="FM44" i="5"/>
  <c r="FL44" i="5"/>
  <c r="FK44" i="5"/>
  <c r="FJ44" i="5"/>
  <c r="FU33" i="5"/>
  <c r="FT33" i="5"/>
  <c r="FS33" i="5"/>
  <c r="FR33" i="5"/>
  <c r="FQ33" i="5"/>
  <c r="FP33" i="5"/>
  <c r="FO33" i="5"/>
  <c r="FN33" i="5"/>
  <c r="FM33" i="5"/>
  <c r="FL33" i="5"/>
  <c r="FK33" i="5"/>
  <c r="FJ33" i="5"/>
  <c r="FU21" i="5"/>
  <c r="FT21" i="5"/>
  <c r="FS21" i="5"/>
  <c r="FR21" i="5"/>
  <c r="FQ21" i="5"/>
  <c r="FP21" i="5"/>
  <c r="FO21" i="5"/>
  <c r="FN21" i="5"/>
  <c r="FM21" i="5"/>
  <c r="FL21" i="5"/>
  <c r="FK21" i="5"/>
  <c r="FJ21" i="5"/>
  <c r="GJ5" i="5" l="1"/>
  <c r="GI44" i="5"/>
  <c r="GJ44" i="5" s="1"/>
  <c r="CD6" i="5" l="1"/>
  <c r="CE6" i="5"/>
  <c r="CF7" i="5"/>
  <c r="CF8" i="5"/>
  <c r="CF9" i="5"/>
  <c r="CF10" i="5"/>
  <c r="CF11" i="5"/>
  <c r="CF12" i="5"/>
  <c r="CF13" i="5"/>
  <c r="CD14" i="5"/>
  <c r="CE14" i="5"/>
  <c r="CF15" i="5"/>
  <c r="CF16" i="5"/>
  <c r="CF17" i="5"/>
  <c r="CF18" i="5"/>
  <c r="CF19" i="5"/>
  <c r="CF20" i="5"/>
  <c r="CD21" i="5"/>
  <c r="CE21" i="5"/>
  <c r="CF22" i="5"/>
  <c r="CF23" i="5"/>
  <c r="CF24" i="5"/>
  <c r="CF25" i="5"/>
  <c r="CF26" i="5"/>
  <c r="CF27" i="5"/>
  <c r="CF28" i="5"/>
  <c r="CF29" i="5"/>
  <c r="CF30" i="5"/>
  <c r="CF31" i="5"/>
  <c r="CF32" i="5"/>
  <c r="CD33" i="5"/>
  <c r="CE33" i="5"/>
  <c r="CF34" i="5"/>
  <c r="CF35" i="5"/>
  <c r="CF36" i="5"/>
  <c r="CF37" i="5"/>
  <c r="CF38" i="5"/>
  <c r="CF39" i="5"/>
  <c r="CF40" i="5"/>
  <c r="CF41" i="5"/>
  <c r="CF42" i="5"/>
  <c r="CF43" i="5"/>
  <c r="CD44" i="5"/>
  <c r="CE44" i="5"/>
  <c r="CF45" i="5"/>
  <c r="CF46" i="5"/>
  <c r="CF47" i="5"/>
  <c r="CF48" i="5"/>
  <c r="CF49" i="5"/>
  <c r="CF50" i="5"/>
  <c r="CF51" i="5"/>
  <c r="CF52" i="5"/>
  <c r="CF53" i="5"/>
  <c r="CF54" i="5"/>
  <c r="CF55" i="5"/>
  <c r="CF56" i="5"/>
  <c r="CF57" i="5"/>
  <c r="CF58" i="5"/>
  <c r="CF59" i="5"/>
  <c r="CF60" i="5"/>
  <c r="CF61" i="5"/>
  <c r="CF62" i="5"/>
  <c r="CF63" i="5"/>
  <c r="CD64" i="5"/>
  <c r="CE64" i="5"/>
  <c r="CF65" i="5"/>
  <c r="CF66" i="5"/>
  <c r="CF67" i="5"/>
  <c r="CF68" i="5"/>
  <c r="CD69" i="5"/>
  <c r="CE69" i="5"/>
  <c r="CF70" i="5"/>
  <c r="CF71" i="5"/>
  <c r="CF72" i="5"/>
  <c r="CD73" i="5"/>
  <c r="CE73" i="5"/>
  <c r="CF74" i="5"/>
  <c r="CF78" i="5"/>
  <c r="CD79" i="5"/>
  <c r="CE79" i="5"/>
  <c r="CF80" i="5"/>
  <c r="CF81" i="5"/>
  <c r="CF82" i="5"/>
  <c r="CD83" i="5"/>
  <c r="CE83" i="5"/>
  <c r="CF84" i="5"/>
  <c r="CF85" i="5"/>
  <c r="CF86" i="5"/>
  <c r="CF87" i="5"/>
  <c r="CF88" i="5"/>
  <c r="CF89" i="5"/>
  <c r="CF90" i="5"/>
  <c r="CF91" i="5"/>
  <c r="CD92" i="5"/>
  <c r="CE92" i="5"/>
  <c r="CF93" i="5"/>
  <c r="CF94" i="5"/>
  <c r="CF95" i="5"/>
  <c r="CF96" i="5"/>
  <c r="CF97" i="5"/>
  <c r="CF98" i="5"/>
  <c r="CF99" i="5"/>
  <c r="CF100" i="5"/>
  <c r="CD101" i="5"/>
  <c r="CE101" i="5"/>
  <c r="CF102" i="5"/>
  <c r="CD103" i="5"/>
  <c r="CE103" i="5"/>
  <c r="CF104" i="5"/>
  <c r="CF105" i="5"/>
  <c r="CF21" i="5" l="1"/>
  <c r="CF64" i="5"/>
  <c r="CF101" i="5"/>
  <c r="CF33" i="5"/>
  <c r="CF14" i="5"/>
  <c r="CF83" i="5"/>
  <c r="CF6" i="5"/>
  <c r="CF92" i="5"/>
  <c r="CF69" i="5"/>
  <c r="CF44" i="5"/>
  <c r="CF73" i="5"/>
  <c r="CF103" i="5"/>
  <c r="CF79" i="5"/>
  <c r="CF5" i="5" l="1"/>
  <c r="A76" i="5"/>
  <c r="A77" i="5" s="1"/>
  <c r="A78" i="5" s="1"/>
  <c r="A45" i="5" l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91" i="5"/>
  <c r="A102" i="5"/>
  <c r="A70" i="5"/>
  <c r="A104" i="5"/>
  <c r="A105" i="5" s="1"/>
  <c r="A94" i="5"/>
  <c r="A95" i="5" s="1"/>
  <c r="A96" i="5" s="1"/>
  <c r="A97" i="5" s="1"/>
  <c r="A98" i="5" s="1"/>
  <c r="A99" i="5" s="1"/>
  <c r="A100" i="5" s="1"/>
  <c r="A72" i="5"/>
  <c r="A84" i="5"/>
  <c r="A85" i="5" s="1"/>
  <c r="A86" i="5" s="1"/>
  <c r="A87" i="5" s="1"/>
  <c r="A88" i="5" s="1"/>
  <c r="A89" i="5" s="1"/>
  <c r="A65" i="5"/>
  <c r="A66" i="5" s="1"/>
  <c r="A67" i="5" s="1"/>
  <c r="A68" i="5" s="1"/>
  <c r="A80" i="5"/>
  <c r="A81" i="5" s="1"/>
  <c r="A82" i="5" s="1"/>
  <c r="A34" i="5"/>
  <c r="A35" i="5" s="1"/>
  <c r="A36" i="5" s="1"/>
  <c r="A37" i="5" s="1"/>
  <c r="A38" i="5" s="1"/>
  <c r="A39" i="5" s="1"/>
  <c r="A40" i="5" s="1"/>
  <c r="A41" i="5" s="1"/>
  <c r="A22" i="5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15" i="5"/>
  <c r="A16" i="5" s="1"/>
  <c r="A17" i="5" s="1"/>
  <c r="A18" i="5" s="1"/>
  <c r="A19" i="5" s="1"/>
  <c r="A20" i="5" s="1"/>
  <c r="A7" i="5"/>
  <c r="A8" i="5" s="1"/>
  <c r="A9" i="5" s="1"/>
  <c r="A10" i="5" s="1"/>
  <c r="A11" i="5" s="1"/>
  <c r="A12" i="5" s="1"/>
  <c r="A13" i="5" s="1"/>
  <c r="A42" i="5" l="1"/>
  <c r="A43" i="5" s="1"/>
</calcChain>
</file>

<file path=xl/sharedStrings.xml><?xml version="1.0" encoding="utf-8"?>
<sst xmlns="http://schemas.openxmlformats.org/spreadsheetml/2006/main" count="344" uniqueCount="123">
  <si>
    <t>№</t>
  </si>
  <si>
    <t xml:space="preserve">Жами </t>
  </si>
  <si>
    <t>Микрокредитбанк</t>
  </si>
  <si>
    <t>Асака банк</t>
  </si>
  <si>
    <t>Ипотека банк</t>
  </si>
  <si>
    <t>Халқ банки</t>
  </si>
  <si>
    <t>Турон банк</t>
  </si>
  <si>
    <t>Ўзсаноатқурилишбанк</t>
  </si>
  <si>
    <t>Агро банк</t>
  </si>
  <si>
    <t>Миллий банк</t>
  </si>
  <si>
    <t>Ҳамкор банк</t>
  </si>
  <si>
    <t>Инфин банк</t>
  </si>
  <si>
    <t>Универсал банк</t>
  </si>
  <si>
    <t>Ипак йўли банк</t>
  </si>
  <si>
    <t>Тижорат банклари номи</t>
  </si>
  <si>
    <t>МФО</t>
  </si>
  <si>
    <t>00413</t>
  </si>
  <si>
    <t>00457</t>
  </si>
  <si>
    <t>00463</t>
  </si>
  <si>
    <t>00468</t>
  </si>
  <si>
    <t>00472</t>
  </si>
  <si>
    <t>00474</t>
  </si>
  <si>
    <t>00475</t>
  </si>
  <si>
    <t>00476</t>
  </si>
  <si>
    <t>00480</t>
  </si>
  <si>
    <t>00482</t>
  </si>
  <si>
    <t>00485</t>
  </si>
  <si>
    <t>00459</t>
  </si>
  <si>
    <t>00461</t>
  </si>
  <si>
    <t>00478</t>
  </si>
  <si>
    <t>00487</t>
  </si>
  <si>
    <t>00489</t>
  </si>
  <si>
    <t>01039</t>
  </si>
  <si>
    <t>01130</t>
  </si>
  <si>
    <t>01170</t>
  </si>
  <si>
    <t>01056</t>
  </si>
  <si>
    <t>01080</t>
  </si>
  <si>
    <t>01081</t>
  </si>
  <si>
    <t>Гарант банк</t>
  </si>
  <si>
    <t>Амалиёт БХМ</t>
  </si>
  <si>
    <t>Ангрен БХМ</t>
  </si>
  <si>
    <t>Янгийўл БХМ</t>
  </si>
  <si>
    <t>Бекобод БХМ</t>
  </si>
  <si>
    <t>Ғазалкент БХМ</t>
  </si>
  <si>
    <t>Чирчиқ БХМ</t>
  </si>
  <si>
    <t>Олмалиқ БХМ</t>
  </si>
  <si>
    <t>Оққўрғон БХО</t>
  </si>
  <si>
    <t>Ғазалкент БХО</t>
  </si>
  <si>
    <t>Юқоричирчиқ БХМ</t>
  </si>
  <si>
    <t>Бўстонлиқ БХМ</t>
  </si>
  <si>
    <t>Дўстобод БХМ</t>
  </si>
  <si>
    <t>Пискент БХМ</t>
  </si>
  <si>
    <t>Оққўрғон БХМ</t>
  </si>
  <si>
    <t>Паркент БХМ</t>
  </si>
  <si>
    <t>Зафар БХМ</t>
  </si>
  <si>
    <t>Қибрай БХМ</t>
  </si>
  <si>
    <t>Зангиота БХМ</t>
  </si>
  <si>
    <t>Келес БХМ</t>
  </si>
  <si>
    <t>Нурафшон БХМ</t>
  </si>
  <si>
    <t>Чиноз БХМ</t>
  </si>
  <si>
    <t>Бўка БХМ</t>
  </si>
  <si>
    <t>Алоқа банк</t>
  </si>
  <si>
    <t>Келес БХО</t>
  </si>
  <si>
    <t>Бекобод БХО</t>
  </si>
  <si>
    <t>Ўртачирчиқ БХО</t>
  </si>
  <si>
    <t>Тошкент вилояти БХМ</t>
  </si>
  <si>
    <t>Оҳангарон БХО</t>
  </si>
  <si>
    <t>Амалиёт БХО</t>
  </si>
  <si>
    <t>Оҳангарон филиали</t>
  </si>
  <si>
    <t>Оққўрғон филиали</t>
  </si>
  <si>
    <t>Бўка филиали</t>
  </si>
  <si>
    <t>Бекобод филиали</t>
  </si>
  <si>
    <t>Пискент филиали</t>
  </si>
  <si>
    <t>Қуйичирчиқ филиали</t>
  </si>
  <si>
    <t>Ҳудудий филиали</t>
  </si>
  <si>
    <t>Чиноз филиали</t>
  </si>
  <si>
    <t>Юқоричирчиқ филиали</t>
  </si>
  <si>
    <t>Паркент филиали</t>
  </si>
  <si>
    <t>Янгийўл филиали</t>
  </si>
  <si>
    <t>Нурафшон БХО</t>
  </si>
  <si>
    <t>Пискент БХО</t>
  </si>
  <si>
    <t>Паркент БХО</t>
  </si>
  <si>
    <t>Зангиота филиали</t>
  </si>
  <si>
    <t>Янгийўл БХО</t>
  </si>
  <si>
    <t>Чиноз БХО</t>
  </si>
  <si>
    <t>Олмалиқ БХО</t>
  </si>
  <si>
    <t>Ангрен БХО</t>
  </si>
  <si>
    <t>Чирчиқ БХО</t>
  </si>
  <si>
    <t>Олмалиқ филиали</t>
  </si>
  <si>
    <t>Ангрен филиали</t>
  </si>
  <si>
    <t>Чирчиқ филиали</t>
  </si>
  <si>
    <t>Дўстобод филиали</t>
  </si>
  <si>
    <t>Тошкент вилоят филиали</t>
  </si>
  <si>
    <t>Оҳангарон БХМ</t>
  </si>
  <si>
    <t>Бизнесни рив-ш банки</t>
  </si>
  <si>
    <t>Қибрай БХО</t>
  </si>
  <si>
    <t>Зангиота БХО</t>
  </si>
  <si>
    <t>Тошкент вилояти банк ва филиаллари</t>
  </si>
  <si>
    <t>прогноз</t>
  </si>
  <si>
    <t>амалда</t>
  </si>
  <si>
    <t xml:space="preserve">Январ </t>
  </si>
  <si>
    <t>феврал</t>
  </si>
  <si>
    <t>март</t>
  </si>
  <si>
    <t>Апрел</t>
  </si>
  <si>
    <t>май</t>
  </si>
  <si>
    <t>июн</t>
  </si>
  <si>
    <t>июл</t>
  </si>
  <si>
    <t>август</t>
  </si>
  <si>
    <t>сентябр</t>
  </si>
  <si>
    <t>октябр</t>
  </si>
  <si>
    <t>ноябр</t>
  </si>
  <si>
    <t>декабр</t>
  </si>
  <si>
    <t>2024 йил</t>
  </si>
  <si>
    <t>2025 йил</t>
  </si>
  <si>
    <t>2025 йил режа амалда</t>
  </si>
  <si>
    <t>бажари-лиши</t>
  </si>
  <si>
    <r>
      <t xml:space="preserve">Доимий иш ўринларини 
яратиш (сони)
</t>
    </r>
    <r>
      <rPr>
        <i/>
        <u/>
        <sz val="14"/>
        <rFont val="Times New Roman"/>
        <family val="1"/>
        <charset val="204"/>
      </rPr>
      <t>(Январ-Октябрь ойлари солиқдан тасдиқланган)</t>
    </r>
  </si>
  <si>
    <t>Микролойиҳалар (сони)</t>
  </si>
  <si>
    <r>
      <t xml:space="preserve">Аҳолини тадбиркорликка 
жалб қилиш (сони)
</t>
    </r>
    <r>
      <rPr>
        <i/>
        <u/>
        <sz val="14"/>
        <rFont val="Times New Roman"/>
        <family val="1"/>
        <charset val="204"/>
      </rPr>
      <t>(Январ-Октябрь ойлари солиқдан тасдиқланган)</t>
    </r>
  </si>
  <si>
    <t>Қичик бизнесни қўллаб қувватлаш комплекс дастури (млн.сўм)</t>
  </si>
  <si>
    <t>Бизнесга биринчи қадам (млн.сўм)</t>
  </si>
  <si>
    <t>Маҳалла лойиҳаси
(Паркент тажрибаси) (млн.сўм)</t>
  </si>
  <si>
    <t>Оилавий тадбиркорликни ривожлантириш дастурлари (млн.сўм)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</si>
</sst>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164" formatCode="_-* #,##0.00_-;\-* #,##0.00_-;_-* &quot;-&quot;??_-;_-@_-"/>
    <numFmt numFmtId="165" formatCode="_-* #,##0&quot;р.&quot;_-;\-* #,##0&quot;р.&quot;_-;_-* &quot;-&quot;&quot;р.&quot;_-;_-@_-"/>
    <numFmt numFmtId="166" formatCode="_-* #,##0.00_р_._-;\-* #,##0.00_р_._-;_-* &quot;-&quot;??_р_._-;_-@_-"/>
    <numFmt numFmtId="167" formatCode="#,##0.0"/>
    <numFmt numFmtId="168" formatCode="#"/>
    <numFmt numFmtId="169" formatCode="_-* #,##0.00\ _?_._-;\-* #,##0.00\ _?_._-;_-* &quot;-&quot;??\ _?_._-;_-@_-"/>
    <numFmt numFmtId="170" formatCode="_-* #,##0.00\ &quot;?.&quot;_-;\-* #,##0.00\ &quot;?.&quot;_-;_-* &quot;-&quot;??\ &quot;?.&quot;_-;_-@_-"/>
    <numFmt numFmtId="171" formatCode="\$#.00"/>
    <numFmt numFmtId="172" formatCode="%#.00"/>
    <numFmt numFmtId="173" formatCode="#\,##0.00"/>
    <numFmt numFmtId="174" formatCode="#.00"/>
    <numFmt numFmtId="175" formatCode="_-* #,##0\ &quot;d.&quot;_-;\-* #,##0\ &quot;d.&quot;_-;_-* &quot;-&quot;\ &quot;d.&quot;_-;_-@_-"/>
    <numFmt numFmtId="176" formatCode="_-* #,##0.00\ &quot;d.&quot;_-;\-* #,##0.00\ &quot;d.&quot;_-;_-* &quot;-&quot;??\ &quot;d.&quot;_-;_-@_-"/>
    <numFmt numFmtId="177" formatCode="_-* #,##0\ _р_._-;\-* #,##0\ _р_._-;_-* &quot;-&quot;\ _р_._-;_-@_-"/>
    <numFmt numFmtId="178" formatCode="_-&quot;Ј&quot;* #,##0_-;\-&quot;Ј&quot;* #,##0_-;_-&quot;Ј&quot;* &quot;-&quot;_-;_-@_-"/>
    <numFmt numFmtId="179" formatCode="_-&quot;Ј&quot;* #,##0.00_-;\-&quot;Ј&quot;* #,##0.00_-;_-&quot;Ј&quot;* &quot;-&quot;??_-;_-@_-"/>
    <numFmt numFmtId="180" formatCode="_-* #,##0.00[$€-1]_-;\-* #,##0.00[$€-1]_-;_-* &quot;-&quot;??[$€-1]_-"/>
    <numFmt numFmtId="181" formatCode="_(* #,##0_);_(* \(#,##0\);_(* &quot;-&quot;_);_(@_)"/>
    <numFmt numFmtId="182" formatCode="_(* #,##0.00_);_(* \(#,##0.00\);_(* &quot;-&quot;??_);_(@_)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_-* #,##0\ _d_._-;\-* #,##0\ _d_._-;_-* &quot;-&quot;\ _d_._-;_-@_-"/>
    <numFmt numFmtId="186" formatCode="_-* #,##0.00\ _d_._-;\-* #,##0.00\ _d_._-;_-* &quot;-&quot;??\ _d_._-;_-@_-"/>
    <numFmt numFmtId="187" formatCode="#,##0.0_р_."/>
    <numFmt numFmtId="188" formatCode="_-* #,##0\ _?_._-;\-* #,##0\ _?_._-;_-* &quot;-&quot;\ _?_._-;_-@_-"/>
    <numFmt numFmtId="189" formatCode="_-* #,##0_р_._-;\-* #,##0_р_._-;_-* &quot;-&quot;??_р_._-;_-@_-"/>
    <numFmt numFmtId="190" formatCode="d/m"/>
  </numFmts>
  <fonts count="66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color indexed="35"/>
      <name val="Courier"/>
      <family val="1"/>
      <charset val="204"/>
    </font>
    <font>
      <sz val="10"/>
      <color indexed="35"/>
      <name val="Courier"/>
      <family val="1"/>
      <charset val="204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"/>
      <color indexed="8"/>
      <name val="Courier"/>
      <family val="1"/>
      <charset val="204"/>
    </font>
    <font>
      <sz val="10"/>
      <name val="Arial"/>
      <family val="2"/>
      <charset val="204"/>
    </font>
    <font>
      <sz val="10"/>
      <name val="Helv"/>
      <family val="2"/>
    </font>
    <font>
      <sz val="10"/>
      <name val="Helv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2"/>
      <color indexed="8"/>
      <name val="Courier"/>
      <family val="1"/>
      <charset val="204"/>
    </font>
    <font>
      <b/>
      <sz val="18"/>
      <color indexed="8"/>
      <name val="Courier"/>
      <family val="1"/>
      <charset val="204"/>
    </font>
    <font>
      <b/>
      <sz val="12"/>
      <color indexed="8"/>
      <name val="Courie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0"/>
      <name val="Courier"/>
      <family val="1"/>
      <charset val="204"/>
    </font>
    <font>
      <sz val="10"/>
      <color indexed="72"/>
      <name val="Courier"/>
      <family val="1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i/>
      <sz val="1"/>
      <color indexed="18"/>
      <name val="Courier"/>
      <family val="1"/>
      <charset val="204"/>
    </font>
    <font>
      <i/>
      <sz val="1"/>
      <color indexed="16"/>
      <name val="Courier"/>
      <family val="1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2"/>
      <name val="Arial Cyr"/>
      <charset val="204"/>
    </font>
    <font>
      <sz val="12"/>
      <color indexed="0"/>
      <name val="Courier"/>
      <family val="1"/>
      <charset val="204"/>
    </font>
    <font>
      <sz val="11"/>
      <color indexed="62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b/>
      <sz val="6"/>
      <color indexed="8"/>
      <name val="Arial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1"/>
      <name val="Arial"/>
      <family val="2"/>
      <charset val="204"/>
    </font>
    <font>
      <sz val="10"/>
      <name val="Arial Cyr"/>
    </font>
    <font>
      <sz val="12"/>
      <name val="PANDA Times UZ"/>
      <family val="2"/>
    </font>
    <font>
      <sz val="10"/>
      <name val="Arial Cyr"/>
      <charset val="186"/>
    </font>
    <font>
      <sz val="10"/>
      <name val="Tahoma"/>
      <family val="2"/>
      <charset val="204"/>
    </font>
    <font>
      <sz val="11"/>
      <name val="돋움"/>
      <charset val="129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u/>
      <sz val="14"/>
      <name val="Times New Roman"/>
      <family val="1"/>
      <charset val="204"/>
    </font>
    <font>
      <sz val="16"/>
      <name val="Cambria"/>
      <family val="1"/>
      <charset val="204"/>
    </font>
    <font>
      <sz val="16"/>
      <color rgb="FF000000"/>
      <name val="Times New Roman"/>
      <family val="1"/>
      <charset val="204"/>
    </font>
    <font>
      <sz val="18"/>
      <name val="Cambria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30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168" fontId="2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168" fontId="3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6" fillId="0" borderId="1"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protection locked="0"/>
    </xf>
    <xf numFmtId="0" fontId="6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5" fontId="10" fillId="0" borderId="0">
      <protection locked="0"/>
    </xf>
    <xf numFmtId="0" fontId="10" fillId="0" borderId="1">
      <protection locked="0"/>
    </xf>
    <xf numFmtId="168" fontId="11" fillId="0" borderId="0">
      <protection locked="0"/>
    </xf>
    <xf numFmtId="168" fontId="11" fillId="0" borderId="0">
      <protection locked="0"/>
    </xf>
    <xf numFmtId="168" fontId="10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171" fontId="12" fillId="0" borderId="0">
      <protection locked="0"/>
    </xf>
    <xf numFmtId="168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172" fontId="12" fillId="0" borderId="0">
      <protection locked="0"/>
    </xf>
    <xf numFmtId="173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4" fontId="12" fillId="0" borderId="0">
      <protection locked="0"/>
    </xf>
    <xf numFmtId="168" fontId="13" fillId="0" borderId="0">
      <protection locked="0"/>
    </xf>
    <xf numFmtId="168" fontId="14" fillId="0" borderId="0">
      <protection locked="0"/>
    </xf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68" fontId="17" fillId="0" borderId="0">
      <protection locked="0"/>
    </xf>
    <xf numFmtId="168" fontId="17" fillId="0" borderId="0">
      <protection locked="0"/>
    </xf>
    <xf numFmtId="168" fontId="18" fillId="0" borderId="0">
      <protection locked="0"/>
    </xf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4" borderId="0" applyNumberFormat="0" applyBorder="0" applyAlignment="0" applyProtection="0"/>
    <xf numFmtId="0" fontId="16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30" borderId="0" applyNumberFormat="0" applyBorder="0" applyAlignment="0" applyProtection="0"/>
    <xf numFmtId="0" fontId="15" fillId="22" borderId="0" applyNumberFormat="0" applyBorder="0" applyAlignment="0" applyProtection="0"/>
    <xf numFmtId="0" fontId="15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7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9" fillId="33" borderId="0" applyNumberFormat="0" applyBorder="0" applyAlignment="0" applyProtection="0"/>
    <xf numFmtId="0" fontId="20" fillId="34" borderId="2" applyNumberFormat="0" applyAlignment="0" applyProtection="0"/>
    <xf numFmtId="0" fontId="21" fillId="24" borderId="3" applyNumberFormat="0" applyAlignment="0" applyProtection="0"/>
    <xf numFmtId="177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180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5" fontId="10" fillId="0" borderId="0">
      <protection locked="0"/>
    </xf>
    <xf numFmtId="165" fontId="10" fillId="0" borderId="0">
      <protection locked="0"/>
    </xf>
    <xf numFmtId="165" fontId="24" fillId="0" borderId="0">
      <protection locked="0"/>
    </xf>
    <xf numFmtId="165" fontId="10" fillId="0" borderId="0">
      <protection locked="0"/>
    </xf>
    <xf numFmtId="165" fontId="10" fillId="0" borderId="0">
      <protection locked="0"/>
    </xf>
    <xf numFmtId="165" fontId="10" fillId="0" borderId="0">
      <protection locked="0"/>
    </xf>
    <xf numFmtId="165" fontId="25" fillId="0" borderId="0">
      <protection locked="0"/>
    </xf>
    <xf numFmtId="0" fontId="26" fillId="26" borderId="0" applyNumberFormat="0" applyBorder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168" fontId="17" fillId="0" borderId="0">
      <protection locked="0"/>
    </xf>
    <xf numFmtId="0" fontId="30" fillId="0" borderId="0"/>
    <xf numFmtId="168" fontId="31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2" fillId="31" borderId="2" applyNumberFormat="0" applyAlignment="0" applyProtection="0"/>
    <xf numFmtId="0" fontId="33" fillId="0" borderId="7" applyNumberFormat="0" applyFill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34" fillId="38" borderId="0" applyNumberFormat="0" applyBorder="0" applyAlignment="0" applyProtection="0"/>
    <xf numFmtId="0" fontId="7" fillId="0" borderId="0"/>
    <xf numFmtId="0" fontId="15" fillId="22" borderId="8" applyNumberFormat="0" applyFont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68" fontId="17" fillId="0" borderId="0">
      <protection locked="0"/>
    </xf>
    <xf numFmtId="168" fontId="17" fillId="0" borderId="0">
      <protection locked="0"/>
    </xf>
    <xf numFmtId="168" fontId="18" fillId="0" borderId="0">
      <protection locked="0"/>
    </xf>
    <xf numFmtId="0" fontId="35" fillId="34" borderId="9" applyNumberFormat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36" fillId="39" borderId="0">
      <alignment horizontal="left" vertical="top"/>
    </xf>
    <xf numFmtId="0" fontId="37" fillId="39" borderId="0">
      <alignment horizontal="center" vertical="center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left" vertical="top"/>
    </xf>
    <xf numFmtId="0" fontId="38" fillId="39" borderId="0">
      <alignment horizontal="left" vertical="top"/>
    </xf>
    <xf numFmtId="0" fontId="38" fillId="39" borderId="0">
      <alignment horizontal="right" vertical="center"/>
    </xf>
    <xf numFmtId="0" fontId="38" fillId="39" borderId="0">
      <alignment horizontal="right" vertical="center"/>
    </xf>
    <xf numFmtId="0" fontId="39" fillId="39" borderId="0">
      <alignment horizontal="right" vertical="top"/>
    </xf>
    <xf numFmtId="0" fontId="40" fillId="0" borderId="0" applyNumberFormat="0" applyFill="0" applyBorder="0" applyAlignment="0" applyProtection="0"/>
    <xf numFmtId="0" fontId="7" fillId="0" borderId="0"/>
    <xf numFmtId="0" fontId="4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42" fillId="0" borderId="0" applyNumberFormat="0" applyFill="0" applyBorder="0" applyAlignment="0" applyProtection="0"/>
    <xf numFmtId="184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0" fontId="30" fillId="0" borderId="0">
      <alignment horizont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43" fillId="0" borderId="0"/>
    <xf numFmtId="0" fontId="43" fillId="0" borderId="0"/>
    <xf numFmtId="0" fontId="15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4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4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8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9" fontId="4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9" fontId="47" fillId="0" borderId="0" applyFont="0" applyFill="0" applyBorder="0" applyAlignment="0" applyProtection="0"/>
    <xf numFmtId="189" fontId="4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9" fontId="47" fillId="0" borderId="0" applyFont="0" applyFill="0" applyBorder="0" applyAlignment="0" applyProtection="0"/>
    <xf numFmtId="189" fontId="47" fillId="0" borderId="0" applyFont="0" applyFill="0" applyBorder="0" applyAlignment="0" applyProtection="0"/>
    <xf numFmtId="189" fontId="47" fillId="0" borderId="0" applyFont="0" applyFill="0" applyBorder="0" applyAlignment="0" applyProtection="0"/>
    <xf numFmtId="189" fontId="47" fillId="0" borderId="0" applyFont="0" applyFill="0" applyBorder="0" applyAlignment="0" applyProtection="0"/>
    <xf numFmtId="190" fontId="7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7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8" fontId="10" fillId="0" borderId="0">
      <protection locked="0"/>
    </xf>
    <xf numFmtId="0" fontId="48" fillId="0" borderId="0"/>
    <xf numFmtId="0" fontId="50" fillId="0" borderId="0"/>
    <xf numFmtId="0" fontId="1" fillId="0" borderId="0"/>
    <xf numFmtId="0" fontId="1" fillId="0" borderId="0"/>
    <xf numFmtId="0" fontId="15" fillId="0" borderId="0"/>
  </cellStyleXfs>
  <cellXfs count="38">
    <xf numFmtId="0" fontId="0" fillId="0" borderId="0" xfId="0"/>
    <xf numFmtId="0" fontId="49" fillId="2" borderId="0" xfId="1" applyFont="1" applyFill="1" applyAlignment="1">
      <alignment horizontal="center" vertical="center"/>
    </xf>
    <xf numFmtId="0" fontId="49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3" fontId="49" fillId="2" borderId="0" xfId="1" applyNumberFormat="1" applyFont="1" applyFill="1" applyAlignment="1">
      <alignment vertical="center"/>
    </xf>
    <xf numFmtId="0" fontId="53" fillId="41" borderId="11" xfId="1" applyFont="1" applyFill="1" applyBorder="1" applyAlignment="1">
      <alignment horizontal="center" vertical="center" wrapText="1"/>
    </xf>
    <xf numFmtId="0" fontId="55" fillId="41" borderId="11" xfId="1" applyFont="1" applyFill="1" applyBorder="1" applyAlignment="1">
      <alignment horizontal="center" vertical="center" wrapText="1"/>
    </xf>
    <xf numFmtId="3" fontId="54" fillId="41" borderId="11" xfId="0" applyNumberFormat="1" applyFont="1" applyFill="1" applyBorder="1" applyAlignment="1">
      <alignment horizontal="center" vertical="center" wrapText="1"/>
    </xf>
    <xf numFmtId="9" fontId="54" fillId="41" borderId="11" xfId="0" applyNumberFormat="1" applyFont="1" applyFill="1" applyBorder="1" applyAlignment="1">
      <alignment horizontal="center" vertical="center" wrapText="1"/>
    </xf>
    <xf numFmtId="0" fontId="58" fillId="41" borderId="11" xfId="1" applyFont="1" applyFill="1" applyBorder="1" applyAlignment="1">
      <alignment horizontal="center" vertical="center" wrapText="1"/>
    </xf>
    <xf numFmtId="0" fontId="54" fillId="41" borderId="11" xfId="1" applyNumberFormat="1" applyFont="1" applyFill="1" applyBorder="1" applyAlignment="1">
      <alignment horizontal="center" vertical="center" wrapText="1"/>
    </xf>
    <xf numFmtId="0" fontId="54" fillId="41" borderId="11" xfId="1" applyFont="1" applyFill="1" applyBorder="1" applyAlignment="1">
      <alignment horizontal="center" vertical="center" wrapText="1"/>
    </xf>
    <xf numFmtId="3" fontId="54" fillId="41" borderId="11" xfId="1" applyNumberFormat="1" applyFont="1" applyFill="1" applyBorder="1" applyAlignment="1">
      <alignment horizontal="center" vertical="center" wrapText="1"/>
    </xf>
    <xf numFmtId="9" fontId="54" fillId="41" borderId="11" xfId="1" applyNumberFormat="1" applyFont="1" applyFill="1" applyBorder="1" applyAlignment="1">
      <alignment horizontal="center" vertical="center" wrapText="1"/>
    </xf>
    <xf numFmtId="0" fontId="58" fillId="2" borderId="0" xfId="1" applyFont="1" applyFill="1" applyAlignment="1">
      <alignment vertical="center"/>
    </xf>
    <xf numFmtId="167" fontId="57" fillId="41" borderId="11" xfId="2" applyNumberFormat="1" applyFont="1" applyFill="1" applyBorder="1" applyAlignment="1">
      <alignment horizontal="center" vertical="center" wrapText="1"/>
    </xf>
    <xf numFmtId="0" fontId="52" fillId="42" borderId="0" xfId="1" applyFont="1" applyFill="1" applyAlignment="1">
      <alignment vertical="center"/>
    </xf>
    <xf numFmtId="0" fontId="55" fillId="42" borderId="11" xfId="1227" applyFont="1" applyFill="1" applyBorder="1" applyAlignment="1">
      <alignment horizontal="center" vertical="center" wrapText="1"/>
    </xf>
    <xf numFmtId="3" fontId="59" fillId="0" borderId="11" xfId="0" applyNumberFormat="1" applyFont="1" applyBorder="1" applyAlignment="1">
      <alignment horizontal="center" vertical="center" wrapText="1"/>
    </xf>
    <xf numFmtId="0" fontId="58" fillId="0" borderId="11" xfId="1" applyFont="1" applyFill="1" applyBorder="1" applyAlignment="1">
      <alignment horizontal="center" vertical="center" wrapText="1"/>
    </xf>
    <xf numFmtId="0" fontId="58" fillId="0" borderId="11" xfId="1" applyNumberFormat="1" applyFont="1" applyFill="1" applyBorder="1" applyAlignment="1">
      <alignment horizontal="left" vertical="center"/>
    </xf>
    <xf numFmtId="1" fontId="58" fillId="0" borderId="11" xfId="0" applyNumberFormat="1" applyFont="1" applyFill="1" applyBorder="1" applyAlignment="1">
      <alignment horizontal="center" vertical="center"/>
    </xf>
    <xf numFmtId="3" fontId="61" fillId="0" borderId="11" xfId="1157" applyNumberFormat="1" applyFont="1" applyFill="1" applyBorder="1" applyAlignment="1">
      <alignment horizontal="center" vertical="center"/>
    </xf>
    <xf numFmtId="9" fontId="58" fillId="0" borderId="11" xfId="0" applyNumberFormat="1" applyFont="1" applyFill="1" applyBorder="1" applyAlignment="1">
      <alignment horizontal="center" vertical="center"/>
    </xf>
    <xf numFmtId="3" fontId="58" fillId="0" borderId="11" xfId="0" applyNumberFormat="1" applyFont="1" applyFill="1" applyBorder="1" applyAlignment="1">
      <alignment horizontal="center" vertical="center"/>
    </xf>
    <xf numFmtId="3" fontId="63" fillId="0" borderId="11" xfId="1157" applyNumberFormat="1" applyFont="1" applyFill="1" applyBorder="1" applyAlignment="1">
      <alignment horizontal="center" vertical="center"/>
    </xf>
    <xf numFmtId="3" fontId="58" fillId="0" borderId="11" xfId="0" applyNumberFormat="1" applyFont="1" applyBorder="1" applyAlignment="1">
      <alignment horizontal="center" vertical="center"/>
    </xf>
    <xf numFmtId="3" fontId="58" fillId="2" borderId="11" xfId="0" applyNumberFormat="1" applyFont="1" applyFill="1" applyBorder="1" applyAlignment="1">
      <alignment horizontal="center" vertical="center" wrapText="1"/>
    </xf>
    <xf numFmtId="3" fontId="58" fillId="0" borderId="11" xfId="0" applyNumberFormat="1" applyFont="1" applyBorder="1" applyAlignment="1">
      <alignment horizontal="center" vertical="center" wrapText="1"/>
    </xf>
    <xf numFmtId="0" fontId="54" fillId="42" borderId="11" xfId="0" applyFont="1" applyFill="1" applyBorder="1" applyAlignment="1">
      <alignment horizontal="center" vertical="center" wrapText="1"/>
    </xf>
    <xf numFmtId="0" fontId="54" fillId="42" borderId="11" xfId="0" applyFont="1" applyFill="1" applyBorder="1" applyAlignment="1">
      <alignment horizontal="center" vertical="center" wrapText="1"/>
    </xf>
    <xf numFmtId="3" fontId="55" fillId="41" borderId="11" xfId="1" applyNumberFormat="1" applyFont="1" applyFill="1" applyBorder="1" applyAlignment="1">
      <alignment horizontal="center" vertical="center" wrapText="1"/>
    </xf>
    <xf numFmtId="3" fontId="62" fillId="2" borderId="11" xfId="1157" applyNumberFormat="1" applyFont="1" applyFill="1" applyBorder="1" applyAlignment="1">
      <alignment horizontal="center" vertical="center" wrapText="1"/>
    </xf>
    <xf numFmtId="0" fontId="55" fillId="42" borderId="11" xfId="1227" applyFont="1" applyFill="1" applyBorder="1" applyAlignment="1">
      <alignment horizontal="center" vertical="center" wrapText="1"/>
    </xf>
    <xf numFmtId="0" fontId="54" fillId="42" borderId="11" xfId="0" applyFont="1" applyFill="1" applyBorder="1" applyAlignment="1">
      <alignment horizontal="center" vertical="center" wrapText="1"/>
    </xf>
    <xf numFmtId="0" fontId="64" fillId="42" borderId="11" xfId="0" applyFont="1" applyFill="1" applyBorder="1" applyAlignment="1">
      <alignment horizontal="center" vertical="center" wrapText="1"/>
    </xf>
    <xf numFmtId="0" fontId="65" fillId="42" borderId="11" xfId="0" applyFont="1" applyFill="1" applyBorder="1" applyAlignment="1">
      <alignment horizontal="center" vertical="center" wrapText="1"/>
    </xf>
    <xf numFmtId="0" fontId="56" fillId="0" borderId="0" xfId="1" applyFont="1" applyFill="1" applyBorder="1" applyAlignment="1">
      <alignment horizontal="center" vertical="center" wrapText="1"/>
    </xf>
  </cellXfs>
  <cellStyles count="1230">
    <cellStyle name="???????" xfId="3"/>
    <cellStyle name="????????" xfId="4"/>
    <cellStyle name="???????? [0]" xfId="5"/>
    <cellStyle name="??????????" xfId="6"/>
    <cellStyle name="?????????? [0]" xfId="7"/>
    <cellStyle name="???????????" xfId="8"/>
    <cellStyle name="????????????? ???????????" xfId="9"/>
    <cellStyle name="??????????_1" xfId="10"/>
    <cellStyle name="????????_ ?? 25 ???" xfId="11"/>
    <cellStyle name="???????_ ????.???" xfId="12"/>
    <cellStyle name="??????_ ?? 25 ???" xfId="13"/>
    <cellStyle name="?’ћѓћ‚›‰" xfId="14"/>
    <cellStyle name="_2.45 таблица ижтимоий" xfId="15"/>
    <cellStyle name="_2.45 таблица ижтимоий_омонатлар 01.09.2011 йил" xfId="16"/>
    <cellStyle name="_2.45 таблица ижтимоий_омонатлар 01.10.2011 йил" xfId="17"/>
    <cellStyle name="_2.45 таблица ижтимоий_омонатлар 01.11.2011 йил" xfId="18"/>
    <cellStyle name="_2.45 таблица ижтимоий_омонатлар 01.12.2011" xfId="19"/>
    <cellStyle name="_2.46 таблица ижтимоий" xfId="20"/>
    <cellStyle name="_2.46 таблица ижтимоий_омонатлар 01.09.2011 йил" xfId="21"/>
    <cellStyle name="_2.46 таблица ижтимоий_омонатлар 01.10.2011 йил" xfId="22"/>
    <cellStyle name="_2.46 таблица ижтимоий_омонатлар 01.11.2011 йил" xfId="23"/>
    <cellStyle name="_2.46 таблица ижтимоий_омонатлар 01.12.2011" xfId="24"/>
    <cellStyle name="_2.58 таблица ВЭС" xfId="25"/>
    <cellStyle name="_2.58 таблица ВЭС_омонатлар 01.09.2011 йил" xfId="26"/>
    <cellStyle name="_2.58 таблица ВЭС_омонатлар 01.10.2011 йил" xfId="27"/>
    <cellStyle name="_2.58 таблица ВЭС_омонатлар 01.11.2011 йил" xfId="28"/>
    <cellStyle name="_2.58 таблица ВЭС_омонатлар 01.12.2011" xfId="29"/>
    <cellStyle name="_2.58 узгаргани" xfId="30"/>
    <cellStyle name="_2.58 узгаргани_Нам дастур 2009-2012 (ўзбек)" xfId="31"/>
    <cellStyle name="_2008 КХ ЯНГИ ДАСТУР" xfId="32"/>
    <cellStyle name="_2008 КХ ЯНГИ ДАСТУР_Нам дастур 2009-2012 (ўзбек)" xfId="33"/>
    <cellStyle name="_2008_9_ой_якун_маълумот" xfId="34"/>
    <cellStyle name="_2008й прогноз ДАСТУР" xfId="35"/>
    <cellStyle name="_2008й прогноз ДАСТУР_омонатлар 01.09.2011 йил" xfId="36"/>
    <cellStyle name="_2008й прогноз ДАСТУР_омонатлар 01.10.2011 йил" xfId="37"/>
    <cellStyle name="_2008й прогноз ДАСТУР_омонатлар 01.11.2011 йил" xfId="38"/>
    <cellStyle name="_2008й прогноз ДАСТУР_омонатлар 01.12.2011" xfId="39"/>
    <cellStyle name="_21а жадваллар" xfId="40"/>
    <cellStyle name="_21а жадваллар_232 ижроси" xfId="41"/>
    <cellStyle name="_21а жадваллар_АХБОРОТ ТАХЛИЛГАга жадваллар (по туманам)" xfId="42"/>
    <cellStyle name="_21а жадваллар_АХБОРОТ ТАХЛИЛГАга жадваллар (по туманам)_омонатлар 01.09.2011 йил" xfId="43"/>
    <cellStyle name="_21а жадваллар_АХБОРОТ ТАХЛИЛГАга жадваллар (по туманам)_омонатлар 01.10.2011 йил" xfId="44"/>
    <cellStyle name="_21а жадваллар_АХБОРОТ ТАХЛИЛГАга жадваллар (по туманам)_омонатлар 01.11.2011 йил" xfId="45"/>
    <cellStyle name="_21а жадваллар_АХБОРОТ ТАХЛИЛГАга жадваллар (по туманам)_омонатлар 01.12.2011" xfId="46"/>
    <cellStyle name="_21а жадваллар_Жадвал саноат 2009 ОХИРИ" xfId="47"/>
    <cellStyle name="_21а жадваллар_Жадвал саноат 2009 ОХИРИ_омонатлар 01.09.2011 йил" xfId="48"/>
    <cellStyle name="_21а жадваллар_Жадвал саноат 2009 ОХИРИ_омонатлар 01.10.2011 йил" xfId="49"/>
    <cellStyle name="_21а жадваллар_Жадвал саноат 2009 ОХИРИ_омонатлар 01.11.2011 йил" xfId="50"/>
    <cellStyle name="_21а жадваллар_Жадвал саноат 2009 ОХИРИ_омонатлар 01.12.2011" xfId="51"/>
    <cellStyle name="_21а жадваллар_иктисодга" xfId="52"/>
    <cellStyle name="_21а жадваллар_иктисодга_омонатлар 01.09.2011 йил" xfId="53"/>
    <cellStyle name="_21а жадваллар_иктисодга_омонатлар 01.10.2011 йил" xfId="54"/>
    <cellStyle name="_21а жадваллар_иктисодга_омонатлар 01.11.2011 йил" xfId="55"/>
    <cellStyle name="_21а жадваллар_иктисодга_омонатлар 01.12.2011" xfId="56"/>
    <cellStyle name="_21а жадваллар_ОКИБ" xfId="57"/>
    <cellStyle name="_21а жадваллар_ОКИБ_омонатлар 01.09.2011 йил" xfId="58"/>
    <cellStyle name="_21а жадваллар_ОКИБ_омонатлар 01.10.2011 йил" xfId="59"/>
    <cellStyle name="_21а жадваллар_ОКИБ_омонатлар 01.11.2011 йил" xfId="60"/>
    <cellStyle name="_21а жадваллар_ОКИБ_омонатлар 01.12.2011" xfId="61"/>
    <cellStyle name="_21а жадваллар_омонатлар 01.09.2011 йил" xfId="62"/>
    <cellStyle name="_21а жадваллар_омонатлар 01.10.2011 йил" xfId="63"/>
    <cellStyle name="_21а жадваллар_омонатлар 01.11.2011 йил" xfId="64"/>
    <cellStyle name="_21а жадваллар_омонатлар 01.12.2011" xfId="65"/>
    <cellStyle name="_21а жадваллар_ПРОМ 2010-1чорак-жадваллар 23.03" xfId="66"/>
    <cellStyle name="_21а жадваллар_СВОД жадваллар-2009 6 ой" xfId="67"/>
    <cellStyle name="_21а жадваллар_СВОД жадваллар-2009 6 ой_омонатлар 01.09.2011 йил" xfId="68"/>
    <cellStyle name="_21а жадваллар_СВОД жадваллар-2009 6 ой_омонатлар 01.10.2011 йил" xfId="69"/>
    <cellStyle name="_21а жадваллар_СВОД жадваллар-2009 6 ой_омонатлар 01.11.2011 йил" xfId="70"/>
    <cellStyle name="_21а жадваллар_СВОД жадваллар-2009 6 ой_омонатлар 01.12.2011" xfId="71"/>
    <cellStyle name="_21а жадваллар_Сухроб Вилоят свод" xfId="72"/>
    <cellStyle name="_21а жадваллар_Сухроб Вилоят свод_омонатлар 01.09.2011 йил" xfId="73"/>
    <cellStyle name="_21а жадваллар_Сухроб Вилоят свод_омонатлар 01.10.2011 йил" xfId="74"/>
    <cellStyle name="_21а жадваллар_Сухроб Вилоят свод_омонатлар 01.11.2011 йил" xfId="75"/>
    <cellStyle name="_21а жадваллар_Сухроб Вилоят свод_омонатлар 01.12.2011" xfId="76"/>
    <cellStyle name="_308 форма" xfId="77"/>
    <cellStyle name="_308 форма_232 ижроси" xfId="78"/>
    <cellStyle name="_308 форма_АХБОРОТ ТАХЛИЛГАга жадваллар (по туманам)" xfId="79"/>
    <cellStyle name="_308 форма_АХБОРОТ ТАХЛИЛГАга жадваллар (по туманам)_омонатлар 01.09.2011 йил" xfId="80"/>
    <cellStyle name="_308 форма_АХБОРОТ ТАХЛИЛГАга жадваллар (по туманам)_омонатлар 01.10.2011 йил" xfId="81"/>
    <cellStyle name="_308 форма_АХБОРОТ ТАХЛИЛГАга жадваллар (по туманам)_омонатлар 01.11.2011 йил" xfId="82"/>
    <cellStyle name="_308 форма_АХБОРОТ ТАХЛИЛГАга жадваллар (по туманам)_омонатлар 01.12.2011" xfId="83"/>
    <cellStyle name="_308 форма_Жадвал саноат 2009 ОХИРИ" xfId="84"/>
    <cellStyle name="_308 форма_Жадвал саноат 2009 ОХИРИ_омонатлар 01.09.2011 йил" xfId="85"/>
    <cellStyle name="_308 форма_Жадвал саноат 2009 ОХИРИ_омонатлар 01.10.2011 йил" xfId="86"/>
    <cellStyle name="_308 форма_Жадвал саноат 2009 ОХИРИ_омонатлар 01.11.2011 йил" xfId="87"/>
    <cellStyle name="_308 форма_Жадвал саноат 2009 ОХИРИ_омонатлар 01.12.2011" xfId="88"/>
    <cellStyle name="_308 форма_иктисодга" xfId="89"/>
    <cellStyle name="_308 форма_иктисодга_омонатлар 01.09.2011 йил" xfId="90"/>
    <cellStyle name="_308 форма_иктисодга_омонатлар 01.10.2011 йил" xfId="91"/>
    <cellStyle name="_308 форма_иктисодга_омонатлар 01.11.2011 йил" xfId="92"/>
    <cellStyle name="_308 форма_иктисодга_омонатлар 01.12.2011" xfId="93"/>
    <cellStyle name="_308 форма_ОКИБ" xfId="94"/>
    <cellStyle name="_308 форма_ОКИБ_омонатлар 01.09.2011 йил" xfId="95"/>
    <cellStyle name="_308 форма_ОКИБ_омонатлар 01.10.2011 йил" xfId="96"/>
    <cellStyle name="_308 форма_ОКИБ_омонатлар 01.11.2011 йил" xfId="97"/>
    <cellStyle name="_308 форма_ОКИБ_омонатлар 01.12.2011" xfId="98"/>
    <cellStyle name="_308 форма_омонатлар 01.09.2011 йил" xfId="99"/>
    <cellStyle name="_308 форма_омонатлар 01.10.2011 йил" xfId="100"/>
    <cellStyle name="_308 форма_омонатлар 01.11.2011 йил" xfId="101"/>
    <cellStyle name="_308 форма_омонатлар 01.12.2011" xfId="102"/>
    <cellStyle name="_308 форма_ПРОМ 2010-1чорак-жадваллар 23.03" xfId="103"/>
    <cellStyle name="_308 форма_СВОД жадваллар-2009 6 ой" xfId="104"/>
    <cellStyle name="_308 форма_СВОД жадваллар-2009 6 ой_омонатлар 01.09.2011 йил" xfId="105"/>
    <cellStyle name="_308 форма_СВОД жадваллар-2009 6 ой_омонатлар 01.10.2011 йил" xfId="106"/>
    <cellStyle name="_308 форма_СВОД жадваллар-2009 6 ой_омонатлар 01.11.2011 йил" xfId="107"/>
    <cellStyle name="_308 форма_СВОД жадваллар-2009 6 ой_омонатлар 01.12.2011" xfId="108"/>
    <cellStyle name="_308 форма_Сухроб Вилоят свод" xfId="109"/>
    <cellStyle name="_308 форма_Сухроб Вилоят свод_омонатлар 01.09.2011 йил" xfId="110"/>
    <cellStyle name="_308 форма_Сухроб Вилоят свод_омонатлар 01.10.2011 йил" xfId="111"/>
    <cellStyle name="_308 форма_Сухроб Вилоят свод_омонатлар 01.11.2011 йил" xfId="112"/>
    <cellStyle name="_308 форма_Сухроб Вилоят свод_омонатлар 01.12.2011" xfId="113"/>
    <cellStyle name="_5-илова кабмин" xfId="114"/>
    <cellStyle name="_7- Банклар буйича Хоразм111" xfId="115"/>
    <cellStyle name="_№5-5а-5б-Озик-овкат-иссикхона-паррандачилик 2010 йил" xfId="116"/>
    <cellStyle name="_Акмал акага" xfId="117"/>
    <cellStyle name="_Андижон" xfId="118"/>
    <cellStyle name="_Вилоят касана12" xfId="119"/>
    <cellStyle name="_ДАСТУР макет" xfId="120"/>
    <cellStyle name="_ДАСТУР макет_232 ижроси" xfId="121"/>
    <cellStyle name="_ДАСТУР макет_АХБОРОТ ТАХЛИЛГАга жадваллар (по туманам)" xfId="122"/>
    <cellStyle name="_ДАСТУР макет_АХБОРОТ ТАХЛИЛГАга жадваллар (по туманам)_омонатлар 01.09.2011 йил" xfId="123"/>
    <cellStyle name="_ДАСТУР макет_АХБОРОТ ТАХЛИЛГАга жадваллар (по туманам)_омонатлар 01.10.2011 йил" xfId="124"/>
    <cellStyle name="_ДАСТУР макет_АХБОРОТ ТАХЛИЛГАга жадваллар (по туманам)_омонатлар 01.11.2011 йил" xfId="125"/>
    <cellStyle name="_ДАСТУР макет_АХБОРОТ ТАХЛИЛГАга жадваллар (по туманам)_омонатлар 01.12.2011" xfId="126"/>
    <cellStyle name="_ДАСТУР макет_Жадвал саноат 2009 ОХИРИ" xfId="127"/>
    <cellStyle name="_ДАСТУР макет_Жадвал саноат 2009 ОХИРИ_омонатлар 01.09.2011 йил" xfId="128"/>
    <cellStyle name="_ДАСТУР макет_Жадвал саноат 2009 ОХИРИ_омонатлар 01.10.2011 йил" xfId="129"/>
    <cellStyle name="_ДАСТУР макет_Жадвал саноат 2009 ОХИРИ_омонатлар 01.11.2011 йил" xfId="130"/>
    <cellStyle name="_ДАСТУР макет_Жадвал саноат 2009 ОХИРИ_омонатлар 01.12.2011" xfId="131"/>
    <cellStyle name="_ДАСТУР макет_иктисодга" xfId="132"/>
    <cellStyle name="_ДАСТУР макет_иктисодга_омонатлар 01.09.2011 йил" xfId="133"/>
    <cellStyle name="_ДАСТУР макет_иктисодга_омонатлар 01.10.2011 йил" xfId="134"/>
    <cellStyle name="_ДАСТУР макет_иктисодга_омонатлар 01.11.2011 йил" xfId="135"/>
    <cellStyle name="_ДАСТУР макет_иктисодга_омонатлар 01.12.2011" xfId="136"/>
    <cellStyle name="_ДАСТУР макет_ОКИБ" xfId="137"/>
    <cellStyle name="_ДАСТУР макет_ОКИБ_омонатлар 01.09.2011 йил" xfId="138"/>
    <cellStyle name="_ДАСТУР макет_ОКИБ_омонатлар 01.10.2011 йил" xfId="139"/>
    <cellStyle name="_ДАСТУР макет_ОКИБ_омонатлар 01.11.2011 йил" xfId="140"/>
    <cellStyle name="_ДАСТУР макет_ОКИБ_омонатлар 01.12.2011" xfId="141"/>
    <cellStyle name="_ДАСТУР макет_омонатлар 01.09.2011 йил" xfId="142"/>
    <cellStyle name="_ДАСТУР макет_омонатлар 01.10.2011 йил" xfId="143"/>
    <cellStyle name="_ДАСТУР макет_омонатлар 01.11.2011 йил" xfId="144"/>
    <cellStyle name="_ДАСТУР макет_омонатлар 01.12.2011" xfId="145"/>
    <cellStyle name="_ДАСТУР макет_ПРОМ 2010-1чорак-жадваллар 23.03" xfId="146"/>
    <cellStyle name="_ДАСТУР макет_СВОД жадваллар-2009 6 ой" xfId="147"/>
    <cellStyle name="_ДАСТУР макет_СВОД жадваллар-2009 6 ой_омонатлар 01.09.2011 йил" xfId="148"/>
    <cellStyle name="_ДАСТУР макет_СВОД жадваллар-2009 6 ой_омонатлар 01.10.2011 йил" xfId="149"/>
    <cellStyle name="_ДАСТУР макет_СВОД жадваллар-2009 6 ой_омонатлар 01.11.2011 йил" xfId="150"/>
    <cellStyle name="_ДАСТУР макет_СВОД жадваллар-2009 6 ой_омонатлар 01.12.2011" xfId="151"/>
    <cellStyle name="_ДАСТУР макет_Сухроб Вилоят свод" xfId="152"/>
    <cellStyle name="_ДАСТУР макет_Сухроб Вилоят свод_омонатлар 01.09.2011 йил" xfId="153"/>
    <cellStyle name="_ДАСТУР макет_Сухроб Вилоят свод_омонатлар 01.10.2011 йил" xfId="154"/>
    <cellStyle name="_ДАСТУР макет_Сухроб Вилоят свод_омонатлар 01.11.2011 йил" xfId="155"/>
    <cellStyle name="_ДАСТУР макет_Сухроб Вилоят свод_омонатлар 01.12.2011" xfId="156"/>
    <cellStyle name="_ДАСТУР обл план 2007-09" xfId="157"/>
    <cellStyle name="_ДАСТУР обл план 2007-09_232 ижроси" xfId="158"/>
    <cellStyle name="_ДАСТУР обл план 2007-09_АХБОРОТ ТАХЛИЛГАга жадваллар (по туманам)" xfId="159"/>
    <cellStyle name="_ДАСТУР обл план 2007-09_АХБОРОТ ТАХЛИЛГАга жадваллар (по туманам)_омонатлар 01.09.2011 йил" xfId="160"/>
    <cellStyle name="_ДАСТУР обл план 2007-09_АХБОРОТ ТАХЛИЛГАга жадваллар (по туманам)_омонатлар 01.10.2011 йил" xfId="161"/>
    <cellStyle name="_ДАСТУР обл план 2007-09_АХБОРОТ ТАХЛИЛГАга жадваллар (по туманам)_омонатлар 01.11.2011 йил" xfId="162"/>
    <cellStyle name="_ДАСТУР обл план 2007-09_АХБОРОТ ТАХЛИЛГАга жадваллар (по туманам)_омонатлар 01.12.2011" xfId="163"/>
    <cellStyle name="_ДАСТУР обл план 2007-09_Жадвал саноат 2009 ОХИРИ" xfId="164"/>
    <cellStyle name="_ДАСТУР обл план 2007-09_Жадвал саноат 2009 ОХИРИ_омонатлар 01.09.2011 йил" xfId="165"/>
    <cellStyle name="_ДАСТУР обл план 2007-09_Жадвал саноат 2009 ОХИРИ_омонатлар 01.10.2011 йил" xfId="166"/>
    <cellStyle name="_ДАСТУР обл план 2007-09_Жадвал саноат 2009 ОХИРИ_омонатлар 01.11.2011 йил" xfId="167"/>
    <cellStyle name="_ДАСТУР обл план 2007-09_Жадвал саноат 2009 ОХИРИ_омонатлар 01.12.2011" xfId="168"/>
    <cellStyle name="_ДАСТУР обл план 2007-09_иктисодга" xfId="169"/>
    <cellStyle name="_ДАСТУР обл план 2007-09_иктисодга_омонатлар 01.09.2011 йил" xfId="170"/>
    <cellStyle name="_ДАСТУР обл план 2007-09_иктисодга_омонатлар 01.10.2011 йил" xfId="171"/>
    <cellStyle name="_ДАСТУР обл план 2007-09_иктисодга_омонатлар 01.11.2011 йил" xfId="172"/>
    <cellStyle name="_ДАСТУР обл план 2007-09_иктисодга_омонатлар 01.12.2011" xfId="173"/>
    <cellStyle name="_ДАСТУР обл план 2007-09_ОКИБ" xfId="174"/>
    <cellStyle name="_ДАСТУР обл план 2007-09_ОКИБ_омонатлар 01.09.2011 йил" xfId="175"/>
    <cellStyle name="_ДАСТУР обл план 2007-09_ОКИБ_омонатлар 01.10.2011 йил" xfId="176"/>
    <cellStyle name="_ДАСТУР обл план 2007-09_ОКИБ_омонатлар 01.11.2011 йил" xfId="177"/>
    <cellStyle name="_ДАСТУР обл план 2007-09_ОКИБ_омонатлар 01.12.2011" xfId="178"/>
    <cellStyle name="_ДАСТУР обл план 2007-09_омонатлар 01.09.2011 йил" xfId="179"/>
    <cellStyle name="_ДАСТУР обл план 2007-09_омонатлар 01.10.2011 йил" xfId="180"/>
    <cellStyle name="_ДАСТУР обл план 2007-09_омонатлар 01.11.2011 йил" xfId="181"/>
    <cellStyle name="_ДАСТУР обл план 2007-09_омонатлар 01.12.2011" xfId="182"/>
    <cellStyle name="_ДАСТУР обл план 2007-09_ПРОМ 2010-1чорак-жадваллар 23.03" xfId="183"/>
    <cellStyle name="_ДАСТУР обл план 2007-09_СВОД жадваллар-2009 6 ой" xfId="184"/>
    <cellStyle name="_ДАСТУР обл план 2007-09_СВОД жадваллар-2009 6 ой_омонатлар 01.09.2011 йил" xfId="185"/>
    <cellStyle name="_ДАСТУР обл план 2007-09_СВОД жадваллар-2009 6 ой_омонатлар 01.10.2011 йил" xfId="186"/>
    <cellStyle name="_ДАСТУР обл план 2007-09_СВОД жадваллар-2009 6 ой_омонатлар 01.11.2011 йил" xfId="187"/>
    <cellStyle name="_ДАСТУР обл план 2007-09_СВОД жадваллар-2009 6 ой_омонатлар 01.12.2011" xfId="188"/>
    <cellStyle name="_ДАСТУР обл план 2007-09_Сухроб Вилоят свод" xfId="189"/>
    <cellStyle name="_ДАСТУР обл план 2007-09_Сухроб Вилоят свод_омонатлар 01.09.2011 йил" xfId="190"/>
    <cellStyle name="_ДАСТУР обл план 2007-09_Сухроб Вилоят свод_омонатлар 01.10.2011 йил" xfId="191"/>
    <cellStyle name="_ДАСТУР обл план 2007-09_Сухроб Вилоят свод_омонатлар 01.11.2011 йил" xfId="192"/>
    <cellStyle name="_ДАСТУР обл план 2007-09_Сухроб Вилоят свод_омонатлар 01.12.2011" xfId="193"/>
    <cellStyle name="_Жиззах" xfId="194"/>
    <cellStyle name="_Жиззах_232 ижроси" xfId="195"/>
    <cellStyle name="_Жиззах_АХБОРОТ ТАХЛИЛГАга жадваллар (по туманам)" xfId="196"/>
    <cellStyle name="_Жиззах_АХБОРОТ ТАХЛИЛГАга жадваллар (по туманам)_омонатлар 01.09.2011 йил" xfId="197"/>
    <cellStyle name="_Жиззах_АХБОРОТ ТАХЛИЛГАга жадваллар (по туманам)_омонатлар 01.10.2011 йил" xfId="198"/>
    <cellStyle name="_Жиззах_АХБОРОТ ТАХЛИЛГАга жадваллар (по туманам)_омонатлар 01.11.2011 йил" xfId="199"/>
    <cellStyle name="_Жиззах_АХБОРОТ ТАХЛИЛГАга жадваллар (по туманам)_омонатлар 01.12.2011" xfId="200"/>
    <cellStyle name="_Жиззах_Жадвал саноат 2009 ОХИРИ" xfId="201"/>
    <cellStyle name="_Жиззах_Жадвал саноат 2009 ОХИРИ_омонатлар 01.09.2011 йил" xfId="202"/>
    <cellStyle name="_Жиззах_Жадвал саноат 2009 ОХИРИ_омонатлар 01.10.2011 йил" xfId="203"/>
    <cellStyle name="_Жиззах_Жадвал саноат 2009 ОХИРИ_омонатлар 01.11.2011 йил" xfId="204"/>
    <cellStyle name="_Жиззах_Жадвал саноат 2009 ОХИРИ_омонатлар 01.12.2011" xfId="205"/>
    <cellStyle name="_Жиззах_иктисодга" xfId="206"/>
    <cellStyle name="_Жиззах_иктисодга_омонатлар 01.09.2011 йил" xfId="207"/>
    <cellStyle name="_Жиззах_иктисодга_омонатлар 01.10.2011 йил" xfId="208"/>
    <cellStyle name="_Жиззах_иктисодга_омонатлар 01.11.2011 йил" xfId="209"/>
    <cellStyle name="_Жиззах_иктисодга_омонатлар 01.12.2011" xfId="210"/>
    <cellStyle name="_Жиззах_ОКИБ" xfId="211"/>
    <cellStyle name="_Жиззах_ОКИБ_омонатлар 01.09.2011 йил" xfId="212"/>
    <cellStyle name="_Жиззах_ОКИБ_омонатлар 01.10.2011 йил" xfId="213"/>
    <cellStyle name="_Жиззах_ОКИБ_омонатлар 01.11.2011 йил" xfId="214"/>
    <cellStyle name="_Жиззах_ОКИБ_омонатлар 01.12.2011" xfId="215"/>
    <cellStyle name="_Жиззах_омонатлар 01.09.2011 йил" xfId="216"/>
    <cellStyle name="_Жиззах_омонатлар 01.10.2011 йил" xfId="217"/>
    <cellStyle name="_Жиззах_омонатлар 01.11.2011 йил" xfId="218"/>
    <cellStyle name="_Жиззах_омонатлар 01.12.2011" xfId="219"/>
    <cellStyle name="_Жиззах_ПРОМ 2010-1чорак-жадваллар 23.03" xfId="220"/>
    <cellStyle name="_Жиззах_СВОД жадваллар-2009 6 ой" xfId="221"/>
    <cellStyle name="_Жиззах_СВОД жадваллар-2009 6 ой_омонатлар 01.09.2011 йил" xfId="222"/>
    <cellStyle name="_Жиззах_СВОД жадваллар-2009 6 ой_омонатлар 01.10.2011 йил" xfId="223"/>
    <cellStyle name="_Жиззах_СВОД жадваллар-2009 6 ой_омонатлар 01.11.2011 йил" xfId="224"/>
    <cellStyle name="_Жиззах_СВОД жадваллар-2009 6 ой_омонатлар 01.12.2011" xfId="225"/>
    <cellStyle name="_Жиззах_Сухроб Вилоят свод" xfId="226"/>
    <cellStyle name="_Жиззах_Сухроб Вилоят свод_омонатлар 01.09.2011 йил" xfId="227"/>
    <cellStyle name="_Жиззах_Сухроб Вилоят свод_омонатлар 01.10.2011 йил" xfId="228"/>
    <cellStyle name="_Жиззах_Сухроб Вилоят свод_омонатлар 01.11.2011 йил" xfId="229"/>
    <cellStyle name="_Жиззах_Сухроб Вилоят свод_омонатлар 01.12.2011" xfId="230"/>
    <cellStyle name="_иктисодга" xfId="231"/>
    <cellStyle name="_индикатор" xfId="232"/>
    <cellStyle name="_индикатор_омонатлар 01.09.2011 йил" xfId="233"/>
    <cellStyle name="_индикатор_омонатлар 01.10.2011 йил" xfId="234"/>
    <cellStyle name="_индикатор_омонатлар 01.11.2011 йил" xfId="235"/>
    <cellStyle name="_индикатор_омонатлар 01.12.2011" xfId="236"/>
    <cellStyle name="_Касаначи 4 ой" xfId="237"/>
    <cellStyle name="_Кашкадарё" xfId="238"/>
    <cellStyle name="_Кашкадарё_232 ижроси" xfId="239"/>
    <cellStyle name="_Кашкадарё_АХБОРОТ ТАХЛИЛГАга жадваллар (по туманам)" xfId="240"/>
    <cellStyle name="_Кашкадарё_АХБОРОТ ТАХЛИЛГАга жадваллар (по туманам)_омонатлар 01.09.2011 йил" xfId="241"/>
    <cellStyle name="_Кашкадарё_АХБОРОТ ТАХЛИЛГАга жадваллар (по туманам)_омонатлар 01.10.2011 йил" xfId="242"/>
    <cellStyle name="_Кашкадарё_АХБОРОТ ТАХЛИЛГАга жадваллар (по туманам)_омонатлар 01.11.2011 йил" xfId="243"/>
    <cellStyle name="_Кашкадарё_АХБОРОТ ТАХЛИЛГАга жадваллар (по туманам)_омонатлар 01.12.2011" xfId="244"/>
    <cellStyle name="_Кашкадарё_Жадвал саноат 2009 ОХИРИ" xfId="245"/>
    <cellStyle name="_Кашкадарё_Жадвал саноат 2009 ОХИРИ_омонатлар 01.09.2011 йил" xfId="246"/>
    <cellStyle name="_Кашкадарё_Жадвал саноат 2009 ОХИРИ_омонатлар 01.10.2011 йил" xfId="247"/>
    <cellStyle name="_Кашкадарё_Жадвал саноат 2009 ОХИРИ_омонатлар 01.11.2011 йил" xfId="248"/>
    <cellStyle name="_Кашкадарё_Жадвал саноат 2009 ОХИРИ_омонатлар 01.12.2011" xfId="249"/>
    <cellStyle name="_Кашкадарё_иктисодга" xfId="250"/>
    <cellStyle name="_Кашкадарё_иктисодга_омонатлар 01.09.2011 йил" xfId="251"/>
    <cellStyle name="_Кашкадарё_иктисодга_омонатлар 01.10.2011 йил" xfId="252"/>
    <cellStyle name="_Кашкадарё_иктисодга_омонатлар 01.11.2011 йил" xfId="253"/>
    <cellStyle name="_Кашкадарё_иктисодга_омонатлар 01.12.2011" xfId="254"/>
    <cellStyle name="_Кашкадарё_ОКИБ" xfId="255"/>
    <cellStyle name="_Кашкадарё_ОКИБ_омонатлар 01.09.2011 йил" xfId="256"/>
    <cellStyle name="_Кашкадарё_ОКИБ_омонатлар 01.10.2011 йил" xfId="257"/>
    <cellStyle name="_Кашкадарё_ОКИБ_омонатлар 01.11.2011 йил" xfId="258"/>
    <cellStyle name="_Кашкадарё_ОКИБ_омонатлар 01.12.2011" xfId="259"/>
    <cellStyle name="_Кашкадарё_омонатлар 01.09.2011 йил" xfId="260"/>
    <cellStyle name="_Кашкадарё_омонатлар 01.10.2011 йил" xfId="261"/>
    <cellStyle name="_Кашкадарё_омонатлар 01.11.2011 йил" xfId="262"/>
    <cellStyle name="_Кашкадарё_омонатлар 01.12.2011" xfId="263"/>
    <cellStyle name="_Кашкадарё_ПРОМ 2010-1чорак-жадваллар 23.03" xfId="264"/>
    <cellStyle name="_Кашкадарё_СВОД жадваллар-2009 6 ой" xfId="265"/>
    <cellStyle name="_Кашкадарё_СВОД жадваллар-2009 6 ой_омонатлар 01.09.2011 йил" xfId="266"/>
    <cellStyle name="_Кашкадарё_СВОД жадваллар-2009 6 ой_омонатлар 01.10.2011 йил" xfId="267"/>
    <cellStyle name="_Кашкадарё_СВОД жадваллар-2009 6 ой_омонатлар 01.11.2011 йил" xfId="268"/>
    <cellStyle name="_Кашкадарё_СВОД жадваллар-2009 6 ой_омонатлар 01.12.2011" xfId="269"/>
    <cellStyle name="_Кашкадарё_Сухроб Вилоят свод" xfId="270"/>
    <cellStyle name="_Кашкадарё_Сухроб Вилоят свод_омонатлар 01.09.2011 йил" xfId="271"/>
    <cellStyle name="_Кашкадарё_Сухроб Вилоят свод_омонатлар 01.10.2011 йил" xfId="272"/>
    <cellStyle name="_Кашкадарё_Сухроб Вилоят свод_омонатлар 01.11.2011 йил" xfId="273"/>
    <cellStyle name="_Кашкадарё_Сухроб Вилоят свод_омонатлар 01.12.2011" xfId="274"/>
    <cellStyle name="_кварталиктисод+" xfId="275"/>
    <cellStyle name="_Книга1" xfId="276"/>
    <cellStyle name="_Книга3" xfId="277"/>
    <cellStyle name="_Комплекс Дастури (24-38)" xfId="278"/>
    <cellStyle name="_Копия Иктисод формалари о" xfId="279"/>
    <cellStyle name="_Копия Иктисод формалари о_Нам дастур 2009-2012 (ўзбек)" xfId="280"/>
    <cellStyle name="_Лойихалар бўйича маълумот " xfId="281"/>
    <cellStyle name="_МОЛИЯ даромад-харажат" xfId="282"/>
    <cellStyle name="_МОЛИЯ даромад-харажат_омонатлар 01.09.2011 йил" xfId="283"/>
    <cellStyle name="_МОЛИЯ даромад-харажат_омонатлар 01.10.2011 йил" xfId="284"/>
    <cellStyle name="_МОЛИЯ даромад-харажат_омонатлар 01.11.2011 йил" xfId="285"/>
    <cellStyle name="_МОЛИЯ даромад-харажат_омонатлар 01.12.2011" xfId="286"/>
    <cellStyle name="_Наманган-1" xfId="287"/>
    <cellStyle name="_Наманган-1_232 ижроси" xfId="288"/>
    <cellStyle name="_Наманган-1_АХБОРОТ ТАХЛИЛГАга жадваллар (по туманам)" xfId="289"/>
    <cellStyle name="_Наманган-1_АХБОРОТ ТАХЛИЛГАга жадваллар (по туманам)_омонатлар 01.09.2011 йил" xfId="290"/>
    <cellStyle name="_Наманган-1_АХБОРОТ ТАХЛИЛГАга жадваллар (по туманам)_омонатлар 01.10.2011 йил" xfId="291"/>
    <cellStyle name="_Наманган-1_АХБОРОТ ТАХЛИЛГАга жадваллар (по туманам)_омонатлар 01.11.2011 йил" xfId="292"/>
    <cellStyle name="_Наманган-1_АХБОРОТ ТАХЛИЛГАга жадваллар (по туманам)_омонатлар 01.12.2011" xfId="293"/>
    <cellStyle name="_Наманган-1_Жадвал саноат 2009 ОХИРИ" xfId="294"/>
    <cellStyle name="_Наманган-1_Жадвал саноат 2009 ОХИРИ_омонатлар 01.09.2011 йил" xfId="295"/>
    <cellStyle name="_Наманган-1_Жадвал саноат 2009 ОХИРИ_омонатлар 01.10.2011 йил" xfId="296"/>
    <cellStyle name="_Наманган-1_Жадвал саноат 2009 ОХИРИ_омонатлар 01.11.2011 йил" xfId="297"/>
    <cellStyle name="_Наманган-1_Жадвал саноат 2009 ОХИРИ_омонатлар 01.12.2011" xfId="298"/>
    <cellStyle name="_Наманган-1_иктисодга" xfId="299"/>
    <cellStyle name="_Наманган-1_иктисодга_омонатлар 01.09.2011 йил" xfId="300"/>
    <cellStyle name="_Наманган-1_иктисодга_омонатлар 01.10.2011 йил" xfId="301"/>
    <cellStyle name="_Наманган-1_иктисодга_омонатлар 01.11.2011 йил" xfId="302"/>
    <cellStyle name="_Наманган-1_иктисодга_омонатлар 01.12.2011" xfId="303"/>
    <cellStyle name="_Наманган-1_ОКИБ" xfId="304"/>
    <cellStyle name="_Наманган-1_ОКИБ_омонатлар 01.09.2011 йил" xfId="305"/>
    <cellStyle name="_Наманган-1_ОКИБ_омонатлар 01.10.2011 йил" xfId="306"/>
    <cellStyle name="_Наманган-1_ОКИБ_омонатлар 01.11.2011 йил" xfId="307"/>
    <cellStyle name="_Наманган-1_ОКИБ_омонатлар 01.12.2011" xfId="308"/>
    <cellStyle name="_Наманган-1_омонатлар 01.09.2011 йил" xfId="309"/>
    <cellStyle name="_Наманган-1_омонатлар 01.10.2011 йил" xfId="310"/>
    <cellStyle name="_Наманган-1_омонатлар 01.11.2011 йил" xfId="311"/>
    <cellStyle name="_Наманган-1_омонатлар 01.12.2011" xfId="312"/>
    <cellStyle name="_Наманган-1_ПРОМ 2010-1чорак-жадваллар 23.03" xfId="313"/>
    <cellStyle name="_Наманган-1_СВОД жадваллар-2009 6 ой" xfId="314"/>
    <cellStyle name="_Наманган-1_СВОД жадваллар-2009 6 ой_омонатлар 01.09.2011 йил" xfId="315"/>
    <cellStyle name="_Наманган-1_СВОД жадваллар-2009 6 ой_омонатлар 01.10.2011 йил" xfId="316"/>
    <cellStyle name="_Наманган-1_СВОД жадваллар-2009 6 ой_омонатлар 01.11.2011 йил" xfId="317"/>
    <cellStyle name="_Наманган-1_СВОД жадваллар-2009 6 ой_омонатлар 01.12.2011" xfId="318"/>
    <cellStyle name="_Наманган-1_Сухроб Вилоят свод" xfId="319"/>
    <cellStyle name="_Наманган-1_Сухроб Вилоят свод_омонатлар 01.09.2011 йил" xfId="320"/>
    <cellStyle name="_Наманган-1_Сухроб Вилоят свод_омонатлар 01.10.2011 йил" xfId="321"/>
    <cellStyle name="_Наманган-1_Сухроб Вилоят свод_омонатлар 01.11.2011 йил" xfId="322"/>
    <cellStyle name="_Наманган-1_Сухроб Вилоят свод_омонатлар 01.12.2011" xfId="323"/>
    <cellStyle name="_ПП-1050 формы" xfId="324"/>
    <cellStyle name="_Самар_анд" xfId="325"/>
    <cellStyle name="_Самар_анд_232 ижроси" xfId="326"/>
    <cellStyle name="_Самар_анд_АХБОРОТ ТАХЛИЛГАга жадваллар (по туманам)" xfId="327"/>
    <cellStyle name="_Самар_анд_АХБОРОТ ТАХЛИЛГАга жадваллар (по туманам)_омонатлар 01.09.2011 йил" xfId="328"/>
    <cellStyle name="_Самар_анд_АХБОРОТ ТАХЛИЛГАга жадваллар (по туманам)_омонатлар 01.10.2011 йил" xfId="329"/>
    <cellStyle name="_Самар_анд_АХБОРОТ ТАХЛИЛГАга жадваллар (по туманам)_омонатлар 01.11.2011 йил" xfId="330"/>
    <cellStyle name="_Самар_анд_АХБОРОТ ТАХЛИЛГАга жадваллар (по туманам)_омонатлар 01.12.2011" xfId="331"/>
    <cellStyle name="_Самар_анд_Жадвал саноат 2009 ОХИРИ" xfId="332"/>
    <cellStyle name="_Самар_анд_Жадвал саноат 2009 ОХИРИ_омонатлар 01.09.2011 йил" xfId="333"/>
    <cellStyle name="_Самар_анд_Жадвал саноат 2009 ОХИРИ_омонатлар 01.10.2011 йил" xfId="334"/>
    <cellStyle name="_Самар_анд_Жадвал саноат 2009 ОХИРИ_омонатлар 01.11.2011 йил" xfId="335"/>
    <cellStyle name="_Самар_анд_Жадвал саноат 2009 ОХИРИ_омонатлар 01.12.2011" xfId="336"/>
    <cellStyle name="_Самар_анд_иктисодга" xfId="337"/>
    <cellStyle name="_Самар_анд_иктисодга_омонатлар 01.09.2011 йил" xfId="338"/>
    <cellStyle name="_Самар_анд_иктисодга_омонатлар 01.10.2011 йил" xfId="339"/>
    <cellStyle name="_Самар_анд_иктисодга_омонатлар 01.11.2011 йил" xfId="340"/>
    <cellStyle name="_Самар_анд_иктисодга_омонатлар 01.12.2011" xfId="341"/>
    <cellStyle name="_Самар_анд_ОКИБ" xfId="342"/>
    <cellStyle name="_Самар_анд_ОКИБ_омонатлар 01.09.2011 йил" xfId="343"/>
    <cellStyle name="_Самар_анд_ОКИБ_омонатлар 01.10.2011 йил" xfId="344"/>
    <cellStyle name="_Самар_анд_ОКИБ_омонатлар 01.11.2011 йил" xfId="345"/>
    <cellStyle name="_Самар_анд_ОКИБ_омонатлар 01.12.2011" xfId="346"/>
    <cellStyle name="_Самар_анд_омонатлар 01.09.2011 йил" xfId="347"/>
    <cellStyle name="_Самар_анд_омонатлар 01.10.2011 йил" xfId="348"/>
    <cellStyle name="_Самар_анд_омонатлар 01.11.2011 йил" xfId="349"/>
    <cellStyle name="_Самар_анд_омонатлар 01.12.2011" xfId="350"/>
    <cellStyle name="_Самар_анд_ПРОМ 2010-1чорак-жадваллар 23.03" xfId="351"/>
    <cellStyle name="_Самар_анд_СВОД жадваллар-2009 6 ой" xfId="352"/>
    <cellStyle name="_Самар_анд_СВОД жадваллар-2009 6 ой_омонатлар 01.09.2011 йил" xfId="353"/>
    <cellStyle name="_Самар_анд_СВОД жадваллар-2009 6 ой_омонатлар 01.10.2011 йил" xfId="354"/>
    <cellStyle name="_Самар_анд_СВОД жадваллар-2009 6 ой_омонатлар 01.11.2011 йил" xfId="355"/>
    <cellStyle name="_Самар_анд_СВОД жадваллар-2009 6 ой_омонатлар 01.12.2011" xfId="356"/>
    <cellStyle name="_Самар_анд_Сухроб Вилоят свод" xfId="357"/>
    <cellStyle name="_Самар_анд_Сухроб Вилоят свод_омонатлар 01.09.2011 йил" xfId="358"/>
    <cellStyle name="_Самар_анд_Сухроб Вилоят свод_омонатлар 01.10.2011 йил" xfId="359"/>
    <cellStyle name="_Самар_анд_Сухроб Вилоят свод_омонатлар 01.11.2011 йил" xfId="360"/>
    <cellStyle name="_Самар_анд_Сухроб Вилоят свод_омонатлар 01.12.2011" xfId="361"/>
    <cellStyle name="_Сирдарё" xfId="362"/>
    <cellStyle name="_Сирдарё_232 ижроси" xfId="363"/>
    <cellStyle name="_Сирдарё_АХБОРОТ ТАХЛИЛГАга жадваллар (по туманам)" xfId="364"/>
    <cellStyle name="_Сирдарё_АХБОРОТ ТАХЛИЛГАга жадваллар (по туманам)_омонатлар 01.09.2011 йил" xfId="365"/>
    <cellStyle name="_Сирдарё_АХБОРОТ ТАХЛИЛГАга жадваллар (по туманам)_омонатлар 01.10.2011 йил" xfId="366"/>
    <cellStyle name="_Сирдарё_АХБОРОТ ТАХЛИЛГАга жадваллар (по туманам)_омонатлар 01.11.2011 йил" xfId="367"/>
    <cellStyle name="_Сирдарё_АХБОРОТ ТАХЛИЛГАга жадваллар (по туманам)_омонатлар 01.12.2011" xfId="368"/>
    <cellStyle name="_Сирдарё_Жадвал саноат 2009 ОХИРИ" xfId="369"/>
    <cellStyle name="_Сирдарё_Жадвал саноат 2009 ОХИРИ_омонатлар 01.09.2011 йил" xfId="370"/>
    <cellStyle name="_Сирдарё_Жадвал саноат 2009 ОХИРИ_омонатлар 01.10.2011 йил" xfId="371"/>
    <cellStyle name="_Сирдарё_Жадвал саноат 2009 ОХИРИ_омонатлар 01.11.2011 йил" xfId="372"/>
    <cellStyle name="_Сирдарё_Жадвал саноат 2009 ОХИРИ_омонатлар 01.12.2011" xfId="373"/>
    <cellStyle name="_Сирдарё_иктисодга" xfId="374"/>
    <cellStyle name="_Сирдарё_иктисодга_омонатлар 01.09.2011 йил" xfId="375"/>
    <cellStyle name="_Сирдарё_иктисодга_омонатлар 01.10.2011 йил" xfId="376"/>
    <cellStyle name="_Сирдарё_иктисодга_омонатлар 01.11.2011 йил" xfId="377"/>
    <cellStyle name="_Сирдарё_иктисодга_омонатлар 01.12.2011" xfId="378"/>
    <cellStyle name="_Сирдарё_ОКИБ" xfId="379"/>
    <cellStyle name="_Сирдарё_ОКИБ_омонатлар 01.09.2011 йил" xfId="380"/>
    <cellStyle name="_Сирдарё_ОКИБ_омонатлар 01.10.2011 йил" xfId="381"/>
    <cellStyle name="_Сирдарё_ОКИБ_омонатлар 01.11.2011 йил" xfId="382"/>
    <cellStyle name="_Сирдарё_ОКИБ_омонатлар 01.12.2011" xfId="383"/>
    <cellStyle name="_Сирдарё_омонатлар 01.09.2011 йил" xfId="384"/>
    <cellStyle name="_Сирдарё_омонатлар 01.10.2011 йил" xfId="385"/>
    <cellStyle name="_Сирдарё_омонатлар 01.11.2011 йил" xfId="386"/>
    <cellStyle name="_Сирдарё_омонатлар 01.12.2011" xfId="387"/>
    <cellStyle name="_Сирдарё_ПРОМ 2010-1чорак-жадваллар 23.03" xfId="388"/>
    <cellStyle name="_Сирдарё_СВОД жадваллар-2009 6 ой" xfId="389"/>
    <cellStyle name="_Сирдарё_СВОД жадваллар-2009 6 ой_омонатлар 01.09.2011 йил" xfId="390"/>
    <cellStyle name="_Сирдарё_СВОД жадваллар-2009 6 ой_омонатлар 01.10.2011 йил" xfId="391"/>
    <cellStyle name="_Сирдарё_СВОД жадваллар-2009 6 ой_омонатлар 01.11.2011 йил" xfId="392"/>
    <cellStyle name="_Сирдарё_СВОД жадваллар-2009 6 ой_омонатлар 01.12.2011" xfId="393"/>
    <cellStyle name="_Сирдарё_Сухроб Вилоят свод" xfId="394"/>
    <cellStyle name="_Сирдарё_Сухроб Вилоят свод_омонатлар 01.09.2011 йил" xfId="395"/>
    <cellStyle name="_Сирдарё_Сухроб Вилоят свод_омонатлар 01.10.2011 йил" xfId="396"/>
    <cellStyle name="_Сирдарё_Сухроб Вилоят свод_омонатлар 01.11.2011 йил" xfId="397"/>
    <cellStyle name="_Сирдарё_Сухроб Вилоят свод_омонатлар 01.12.2011" xfId="398"/>
    <cellStyle name="_Сурхондарё " xfId="399"/>
    <cellStyle name="_Сурхондарё _232 ижроси" xfId="400"/>
    <cellStyle name="_Сурхондарё _АХБОРОТ ТАХЛИЛГАга жадваллар (по туманам)" xfId="401"/>
    <cellStyle name="_Сурхондарё _АХБОРОТ ТАХЛИЛГАга жадваллар (по туманам)_омонатлар 01.09.2011 йил" xfId="402"/>
    <cellStyle name="_Сурхондарё _АХБОРОТ ТАХЛИЛГАга жадваллар (по туманам)_омонатлар 01.10.2011 йил" xfId="403"/>
    <cellStyle name="_Сурхондарё _АХБОРОТ ТАХЛИЛГАга жадваллар (по туманам)_омонатлар 01.11.2011 йил" xfId="404"/>
    <cellStyle name="_Сурхондарё _АХБОРОТ ТАХЛИЛГАга жадваллар (по туманам)_омонатлар 01.12.2011" xfId="405"/>
    <cellStyle name="_Сурхондарё _Жадвал саноат 2009 ОХИРИ" xfId="406"/>
    <cellStyle name="_Сурхондарё _Жадвал саноат 2009 ОХИРИ_омонатлар 01.09.2011 йил" xfId="407"/>
    <cellStyle name="_Сурхондарё _Жадвал саноат 2009 ОХИРИ_омонатлар 01.10.2011 йил" xfId="408"/>
    <cellStyle name="_Сурхондарё _Жадвал саноат 2009 ОХИРИ_омонатлар 01.11.2011 йил" xfId="409"/>
    <cellStyle name="_Сурхондарё _Жадвал саноат 2009 ОХИРИ_омонатлар 01.12.2011" xfId="410"/>
    <cellStyle name="_Сурхондарё _иктисодга" xfId="411"/>
    <cellStyle name="_Сурхондарё _иктисодга_омонатлар 01.09.2011 йил" xfId="412"/>
    <cellStyle name="_Сурхондарё _иктисодга_омонатлар 01.10.2011 йил" xfId="413"/>
    <cellStyle name="_Сурхондарё _иктисодга_омонатлар 01.11.2011 йил" xfId="414"/>
    <cellStyle name="_Сурхондарё _иктисодга_омонатлар 01.12.2011" xfId="415"/>
    <cellStyle name="_Сурхондарё _ОКИБ" xfId="416"/>
    <cellStyle name="_Сурхондарё _ОКИБ_омонатлар 01.09.2011 йил" xfId="417"/>
    <cellStyle name="_Сурхондарё _ОКИБ_омонатлар 01.10.2011 йил" xfId="418"/>
    <cellStyle name="_Сурхондарё _ОКИБ_омонатлар 01.11.2011 йил" xfId="419"/>
    <cellStyle name="_Сурхондарё _ОКИБ_омонатлар 01.12.2011" xfId="420"/>
    <cellStyle name="_Сурхондарё _омонатлар 01.09.2011 йил" xfId="421"/>
    <cellStyle name="_Сурхондарё _омонатлар 01.10.2011 йил" xfId="422"/>
    <cellStyle name="_Сурхондарё _омонатлар 01.11.2011 йил" xfId="423"/>
    <cellStyle name="_Сурхондарё _омонатлар 01.12.2011" xfId="424"/>
    <cellStyle name="_Сурхондарё _ПРОМ 2010-1чорак-жадваллар 23.03" xfId="425"/>
    <cellStyle name="_Сурхондарё _СВОД жадваллар-2009 6 ой" xfId="426"/>
    <cellStyle name="_Сурхондарё _СВОД жадваллар-2009 6 ой_омонатлар 01.09.2011 йил" xfId="427"/>
    <cellStyle name="_Сурхондарё _СВОД жадваллар-2009 6 ой_омонатлар 01.10.2011 йил" xfId="428"/>
    <cellStyle name="_Сурхондарё _СВОД жадваллар-2009 6 ой_омонатлар 01.11.2011 йил" xfId="429"/>
    <cellStyle name="_Сурхондарё _СВОД жадваллар-2009 6 ой_омонатлар 01.12.2011" xfId="430"/>
    <cellStyle name="_Сурхондарё _Сухроб Вилоят свод" xfId="431"/>
    <cellStyle name="_Сурхондарё _Сухроб Вилоят свод_омонатлар 01.09.2011 йил" xfId="432"/>
    <cellStyle name="_Сурхондарё _Сухроб Вилоят свод_омонатлар 01.10.2011 йил" xfId="433"/>
    <cellStyle name="_Сурхондарё _Сухроб Вилоят свод_омонатлар 01.11.2011 йил" xfId="434"/>
    <cellStyle name="_Сурхондарё _Сухроб Вилоят свод_омонатлар 01.12.2011" xfId="435"/>
    <cellStyle name="_Сухроб Вилоят свод" xfId="436"/>
    <cellStyle name="_Таблица 6 (Локализация)" xfId="437"/>
    <cellStyle name="_Тошкент в." xfId="438"/>
    <cellStyle name="_Тошкент в._омонатлар 01.09.2011 йил" xfId="439"/>
    <cellStyle name="_Тошкент в._омонатлар 01.10.2011 йил" xfId="440"/>
    <cellStyle name="_Тошкент в._омонатлар 01.11.2011 йил" xfId="441"/>
    <cellStyle name="_Тошкент в._омонатлар 01.12.2011" xfId="442"/>
    <cellStyle name="_Тошкент в._СВОД - 2011 туман (шахар) дастури" xfId="443"/>
    <cellStyle name="_учта туман буйича касана" xfId="444"/>
    <cellStyle name="_Фаолият" xfId="445"/>
    <cellStyle name="_Фаолият_67 та жадвал №2" xfId="446"/>
    <cellStyle name="_Фаолият_67 талик жадвал-Иктисод №1" xfId="447"/>
    <cellStyle name="_Фаолият_БАЖАРИЛИШИ 1-май" xfId="448"/>
    <cellStyle name="_Фаолият_БАЖАРИЛИШИ 1-май_омонатлар 01.09.2011 йил" xfId="449"/>
    <cellStyle name="_Фаолият_БАЖАРИЛИШИ 1-май_омонатлар 01.10.2011 йил" xfId="450"/>
    <cellStyle name="_Фаолият_БАЖАРИЛИШИ 1-май_омонатлар 01.11.2011 йил" xfId="451"/>
    <cellStyle name="_Фаолият_БАЖАРИЛИШИ 1-май_омонатлар 01.12.2011" xfId="452"/>
    <cellStyle name="_Фаолият_Бобир учун 67 талик жадвал-Иктисод" xfId="453"/>
    <cellStyle name="_Фаолият_иктисодга" xfId="454"/>
    <cellStyle name="_Фаолият_иктисодга_омонатлар 01.09.2011 йил" xfId="455"/>
    <cellStyle name="_Фаолият_иктисодга_омонатлар 01.10.2011 йил" xfId="456"/>
    <cellStyle name="_Фаолият_иктисодга_омонатлар 01.11.2011 йил" xfId="457"/>
    <cellStyle name="_Фаолият_иктисодга_омонатлар 01.12.2011" xfId="458"/>
    <cellStyle name="_Фаолият_Касаначи 4 ой" xfId="459"/>
    <cellStyle name="_Фаолият_қишлоқ таррақиёти 82 банд тўлиқ" xfId="460"/>
    <cellStyle name="_Фаолият_қишлоқ таррақиёти 82 банд тўлиқ_омонатлар 01.09.2011 йил" xfId="461"/>
    <cellStyle name="_Фаолият_қишлоқ таррақиёти 82 банд тўлиқ_омонатлар 01.10.2011 йил" xfId="462"/>
    <cellStyle name="_Фаолият_қишлоқ таррақиёти 82 банд тўлиқ_омонатлар 01.11.2011 йил" xfId="463"/>
    <cellStyle name="_Фаолият_қишлоқ таррақиёти 82 банд тўлиқ_омонатлар 01.12.2011" xfId="464"/>
    <cellStyle name="_Фаолият_омонатлар 01.09.2011 йил" xfId="465"/>
    <cellStyle name="_Фаолият_омонатлар 01.10.2011 йил" xfId="466"/>
    <cellStyle name="_Фаолият_омонатлар 01.11.2011 йил" xfId="467"/>
    <cellStyle name="_Фаолият_омонатлар 01.12.2011" xfId="468"/>
    <cellStyle name="_Фаолият_СВОД жадваллар-2009 6 ой" xfId="469"/>
    <cellStyle name="_Фаолият_СВОД жадваллар-2009 6 ой_омонатлар 01.09.2011 йил" xfId="470"/>
    <cellStyle name="_Фаолият_СВОД жадваллар-2009 6 ой_омонатлар 01.10.2011 йил" xfId="471"/>
    <cellStyle name="_Фаолият_СВОД жадваллар-2009 6 ой_омонатлар 01.11.2011 йил" xfId="472"/>
    <cellStyle name="_Фаолият_СВОД жадваллар-2009 6 ой_омонатлар 01.12.2011" xfId="473"/>
    <cellStyle name="_Фаолият_Сухроб Вилоят свод" xfId="474"/>
    <cellStyle name="_Фаолият_Сухроб Вилоят свод_омонатлар 01.09.2011 йил" xfId="475"/>
    <cellStyle name="_Фаолият_Сухроб Вилоят свод_омонатлар 01.10.2011 йил" xfId="476"/>
    <cellStyle name="_Фаолият_Сухроб Вилоят свод_омонатлар 01.11.2011 йил" xfId="477"/>
    <cellStyle name="_Фаолият_Сухроб Вилоят свод_омонатлар 01.12.2011" xfId="478"/>
    <cellStyle name="_Фаолият_учта туман буйича касана" xfId="479"/>
    <cellStyle name="_Фаолият_ЯИЎ-сервис" xfId="480"/>
    <cellStyle name="_Фаолият_ЯИЎ-сервис_омонатлар 01.09.2011 йил" xfId="481"/>
    <cellStyle name="_Фаолият_ЯИЎ-сервис_омонатлар 01.10.2011 йил" xfId="482"/>
    <cellStyle name="_Фаолият_ЯИЎ-сервис_омонатлар 01.11.2011 йил" xfId="483"/>
    <cellStyle name="_Фаолият_ЯИЎ-сервис_омонатлар 01.12.2011" xfId="484"/>
    <cellStyle name="_Фарғона" xfId="485"/>
    <cellStyle name="_Фарғона_омонатлар 01.09.2011 йил" xfId="486"/>
    <cellStyle name="_Фарғона_омонатлар 01.10.2011 йил" xfId="487"/>
    <cellStyle name="_Фарғона_омонатлар 01.11.2011 йил" xfId="488"/>
    <cellStyle name="_Фарғона_омонатлар 01.12.2011" xfId="489"/>
    <cellStyle name="_Фарғона_СВОД - 2011 туман (шахар) дастури" xfId="490"/>
    <cellStyle name="_Хокимиятга 01.03.2009й" xfId="491"/>
    <cellStyle name="_Хоразм" xfId="492"/>
    <cellStyle name="_Хоразм_232 ижроси" xfId="493"/>
    <cellStyle name="_Хоразм_АХБОРОТ ТАХЛИЛГАга жадваллар (по туманам)" xfId="494"/>
    <cellStyle name="_Хоразм_АХБОРОТ ТАХЛИЛГАга жадваллар (по туманам)_омонатлар 01.09.2011 йил" xfId="495"/>
    <cellStyle name="_Хоразм_АХБОРОТ ТАХЛИЛГАга жадваллар (по туманам)_омонатлар 01.10.2011 йил" xfId="496"/>
    <cellStyle name="_Хоразм_АХБОРОТ ТАХЛИЛГАга жадваллар (по туманам)_омонатлар 01.11.2011 йил" xfId="497"/>
    <cellStyle name="_Хоразм_АХБОРОТ ТАХЛИЛГАга жадваллар (по туманам)_омонатлар 01.12.2011" xfId="498"/>
    <cellStyle name="_Хоразм_Жадвал саноат 2009 ОХИРИ" xfId="499"/>
    <cellStyle name="_Хоразм_Жадвал саноат 2009 ОХИРИ_омонатлар 01.09.2011 йил" xfId="500"/>
    <cellStyle name="_Хоразм_Жадвал саноат 2009 ОХИРИ_омонатлар 01.10.2011 йил" xfId="501"/>
    <cellStyle name="_Хоразм_Жадвал саноат 2009 ОХИРИ_омонатлар 01.11.2011 йил" xfId="502"/>
    <cellStyle name="_Хоразм_Жадвал саноат 2009 ОХИРИ_омонатлар 01.12.2011" xfId="503"/>
    <cellStyle name="_Хоразм_иктисодга" xfId="504"/>
    <cellStyle name="_Хоразм_иктисодга_омонатлар 01.09.2011 йил" xfId="505"/>
    <cellStyle name="_Хоразм_иктисодга_омонатлар 01.10.2011 йил" xfId="506"/>
    <cellStyle name="_Хоразм_иктисодга_омонатлар 01.11.2011 йил" xfId="507"/>
    <cellStyle name="_Хоразм_иктисодга_омонатлар 01.12.2011" xfId="508"/>
    <cellStyle name="_Хоразм_ОКИБ" xfId="509"/>
    <cellStyle name="_Хоразм_ОКИБ_омонатлар 01.09.2011 йил" xfId="510"/>
    <cellStyle name="_Хоразм_ОКИБ_омонатлар 01.10.2011 йил" xfId="511"/>
    <cellStyle name="_Хоразм_ОКИБ_омонатлар 01.11.2011 йил" xfId="512"/>
    <cellStyle name="_Хоразм_ОКИБ_омонатлар 01.12.2011" xfId="513"/>
    <cellStyle name="_Хоразм_омонатлар 01.09.2011 йил" xfId="514"/>
    <cellStyle name="_Хоразм_омонатлар 01.10.2011 йил" xfId="515"/>
    <cellStyle name="_Хоразм_омонатлар 01.11.2011 йил" xfId="516"/>
    <cellStyle name="_Хоразм_омонатлар 01.12.2011" xfId="517"/>
    <cellStyle name="_Хоразм_ПРОМ 2010-1чорак-жадваллар 23.03" xfId="518"/>
    <cellStyle name="_Хоразм_СВОД жадваллар-2009 6 ой" xfId="519"/>
    <cellStyle name="_Хоразм_СВОД жадваллар-2009 6 ой_омонатлар 01.09.2011 йил" xfId="520"/>
    <cellStyle name="_Хоразм_СВОД жадваллар-2009 6 ой_омонатлар 01.10.2011 йил" xfId="521"/>
    <cellStyle name="_Хоразм_СВОД жадваллар-2009 6 ой_омонатлар 01.11.2011 йил" xfId="522"/>
    <cellStyle name="_Хоразм_СВОД жадваллар-2009 6 ой_омонатлар 01.12.2011" xfId="523"/>
    <cellStyle name="_Хоразм_Сухроб Вилоят свод" xfId="524"/>
    <cellStyle name="_Хоразм_Сухроб Вилоят свод_омонатлар 01.09.2011 йил" xfId="525"/>
    <cellStyle name="_Хоразм_Сухроб Вилоят свод_омонатлар 01.10.2011 йил" xfId="526"/>
    <cellStyle name="_Хоразм_Сухроб Вилоят свод_омонатлар 01.11.2011 йил" xfId="527"/>
    <cellStyle name="_Хоразм_Сухроб Вилоят свод_омонатлар 01.12.2011" xfId="528"/>
    <cellStyle name="_чора-тадбир свод" xfId="529"/>
    <cellStyle name="_чора-тадбир свод_67 та жадвал №2" xfId="530"/>
    <cellStyle name="_чора-тадбир свод_67 талик жадвал-Иктисод №1" xfId="531"/>
    <cellStyle name="_чора-тадбир свод_БАЖАРИЛИШИ 1-май" xfId="532"/>
    <cellStyle name="_чора-тадбир свод_БАЖАРИЛИШИ 1-май_омонатлар 01.09.2011 йил" xfId="533"/>
    <cellStyle name="_чора-тадбир свод_БАЖАРИЛИШИ 1-май_омонатлар 01.10.2011 йил" xfId="534"/>
    <cellStyle name="_чора-тадбир свод_БАЖАРИЛИШИ 1-май_омонатлар 01.11.2011 йил" xfId="535"/>
    <cellStyle name="_чора-тадбир свод_БАЖАРИЛИШИ 1-май_омонатлар 01.12.2011" xfId="536"/>
    <cellStyle name="_чора-тадбир свод_Бобир учун 67 талик жадвал-Иктисод" xfId="537"/>
    <cellStyle name="_чора-тадбир свод_иктисодга" xfId="538"/>
    <cellStyle name="_чора-тадбир свод_иктисодга_омонатлар 01.09.2011 йил" xfId="539"/>
    <cellStyle name="_чора-тадбир свод_иктисодга_омонатлар 01.10.2011 йил" xfId="540"/>
    <cellStyle name="_чора-тадбир свод_иктисодга_омонатлар 01.11.2011 йил" xfId="541"/>
    <cellStyle name="_чора-тадбир свод_иктисодга_омонатлар 01.12.2011" xfId="542"/>
    <cellStyle name="_чора-тадбир свод_Касаначи 4 ой" xfId="543"/>
    <cellStyle name="_чора-тадбир свод_қишлоқ таррақиёти 82 банд тўлиқ" xfId="544"/>
    <cellStyle name="_чора-тадбир свод_қишлоқ таррақиёти 82 банд тўлиқ_омонатлар 01.09.2011 йил" xfId="545"/>
    <cellStyle name="_чора-тадбир свод_қишлоқ таррақиёти 82 банд тўлиқ_омонатлар 01.10.2011 йил" xfId="546"/>
    <cellStyle name="_чора-тадбир свод_қишлоқ таррақиёти 82 банд тўлиқ_омонатлар 01.11.2011 йил" xfId="547"/>
    <cellStyle name="_чора-тадбир свод_қишлоқ таррақиёти 82 банд тўлиқ_омонатлар 01.12.2011" xfId="548"/>
    <cellStyle name="_чора-тадбир свод_омонатлар 01.09.2011 йил" xfId="549"/>
    <cellStyle name="_чора-тадбир свод_омонатлар 01.10.2011 йил" xfId="550"/>
    <cellStyle name="_чора-тадбир свод_омонатлар 01.11.2011 йил" xfId="551"/>
    <cellStyle name="_чора-тадбир свод_омонатлар 01.12.2011" xfId="552"/>
    <cellStyle name="_чора-тадбир свод_СВОД жадваллар-2009 6 ой" xfId="553"/>
    <cellStyle name="_чора-тадбир свод_СВОД жадваллар-2009 6 ой_омонатлар 01.09.2011 йил" xfId="554"/>
    <cellStyle name="_чора-тадбир свод_СВОД жадваллар-2009 6 ой_омонатлар 01.10.2011 йил" xfId="555"/>
    <cellStyle name="_чора-тадбир свод_СВОД жадваллар-2009 6 ой_омонатлар 01.11.2011 йил" xfId="556"/>
    <cellStyle name="_чора-тадбир свод_СВОД жадваллар-2009 6 ой_омонатлар 01.12.2011" xfId="557"/>
    <cellStyle name="_чора-тадбир свод_Сухроб Вилоят свод" xfId="558"/>
    <cellStyle name="_чора-тадбир свод_Сухроб Вилоят свод_омонатлар 01.09.2011 йил" xfId="559"/>
    <cellStyle name="_чора-тадбир свод_Сухроб Вилоят свод_омонатлар 01.10.2011 йил" xfId="560"/>
    <cellStyle name="_чора-тадбир свод_Сухроб Вилоят свод_омонатлар 01.11.2011 йил" xfId="561"/>
    <cellStyle name="_чора-тадбир свод_Сухроб Вилоят свод_омонатлар 01.12.2011" xfId="562"/>
    <cellStyle name="_чора-тадбир свод_учта туман буйича касана" xfId="563"/>
    <cellStyle name="_чора-тадбир свод_ЯИЎ-сервис" xfId="564"/>
    <cellStyle name="_чора-тадбир свод_ЯИЎ-сервис_омонатлар 01.09.2011 йил" xfId="565"/>
    <cellStyle name="_чора-тадбир свод_ЯИЎ-сервис_омонатлар 01.10.2011 йил" xfId="566"/>
    <cellStyle name="_чора-тадбир свод_ЯИЎ-сервис_омонатлар 01.11.2011 йил" xfId="567"/>
    <cellStyle name="_чора-тадбир свод_ЯИЎ-сервис_омонатлар 01.12.2011" xfId="568"/>
    <cellStyle name="”?ќђќ‘ћ‚›‰" xfId="569"/>
    <cellStyle name="”?љ‘?ђћ‚ђќќ›‰" xfId="570"/>
    <cellStyle name="”€ќђќ‘ћ‚›‰" xfId="571"/>
    <cellStyle name="”€љ‘€ђћ‚ђќќ›‰" xfId="572"/>
    <cellStyle name="”ќђќ‘ћ‚›‰" xfId="573"/>
    <cellStyle name="”љ‘ђћ‚ђќќ›‰" xfId="574"/>
    <cellStyle name="„…ќ…†ќ›‰" xfId="575"/>
    <cellStyle name="„ђ’ђ" xfId="576"/>
    <cellStyle name="€’ћѓћ‚›‰" xfId="577"/>
    <cellStyle name="‡ђѓћ‹ћ‚ћљ1" xfId="578"/>
    <cellStyle name="‡ђѓћ‹ћ‚ћљ2" xfId="579"/>
    <cellStyle name="’ћѓћ‚›‰" xfId="580"/>
    <cellStyle name="" xfId="581"/>
    <cellStyle name="" xfId="582"/>
    <cellStyle name="_1-кисм 1-свод" xfId="583"/>
    <cellStyle name="_1-кисм 1-свод" xfId="584"/>
    <cellStyle name="_2010 йил 1-ярим йиллик лойихалар" xfId="585"/>
    <cellStyle name="_2010 йил 1-ярим йиллик лойихалар" xfId="586"/>
    <cellStyle name="_232 ижроси" xfId="587"/>
    <cellStyle name="_232 ижроси" xfId="588"/>
    <cellStyle name="_232 ижроси_омонатлар 01.09.2011 йил" xfId="589"/>
    <cellStyle name="_232 ижроси_омонатлар 01.09.2011 йил" xfId="590"/>
    <cellStyle name="_232 ижроси_омонатлар 01.10.2011 йил" xfId="591"/>
    <cellStyle name="_232 ижроси_омонатлар 01.10.2011 йил" xfId="592"/>
    <cellStyle name="_232 ижроси_омонатлар 01.11.2011 йил" xfId="593"/>
    <cellStyle name="_232 ижроси_омонатлар 01.11.2011 йил" xfId="594"/>
    <cellStyle name="_232 ижроси_омонатлар 01.12.2011" xfId="595"/>
    <cellStyle name="_232 ижроси_омонатлар 01.12.2011" xfId="596"/>
    <cellStyle name="_АХБОРОТ ТАХЛИЛГАга жадваллар (по туманам)" xfId="597"/>
    <cellStyle name="_АХБОРОТ ТАХЛИЛГАга жадваллар (по туманам)" xfId="598"/>
    <cellStyle name="_Жадвал саноат 2009 ОХИРИ" xfId="599"/>
    <cellStyle name="_Жадвал саноат 2009 ОХИРИ" xfId="600"/>
    <cellStyle name="_иктисодга" xfId="601"/>
    <cellStyle name="_иктисодга" xfId="602"/>
    <cellStyle name="_МВЭС Хусанбой" xfId="603"/>
    <cellStyle name="_МВЭС Хусанбой" xfId="604"/>
    <cellStyle name="_МВЭС2" xfId="605"/>
    <cellStyle name="_МВЭС2" xfId="606"/>
    <cellStyle name="_ОКИБ" xfId="607"/>
    <cellStyle name="_ОКИБ" xfId="608"/>
    <cellStyle name="_ПРОМ 2010-1чорак-жадваллар 23.03" xfId="609"/>
    <cellStyle name="_ПРОМ 2010-1чорак-жадваллар 23.03" xfId="610"/>
    <cellStyle name="_ПРОМ 2010-1чорак-жадваллар 23.03_11-жадвал Акбарга" xfId="611"/>
    <cellStyle name="_ПРОМ 2010-1чорак-жадваллар 23.03_11-жадвал Акбарга" xfId="612"/>
    <cellStyle name="_ПРОМ 2010-1чорак-жадваллар 23.03_11-жадвал Акбарга_омонатлар 01.09.2011 йил" xfId="613"/>
    <cellStyle name="_ПРОМ 2010-1чорак-жадваллар 23.03_11-жадвал Акбарга_омонатлар 01.09.2011 йил" xfId="614"/>
    <cellStyle name="_ПРОМ 2010-1чорак-жадваллар 23.03_11-жадвал Акбарга_омонатлар 01.10.2011 йил" xfId="615"/>
    <cellStyle name="_ПРОМ 2010-1чорак-жадваллар 23.03_11-жадвал Акбарга_омонатлар 01.10.2011 йил" xfId="616"/>
    <cellStyle name="_ПРОМ 2010-1чорак-жадваллар 23.03_11-жадвал Акбарга_омонатлар 01.11.2011 йил" xfId="617"/>
    <cellStyle name="_ПРОМ 2010-1чорак-жадваллар 23.03_11-жадвал Акбарга_омонатлар 01.11.2011 йил" xfId="618"/>
    <cellStyle name="_ПРОМ 2010-1чорак-жадваллар 23.03_11-жадвал Акбарга_омонатлар 01.12.2011" xfId="619"/>
    <cellStyle name="_ПРОМ 2010-1чорак-жадваллар 23.03_11-жадвал Акбарга_омонатлар 01.12.2011" xfId="620"/>
    <cellStyle name="_ПРОМ 2010-1чорак-жадваллар 23.03_озиқ-овқат" xfId="621"/>
    <cellStyle name="_ПРОМ 2010-1чорак-жадваллар 23.03_озиқ-овқат" xfId="622"/>
    <cellStyle name="_ПРОМ 2010-1чорак-жадваллар 23.03_озиқ-овқат_омонатлар 01.09.2011 йил" xfId="623"/>
    <cellStyle name="_ПРОМ 2010-1чорак-жадваллар 23.03_озиқ-овқат_омонатлар 01.09.2011 йил" xfId="624"/>
    <cellStyle name="_ПРОМ 2010-1чорак-жадваллар 23.03_озиқ-овқат_омонатлар 01.10.2011 йил" xfId="625"/>
    <cellStyle name="_ПРОМ 2010-1чорак-жадваллар 23.03_озиқ-овқат_омонатлар 01.10.2011 йил" xfId="626"/>
    <cellStyle name="_ПРОМ 2010-1чорак-жадваллар 23.03_озиқ-овқат_омонатлар 01.11.2011 йил" xfId="627"/>
    <cellStyle name="_ПРОМ 2010-1чорак-жадваллар 23.03_озиқ-овқат_омонатлар 01.11.2011 йил" xfId="628"/>
    <cellStyle name="_ПРОМ 2010-1чорак-жадваллар 23.03_озиқ-овқат_омонатлар 01.12.2011" xfId="629"/>
    <cellStyle name="_ПРОМ 2010-1чорак-жадваллар 23.03_озиқ-овқат_омонатлар 01.12.2011" xfId="630"/>
    <cellStyle name="_ПРОМ 2010-1чорак-жадваллар 23.03_омонатлар 01.09.2011 йил" xfId="631"/>
    <cellStyle name="_ПРОМ 2010-1чорак-жадваллар 23.03_омонатлар 01.09.2011 йил" xfId="632"/>
    <cellStyle name="_ПРОМ 2010-1чорак-жадваллар 23.03_омонатлар 01.10.2011 йил" xfId="633"/>
    <cellStyle name="_ПРОМ 2010-1чорак-жадваллар 23.03_омонатлар 01.10.2011 йил" xfId="634"/>
    <cellStyle name="_ПРОМ 2010-1чорак-жадваллар 23.03_омонатлар 01.11.2011 йил" xfId="635"/>
    <cellStyle name="_ПРОМ 2010-1чорак-жадваллар 23.03_омонатлар 01.11.2011 йил" xfId="636"/>
    <cellStyle name="_ПРОМ 2010-1чорак-жадваллар 23.03_омонатлар 01.12.2011" xfId="637"/>
    <cellStyle name="_ПРОМ 2010-1чорак-жадваллар 23.03_омонатлар 01.12.2011" xfId="638"/>
    <cellStyle name="_СВОД Жадваллар 2008-2012й" xfId="639"/>
    <cellStyle name="_СВОД Жадваллар 2008-2012й" xfId="640"/>
    <cellStyle name="_СВОД Жадваллар 2008-2012й_СВОД Прогноз 2008-2012й" xfId="641"/>
    <cellStyle name="_СВОД Жадваллар 2008-2012й_СВОД Прогноз 2008-2012й" xfId="642"/>
    <cellStyle name="_СВОД жадваллар-2009 6 ой" xfId="643"/>
    <cellStyle name="_СВОД жадваллар-2009 6 ой" xfId="644"/>
    <cellStyle name="_СВОД Прогноз 2008-2012й" xfId="645"/>
    <cellStyle name="_СВОД Прогноз 2008-2012й" xfId="646"/>
    <cellStyle name="_Сухроб Вилоят свод" xfId="647"/>
    <cellStyle name="_Сухроб Вилоят свод" xfId="648"/>
    <cellStyle name="_Фарғона" xfId="649"/>
    <cellStyle name="_Фарғона" xfId="650"/>
    <cellStyle name="_Фарғона_11-жадвал Акбарга" xfId="651"/>
    <cellStyle name="_Фарғона_11-жадвал Акбарга" xfId="652"/>
    <cellStyle name="_Фарғона_11-жадвал Акбарга_Омонат 1.12.2010" xfId="653"/>
    <cellStyle name="_Фарғона_11-жадвал Акбарга_Омонат 1.12.2010" xfId="654"/>
    <cellStyle name="_Фарғона_11-жадвал Акбарга_Омонат 1.12.2010_омонатлар 01.09.2011 йил" xfId="655"/>
    <cellStyle name="_Фарғона_11-жадвал Акбарга_Омонат 1.12.2010_омонатлар 01.09.2011 йил" xfId="656"/>
    <cellStyle name="_Фарғона_11-жадвал Акбарга_Омонат 1.12.2010_омонатлар 01.10.2011 йил" xfId="657"/>
    <cellStyle name="_Фарғона_11-жадвал Акбарга_Омонат 1.12.2010_омонатлар 01.10.2011 йил" xfId="658"/>
    <cellStyle name="_Фарғона_11-жадвал Акбарга_Омонат 1.12.2010_омонатлар 01.11.2011 йил" xfId="659"/>
    <cellStyle name="_Фарғона_11-жадвал Акбарга_Омонат 1.12.2010_омонатлар 01.11.2011 йил" xfId="660"/>
    <cellStyle name="_Фарғона_11-жадвал Акбарга_Омонат 1.12.2010_омонатлар 01.12.2011" xfId="661"/>
    <cellStyle name="_Фарғона_11-жадвал Акбарга_Омонат 1.12.2010_омонатлар 01.12.2011" xfId="662"/>
    <cellStyle name="_Фарғона_11-жадвал Акбарга_омонатлар 01.09.2011 йил" xfId="663"/>
    <cellStyle name="_Фарғона_11-жадвал Акбарга_омонатлар 01.09.2011 йил" xfId="664"/>
    <cellStyle name="_Фарғона_11-жадвал Акбарга_омонатлар 01.10.2011 йил" xfId="665"/>
    <cellStyle name="_Фарғона_11-жадвал Акбарга_омонатлар 01.10.2011 йил" xfId="666"/>
    <cellStyle name="_Фарғона_11-жадвал Акбарга_омонатлар 01.11.2011 йил" xfId="667"/>
    <cellStyle name="_Фарғона_11-жадвал Акбарга_омонатлар 01.11.2011 йил" xfId="668"/>
    <cellStyle name="_Фарғона_11-жадвал Акбарга_омонатлар 01.12.2011" xfId="669"/>
    <cellStyle name="_Фарғона_11-жадвал Акбарга_омонатлар 01.12.2011" xfId="670"/>
    <cellStyle name="_Фарғона_1-кисм 1-свод" xfId="671"/>
    <cellStyle name="_Фарғона_1-кисм 1-свод" xfId="672"/>
    <cellStyle name="_Фарғона_озиқ-овқат" xfId="673"/>
    <cellStyle name="_Фарғона_озиқ-овқат" xfId="674"/>
    <cellStyle name="_Фарғона_озиқ-овқат_Омонат 1.12.2010" xfId="675"/>
    <cellStyle name="_Фарғона_озиқ-овқат_Омонат 1.12.2010" xfId="676"/>
    <cellStyle name="_Фарғона_озиқ-овқат_Омонат 1.12.2010_омонатлар 01.09.2011 йил" xfId="677"/>
    <cellStyle name="_Фарғона_озиқ-овқат_Омонат 1.12.2010_омонатлар 01.09.2011 йил" xfId="678"/>
    <cellStyle name="_Фарғона_озиқ-овқат_Омонат 1.12.2010_омонатлар 01.10.2011 йил" xfId="679"/>
    <cellStyle name="_Фарғона_озиқ-овқат_Омонат 1.12.2010_омонатлар 01.10.2011 йил" xfId="680"/>
    <cellStyle name="_Фарғона_озиқ-овқат_Омонат 1.12.2010_омонатлар 01.11.2011 йил" xfId="681"/>
    <cellStyle name="_Фарғона_озиқ-овқат_Омонат 1.12.2010_омонатлар 01.11.2011 йил" xfId="682"/>
    <cellStyle name="_Фарғона_озиқ-овқат_Омонат 1.12.2010_омонатлар 01.12.2011" xfId="683"/>
    <cellStyle name="_Фарғона_озиқ-овқат_Омонат 1.12.2010_омонатлар 01.12.2011" xfId="684"/>
    <cellStyle name="_Фарғона_озиқ-овқат_омонатлар 01.09.2011 йил" xfId="685"/>
    <cellStyle name="_Фарғона_озиқ-овқат_омонатлар 01.09.2011 йил" xfId="686"/>
    <cellStyle name="_Фарғона_озиқ-овқат_омонатлар 01.10.2011 йил" xfId="687"/>
    <cellStyle name="_Фарғона_озиқ-овқат_омонатлар 01.10.2011 йил" xfId="688"/>
    <cellStyle name="_Фарғона_озиқ-овқат_омонатлар 01.11.2011 йил" xfId="689"/>
    <cellStyle name="_Фарғона_озиқ-овқат_омонатлар 01.11.2011 йил" xfId="690"/>
    <cellStyle name="_Фарғона_озиқ-овқат_омонатлар 01.12.2011" xfId="691"/>
    <cellStyle name="_Фарғона_озиқ-овқат_омонатлар 01.12.2011" xfId="692"/>
    <cellStyle name="_Фарғона_СВОД - 2011 туман (шахар) дастури" xfId="693"/>
    <cellStyle name="_Фарғона_СВОД - 2011 туман (шахар) дастури" xfId="694"/>
    <cellStyle name="_Фарғона_СВОД - 2011 туман (шахар) дастури_омонатлар 01.09.2011 йил" xfId="695"/>
    <cellStyle name="_Фарғона_СВОД - 2011 туман (шахар) дастури_омонатлар 01.09.2011 йил" xfId="696"/>
    <cellStyle name="_Фарғона_СВОД - 2011 туман (шахар) дастури_омонатлар 01.10.2011 йил" xfId="697"/>
    <cellStyle name="_Фарғона_СВОД - 2011 туман (шахар) дастури_омонатлар 01.10.2011 йил" xfId="698"/>
    <cellStyle name="_Фарғона_СВОД - 2011 туман (шахар) дастури_омонатлар 01.11.2011 йил" xfId="699"/>
    <cellStyle name="_Фарғона_СВОД - 2011 туман (шахар) дастури_омонатлар 01.11.2011 йил" xfId="700"/>
    <cellStyle name="_Фарғона_СВОД - 2011 туман (шахар) дастури_омонатлар 01.12.2011" xfId="701"/>
    <cellStyle name="_Фарғона_СВОД - 2011 туман (шахар) дастури_омонатлар 01.12.2011" xfId="702"/>
    <cellStyle name="" xfId="703"/>
    <cellStyle name="" xfId="704"/>
    <cellStyle name="_1-кисм 1-свод" xfId="705"/>
    <cellStyle name="_1-кисм 1-свод" xfId="706"/>
    <cellStyle name="_2010 йил 1-ярим йиллик лойихалар" xfId="707"/>
    <cellStyle name="_2010 йил 1-ярим йиллик лойихалар" xfId="708"/>
    <cellStyle name="_232 ижроси" xfId="709"/>
    <cellStyle name="_232 ижроси" xfId="710"/>
    <cellStyle name="_232 ижроси_омонатлар 01.09.2011 йил" xfId="711"/>
    <cellStyle name="_232 ижроси_омонатлар 01.09.2011 йил" xfId="712"/>
    <cellStyle name="_232 ижроси_омонатлар 01.10.2011 йил" xfId="713"/>
    <cellStyle name="_232 ижроси_омонатлар 01.10.2011 йил" xfId="714"/>
    <cellStyle name="_232 ижроси_омонатлар 01.11.2011 йил" xfId="715"/>
    <cellStyle name="_232 ижроси_омонатлар 01.11.2011 йил" xfId="716"/>
    <cellStyle name="_232 ижроси_омонатлар 01.12.2011" xfId="717"/>
    <cellStyle name="_232 ижроси_омонатлар 01.12.2011" xfId="718"/>
    <cellStyle name="_АХБОРОТ ТАХЛИЛГАга жадваллар (по туманам)" xfId="719"/>
    <cellStyle name="_АХБОРОТ ТАХЛИЛГАга жадваллар (по туманам)" xfId="720"/>
    <cellStyle name="_Жадвал саноат 2009 ОХИРИ" xfId="721"/>
    <cellStyle name="_Жадвал саноат 2009 ОХИРИ" xfId="722"/>
    <cellStyle name="_иктисодга" xfId="723"/>
    <cellStyle name="_иктисодга" xfId="724"/>
    <cellStyle name="_МВЭС Хусанбой" xfId="725"/>
    <cellStyle name="_МВЭС Хусанбой" xfId="726"/>
    <cellStyle name="_МВЭС2" xfId="727"/>
    <cellStyle name="_МВЭС2" xfId="728"/>
    <cellStyle name="_ОКИБ" xfId="729"/>
    <cellStyle name="_ОКИБ" xfId="730"/>
    <cellStyle name="_ПРОМ 2010-1чорак-жадваллар 23.03" xfId="731"/>
    <cellStyle name="_ПРОМ 2010-1чорак-жадваллар 23.03" xfId="732"/>
    <cellStyle name="_ПРОМ 2010-1чорак-жадваллар 23.03_11-жадвал Акбарга" xfId="733"/>
    <cellStyle name="_ПРОМ 2010-1чорак-жадваллар 23.03_11-жадвал Акбарга" xfId="734"/>
    <cellStyle name="_ПРОМ 2010-1чорак-жадваллар 23.03_11-жадвал Акбарга_омонатлар 01.09.2011 йил" xfId="735"/>
    <cellStyle name="_ПРОМ 2010-1чорак-жадваллар 23.03_11-жадвал Акбарга_омонатлар 01.09.2011 йил" xfId="736"/>
    <cellStyle name="_ПРОМ 2010-1чорак-жадваллар 23.03_11-жадвал Акбарга_омонатлар 01.10.2011 йил" xfId="737"/>
    <cellStyle name="_ПРОМ 2010-1чорак-жадваллар 23.03_11-жадвал Акбарга_омонатлар 01.10.2011 йил" xfId="738"/>
    <cellStyle name="_ПРОМ 2010-1чорак-жадваллар 23.03_11-жадвал Акбарга_омонатлар 01.11.2011 йил" xfId="739"/>
    <cellStyle name="_ПРОМ 2010-1чорак-жадваллар 23.03_11-жадвал Акбарга_омонатлар 01.11.2011 йил" xfId="740"/>
    <cellStyle name="_ПРОМ 2010-1чорак-жадваллар 23.03_11-жадвал Акбарга_омонатлар 01.12.2011" xfId="741"/>
    <cellStyle name="_ПРОМ 2010-1чорак-жадваллар 23.03_11-жадвал Акбарга_омонатлар 01.12.2011" xfId="742"/>
    <cellStyle name="_ПРОМ 2010-1чорак-жадваллар 23.03_озиқ-овқат" xfId="743"/>
    <cellStyle name="_ПРОМ 2010-1чорак-жадваллар 23.03_озиқ-овқат" xfId="744"/>
    <cellStyle name="_ПРОМ 2010-1чорак-жадваллар 23.03_озиқ-овқат_омонатлар 01.09.2011 йил" xfId="745"/>
    <cellStyle name="_ПРОМ 2010-1чорак-жадваллар 23.03_озиқ-овқат_омонатлар 01.09.2011 йил" xfId="746"/>
    <cellStyle name="_ПРОМ 2010-1чорак-жадваллар 23.03_озиқ-овқат_омонатлар 01.10.2011 йил" xfId="747"/>
    <cellStyle name="_ПРОМ 2010-1чорак-жадваллар 23.03_озиқ-овқат_омонатлар 01.10.2011 йил" xfId="748"/>
    <cellStyle name="_ПРОМ 2010-1чорак-жадваллар 23.03_озиқ-овқат_омонатлар 01.11.2011 йил" xfId="749"/>
    <cellStyle name="_ПРОМ 2010-1чорак-жадваллар 23.03_озиқ-овқат_омонатлар 01.11.2011 йил" xfId="750"/>
    <cellStyle name="_ПРОМ 2010-1чорак-жадваллар 23.03_озиқ-овқат_омонатлар 01.12.2011" xfId="751"/>
    <cellStyle name="_ПРОМ 2010-1чорак-жадваллар 23.03_озиқ-овқат_омонатлар 01.12.2011" xfId="752"/>
    <cellStyle name="_ПРОМ 2010-1чорак-жадваллар 23.03_омонатлар 01.09.2011 йил" xfId="753"/>
    <cellStyle name="_ПРОМ 2010-1чорак-жадваллар 23.03_омонатлар 01.09.2011 йил" xfId="754"/>
    <cellStyle name="_ПРОМ 2010-1чорак-жадваллар 23.03_омонатлар 01.10.2011 йил" xfId="755"/>
    <cellStyle name="_ПРОМ 2010-1чорак-жадваллар 23.03_омонатлар 01.10.2011 йил" xfId="756"/>
    <cellStyle name="_ПРОМ 2010-1чорак-жадваллар 23.03_омонатлар 01.11.2011 йил" xfId="757"/>
    <cellStyle name="_ПРОМ 2010-1чорак-жадваллар 23.03_омонатлар 01.11.2011 йил" xfId="758"/>
    <cellStyle name="_ПРОМ 2010-1чорак-жадваллар 23.03_омонатлар 01.12.2011" xfId="759"/>
    <cellStyle name="_ПРОМ 2010-1чорак-жадваллар 23.03_омонатлар 01.12.2011" xfId="760"/>
    <cellStyle name="_СВОД Жадваллар 2008-2012й" xfId="761"/>
    <cellStyle name="_СВОД Жадваллар 2008-2012й" xfId="762"/>
    <cellStyle name="_СВОД Жадваллар 2008-2012й_СВОД Прогноз 2008-2012й" xfId="763"/>
    <cellStyle name="_СВОД Жадваллар 2008-2012й_СВОД Прогноз 2008-2012й" xfId="764"/>
    <cellStyle name="_СВОД жадваллар-2009 6 ой" xfId="765"/>
    <cellStyle name="_СВОД жадваллар-2009 6 ой" xfId="766"/>
    <cellStyle name="_СВОД Прогноз 2008-2012й" xfId="767"/>
    <cellStyle name="_СВОД Прогноз 2008-2012й" xfId="768"/>
    <cellStyle name="_Сухроб Вилоят свод" xfId="769"/>
    <cellStyle name="_Сухроб Вилоят свод" xfId="770"/>
    <cellStyle name="_Фарғона" xfId="771"/>
    <cellStyle name="_Фарғона" xfId="772"/>
    <cellStyle name="_Фарғона_11-жадвал Акбарга" xfId="773"/>
    <cellStyle name="_Фарғона_11-жадвал Акбарга" xfId="774"/>
    <cellStyle name="_Фарғона_11-жадвал Акбарга_Омонат 1.12.2010" xfId="775"/>
    <cellStyle name="_Фарғона_11-жадвал Акбарга_Омонат 1.12.2010" xfId="776"/>
    <cellStyle name="_Фарғона_11-жадвал Акбарга_Омонат 1.12.2010_омонатлар 01.09.2011 йил" xfId="777"/>
    <cellStyle name="_Фарғона_11-жадвал Акбарга_Омонат 1.12.2010_омонатлар 01.09.2011 йил" xfId="778"/>
    <cellStyle name="_Фарғона_11-жадвал Акбарга_Омонат 1.12.2010_омонатлар 01.10.2011 йил" xfId="779"/>
    <cellStyle name="_Фарғона_11-жадвал Акбарга_Омонат 1.12.2010_омонатлар 01.10.2011 йил" xfId="780"/>
    <cellStyle name="_Фарғона_11-жадвал Акбарга_Омонат 1.12.2010_омонатлар 01.11.2011 йил" xfId="781"/>
    <cellStyle name="_Фарғона_11-жадвал Акбарга_Омонат 1.12.2010_омонатлар 01.11.2011 йил" xfId="782"/>
    <cellStyle name="_Фарғона_11-жадвал Акбарга_Омонат 1.12.2010_омонатлар 01.12.2011" xfId="783"/>
    <cellStyle name="_Фарғона_11-жадвал Акбарга_Омонат 1.12.2010_омонатлар 01.12.2011" xfId="784"/>
    <cellStyle name="_Фарғона_11-жадвал Акбарга_омонатлар 01.09.2011 йил" xfId="785"/>
    <cellStyle name="_Фарғона_11-жадвал Акбарга_омонатлар 01.09.2011 йил" xfId="786"/>
    <cellStyle name="_Фарғона_11-жадвал Акбарга_омонатлар 01.10.2011 йил" xfId="787"/>
    <cellStyle name="_Фарғона_11-жадвал Акбарга_омонатлар 01.10.2011 йил" xfId="788"/>
    <cellStyle name="_Фарғона_11-жадвал Акбарга_омонатлар 01.11.2011 йил" xfId="789"/>
    <cellStyle name="_Фарғона_11-жадвал Акбарга_омонатлар 01.11.2011 йил" xfId="790"/>
    <cellStyle name="_Фарғона_11-жадвал Акбарга_омонатлар 01.12.2011" xfId="791"/>
    <cellStyle name="_Фарғона_11-жадвал Акбарга_омонатлар 01.12.2011" xfId="792"/>
    <cellStyle name="_Фарғона_1-кисм 1-свод" xfId="793"/>
    <cellStyle name="_Фарғона_1-кисм 1-свод" xfId="794"/>
    <cellStyle name="_Фарғона_озиқ-овқат" xfId="795"/>
    <cellStyle name="_Фарғона_озиқ-овқат" xfId="796"/>
    <cellStyle name="_Фарғона_озиқ-овқат_Омонат 1.12.2010" xfId="797"/>
    <cellStyle name="_Фарғона_озиқ-овқат_Омонат 1.12.2010" xfId="798"/>
    <cellStyle name="_Фарғона_озиқ-овқат_Омонат 1.12.2010_омонатлар 01.09.2011 йил" xfId="799"/>
    <cellStyle name="_Фарғона_озиқ-овқат_Омонат 1.12.2010_омонатлар 01.09.2011 йил" xfId="800"/>
    <cellStyle name="_Фарғона_озиқ-овқат_Омонат 1.12.2010_омонатлар 01.10.2011 йил" xfId="801"/>
    <cellStyle name="_Фарғона_озиқ-овқат_Омонат 1.12.2010_омонатлар 01.10.2011 йил" xfId="802"/>
    <cellStyle name="_Фарғона_озиқ-овқат_Омонат 1.12.2010_омонатлар 01.11.2011 йил" xfId="803"/>
    <cellStyle name="_Фарғона_озиқ-овқат_Омонат 1.12.2010_омонатлар 01.11.2011 йил" xfId="804"/>
    <cellStyle name="_Фарғона_озиқ-овқат_Омонат 1.12.2010_омонатлар 01.12.2011" xfId="805"/>
    <cellStyle name="_Фарғона_озиқ-овқат_Омонат 1.12.2010_омонатлар 01.12.2011" xfId="806"/>
    <cellStyle name="_Фарғона_озиқ-овқат_омонатлар 01.09.2011 йил" xfId="807"/>
    <cellStyle name="_Фарғона_озиқ-овқат_омонатлар 01.09.2011 йил" xfId="808"/>
    <cellStyle name="_Фарғона_озиқ-овқат_омонатлар 01.10.2011 йил" xfId="809"/>
    <cellStyle name="_Фарғона_озиқ-овқат_омонатлар 01.10.2011 йил" xfId="810"/>
    <cellStyle name="_Фарғона_озиқ-овқат_омонатлар 01.11.2011 йил" xfId="811"/>
    <cellStyle name="_Фарғона_озиқ-овқат_омонатлар 01.11.2011 йил" xfId="812"/>
    <cellStyle name="_Фарғона_озиқ-овқат_омонатлар 01.12.2011" xfId="813"/>
    <cellStyle name="_Фарғона_озиқ-овқат_омонатлар 01.12.2011" xfId="814"/>
    <cellStyle name="_Фарғона_СВОД - 2011 туман (шахар) дастури" xfId="815"/>
    <cellStyle name="_Фарғона_СВОД - 2011 туман (шахар) дастури" xfId="816"/>
    <cellStyle name="_Фарғона_СВОД - 2011 туман (шахар) дастури_омонатлар 01.09.2011 йил" xfId="817"/>
    <cellStyle name="_Фарғона_СВОД - 2011 туман (шахар) дастури_омонатлар 01.09.2011 йил" xfId="818"/>
    <cellStyle name="_Фарғона_СВОД - 2011 туман (шахар) дастури_омонатлар 01.10.2011 йил" xfId="819"/>
    <cellStyle name="_Фарғона_СВОД - 2011 туман (шахар) дастури_омонатлар 01.10.2011 йил" xfId="820"/>
    <cellStyle name="_Фарғона_СВОД - 2011 туман (шахар) дастури_омонатлар 01.11.2011 йил" xfId="821"/>
    <cellStyle name="_Фарғона_СВОД - 2011 туман (шахар) дастури_омонатлар 01.11.2011 йил" xfId="822"/>
    <cellStyle name="_Фарғона_СВОД - 2011 туман (шахар) дастури_омонатлар 01.12.2011" xfId="823"/>
    <cellStyle name="_Фарғона_СВОД - 2011 туман (шахар) дастури_омонатлар 01.12.2011" xfId="824"/>
    <cellStyle name="" xfId="825"/>
    <cellStyle name="1" xfId="826"/>
    <cellStyle name="2" xfId="827"/>
    <cellStyle name="20% - Accent1" xfId="828"/>
    <cellStyle name="20% - Accent2" xfId="829"/>
    <cellStyle name="20% - Accent3" xfId="830"/>
    <cellStyle name="20% - Accent4" xfId="831"/>
    <cellStyle name="20% - Accent5" xfId="832"/>
    <cellStyle name="20% - Accent6" xfId="833"/>
    <cellStyle name="40% - Accent1" xfId="834"/>
    <cellStyle name="40% - Accent2" xfId="835"/>
    <cellStyle name="40% - Accent3" xfId="836"/>
    <cellStyle name="40% - Accent4" xfId="837"/>
    <cellStyle name="40% - Accent5" xfId="838"/>
    <cellStyle name="40% - Accent6" xfId="839"/>
    <cellStyle name="60% - Accent1" xfId="840"/>
    <cellStyle name="60% - Accent2" xfId="841"/>
    <cellStyle name="60% - Accent3" xfId="842"/>
    <cellStyle name="60% - Accent4" xfId="843"/>
    <cellStyle name="60% - Accent5" xfId="844"/>
    <cellStyle name="60% - Accent6" xfId="845"/>
    <cellStyle name="Aaia?iue" xfId="846"/>
    <cellStyle name="Aaia?iue [0]" xfId="847"/>
    <cellStyle name="Aaia?iue_,, 255 якуни" xfId="848"/>
    <cellStyle name="Accent1" xfId="849"/>
    <cellStyle name="Accent1 - 20%" xfId="850"/>
    <cellStyle name="Accent1 - 40%" xfId="851"/>
    <cellStyle name="Accent1 - 60%" xfId="852"/>
    <cellStyle name="Accent1_СВОД - 2011 туман (шахар) дастури" xfId="853"/>
    <cellStyle name="Accent2" xfId="854"/>
    <cellStyle name="Accent2 - 20%" xfId="855"/>
    <cellStyle name="Accent2 - 40%" xfId="856"/>
    <cellStyle name="Accent2 - 60%" xfId="857"/>
    <cellStyle name="Accent2_СВОД - 2011 туман (шахар) дастури" xfId="858"/>
    <cellStyle name="Accent3" xfId="859"/>
    <cellStyle name="Accent3 - 20%" xfId="860"/>
    <cellStyle name="Accent3 - 40%" xfId="861"/>
    <cellStyle name="Accent3 - 60%" xfId="862"/>
    <cellStyle name="Accent3_СВОД - 2011 туман (шахар) дастури" xfId="863"/>
    <cellStyle name="Accent4" xfId="864"/>
    <cellStyle name="Accent4 - 20%" xfId="865"/>
    <cellStyle name="Accent4 - 40%" xfId="866"/>
    <cellStyle name="Accent4 - 60%" xfId="867"/>
    <cellStyle name="Accent4_СВОД - 2011 туман (шахар) дастури" xfId="868"/>
    <cellStyle name="Accent5" xfId="869"/>
    <cellStyle name="Accent5 - 20%" xfId="870"/>
    <cellStyle name="Accent5 - 40%" xfId="871"/>
    <cellStyle name="Accent5 - 60%" xfId="872"/>
    <cellStyle name="Accent5_СВОД - 2011 туман (шахар) дастури" xfId="873"/>
    <cellStyle name="Accent6" xfId="874"/>
    <cellStyle name="Accent6 - 20%" xfId="875"/>
    <cellStyle name="Accent6 - 40%" xfId="876"/>
    <cellStyle name="Accent6 - 60%" xfId="877"/>
    <cellStyle name="Accent6_СВОД - 2011 туман (шахар) дастури" xfId="878"/>
    <cellStyle name="Acdldnnueer" xfId="879"/>
    <cellStyle name="Alilciue [0]_ 2003 aia" xfId="880"/>
    <cellStyle name="Alilciue_ 2003 aia" xfId="881"/>
    <cellStyle name="Bad" xfId="882"/>
    <cellStyle name="Calculation" xfId="883"/>
    <cellStyle name="Check Cell" xfId="884"/>
    <cellStyle name="Comma [0]_Sheet1 (2)" xfId="885"/>
    <cellStyle name="Comma_DSPLIST" xfId="886"/>
    <cellStyle name="Comma0" xfId="887"/>
    <cellStyle name="Currency [0]_DSPLIST" xfId="888"/>
    <cellStyle name="Currency_DSPLIST" xfId="889"/>
    <cellStyle name="Currency0" xfId="890"/>
    <cellStyle name="Emphasis 1" xfId="891"/>
    <cellStyle name="Emphasis 2" xfId="892"/>
    <cellStyle name="Emphasis 3" xfId="893"/>
    <cellStyle name="Euro" xfId="894"/>
    <cellStyle name="Explanatory Text" xfId="895"/>
    <cellStyle name="F2" xfId="896"/>
    <cellStyle name="F3" xfId="897"/>
    <cellStyle name="F4" xfId="898"/>
    <cellStyle name="F5" xfId="899"/>
    <cellStyle name="F6" xfId="900"/>
    <cellStyle name="F7" xfId="901"/>
    <cellStyle name="F8" xfId="902"/>
    <cellStyle name="Good" xfId="903"/>
    <cellStyle name="Heading 1" xfId="904"/>
    <cellStyle name="Heading 2" xfId="905"/>
    <cellStyle name="Heading 3" xfId="906"/>
    <cellStyle name="Heading 4" xfId="907"/>
    <cellStyle name="I?ioaioiue" xfId="908"/>
    <cellStyle name="I`u?iue_Deri98_D" xfId="909"/>
    <cellStyle name="Iau?iue" xfId="910"/>
    <cellStyle name="Ineduararr?n? acdldnnueer" xfId="911"/>
    <cellStyle name="Input" xfId="912"/>
    <cellStyle name="Linked Cell" xfId="913"/>
    <cellStyle name="Milliers [0]_Conversion Summary" xfId="914"/>
    <cellStyle name="Milliers_Conversion Summary" xfId="915"/>
    <cellStyle name="Monйtaire [0]_Conversion Summary" xfId="916"/>
    <cellStyle name="Monйtaire_Conversion Summary" xfId="917"/>
    <cellStyle name="Neutral" xfId="918"/>
    <cellStyle name="Normal_08026-9" xfId="919"/>
    <cellStyle name="Note" xfId="920"/>
    <cellStyle name="Nun??c [0]_ 2003 aia" xfId="921"/>
    <cellStyle name="Nun??c_ 2003 aia" xfId="922"/>
    <cellStyle name="Ociriniaue [0]_1" xfId="923"/>
    <cellStyle name="Ociriniaue_1" xfId="924"/>
    <cellStyle name="Oeiainiaue" xfId="925"/>
    <cellStyle name="Oeiainiaue [0]" xfId="926"/>
    <cellStyle name="Oeiainiaue_,, 255 якуни" xfId="927"/>
    <cellStyle name="Output" xfId="928"/>
    <cellStyle name="s]_x000d__x000a_;load=rrtsklst.exe_x000d__x000a_Beep=yes_x000d__x000a_NullPort=None_x000d__x000a_BorderWidth=3_x000d__x000a_CursorBlinkRate=530_x000d__x000a_DoubleClickSpeed=452_x000d__x000a_Programs=com" xfId="929"/>
    <cellStyle name="s]_x000d__x000a_load=_x000d__x000a_run=_x000d__x000a_NullPort=None_x000d__x000a_device=Epson FX-1170,EPSON9,LPT1:_x000d__x000a__x000d__x000a_[Desktop]_x000d__x000a_Wallpaper=C:\WIN95\SKY.BMP_x000d__x000a_TileWallpap" xfId="930"/>
    <cellStyle name="S0" xfId="931"/>
    <cellStyle name="S1" xfId="932"/>
    <cellStyle name="S2" xfId="933"/>
    <cellStyle name="S3" xfId="934"/>
    <cellStyle name="S4" xfId="935"/>
    <cellStyle name="S5" xfId="936"/>
    <cellStyle name="S6" xfId="937"/>
    <cellStyle name="S7" xfId="938"/>
    <cellStyle name="S8" xfId="939"/>
    <cellStyle name="S9" xfId="940"/>
    <cellStyle name="Sheet Title" xfId="941"/>
    <cellStyle name="Style 1" xfId="942"/>
    <cellStyle name="Title" xfId="943"/>
    <cellStyle name="Total" xfId="944"/>
    <cellStyle name="Warning Text" xfId="945"/>
    <cellStyle name="Денежный 2" xfId="946"/>
    <cellStyle name="Денежный 3" xfId="947"/>
    <cellStyle name="ельводхоз" xfId="948"/>
    <cellStyle name="Обычный" xfId="0" builtinId="0"/>
    <cellStyle name="Обычный 10" xfId="949"/>
    <cellStyle name="Обычный 100" xfId="950"/>
    <cellStyle name="Обычный 101" xfId="951"/>
    <cellStyle name="Обычный 102" xfId="952"/>
    <cellStyle name="Обычный 103" xfId="953"/>
    <cellStyle name="Обычный 104" xfId="954"/>
    <cellStyle name="Обычный 105" xfId="955"/>
    <cellStyle name="Обычный 106" xfId="956"/>
    <cellStyle name="Обычный 107" xfId="957"/>
    <cellStyle name="Обычный 108" xfId="958"/>
    <cellStyle name="Обычный 109" xfId="959"/>
    <cellStyle name="Обычный 11" xfId="960"/>
    <cellStyle name="Обычный 110" xfId="961"/>
    <cellStyle name="Обычный 111" xfId="962"/>
    <cellStyle name="Обычный 112" xfId="963"/>
    <cellStyle name="Обычный 113" xfId="964"/>
    <cellStyle name="Обычный 114" xfId="965"/>
    <cellStyle name="Обычный 115" xfId="966"/>
    <cellStyle name="Обычный 116" xfId="967"/>
    <cellStyle name="Обычный 117" xfId="968"/>
    <cellStyle name="Обычный 118" xfId="969"/>
    <cellStyle name="Обычный 12" xfId="970"/>
    <cellStyle name="Обычный 13" xfId="971"/>
    <cellStyle name="Обычный 14" xfId="972"/>
    <cellStyle name="Обычный 15" xfId="973"/>
    <cellStyle name="Обычный 16" xfId="974"/>
    <cellStyle name="Обычный 17" xfId="975"/>
    <cellStyle name="Обычный 18" xfId="976"/>
    <cellStyle name="Обычный 19" xfId="977"/>
    <cellStyle name="Обычный 2" xfId="1"/>
    <cellStyle name="Обычный 2 10" xfId="978"/>
    <cellStyle name="Обычный 2 11" xfId="979"/>
    <cellStyle name="Обычный 2 12" xfId="980"/>
    <cellStyle name="Обычный 2 2" xfId="981"/>
    <cellStyle name="Обычный 2 2 10" xfId="982"/>
    <cellStyle name="Обычный 2 2 11" xfId="983"/>
    <cellStyle name="Обычный 2 2 12" xfId="984"/>
    <cellStyle name="Обычный 2 2 2" xfId="985"/>
    <cellStyle name="Обычный 2 2 2 2" xfId="986"/>
    <cellStyle name="Обычный 2 2 2 2 2" xfId="987"/>
    <cellStyle name="Обычный 2 2 2 2 2 2" xfId="988"/>
    <cellStyle name="Обычный 2 2 2 2 2 3" xfId="989"/>
    <cellStyle name="Обычный 2 2 2 2 2 4" xfId="990"/>
    <cellStyle name="Обычный 2 2 2 2 3" xfId="991"/>
    <cellStyle name="Обычный 2 2 2 2 4" xfId="992"/>
    <cellStyle name="Обычный 2 2 2 2 5" xfId="993"/>
    <cellStyle name="Обычный 2 2 2 2 6" xfId="994"/>
    <cellStyle name="Обычный 2 2 2 2 7" xfId="995"/>
    <cellStyle name="Обычный 2 2 2 3" xfId="996"/>
    <cellStyle name="Обычный 2 2 2 4" xfId="997"/>
    <cellStyle name="Обычный 2 2 2 5" xfId="998"/>
    <cellStyle name="Обычный 2 2 2 5 2" xfId="999"/>
    <cellStyle name="Обычный 2 2 2 5 3" xfId="1000"/>
    <cellStyle name="Обычный 2 2 2 5 4" xfId="1001"/>
    <cellStyle name="Обычный 2 2 2 6" xfId="1002"/>
    <cellStyle name="Обычный 2 2 2 7" xfId="1003"/>
    <cellStyle name="Обычный 2 2 2 8" xfId="1004"/>
    <cellStyle name="Обычный 2 2 2 9" xfId="1005"/>
    <cellStyle name="Обычный 2 2 2_Омонат 01.02.14" xfId="1006"/>
    <cellStyle name="Обычный 2 2 3" xfId="1007"/>
    <cellStyle name="Обычный 2 2 4" xfId="1008"/>
    <cellStyle name="Обычный 2 2 5" xfId="1009"/>
    <cellStyle name="Обычный 2 2 6" xfId="1010"/>
    <cellStyle name="Обычный 2 2 7" xfId="1011"/>
    <cellStyle name="Обычный 2 2 8" xfId="1012"/>
    <cellStyle name="Обычный 2 2 8 2" xfId="1013"/>
    <cellStyle name="Обычный 2 2 8 3" xfId="1014"/>
    <cellStyle name="Обычный 2 2 8 4" xfId="1015"/>
    <cellStyle name="Обычный 2 2 9" xfId="1016"/>
    <cellStyle name="Обычный 2 2_1-ЯИУ жадвал май якуни-свод-КМ" xfId="1017"/>
    <cellStyle name="Обычный 2 3" xfId="1018"/>
    <cellStyle name="Обычный 2 3 2" xfId="1019"/>
    <cellStyle name="Обычный 2 3_232 ижроси" xfId="1020"/>
    <cellStyle name="Обычный 2 4" xfId="1021"/>
    <cellStyle name="Обычный 2 4 2" xfId="1228"/>
    <cellStyle name="Обычный 2 5" xfId="1022"/>
    <cellStyle name="Обычный 2 6" xfId="1023"/>
    <cellStyle name="Обычный 2 7" xfId="1024"/>
    <cellStyle name="Обычный 2 8" xfId="1025"/>
    <cellStyle name="Обычный 2 8 2" xfId="1026"/>
    <cellStyle name="Обычный 2 8 3" xfId="1027"/>
    <cellStyle name="Обычный 2 8 4" xfId="1028"/>
    <cellStyle name="Обычный 2 8_Омонат 01.02.14" xfId="1029"/>
    <cellStyle name="Обычный 2 9" xfId="1030"/>
    <cellStyle name="Обычный 2 9 2" xfId="1229"/>
    <cellStyle name="Обычный 2_67 талик жадвал-Иктисод №1" xfId="1031"/>
    <cellStyle name="Обычный 20" xfId="1032"/>
    <cellStyle name="Обычный 21" xfId="1033"/>
    <cellStyle name="Обычный 22" xfId="1034"/>
    <cellStyle name="Обычный 23" xfId="1035"/>
    <cellStyle name="Обычный 24" xfId="1036"/>
    <cellStyle name="Обычный 25" xfId="1037"/>
    <cellStyle name="Обычный 26" xfId="1038"/>
    <cellStyle name="Обычный 27" xfId="1039"/>
    <cellStyle name="Обычный 28" xfId="1040"/>
    <cellStyle name="Обычный 29" xfId="1041"/>
    <cellStyle name="Обычный 3" xfId="1042"/>
    <cellStyle name="Обычный 3 10" xfId="1043"/>
    <cellStyle name="Обычный 3 11" xfId="1226"/>
    <cellStyle name="Обычный 3 2" xfId="1044"/>
    <cellStyle name="Обычный 3 3" xfId="1045"/>
    <cellStyle name="Обычный 3 4" xfId="1046"/>
    <cellStyle name="Обычный 3 5" xfId="1047"/>
    <cellStyle name="Обычный 3 6" xfId="1048"/>
    <cellStyle name="Обычный 3 7" xfId="1049"/>
    <cellStyle name="Обычный 3 8" xfId="1050"/>
    <cellStyle name="Обычный 3 9" xfId="1051"/>
    <cellStyle name="Обычный 30" xfId="1052"/>
    <cellStyle name="Обычный 31" xfId="1053"/>
    <cellStyle name="Обычный 32" xfId="1054"/>
    <cellStyle name="Обычный 33" xfId="1055"/>
    <cellStyle name="Обычный 34" xfId="1056"/>
    <cellStyle name="Обычный 35" xfId="1057"/>
    <cellStyle name="Обычный 36" xfId="1058"/>
    <cellStyle name="Обычный 37" xfId="1059"/>
    <cellStyle name="Обычный 38" xfId="1060"/>
    <cellStyle name="Обычный 39" xfId="1061"/>
    <cellStyle name="Обычный 4" xfId="1062"/>
    <cellStyle name="Обычный 4 2" xfId="1063"/>
    <cellStyle name="Обычный 4 3" xfId="1064"/>
    <cellStyle name="Обычный 4 4" xfId="1065"/>
    <cellStyle name="Обычный 4 5" xfId="1066"/>
    <cellStyle name="Обычный 4_Тош вил. депозитлар" xfId="1067"/>
    <cellStyle name="Обычный 40" xfId="1068"/>
    <cellStyle name="Обычный 41" xfId="1069"/>
    <cellStyle name="Обычный 42" xfId="1070"/>
    <cellStyle name="Обычный 43" xfId="1071"/>
    <cellStyle name="Обычный 44" xfId="1072"/>
    <cellStyle name="Обычный 45" xfId="1073"/>
    <cellStyle name="Обычный 46" xfId="1074"/>
    <cellStyle name="Обычный 47" xfId="1075"/>
    <cellStyle name="Обычный 48" xfId="1076"/>
    <cellStyle name="Обычный 49" xfId="1077"/>
    <cellStyle name="Обычный 5" xfId="1078"/>
    <cellStyle name="Обычный 5 2" xfId="1079"/>
    <cellStyle name="Обычный 5 3" xfId="1080"/>
    <cellStyle name="Обычный 5 4" xfId="1081"/>
    <cellStyle name="Обычный 5 5" xfId="1082"/>
    <cellStyle name="Обычный 5_Тош вил. депозитлар" xfId="1083"/>
    <cellStyle name="Обычный 50" xfId="1084"/>
    <cellStyle name="Обычный 51" xfId="1085"/>
    <cellStyle name="Обычный 52" xfId="1086"/>
    <cellStyle name="Обычный 53" xfId="1087"/>
    <cellStyle name="Обычный 54" xfId="1088"/>
    <cellStyle name="Обычный 55" xfId="1089"/>
    <cellStyle name="Обычный 56" xfId="1090"/>
    <cellStyle name="Обычный 57" xfId="1091"/>
    <cellStyle name="Обычный 58" xfId="1092"/>
    <cellStyle name="Обычный 59" xfId="1093"/>
    <cellStyle name="Обычный 6" xfId="1094"/>
    <cellStyle name="Обычный 6 2" xfId="1095"/>
    <cellStyle name="Обычный 6 3" xfId="1096"/>
    <cellStyle name="Обычный 6 4" xfId="1097"/>
    <cellStyle name="Обычный 6 5" xfId="1098"/>
    <cellStyle name="Обычный 6_Тош вил. депозитлар" xfId="1099"/>
    <cellStyle name="Обычный 60" xfId="1100"/>
    <cellStyle name="Обычный 61" xfId="1101"/>
    <cellStyle name="Обычный 62" xfId="1102"/>
    <cellStyle name="Обычный 63" xfId="1103"/>
    <cellStyle name="Обычный 64" xfId="1104"/>
    <cellStyle name="Обычный 65" xfId="1105"/>
    <cellStyle name="Обычный 66" xfId="1106"/>
    <cellStyle name="Обычный 67" xfId="1107"/>
    <cellStyle name="Обычный 68" xfId="1108"/>
    <cellStyle name="Обычный 69" xfId="1109"/>
    <cellStyle name="Обычный 7" xfId="1110"/>
    <cellStyle name="Обычный 7 2" xfId="1111"/>
    <cellStyle name="Обычный 7 3" xfId="1112"/>
    <cellStyle name="Обычный 7 4" xfId="1113"/>
    <cellStyle name="Обычный 7 5" xfId="1114"/>
    <cellStyle name="Обычный 7_Омонат 01.02.14" xfId="1115"/>
    <cellStyle name="Обычный 70" xfId="1116"/>
    <cellStyle name="Обычный 71" xfId="1117"/>
    <cellStyle name="Обычный 72" xfId="1118"/>
    <cellStyle name="Обычный 73" xfId="1119"/>
    <cellStyle name="Обычный 74" xfId="1120"/>
    <cellStyle name="Обычный 75" xfId="1121"/>
    <cellStyle name="Обычный 76" xfId="1122"/>
    <cellStyle name="Обычный 77" xfId="1123"/>
    <cellStyle name="Обычный 78" xfId="1124"/>
    <cellStyle name="Обычный 79" xfId="1125"/>
    <cellStyle name="Обычный 8" xfId="1126"/>
    <cellStyle name="Обычный 8 2" xfId="1127"/>
    <cellStyle name="Обычный 8 3" xfId="1128"/>
    <cellStyle name="Обычный 8 4" xfId="1129"/>
    <cellStyle name="Обычный 8 5" xfId="1130"/>
    <cellStyle name="Обычный 8_Тош вил. депозитлар" xfId="1131"/>
    <cellStyle name="Обычный 80" xfId="1132"/>
    <cellStyle name="Обычный 81" xfId="1133"/>
    <cellStyle name="Обычный 82" xfId="1134"/>
    <cellStyle name="Обычный 83" xfId="1135"/>
    <cellStyle name="Обычный 84" xfId="1136"/>
    <cellStyle name="Обычный 85" xfId="1137"/>
    <cellStyle name="Обычный 86" xfId="1138"/>
    <cellStyle name="Обычный 87" xfId="1139"/>
    <cellStyle name="Обычный 88" xfId="1140"/>
    <cellStyle name="Обычный 89" xfId="1141"/>
    <cellStyle name="Обычный 9" xfId="1142"/>
    <cellStyle name="Обычный 90" xfId="1143"/>
    <cellStyle name="Обычный 91" xfId="1144"/>
    <cellStyle name="Обычный 92" xfId="1145"/>
    <cellStyle name="Обычный 93" xfId="1146"/>
    <cellStyle name="Обычный 94" xfId="1147"/>
    <cellStyle name="Обычный 95" xfId="1148"/>
    <cellStyle name="Обычный 96" xfId="1149"/>
    <cellStyle name="Обычный 97" xfId="1150"/>
    <cellStyle name="Обычный 98" xfId="1151"/>
    <cellStyle name="Обычный 99" xfId="1152"/>
    <cellStyle name="Обычный_24.09.08" xfId="1227"/>
    <cellStyle name="Примечание 2" xfId="1153"/>
    <cellStyle name="Примечание 3" xfId="1154"/>
    <cellStyle name="Примечание 4" xfId="1155"/>
    <cellStyle name="Примечание 5" xfId="1156"/>
    <cellStyle name="Процентный 2" xfId="1157"/>
    <cellStyle name="Процентный 2 2" xfId="1158"/>
    <cellStyle name="Процентный 2 3" xfId="1159"/>
    <cellStyle name="Процентный 2 4" xfId="1160"/>
    <cellStyle name="Процентный 2 5" xfId="1161"/>
    <cellStyle name="Процентный 3" xfId="1162"/>
    <cellStyle name="Процентный 3 2" xfId="1163"/>
    <cellStyle name="Процентный 3 3" xfId="1164"/>
    <cellStyle name="Процентный 3 4" xfId="1165"/>
    <cellStyle name="Стиль 1" xfId="1166"/>
    <cellStyle name="Стиль 1 2" xfId="1167"/>
    <cellStyle name="Стиль 1_136-карор буйича" xfId="1168"/>
    <cellStyle name="Тысячи [0]_  осн" xfId="1169"/>
    <cellStyle name="Тысячи_  осн" xfId="1170"/>
    <cellStyle name="Финансовый 10" xfId="2"/>
    <cellStyle name="Финансовый 11" xfId="1171"/>
    <cellStyle name="Финансовый 12" xfId="1172"/>
    <cellStyle name="Финансовый 13" xfId="1173"/>
    <cellStyle name="Финансовый 16" xfId="1174"/>
    <cellStyle name="Финансовый 2" xfId="1175"/>
    <cellStyle name="Финансовый 2 2" xfId="1176"/>
    <cellStyle name="Финансовый 2 2 2" xfId="1177"/>
    <cellStyle name="Финансовый 2 2 2 2" xfId="1178"/>
    <cellStyle name="Финансовый 2 2 2 3" xfId="1179"/>
    <cellStyle name="Финансовый 2 2 2 4" xfId="1180"/>
    <cellStyle name="Финансовый 2 2 3" xfId="1181"/>
    <cellStyle name="Финансовый 2 2 4" xfId="1182"/>
    <cellStyle name="Финансовый 2 2 5" xfId="1183"/>
    <cellStyle name="Финансовый 2 2 6" xfId="1184"/>
    <cellStyle name="Финансовый 2 2 7" xfId="1185"/>
    <cellStyle name="Финансовый 2 3" xfId="1186"/>
    <cellStyle name="Финансовый 2 4" xfId="1187"/>
    <cellStyle name="Финансовый 2 5" xfId="1188"/>
    <cellStyle name="Финансовый 2 6" xfId="1189"/>
    <cellStyle name="Финансовый 2 7" xfId="1190"/>
    <cellStyle name="Финансовый 2_Тош вил. депозитлар" xfId="1191"/>
    <cellStyle name="Финансовый 3" xfId="1192"/>
    <cellStyle name="Финансовый 3 2" xfId="1193"/>
    <cellStyle name="Финансовый 3 3" xfId="1194"/>
    <cellStyle name="Финансовый 3 4" xfId="1195"/>
    <cellStyle name="Финансовый 3 5" xfId="1196"/>
    <cellStyle name="Финансовый 3_Тош вил. депозитлар" xfId="1197"/>
    <cellStyle name="Финансовый 4" xfId="1198"/>
    <cellStyle name="Финансовый 5" xfId="1199"/>
    <cellStyle name="Финансовый 5 2" xfId="1200"/>
    <cellStyle name="Финансовый 5 3" xfId="1201"/>
    <cellStyle name="Финансовый 5 4" xfId="1202"/>
    <cellStyle name="Финансовый 5 5" xfId="1203"/>
    <cellStyle name="Финансовый 6" xfId="1204"/>
    <cellStyle name="Финансовый 6 2" xfId="1205"/>
    <cellStyle name="Финансовый 6 3" xfId="1206"/>
    <cellStyle name="Финансовый 6 4" xfId="1207"/>
    <cellStyle name="Финансовый 6 5" xfId="1208"/>
    <cellStyle name="Финансовый 7" xfId="1209"/>
    <cellStyle name="Финансовый 7 2" xfId="1210"/>
    <cellStyle name="Финансовый 7 3" xfId="1211"/>
    <cellStyle name="Финансовый 7 4" xfId="1212"/>
    <cellStyle name="Финансовый 7 5" xfId="1213"/>
    <cellStyle name="Финансовый 8" xfId="1214"/>
    <cellStyle name="Финансовый 8 2" xfId="1215"/>
    <cellStyle name="Финансовый 8 3" xfId="1216"/>
    <cellStyle name="Финансовый 8 4" xfId="1217"/>
    <cellStyle name="Финансовый 8 5" xfId="1218"/>
    <cellStyle name="Финансовый 9" xfId="1219"/>
    <cellStyle name="Финансовый 9 2" xfId="1220"/>
    <cellStyle name="Финансовый 9 3" xfId="1221"/>
    <cellStyle name="Финансовый 9 4" xfId="1222"/>
    <cellStyle name="Финансовый 9 5" xfId="1223"/>
    <cellStyle name="Џђћ–…ќ’ќ›‰" xfId="1224"/>
    <cellStyle name="표준_03-01-##_Raw materials for Uz-DongWon" xfId="1225"/>
  </cellStyles>
  <dxfs count="14"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  <sheetName val="фориш_свод7"/>
      <sheetName val="Фориш_20037"/>
      <sheetName val="Жиззах_янги_раз7"/>
      <sheetName val="ж_а_м_и7"/>
      <sheetName val="Tosh_sh_жами_1жадвал_7"/>
      <sheetName val="Фао-т_т_коди7"/>
      <sheetName val="Пул_топ-к_коди_7"/>
      <sheetName val="Тиж-банккоди_7"/>
      <sheetName val="Хукукий_Макоми7"/>
      <sheetName val="МФО_Last7"/>
      <sheetName val="Тохирбек_2003-16"/>
      <sheetName val="экс_хар6"/>
      <sheetName val="Қолган-193_та_28_12_20185"/>
      <sheetName val="1_Ноябр_Тошкентга__(2)2"/>
      <sheetName val="параметр_(формуда)2"/>
      <sheetName val="к_смета2"/>
      <sheetName val="Муаммоли_кредитларни_ундирилиш2"/>
      <sheetName val="Кредит_сўндирилмаслиги_сабаби2"/>
      <sheetName val="Bank_Liabilities_Analysis2"/>
      <sheetName val="форма_№2а2"/>
      <sheetName val="б_6-и2"/>
      <sheetName val="Analysis_of_Interest3"/>
      <sheetName val="06_01_2014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План_пр-ва1"/>
      <sheetName val="табл_чувств1"/>
      <sheetName val="План_продаж1"/>
      <sheetName val="AeCO_SPL"/>
      <sheetName val="кол-во_техн"/>
      <sheetName val="Ж-8_"/>
      <sheetName val="2-жадвал_свод"/>
      <sheetName val="Таблица_рассрочки"/>
      <sheetName val="Форма_№2-2003"/>
      <sheetName val="баланс1"/>
      <sheetName val="零三"/>
      <sheetName val="매출DATA"/>
      <sheetName val="15,05,06йилга жами"/>
      <sheetName val="апрель кре.жами"/>
      <sheetName val="Гай пахта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15,05,06йилга_жами"/>
      <sheetName val="апрель_кре_жами"/>
      <sheetName val="Гай_пахта"/>
      <sheetName val="15,05,06йилга_жами1"/>
      <sheetName val="апрель_кре_жами1"/>
      <sheetName val="Гай_пахта1"/>
      <sheetName val="фев"/>
      <sheetName val="15,05,06йилга_жами2"/>
      <sheetName val="апрель_кре_жами2"/>
      <sheetName val="Гай_пахта2"/>
      <sheetName val="15,05,06йилга_жами3"/>
      <sheetName val="апрель_кре_жами3"/>
      <sheetName val="Гай_пахта3"/>
      <sheetName val="s"/>
      <sheetName val="режа"/>
      <sheetName val="15,05,06йилга_жами4"/>
      <sheetName val="апрель_кре_жами4"/>
      <sheetName val="Гай_пахта4"/>
      <sheetName val="Prog__rost_tarifov"/>
      <sheetName val="Ер Ресурс"/>
      <sheetName val="DNET"/>
      <sheetName val="15,05,06йилга_жами5"/>
      <sheetName val="апрель_кре_жами5"/>
      <sheetName val="Гай_пахта5"/>
      <sheetName val="Prog__rost_tarifov1"/>
      <sheetName val="Ер_Ресурс"/>
      <sheetName val="Прогноз"/>
      <sheetName val="МФО руйха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Twenty Largest"/>
      <sheetName val="CPIINDEX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O4">
            <v>67.099999999999994</v>
          </cell>
        </row>
      </sheetData>
      <sheetData sheetId="30">
        <row r="4">
          <cell r="O4">
            <v>67.099999999999994</v>
          </cell>
        </row>
      </sheetData>
      <sheetData sheetId="31">
        <row r="4">
          <cell r="O4">
            <v>67.099999999999994</v>
          </cell>
        </row>
      </sheetData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O4">
            <v>67.099999999999994</v>
          </cell>
        </row>
      </sheetData>
      <sheetData sheetId="209" refreshError="1"/>
      <sheetData sheetId="210">
        <row r="4">
          <cell r="O4">
            <v>67.099999999999994</v>
          </cell>
        </row>
      </sheetData>
      <sheetData sheetId="211" refreshError="1"/>
      <sheetData sheetId="212" refreshError="1"/>
      <sheetData sheetId="21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4">
          <cell r="O4">
            <v>67.099999999999994</v>
          </cell>
        </row>
      </sheetData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GJ105"/>
  <sheetViews>
    <sheetView showZeros="0" tabSelected="1" view="pageBreakPreview" zoomScale="85" zoomScaleNormal="85" zoomScaleSheetLayoutView="85" workbookViewId="0">
      <pane xSplit="2" ySplit="5" topLeftCell="FA6" activePane="bottomRight" state="frozen"/>
      <selection activeCell="A2" sqref="A2:D2"/>
      <selection pane="topRight" activeCell="A2" sqref="A2:D2"/>
      <selection pane="bottomLeft" activeCell="A2" sqref="A2:D2"/>
      <selection pane="bottomRight" activeCell="FU5" sqref="FJ5:FU5"/>
    </sheetView>
  </sheetViews>
  <sheetFormatPr defaultRowHeight="12.75"/>
  <cols>
    <col min="1" max="1" width="6.7109375" style="1" customWidth="1"/>
    <col min="2" max="2" width="34.140625" style="2" customWidth="1"/>
    <col min="3" max="4" width="11.140625" style="2" customWidth="1"/>
    <col min="5" max="5" width="13.7109375" style="2" customWidth="1"/>
    <col min="6" max="11" width="11.140625" style="2" customWidth="1"/>
    <col min="12" max="12" width="13.7109375" style="2" customWidth="1"/>
    <col min="13" max="16" width="11.140625" style="2" customWidth="1"/>
    <col min="17" max="17" width="13.28515625" style="2" customWidth="1"/>
    <col min="18" max="23" width="11.140625" style="2" customWidth="1"/>
    <col min="24" max="24" width="12.42578125" style="2" customWidth="1"/>
    <col min="25" max="25" width="11.5703125" style="2" customWidth="1"/>
    <col min="26" max="27" width="11.140625" style="2" customWidth="1"/>
    <col min="28" max="30" width="13.28515625" style="2" customWidth="1"/>
    <col min="31" max="31" width="11.140625" style="2" customWidth="1"/>
    <col min="32" max="32" width="13.7109375" style="2" customWidth="1"/>
    <col min="33" max="38" width="11.140625" style="2" customWidth="1"/>
    <col min="39" max="39" width="13.7109375" style="2" customWidth="1"/>
    <col min="40" max="43" width="11.140625" style="2" customWidth="1"/>
    <col min="44" max="44" width="13.28515625" style="2" customWidth="1"/>
    <col min="45" max="50" width="11.140625" style="2" customWidth="1"/>
    <col min="51" max="51" width="12.42578125" style="2" customWidth="1"/>
    <col min="52" max="52" width="13.5703125" style="2" customWidth="1"/>
    <col min="53" max="54" width="11.140625" style="2" customWidth="1"/>
    <col min="55" max="55" width="13.5703125" style="4" customWidth="1"/>
    <col min="56" max="57" width="13.28515625" style="2" customWidth="1"/>
    <col min="58" max="58" width="11.140625" style="4" customWidth="1"/>
    <col min="59" max="59" width="13.7109375" style="4" customWidth="1"/>
    <col min="60" max="65" width="11.140625" style="4" customWidth="1"/>
    <col min="66" max="66" width="13.7109375" style="4" customWidth="1"/>
    <col min="67" max="70" width="11.140625" style="4" customWidth="1"/>
    <col min="71" max="71" width="13.28515625" style="4" customWidth="1"/>
    <col min="72" max="77" width="11.140625" style="4" customWidth="1"/>
    <col min="78" max="78" width="15.28515625" style="4" bestFit="1" customWidth="1"/>
    <col min="79" max="79" width="12.5703125" style="4" customWidth="1"/>
    <col min="80" max="80" width="12.140625" style="4" customWidth="1"/>
    <col min="81" max="81" width="11.140625" style="4" customWidth="1"/>
    <col min="82" max="83" width="13.28515625" style="4" customWidth="1"/>
    <col min="84" max="84" width="13.28515625" style="2" customWidth="1"/>
    <col min="85" max="85" width="11.140625" style="2" customWidth="1"/>
    <col min="86" max="86" width="13.7109375" style="2" customWidth="1"/>
    <col min="87" max="89" width="11.140625" style="2" customWidth="1"/>
    <col min="90" max="90" width="13.7109375" style="2" customWidth="1"/>
    <col min="91" max="92" width="11.140625" style="2" customWidth="1"/>
    <col min="93" max="93" width="12.42578125" style="2" customWidth="1"/>
    <col min="94" max="97" width="11.140625" style="2" customWidth="1"/>
    <col min="98" max="98" width="13.28515625" style="2" customWidth="1"/>
    <col min="99" max="104" width="11.140625" style="2" customWidth="1"/>
    <col min="105" max="105" width="14.85546875" style="2" customWidth="1"/>
    <col min="106" max="106" width="12.28515625" style="2" customWidth="1"/>
    <col min="107" max="107" width="11.140625" style="2" customWidth="1"/>
    <col min="108" max="108" width="12.28515625" style="2" customWidth="1"/>
    <col min="109" max="111" width="13.28515625" style="2" customWidth="1"/>
    <col min="112" max="112" width="11.140625" style="2" customWidth="1"/>
    <col min="113" max="113" width="13.7109375" style="2" customWidth="1"/>
    <col min="114" max="119" width="11.140625" style="2" customWidth="1"/>
    <col min="120" max="120" width="13.7109375" style="2" customWidth="1"/>
    <col min="121" max="124" width="11.140625" style="2" customWidth="1"/>
    <col min="125" max="125" width="13.28515625" style="2" customWidth="1"/>
    <col min="126" max="131" width="11.140625" style="2" customWidth="1"/>
    <col min="132" max="132" width="12.42578125" style="2" customWidth="1"/>
    <col min="133" max="133" width="12.85546875" style="2" customWidth="1"/>
    <col min="134" max="134" width="12.7109375" style="2" customWidth="1"/>
    <col min="135" max="135" width="11.140625" style="2" customWidth="1"/>
    <col min="136" max="138" width="13.28515625" style="2" customWidth="1"/>
    <col min="139" max="139" width="11.140625" style="2" customWidth="1"/>
    <col min="140" max="140" width="13.7109375" style="2" customWidth="1"/>
    <col min="141" max="146" width="11.140625" style="2" customWidth="1"/>
    <col min="147" max="147" width="13.7109375" style="2" customWidth="1"/>
    <col min="148" max="151" width="11.140625" style="2" customWidth="1"/>
    <col min="152" max="152" width="13.28515625" style="2" customWidth="1"/>
    <col min="153" max="158" width="11.140625" style="2" customWidth="1"/>
    <col min="159" max="159" width="12.42578125" style="2" customWidth="1"/>
    <col min="160" max="160" width="14.42578125" style="2" customWidth="1"/>
    <col min="161" max="161" width="13.42578125" style="2" customWidth="1"/>
    <col min="162" max="162" width="11.140625" style="2" customWidth="1"/>
    <col min="163" max="163" width="13.28515625" style="2" customWidth="1"/>
    <col min="164" max="164" width="14.85546875" style="2" customWidth="1"/>
    <col min="165" max="165" width="13.28515625" style="2" customWidth="1"/>
    <col min="166" max="166" width="11.140625" style="2" customWidth="1"/>
    <col min="167" max="167" width="13.7109375" style="2" customWidth="1"/>
    <col min="168" max="173" width="11.140625" style="2" customWidth="1"/>
    <col min="174" max="174" width="13.7109375" style="2" customWidth="1"/>
    <col min="175" max="178" width="11.140625" style="2" customWidth="1"/>
    <col min="179" max="179" width="13.28515625" style="2" customWidth="1"/>
    <col min="180" max="185" width="11.140625" style="2" customWidth="1"/>
    <col min="186" max="186" width="12.42578125" style="2" customWidth="1"/>
    <col min="187" max="187" width="12.85546875" style="2" customWidth="1"/>
    <col min="188" max="189" width="11.140625" style="2" customWidth="1"/>
    <col min="190" max="192" width="13.28515625" style="2" customWidth="1"/>
    <col min="193" max="16384" width="9.140625" style="2"/>
  </cols>
  <sheetData>
    <row r="1" spans="1:192" ht="66" customHeight="1">
      <c r="A1" s="37" t="s">
        <v>97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</row>
    <row r="2" spans="1:192" s="16" customFormat="1" ht="72" customHeight="1">
      <c r="A2" s="34" t="s">
        <v>0</v>
      </c>
      <c r="B2" s="34" t="s">
        <v>14</v>
      </c>
      <c r="C2" s="34" t="s">
        <v>15</v>
      </c>
      <c r="D2" s="33" t="s">
        <v>116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 t="s">
        <v>117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 t="s">
        <v>118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 t="s">
        <v>119</v>
      </c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 t="s">
        <v>120</v>
      </c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 t="s">
        <v>121</v>
      </c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 t="s">
        <v>122</v>
      </c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</row>
    <row r="3" spans="1:192" s="16" customFormat="1" ht="72" customHeight="1">
      <c r="A3" s="34"/>
      <c r="B3" s="34"/>
      <c r="C3" s="34"/>
      <c r="D3" s="35" t="s">
        <v>112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4" t="s">
        <v>113</v>
      </c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3" t="s">
        <v>114</v>
      </c>
      <c r="AC3" s="33"/>
      <c r="AD3" s="33"/>
      <c r="AE3" s="36" t="s">
        <v>112</v>
      </c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 t="s">
        <v>113</v>
      </c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3" t="s">
        <v>114</v>
      </c>
      <c r="BD3" s="33"/>
      <c r="BE3" s="33"/>
      <c r="BF3" s="34" t="s">
        <v>112</v>
      </c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5" t="s">
        <v>113</v>
      </c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3" t="s">
        <v>114</v>
      </c>
      <c r="CE3" s="33"/>
      <c r="CF3" s="33"/>
      <c r="CG3" s="36" t="s">
        <v>112</v>
      </c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 t="s">
        <v>113</v>
      </c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3" t="s">
        <v>114</v>
      </c>
      <c r="DF3" s="33"/>
      <c r="DG3" s="33"/>
      <c r="DH3" s="34" t="s">
        <v>112</v>
      </c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5" t="s">
        <v>113</v>
      </c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3" t="s">
        <v>114</v>
      </c>
      <c r="EG3" s="33"/>
      <c r="EH3" s="33"/>
      <c r="EI3" s="34" t="s">
        <v>112</v>
      </c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6" t="s">
        <v>113</v>
      </c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3" t="s">
        <v>114</v>
      </c>
      <c r="FH3" s="33"/>
      <c r="FI3" s="33"/>
      <c r="FJ3" s="36" t="s">
        <v>112</v>
      </c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 t="s">
        <v>113</v>
      </c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3" t="s">
        <v>114</v>
      </c>
      <c r="GI3" s="33"/>
      <c r="GJ3" s="33"/>
    </row>
    <row r="4" spans="1:192" s="16" customFormat="1" ht="48" customHeight="1">
      <c r="A4" s="34"/>
      <c r="B4" s="34"/>
      <c r="C4" s="34"/>
      <c r="D4" s="29" t="s">
        <v>100</v>
      </c>
      <c r="E4" s="29" t="s">
        <v>101</v>
      </c>
      <c r="F4" s="29" t="s">
        <v>102</v>
      </c>
      <c r="G4" s="29" t="s">
        <v>103</v>
      </c>
      <c r="H4" s="29" t="s">
        <v>104</v>
      </c>
      <c r="I4" s="29" t="s">
        <v>105</v>
      </c>
      <c r="J4" s="29" t="s">
        <v>106</v>
      </c>
      <c r="K4" s="29" t="s">
        <v>107</v>
      </c>
      <c r="L4" s="29" t="s">
        <v>108</v>
      </c>
      <c r="M4" s="29" t="s">
        <v>109</v>
      </c>
      <c r="N4" s="29" t="s">
        <v>110</v>
      </c>
      <c r="O4" s="29" t="s">
        <v>111</v>
      </c>
      <c r="P4" s="29" t="s">
        <v>100</v>
      </c>
      <c r="Q4" s="29" t="s">
        <v>101</v>
      </c>
      <c r="R4" s="29" t="s">
        <v>102</v>
      </c>
      <c r="S4" s="29" t="s">
        <v>103</v>
      </c>
      <c r="T4" s="29" t="s">
        <v>104</v>
      </c>
      <c r="U4" s="29" t="s">
        <v>105</v>
      </c>
      <c r="V4" s="29" t="s">
        <v>106</v>
      </c>
      <c r="W4" s="29" t="s">
        <v>107</v>
      </c>
      <c r="X4" s="29" t="s">
        <v>108</v>
      </c>
      <c r="Y4" s="29" t="s">
        <v>109</v>
      </c>
      <c r="Z4" s="29" t="s">
        <v>110</v>
      </c>
      <c r="AA4" s="29" t="s">
        <v>111</v>
      </c>
      <c r="AB4" s="17" t="s">
        <v>98</v>
      </c>
      <c r="AC4" s="17" t="s">
        <v>99</v>
      </c>
      <c r="AD4" s="17" t="s">
        <v>115</v>
      </c>
      <c r="AE4" s="29" t="s">
        <v>100</v>
      </c>
      <c r="AF4" s="29" t="s">
        <v>101</v>
      </c>
      <c r="AG4" s="29" t="s">
        <v>102</v>
      </c>
      <c r="AH4" s="29" t="s">
        <v>103</v>
      </c>
      <c r="AI4" s="29" t="s">
        <v>104</v>
      </c>
      <c r="AJ4" s="29" t="s">
        <v>105</v>
      </c>
      <c r="AK4" s="29" t="s">
        <v>106</v>
      </c>
      <c r="AL4" s="29" t="s">
        <v>107</v>
      </c>
      <c r="AM4" s="29" t="s">
        <v>108</v>
      </c>
      <c r="AN4" s="29" t="s">
        <v>109</v>
      </c>
      <c r="AO4" s="29" t="s">
        <v>110</v>
      </c>
      <c r="AP4" s="29" t="s">
        <v>111</v>
      </c>
      <c r="AQ4" s="29" t="s">
        <v>100</v>
      </c>
      <c r="AR4" s="29" t="s">
        <v>101</v>
      </c>
      <c r="AS4" s="29" t="s">
        <v>102</v>
      </c>
      <c r="AT4" s="29" t="s">
        <v>103</v>
      </c>
      <c r="AU4" s="29" t="s">
        <v>104</v>
      </c>
      <c r="AV4" s="29" t="s">
        <v>105</v>
      </c>
      <c r="AW4" s="29" t="s">
        <v>106</v>
      </c>
      <c r="AX4" s="29" t="s">
        <v>107</v>
      </c>
      <c r="AY4" s="29" t="s">
        <v>108</v>
      </c>
      <c r="AZ4" s="29" t="s">
        <v>109</v>
      </c>
      <c r="BA4" s="29" t="s">
        <v>110</v>
      </c>
      <c r="BB4" s="29" t="s">
        <v>111</v>
      </c>
      <c r="BC4" s="17" t="s">
        <v>98</v>
      </c>
      <c r="BD4" s="17" t="s">
        <v>99</v>
      </c>
      <c r="BE4" s="17" t="s">
        <v>115</v>
      </c>
      <c r="BF4" s="29" t="s">
        <v>100</v>
      </c>
      <c r="BG4" s="29" t="s">
        <v>101</v>
      </c>
      <c r="BH4" s="29" t="s">
        <v>102</v>
      </c>
      <c r="BI4" s="29" t="s">
        <v>103</v>
      </c>
      <c r="BJ4" s="29" t="s">
        <v>104</v>
      </c>
      <c r="BK4" s="29" t="s">
        <v>105</v>
      </c>
      <c r="BL4" s="29" t="s">
        <v>106</v>
      </c>
      <c r="BM4" s="29" t="s">
        <v>107</v>
      </c>
      <c r="BN4" s="29" t="s">
        <v>108</v>
      </c>
      <c r="BO4" s="29" t="s">
        <v>109</v>
      </c>
      <c r="BP4" s="29" t="s">
        <v>110</v>
      </c>
      <c r="BQ4" s="29" t="s">
        <v>111</v>
      </c>
      <c r="BR4" s="29" t="s">
        <v>100</v>
      </c>
      <c r="BS4" s="29" t="s">
        <v>101</v>
      </c>
      <c r="BT4" s="29" t="s">
        <v>102</v>
      </c>
      <c r="BU4" s="29" t="s">
        <v>103</v>
      </c>
      <c r="BV4" s="29" t="s">
        <v>104</v>
      </c>
      <c r="BW4" s="29" t="s">
        <v>105</v>
      </c>
      <c r="BX4" s="29" t="s">
        <v>106</v>
      </c>
      <c r="BY4" s="29" t="s">
        <v>107</v>
      </c>
      <c r="BZ4" s="29" t="s">
        <v>108</v>
      </c>
      <c r="CA4" s="29" t="s">
        <v>109</v>
      </c>
      <c r="CB4" s="29" t="s">
        <v>110</v>
      </c>
      <c r="CC4" s="29" t="s">
        <v>111</v>
      </c>
      <c r="CD4" s="17" t="s">
        <v>98</v>
      </c>
      <c r="CE4" s="17" t="s">
        <v>99</v>
      </c>
      <c r="CF4" s="17" t="s">
        <v>115</v>
      </c>
      <c r="CG4" s="29" t="s">
        <v>100</v>
      </c>
      <c r="CH4" s="29" t="s">
        <v>101</v>
      </c>
      <c r="CI4" s="29" t="s">
        <v>102</v>
      </c>
      <c r="CJ4" s="30" t="s">
        <v>103</v>
      </c>
      <c r="CK4" s="30" t="s">
        <v>104</v>
      </c>
      <c r="CL4" s="30" t="s">
        <v>105</v>
      </c>
      <c r="CM4" s="30" t="s">
        <v>106</v>
      </c>
      <c r="CN4" s="30" t="s">
        <v>107</v>
      </c>
      <c r="CO4" s="30" t="s">
        <v>108</v>
      </c>
      <c r="CP4" s="30" t="s">
        <v>109</v>
      </c>
      <c r="CQ4" s="30" t="s">
        <v>110</v>
      </c>
      <c r="CR4" s="30" t="s">
        <v>111</v>
      </c>
      <c r="CS4" s="29" t="s">
        <v>100</v>
      </c>
      <c r="CT4" s="29" t="s">
        <v>101</v>
      </c>
      <c r="CU4" s="29" t="s">
        <v>102</v>
      </c>
      <c r="CV4" s="29" t="s">
        <v>103</v>
      </c>
      <c r="CW4" s="29" t="s">
        <v>104</v>
      </c>
      <c r="CX4" s="29" t="s">
        <v>105</v>
      </c>
      <c r="CY4" s="29" t="s">
        <v>106</v>
      </c>
      <c r="CZ4" s="29" t="s">
        <v>107</v>
      </c>
      <c r="DA4" s="29" t="s">
        <v>108</v>
      </c>
      <c r="DB4" s="29" t="s">
        <v>109</v>
      </c>
      <c r="DC4" s="29" t="s">
        <v>110</v>
      </c>
      <c r="DD4" s="30" t="s">
        <v>111</v>
      </c>
      <c r="DE4" s="17" t="s">
        <v>98</v>
      </c>
      <c r="DF4" s="17" t="s">
        <v>99</v>
      </c>
      <c r="DG4" s="17" t="s">
        <v>115</v>
      </c>
      <c r="DH4" s="29" t="s">
        <v>100</v>
      </c>
      <c r="DI4" s="29" t="s">
        <v>101</v>
      </c>
      <c r="DJ4" s="29" t="s">
        <v>102</v>
      </c>
      <c r="DK4" s="29" t="s">
        <v>103</v>
      </c>
      <c r="DL4" s="29" t="s">
        <v>104</v>
      </c>
      <c r="DM4" s="29" t="s">
        <v>105</v>
      </c>
      <c r="DN4" s="29" t="s">
        <v>106</v>
      </c>
      <c r="DO4" s="29" t="s">
        <v>107</v>
      </c>
      <c r="DP4" s="29" t="s">
        <v>108</v>
      </c>
      <c r="DQ4" s="29" t="s">
        <v>109</v>
      </c>
      <c r="DR4" s="29" t="s">
        <v>110</v>
      </c>
      <c r="DS4" s="29" t="s">
        <v>111</v>
      </c>
      <c r="DT4" s="29" t="s">
        <v>100</v>
      </c>
      <c r="DU4" s="29" t="s">
        <v>101</v>
      </c>
      <c r="DV4" s="29" t="s">
        <v>102</v>
      </c>
      <c r="DW4" s="29" t="s">
        <v>103</v>
      </c>
      <c r="DX4" s="29" t="s">
        <v>104</v>
      </c>
      <c r="DY4" s="29" t="s">
        <v>105</v>
      </c>
      <c r="DZ4" s="29" t="s">
        <v>106</v>
      </c>
      <c r="EA4" s="29" t="s">
        <v>107</v>
      </c>
      <c r="EB4" s="29" t="s">
        <v>108</v>
      </c>
      <c r="EC4" s="29" t="s">
        <v>109</v>
      </c>
      <c r="ED4" s="29" t="s">
        <v>110</v>
      </c>
      <c r="EE4" s="29" t="s">
        <v>111</v>
      </c>
      <c r="EF4" s="17" t="s">
        <v>98</v>
      </c>
      <c r="EG4" s="17" t="s">
        <v>99</v>
      </c>
      <c r="EH4" s="17" t="s">
        <v>115</v>
      </c>
      <c r="EI4" s="29" t="s">
        <v>100</v>
      </c>
      <c r="EJ4" s="29" t="s">
        <v>101</v>
      </c>
      <c r="EK4" s="29" t="s">
        <v>102</v>
      </c>
      <c r="EL4" s="29" t="s">
        <v>103</v>
      </c>
      <c r="EM4" s="29" t="s">
        <v>104</v>
      </c>
      <c r="EN4" s="29" t="s">
        <v>105</v>
      </c>
      <c r="EO4" s="29" t="s">
        <v>106</v>
      </c>
      <c r="EP4" s="29" t="s">
        <v>107</v>
      </c>
      <c r="EQ4" s="29" t="s">
        <v>108</v>
      </c>
      <c r="ER4" s="29" t="s">
        <v>109</v>
      </c>
      <c r="ES4" s="29" t="s">
        <v>110</v>
      </c>
      <c r="ET4" s="29" t="s">
        <v>111</v>
      </c>
      <c r="EU4" s="29" t="s">
        <v>100</v>
      </c>
      <c r="EV4" s="29" t="s">
        <v>101</v>
      </c>
      <c r="EW4" s="29" t="s">
        <v>102</v>
      </c>
      <c r="EX4" s="29" t="s">
        <v>103</v>
      </c>
      <c r="EY4" s="29" t="s">
        <v>104</v>
      </c>
      <c r="EZ4" s="29" t="s">
        <v>105</v>
      </c>
      <c r="FA4" s="29" t="s">
        <v>106</v>
      </c>
      <c r="FB4" s="29" t="s">
        <v>107</v>
      </c>
      <c r="FC4" s="29" t="s">
        <v>108</v>
      </c>
      <c r="FD4" s="29" t="s">
        <v>109</v>
      </c>
      <c r="FE4" s="29" t="s">
        <v>110</v>
      </c>
      <c r="FF4" s="29" t="s">
        <v>111</v>
      </c>
      <c r="FG4" s="17" t="s">
        <v>98</v>
      </c>
      <c r="FH4" s="17" t="s">
        <v>99</v>
      </c>
      <c r="FI4" s="17" t="s">
        <v>115</v>
      </c>
      <c r="FJ4" s="29" t="s">
        <v>100</v>
      </c>
      <c r="FK4" s="29" t="s">
        <v>101</v>
      </c>
      <c r="FL4" s="29" t="s">
        <v>102</v>
      </c>
      <c r="FM4" s="29" t="s">
        <v>103</v>
      </c>
      <c r="FN4" s="29" t="s">
        <v>104</v>
      </c>
      <c r="FO4" s="29" t="s">
        <v>105</v>
      </c>
      <c r="FP4" s="29" t="s">
        <v>106</v>
      </c>
      <c r="FQ4" s="29" t="s">
        <v>107</v>
      </c>
      <c r="FR4" s="29" t="s">
        <v>108</v>
      </c>
      <c r="FS4" s="29" t="s">
        <v>109</v>
      </c>
      <c r="FT4" s="29" t="s">
        <v>110</v>
      </c>
      <c r="FU4" s="29" t="s">
        <v>111</v>
      </c>
      <c r="FV4" s="29" t="s">
        <v>100</v>
      </c>
      <c r="FW4" s="29" t="s">
        <v>101</v>
      </c>
      <c r="FX4" s="29" t="s">
        <v>102</v>
      </c>
      <c r="FY4" s="29" t="s">
        <v>103</v>
      </c>
      <c r="FZ4" s="29" t="s">
        <v>104</v>
      </c>
      <c r="GA4" s="29" t="s">
        <v>105</v>
      </c>
      <c r="GB4" s="29" t="s">
        <v>106</v>
      </c>
      <c r="GC4" s="29" t="s">
        <v>107</v>
      </c>
      <c r="GD4" s="29" t="s">
        <v>108</v>
      </c>
      <c r="GE4" s="29" t="s">
        <v>109</v>
      </c>
      <c r="GF4" s="29" t="s">
        <v>110</v>
      </c>
      <c r="GG4" s="29" t="s">
        <v>111</v>
      </c>
      <c r="GH4" s="17" t="s">
        <v>98</v>
      </c>
      <c r="GI4" s="17" t="s">
        <v>99</v>
      </c>
      <c r="GJ4" s="17" t="s">
        <v>115</v>
      </c>
    </row>
    <row r="5" spans="1:192" s="3" customFormat="1" ht="55.5" customHeight="1">
      <c r="A5" s="5"/>
      <c r="B5" s="15" t="s">
        <v>1</v>
      </c>
      <c r="C5" s="6"/>
      <c r="D5" s="6"/>
      <c r="E5" s="6"/>
      <c r="F5" s="6"/>
      <c r="G5" s="31">
        <v>8995</v>
      </c>
      <c r="H5" s="31">
        <v>8329</v>
      </c>
      <c r="I5" s="31">
        <v>9021</v>
      </c>
      <c r="J5" s="31">
        <v>9345</v>
      </c>
      <c r="K5" s="31">
        <v>9138</v>
      </c>
      <c r="L5" s="31">
        <v>9612</v>
      </c>
      <c r="M5" s="31">
        <v>8801</v>
      </c>
      <c r="N5" s="31">
        <v>8882</v>
      </c>
      <c r="O5" s="31">
        <v>8425</v>
      </c>
      <c r="P5" s="31">
        <v>7099</v>
      </c>
      <c r="Q5" s="31">
        <v>9435</v>
      </c>
      <c r="R5" s="31">
        <v>8947</v>
      </c>
      <c r="S5" s="31">
        <v>8618</v>
      </c>
      <c r="T5" s="31">
        <v>8328</v>
      </c>
      <c r="U5" s="31">
        <v>8917</v>
      </c>
      <c r="V5" s="31">
        <v>8439</v>
      </c>
      <c r="W5" s="31">
        <v>9560</v>
      </c>
      <c r="X5" s="7">
        <v>7834</v>
      </c>
      <c r="Y5" s="7">
        <v>4251</v>
      </c>
      <c r="Z5" s="7">
        <v>8286</v>
      </c>
      <c r="AA5" s="31">
        <v>3174</v>
      </c>
      <c r="AB5" s="7">
        <v>60138</v>
      </c>
      <c r="AC5" s="7">
        <f>+P5+Q5+R5+S5+T5+U5+V5+W5+X5+Y5+Z5+AA5</f>
        <v>92888</v>
      </c>
      <c r="AD5" s="8">
        <f>+AC5/AB5</f>
        <v>1.5445807974990855</v>
      </c>
      <c r="AE5" s="7">
        <f>+SUM(AE6,AE14,AE21,AE33,AE44,AE64,AE69,AE71,AE73,AE79,AE83,AE90,AE92,AE101,AE103)</f>
        <v>0</v>
      </c>
      <c r="AF5" s="7">
        <f t="shared" ref="AF5:BD5" si="0">+SUM(AF6,AF14,AF21,AF33,AF44,AF64,AF69,AF71,AF73,AF79,AF83,AF90,AF92,AF101,AF103)</f>
        <v>0</v>
      </c>
      <c r="AG5" s="7">
        <f t="shared" si="0"/>
        <v>0</v>
      </c>
      <c r="AH5" s="7">
        <f t="shared" si="0"/>
        <v>0</v>
      </c>
      <c r="AI5" s="7">
        <f t="shared" si="0"/>
        <v>0</v>
      </c>
      <c r="AJ5" s="7">
        <f t="shared" si="0"/>
        <v>522</v>
      </c>
      <c r="AK5" s="7">
        <f t="shared" si="0"/>
        <v>9727</v>
      </c>
      <c r="AL5" s="7">
        <f t="shared" si="0"/>
        <v>18867</v>
      </c>
      <c r="AM5" s="7">
        <f t="shared" si="0"/>
        <v>2972</v>
      </c>
      <c r="AN5" s="7">
        <f t="shared" si="0"/>
        <v>343</v>
      </c>
      <c r="AO5" s="7">
        <f t="shared" si="0"/>
        <v>1072</v>
      </c>
      <c r="AP5" s="7">
        <f t="shared" si="0"/>
        <v>359</v>
      </c>
      <c r="AQ5" s="7">
        <f t="shared" si="0"/>
        <v>2106</v>
      </c>
      <c r="AR5" s="7">
        <f t="shared" si="0"/>
        <v>5718</v>
      </c>
      <c r="AS5" s="7">
        <f t="shared" si="0"/>
        <v>5457</v>
      </c>
      <c r="AT5" s="7">
        <f t="shared" si="0"/>
        <v>4562</v>
      </c>
      <c r="AU5" s="7">
        <f t="shared" si="0"/>
        <v>4573</v>
      </c>
      <c r="AV5" s="7">
        <f t="shared" si="0"/>
        <v>4062</v>
      </c>
      <c r="AW5" s="7">
        <f t="shared" si="0"/>
        <v>3276</v>
      </c>
      <c r="AX5" s="7">
        <f t="shared" si="0"/>
        <v>2633</v>
      </c>
      <c r="AY5" s="7">
        <f t="shared" si="0"/>
        <v>3767</v>
      </c>
      <c r="AZ5" s="7">
        <f t="shared" si="0"/>
        <v>3282</v>
      </c>
      <c r="BA5" s="7">
        <f t="shared" si="0"/>
        <v>2806</v>
      </c>
      <c r="BB5" s="7">
        <f t="shared" si="0"/>
        <v>1532</v>
      </c>
      <c r="BC5" s="7">
        <f t="shared" si="0"/>
        <v>38544</v>
      </c>
      <c r="BD5" s="7">
        <f t="shared" si="0"/>
        <v>43774</v>
      </c>
      <c r="BE5" s="8">
        <f>+BD5/BC5</f>
        <v>1.1356890826068908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>
        <v>14508</v>
      </c>
      <c r="BS5" s="7">
        <v>17686</v>
      </c>
      <c r="BT5" s="7">
        <v>9413</v>
      </c>
      <c r="BU5" s="7">
        <v>10007</v>
      </c>
      <c r="BV5" s="7">
        <v>16588</v>
      </c>
      <c r="BW5" s="7">
        <v>15572</v>
      </c>
      <c r="BX5" s="7">
        <v>14196</v>
      </c>
      <c r="BY5" s="7">
        <v>10800</v>
      </c>
      <c r="BZ5" s="7">
        <v>10563</v>
      </c>
      <c r="CA5" s="7">
        <v>15916</v>
      </c>
      <c r="CB5" s="7">
        <v>14401</v>
      </c>
      <c r="CC5" s="7">
        <v>9557</v>
      </c>
      <c r="CD5" s="7">
        <f>+SUM(CD6,CD14,CD21,CD33,CD44,CD64,CD69,CD71,CD73,CD79,CD83,CD90,CD92,CD101,CD103)</f>
        <v>93246</v>
      </c>
      <c r="CE5" s="7">
        <f>+SUM(CE6,CE14,CE21,CE33,CE44,CE64,CE69,CE71,CE73,CE79,CE83,CE90,CE92,CE101,CE103)</f>
        <v>135249</v>
      </c>
      <c r="CF5" s="8">
        <f>+CE5/CD5</f>
        <v>1.4504536387619844</v>
      </c>
      <c r="CG5" s="31">
        <v>0</v>
      </c>
      <c r="CH5" s="31">
        <v>2761.9992000000002</v>
      </c>
      <c r="CI5" s="31">
        <v>28074.430708000004</v>
      </c>
      <c r="CJ5" s="31">
        <v>64151.400726399996</v>
      </c>
      <c r="CK5" s="31">
        <v>73730.319768299989</v>
      </c>
      <c r="CL5" s="31">
        <v>43640.955680000006</v>
      </c>
      <c r="CM5" s="31">
        <v>54884.251786100001</v>
      </c>
      <c r="CN5" s="31">
        <v>67272.355242029997</v>
      </c>
      <c r="CO5" s="31">
        <v>42650.317503899998</v>
      </c>
      <c r="CP5" s="31">
        <v>29340.590581949997</v>
      </c>
      <c r="CQ5" s="31">
        <v>13439.434247199999</v>
      </c>
      <c r="CR5" s="31">
        <v>3234.2420000000002</v>
      </c>
      <c r="CS5" s="31">
        <v>17432.065458000001</v>
      </c>
      <c r="CT5" s="31">
        <v>27440.228503999995</v>
      </c>
      <c r="CU5" s="31">
        <v>30188.170733000003</v>
      </c>
      <c r="CV5" s="31">
        <v>40281.31109041001</v>
      </c>
      <c r="CW5" s="31">
        <v>40660.096534190008</v>
      </c>
      <c r="CX5" s="31">
        <v>33072.094873000002</v>
      </c>
      <c r="CY5" s="31">
        <v>41735.380467020004</v>
      </c>
      <c r="CZ5" s="31">
        <v>49482.587879010011</v>
      </c>
      <c r="DA5" s="7">
        <v>63723.73303299999</v>
      </c>
      <c r="DB5" s="7">
        <v>76384.091692999995</v>
      </c>
      <c r="DC5" s="7">
        <v>60167.203460329998</v>
      </c>
      <c r="DD5" s="7">
        <v>33913.674966000006</v>
      </c>
      <c r="DE5" s="7">
        <v>488368.33845267387</v>
      </c>
      <c r="DF5" s="7">
        <f>+CS5+CT5+CU5+CV5+CW5+CX5+CY5+CZ5+DA5+DB5+DC5+DD5</f>
        <v>514480.63869096001</v>
      </c>
      <c r="DG5" s="8">
        <f>+DF5/DE5</f>
        <v>1.0534684544068096</v>
      </c>
      <c r="DH5" s="31">
        <v>354</v>
      </c>
      <c r="DI5" s="31">
        <v>2878</v>
      </c>
      <c r="DJ5" s="31">
        <v>5798.5505000000003</v>
      </c>
      <c r="DK5" s="31">
        <v>26819.06655</v>
      </c>
      <c r="DL5" s="31">
        <v>34284.144699999997</v>
      </c>
      <c r="DM5" s="31">
        <v>12770.464999999998</v>
      </c>
      <c r="DN5" s="31">
        <v>21769.902499999997</v>
      </c>
      <c r="DO5" s="31">
        <v>30534.500000000007</v>
      </c>
      <c r="DP5" s="31">
        <v>24923.159999999996</v>
      </c>
      <c r="DQ5" s="31">
        <v>20180.428059999998</v>
      </c>
      <c r="DR5" s="31">
        <v>12474.14</v>
      </c>
      <c r="DS5" s="31">
        <v>8944.99</v>
      </c>
      <c r="DT5" s="31">
        <v>18666.521069999999</v>
      </c>
      <c r="DU5" s="31">
        <v>44963.212404000005</v>
      </c>
      <c r="DV5" s="31">
        <v>51625.870939999993</v>
      </c>
      <c r="DW5" s="31">
        <v>36098.150999999983</v>
      </c>
      <c r="DX5" s="31">
        <v>33196.938999999984</v>
      </c>
      <c r="DY5" s="31">
        <v>31008.437314830022</v>
      </c>
      <c r="DZ5" s="31">
        <v>32540.931143989961</v>
      </c>
      <c r="EA5" s="31">
        <v>31726.877272000071</v>
      </c>
      <c r="EB5" s="7">
        <v>41340.643759100058</v>
      </c>
      <c r="EC5" s="7">
        <v>37776.784968549968</v>
      </c>
      <c r="ED5" s="7">
        <v>14871.214087589993</v>
      </c>
      <c r="EE5" s="31">
        <v>8806.1317594199791</v>
      </c>
      <c r="EF5" s="7">
        <v>255275.64414629166</v>
      </c>
      <c r="EG5" s="7">
        <f>+DT5+DU5+DV5+DW5+DX5+DY5+DZ5+EA5+EB5+EC5+ED5+EE5</f>
        <v>382621.71471948002</v>
      </c>
      <c r="EH5" s="8">
        <f>+EG5/EF5</f>
        <v>1.4988571118841629</v>
      </c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>
        <f>+EU6+EU14+EU21+EU33+EU44+EU64+EU69+EU71+EU73+EU79+EU83+EU90+EU92+EU101+EU103</f>
        <v>53916.333146999998</v>
      </c>
      <c r="EV5" s="31">
        <f t="shared" ref="EV5:FH5" si="1">+EV6+EV14+EV21+EV33+EV44+EV64+EV69+EV71+EV73+EV79+EV83+EV90+EV92+EV101+EV103</f>
        <v>108531.090327</v>
      </c>
      <c r="EW5" s="31">
        <f t="shared" si="1"/>
        <v>161027.33864903002</v>
      </c>
      <c r="EX5" s="31">
        <f t="shared" si="1"/>
        <v>194199.16202899997</v>
      </c>
      <c r="EY5" s="31">
        <f t="shared" si="1"/>
        <v>156783.24742900001</v>
      </c>
      <c r="EZ5" s="31">
        <f t="shared" si="1"/>
        <v>103446.91307805</v>
      </c>
      <c r="FA5" s="31">
        <f t="shared" si="1"/>
        <v>150195.49761217003</v>
      </c>
      <c r="FB5" s="31">
        <f t="shared" si="1"/>
        <v>141492.47305498004</v>
      </c>
      <c r="FC5" s="31">
        <f t="shared" si="1"/>
        <v>125764.83497998001</v>
      </c>
      <c r="FD5" s="31">
        <f t="shared" si="1"/>
        <v>157461.44935169001</v>
      </c>
      <c r="FE5" s="31">
        <f t="shared" si="1"/>
        <v>66475.964956700001</v>
      </c>
      <c r="FF5" s="31">
        <f t="shared" si="1"/>
        <v>31076.184976629997</v>
      </c>
      <c r="FG5" s="31">
        <f t="shared" si="1"/>
        <v>897831.78586237028</v>
      </c>
      <c r="FH5" s="31">
        <f t="shared" si="1"/>
        <v>1035612.92685232</v>
      </c>
      <c r="FI5" s="8">
        <v>1.1534598609221776</v>
      </c>
      <c r="FJ5" s="31">
        <f>+FJ6+FJ14+FJ21+FJ33+FJ44+FJ64+FJ69+FJ71+FJ73+FJ79+FJ83+FJ90+FJ92+FJ101+FJ103</f>
        <v>909.91442600000005</v>
      </c>
      <c r="FK5" s="31">
        <f t="shared" ref="FK5:GI5" si="2">+FK6+FK14+FK21+FK33+FK44+FK64+FK69+FK71+FK73+FK79+FK83+FK90+FK92+FK101+FK103</f>
        <v>8451.5586799999983</v>
      </c>
      <c r="FL5" s="31">
        <f t="shared" si="2"/>
        <v>18573.274494720001</v>
      </c>
      <c r="FM5" s="31">
        <f t="shared" si="2"/>
        <v>46714.206406000005</v>
      </c>
      <c r="FN5" s="31">
        <f t="shared" si="2"/>
        <v>55964.727328000001</v>
      </c>
      <c r="FO5" s="31">
        <f t="shared" si="2"/>
        <v>27332.474367990002</v>
      </c>
      <c r="FP5" s="31">
        <f t="shared" si="2"/>
        <v>36281.268148000003</v>
      </c>
      <c r="FQ5" s="31">
        <f t="shared" si="2"/>
        <v>38712.597600000001</v>
      </c>
      <c r="FR5" s="31">
        <f t="shared" si="2"/>
        <v>36096.670050000001</v>
      </c>
      <c r="FS5" s="31">
        <f t="shared" si="2"/>
        <v>20501.887719999999</v>
      </c>
      <c r="FT5" s="31">
        <f t="shared" si="2"/>
        <v>24504.673999999999</v>
      </c>
      <c r="FU5" s="31">
        <f t="shared" si="2"/>
        <v>37774.81856</v>
      </c>
      <c r="FV5" s="31">
        <f t="shared" si="2"/>
        <v>11513.865000000002</v>
      </c>
      <c r="FW5" s="31">
        <f t="shared" si="2"/>
        <v>34344.451763999998</v>
      </c>
      <c r="FX5" s="31">
        <f t="shared" si="2"/>
        <v>36987.782960000004</v>
      </c>
      <c r="FY5" s="31">
        <f t="shared" si="2"/>
        <v>82144.298999000006</v>
      </c>
      <c r="FZ5" s="31">
        <f t="shared" si="2"/>
        <v>20072.525999999998</v>
      </c>
      <c r="GA5" s="31">
        <f t="shared" si="2"/>
        <v>15718.127000000002</v>
      </c>
      <c r="GB5" s="31">
        <f t="shared" si="2"/>
        <v>18396.730998999999</v>
      </c>
      <c r="GC5" s="31">
        <f t="shared" si="2"/>
        <v>15179.372948</v>
      </c>
      <c r="GD5" s="31">
        <f t="shared" si="2"/>
        <v>39707.0507</v>
      </c>
      <c r="GE5" s="31">
        <f t="shared" si="2"/>
        <v>27472.9951</v>
      </c>
      <c r="GF5" s="31">
        <f t="shared" si="2"/>
        <v>14777.167099999999</v>
      </c>
      <c r="GG5" s="31">
        <f t="shared" si="2"/>
        <v>19155.992998999998</v>
      </c>
      <c r="GH5" s="31">
        <f t="shared" si="2"/>
        <v>330819.62691769499</v>
      </c>
      <c r="GI5" s="31">
        <f t="shared" si="2"/>
        <v>335188.82556900004</v>
      </c>
      <c r="GJ5" s="8">
        <f>+GI5/GH5</f>
        <v>1.0132071929710267</v>
      </c>
    </row>
    <row r="6" spans="1:192" s="14" customFormat="1" ht="32.25" customHeight="1">
      <c r="A6" s="9"/>
      <c r="B6" s="10" t="s">
        <v>9</v>
      </c>
      <c r="C6" s="11"/>
      <c r="D6" s="11"/>
      <c r="E6" s="11"/>
      <c r="F6" s="11"/>
      <c r="G6" s="12">
        <v>930</v>
      </c>
      <c r="H6" s="12">
        <v>831</v>
      </c>
      <c r="I6" s="12">
        <v>934</v>
      </c>
      <c r="J6" s="12">
        <v>935</v>
      </c>
      <c r="K6" s="12">
        <v>867</v>
      </c>
      <c r="L6" s="12">
        <v>910</v>
      </c>
      <c r="M6" s="12">
        <v>825</v>
      </c>
      <c r="N6" s="12">
        <v>1068</v>
      </c>
      <c r="O6" s="12">
        <v>786</v>
      </c>
      <c r="P6" s="12">
        <v>1212</v>
      </c>
      <c r="Q6" s="12">
        <v>976</v>
      </c>
      <c r="R6" s="12">
        <v>963</v>
      </c>
      <c r="S6" s="12">
        <v>872</v>
      </c>
      <c r="T6" s="12">
        <v>782</v>
      </c>
      <c r="U6" s="12">
        <v>1075</v>
      </c>
      <c r="V6" s="12">
        <v>829</v>
      </c>
      <c r="W6" s="12">
        <v>913</v>
      </c>
      <c r="X6" s="12">
        <v>651</v>
      </c>
      <c r="Y6" s="12">
        <v>554</v>
      </c>
      <c r="Z6" s="12">
        <v>809</v>
      </c>
      <c r="AA6" s="12">
        <v>239</v>
      </c>
      <c r="AB6" s="12">
        <v>5996</v>
      </c>
      <c r="AC6" s="12">
        <f t="shared" ref="AC6:AC65" si="3">+P6+Q6+R6+S6+T6+U6+V6+W6+X6+Y6+Z6+AA6</f>
        <v>9875</v>
      </c>
      <c r="AD6" s="13">
        <f t="shared" ref="AD6:AD65" si="4">+AC6/AB6</f>
        <v>1.6469312875250166</v>
      </c>
      <c r="AE6" s="12"/>
      <c r="AF6" s="12"/>
      <c r="AG6" s="12"/>
      <c r="AH6" s="12"/>
      <c r="AI6" s="12">
        <f t="shared" ref="AI6:BB6" si="5">+SUM(AI7:AI13)</f>
        <v>0</v>
      </c>
      <c r="AJ6" s="12">
        <f t="shared" si="5"/>
        <v>29</v>
      </c>
      <c r="AK6" s="12">
        <f t="shared" si="5"/>
        <v>866</v>
      </c>
      <c r="AL6" s="12">
        <f t="shared" si="5"/>
        <v>1468</v>
      </c>
      <c r="AM6" s="12">
        <f t="shared" si="5"/>
        <v>329</v>
      </c>
      <c r="AN6" s="12">
        <f t="shared" si="5"/>
        <v>53</v>
      </c>
      <c r="AO6" s="12">
        <f t="shared" si="5"/>
        <v>83</v>
      </c>
      <c r="AP6" s="12">
        <f t="shared" si="5"/>
        <v>38</v>
      </c>
      <c r="AQ6" s="12">
        <f t="shared" si="5"/>
        <v>157</v>
      </c>
      <c r="AR6" s="12">
        <f t="shared" si="5"/>
        <v>493</v>
      </c>
      <c r="AS6" s="12">
        <f t="shared" si="5"/>
        <v>534</v>
      </c>
      <c r="AT6" s="12">
        <f t="shared" si="5"/>
        <v>419</v>
      </c>
      <c r="AU6" s="12">
        <f t="shared" si="5"/>
        <v>453</v>
      </c>
      <c r="AV6" s="12">
        <f t="shared" si="5"/>
        <v>409</v>
      </c>
      <c r="AW6" s="12">
        <f t="shared" si="5"/>
        <v>327</v>
      </c>
      <c r="AX6" s="12">
        <f t="shared" si="5"/>
        <v>285</v>
      </c>
      <c r="AY6" s="12">
        <f t="shared" si="5"/>
        <v>304</v>
      </c>
      <c r="AZ6" s="12">
        <f t="shared" si="5"/>
        <v>250</v>
      </c>
      <c r="BA6" s="12">
        <f t="shared" si="5"/>
        <v>258</v>
      </c>
      <c r="BB6" s="12">
        <f t="shared" si="5"/>
        <v>176</v>
      </c>
      <c r="BC6" s="12">
        <v>3455</v>
      </c>
      <c r="BD6" s="12">
        <f t="shared" ref="BD6:BD65" si="6">+AQ6+AR6+AS6+AT6+AU6+AV6+AW6+AX6+AY6+AZ6+BA6+BB6</f>
        <v>4065</v>
      </c>
      <c r="BE6" s="13">
        <f t="shared" ref="BE6:BE65" si="7">+BD6/BC6</f>
        <v>1.1765557163531115</v>
      </c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>
        <v>1943</v>
      </c>
      <c r="BS6" s="12">
        <v>2616</v>
      </c>
      <c r="BT6" s="12">
        <v>917</v>
      </c>
      <c r="BU6" s="12">
        <v>1109</v>
      </c>
      <c r="BV6" s="12">
        <v>2055</v>
      </c>
      <c r="BW6" s="12">
        <v>1944</v>
      </c>
      <c r="BX6" s="12">
        <v>1909</v>
      </c>
      <c r="BY6" s="12">
        <v>1494</v>
      </c>
      <c r="BZ6" s="12">
        <v>1494</v>
      </c>
      <c r="CA6" s="12">
        <v>1688</v>
      </c>
      <c r="CB6" s="12">
        <v>1847</v>
      </c>
      <c r="CC6" s="12">
        <v>646</v>
      </c>
      <c r="CD6" s="12">
        <f>+SUM(CD7:CD13)</f>
        <v>9711</v>
      </c>
      <c r="CE6" s="12">
        <f>+SUM(CE7:CE13)</f>
        <v>17169</v>
      </c>
      <c r="CF6" s="13">
        <f t="shared" ref="CF6:CF67" si="8">+CE6/CD6</f>
        <v>1.7679950571516836</v>
      </c>
      <c r="CG6" s="12">
        <v>0</v>
      </c>
      <c r="CH6" s="12">
        <v>0</v>
      </c>
      <c r="CI6" s="12">
        <v>1451.1280000000002</v>
      </c>
      <c r="CJ6" s="12">
        <v>439.93</v>
      </c>
      <c r="CK6" s="12">
        <v>1599.0735</v>
      </c>
      <c r="CL6" s="12">
        <v>532.96</v>
      </c>
      <c r="CM6" s="12">
        <v>543</v>
      </c>
      <c r="CN6" s="12">
        <v>852.5</v>
      </c>
      <c r="CO6" s="12">
        <v>250</v>
      </c>
      <c r="CP6" s="12">
        <v>650</v>
      </c>
      <c r="CQ6" s="12">
        <v>100</v>
      </c>
      <c r="CR6" s="12">
        <v>200</v>
      </c>
      <c r="CS6" s="12">
        <v>647.79999999999995</v>
      </c>
      <c r="CT6" s="12">
        <v>1459.7622000000001</v>
      </c>
      <c r="CU6" s="12">
        <v>2269.9908</v>
      </c>
      <c r="CV6" s="12">
        <v>3189</v>
      </c>
      <c r="CW6" s="12">
        <v>4191.499546</v>
      </c>
      <c r="CX6" s="12">
        <v>2370</v>
      </c>
      <c r="CY6" s="12">
        <v>2845</v>
      </c>
      <c r="CZ6" s="12">
        <v>4778.9160000000002</v>
      </c>
      <c r="DA6" s="12">
        <v>3430</v>
      </c>
      <c r="DB6" s="12">
        <v>5386.37</v>
      </c>
      <c r="DC6" s="12">
        <v>4999.9933313399997</v>
      </c>
      <c r="DD6" s="12">
        <v>900</v>
      </c>
      <c r="DE6" s="12">
        <v>35977.166944595847</v>
      </c>
      <c r="DF6" s="12">
        <f t="shared" ref="DF6:DF65" si="9">+CS6+CT6+CU6+CV6+CW6+CX6+CY6+CZ6+DA6+DB6+DC6+DD6</f>
        <v>36468.331877339995</v>
      </c>
      <c r="DG6" s="13">
        <f t="shared" ref="DG6:DG65" si="10">+DF6/DE6</f>
        <v>1.0136521292379841</v>
      </c>
      <c r="DH6" s="12">
        <v>0</v>
      </c>
      <c r="DI6" s="12">
        <v>290</v>
      </c>
      <c r="DJ6" s="12">
        <v>600</v>
      </c>
      <c r="DK6" s="12">
        <v>2480</v>
      </c>
      <c r="DL6" s="12">
        <v>797.5</v>
      </c>
      <c r="DM6" s="12">
        <v>307.5</v>
      </c>
      <c r="DN6" s="12">
        <v>620</v>
      </c>
      <c r="DO6" s="12">
        <v>255</v>
      </c>
      <c r="DP6" s="12">
        <v>130</v>
      </c>
      <c r="DQ6" s="12">
        <v>60</v>
      </c>
      <c r="DR6" s="12">
        <v>80</v>
      </c>
      <c r="DS6" s="12">
        <v>35</v>
      </c>
      <c r="DT6" s="12">
        <v>500</v>
      </c>
      <c r="DU6" s="12">
        <v>1800</v>
      </c>
      <c r="DV6" s="12">
        <v>606</v>
      </c>
      <c r="DW6" s="12">
        <v>271</v>
      </c>
      <c r="DX6" s="12">
        <v>1955</v>
      </c>
      <c r="DY6" s="12">
        <v>2450</v>
      </c>
      <c r="DZ6" s="12">
        <v>1503</v>
      </c>
      <c r="EA6" s="12">
        <v>2425</v>
      </c>
      <c r="EB6" s="12">
        <v>1275</v>
      </c>
      <c r="EC6" s="12">
        <v>1600</v>
      </c>
      <c r="ED6" s="12">
        <v>1840</v>
      </c>
      <c r="EE6" s="12">
        <v>866</v>
      </c>
      <c r="EF6" s="12">
        <v>14179.721236848529</v>
      </c>
      <c r="EG6" s="12">
        <f t="shared" ref="EG6:EG65" si="11">+DT6+DU6+DV6+DW6+DX6+DY6+DZ6+EA6+EB6+EC6+ED6+EE6</f>
        <v>17091</v>
      </c>
      <c r="EH6" s="13">
        <f t="shared" ref="EH6:EH65" si="12">+EG6/EF6</f>
        <v>1.2053128347534785</v>
      </c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>
        <f t="shared" ref="EU6:FF6" si="13">+SUM(EU7:EU13)</f>
        <v>6413.2618540000012</v>
      </c>
      <c r="EV6" s="12">
        <f t="shared" si="13"/>
        <v>8117.5004450000006</v>
      </c>
      <c r="EW6" s="12">
        <f t="shared" si="13"/>
        <v>6230.0718800000013</v>
      </c>
      <c r="EX6" s="12">
        <f t="shared" si="13"/>
        <v>8139.8627880000004</v>
      </c>
      <c r="EY6" s="12">
        <f t="shared" si="13"/>
        <v>10220.466920000001</v>
      </c>
      <c r="EZ6" s="12">
        <f t="shared" si="13"/>
        <v>9408.6208670499982</v>
      </c>
      <c r="FA6" s="12">
        <f t="shared" si="13"/>
        <v>9848.9107763699976</v>
      </c>
      <c r="FB6" s="12">
        <f t="shared" si="13"/>
        <v>12113.047940000002</v>
      </c>
      <c r="FC6" s="12">
        <f t="shared" si="13"/>
        <v>14946.898928000001</v>
      </c>
      <c r="FD6" s="12">
        <f t="shared" si="13"/>
        <v>15717.913426320001</v>
      </c>
      <c r="FE6" s="12">
        <f t="shared" si="13"/>
        <v>6816.1196840000002</v>
      </c>
      <c r="FF6" s="12">
        <f t="shared" si="13"/>
        <v>1774.6309999999999</v>
      </c>
      <c r="FG6" s="12">
        <v>43575.076920974403</v>
      </c>
      <c r="FH6" s="12">
        <v>42669.672901319995</v>
      </c>
      <c r="FI6" s="13">
        <v>0.97922197541277078</v>
      </c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>
        <v>0</v>
      </c>
      <c r="GH6" s="12">
        <v>0</v>
      </c>
      <c r="GI6" s="12">
        <v>0</v>
      </c>
      <c r="GJ6" s="13"/>
    </row>
    <row r="7" spans="1:192" s="14" customFormat="1" ht="24.95" customHeight="1">
      <c r="A7" s="19">
        <f>+A6+1</f>
        <v>1</v>
      </c>
      <c r="B7" s="20" t="s">
        <v>39</v>
      </c>
      <c r="C7" s="21">
        <v>11253</v>
      </c>
      <c r="D7" s="21"/>
      <c r="E7" s="21"/>
      <c r="F7" s="21"/>
      <c r="G7" s="24">
        <v>28</v>
      </c>
      <c r="H7" s="24">
        <v>239</v>
      </c>
      <c r="I7" s="24">
        <v>217</v>
      </c>
      <c r="J7" s="24">
        <v>237</v>
      </c>
      <c r="K7" s="24">
        <v>110</v>
      </c>
      <c r="L7" s="24">
        <v>106</v>
      </c>
      <c r="M7" s="24">
        <v>135</v>
      </c>
      <c r="N7" s="24">
        <v>174</v>
      </c>
      <c r="O7" s="24">
        <v>147</v>
      </c>
      <c r="P7" s="24">
        <v>218</v>
      </c>
      <c r="Q7" s="24">
        <v>99</v>
      </c>
      <c r="R7" s="24">
        <v>118</v>
      </c>
      <c r="S7" s="24">
        <v>88</v>
      </c>
      <c r="T7" s="24">
        <v>144</v>
      </c>
      <c r="U7" s="24">
        <v>104</v>
      </c>
      <c r="V7" s="24">
        <v>146</v>
      </c>
      <c r="W7" s="24">
        <v>221</v>
      </c>
      <c r="X7" s="24">
        <v>182</v>
      </c>
      <c r="Y7" s="24">
        <v>53</v>
      </c>
      <c r="Z7" s="24">
        <v>71</v>
      </c>
      <c r="AA7" s="24">
        <v>71</v>
      </c>
      <c r="AB7" s="22">
        <v>799</v>
      </c>
      <c r="AC7" s="22">
        <f t="shared" si="3"/>
        <v>1515</v>
      </c>
      <c r="AD7" s="23">
        <f t="shared" si="4"/>
        <v>1.8961201501877347</v>
      </c>
      <c r="AE7" s="24"/>
      <c r="AF7" s="24"/>
      <c r="AG7" s="24"/>
      <c r="AH7" s="24"/>
      <c r="AI7" s="24"/>
      <c r="AJ7" s="24"/>
      <c r="AK7" s="24">
        <v>146</v>
      </c>
      <c r="AL7" s="24">
        <v>290</v>
      </c>
      <c r="AM7" s="24">
        <v>44</v>
      </c>
      <c r="AN7" s="24">
        <v>7</v>
      </c>
      <c r="AO7" s="24">
        <v>3</v>
      </c>
      <c r="AP7" s="24"/>
      <c r="AQ7" s="24">
        <v>36</v>
      </c>
      <c r="AR7" s="24">
        <v>97</v>
      </c>
      <c r="AS7" s="24">
        <v>95</v>
      </c>
      <c r="AT7" s="24">
        <v>101</v>
      </c>
      <c r="AU7" s="24">
        <v>88</v>
      </c>
      <c r="AV7" s="24">
        <v>78</v>
      </c>
      <c r="AW7" s="24">
        <v>40</v>
      </c>
      <c r="AX7" s="24">
        <v>39</v>
      </c>
      <c r="AY7" s="24">
        <v>88</v>
      </c>
      <c r="AZ7" s="24">
        <v>74</v>
      </c>
      <c r="BA7" s="24">
        <v>87</v>
      </c>
      <c r="BB7" s="24">
        <v>58</v>
      </c>
      <c r="BC7" s="32">
        <v>750</v>
      </c>
      <c r="BD7" s="32">
        <f t="shared" si="6"/>
        <v>881</v>
      </c>
      <c r="BE7" s="23">
        <f t="shared" si="7"/>
        <v>1.1746666666666667</v>
      </c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>
        <v>94</v>
      </c>
      <c r="BS7" s="24">
        <v>101</v>
      </c>
      <c r="BT7" s="24">
        <v>104</v>
      </c>
      <c r="BU7" s="24">
        <v>235</v>
      </c>
      <c r="BV7" s="24">
        <v>228</v>
      </c>
      <c r="BW7" s="24">
        <v>89</v>
      </c>
      <c r="BX7" s="24">
        <v>43</v>
      </c>
      <c r="BY7" s="24">
        <v>141</v>
      </c>
      <c r="BZ7" s="24">
        <v>125</v>
      </c>
      <c r="CA7" s="24">
        <v>93</v>
      </c>
      <c r="CB7" s="24">
        <v>165</v>
      </c>
      <c r="CC7" s="24">
        <v>4</v>
      </c>
      <c r="CD7" s="25">
        <v>631</v>
      </c>
      <c r="CE7" s="25">
        <v>1118</v>
      </c>
      <c r="CF7" s="23">
        <f t="shared" si="8"/>
        <v>1.7717908082408875</v>
      </c>
      <c r="CG7" s="24"/>
      <c r="CH7" s="24"/>
      <c r="CI7" s="24">
        <v>228</v>
      </c>
      <c r="CJ7" s="24"/>
      <c r="CK7" s="24">
        <v>399.9735</v>
      </c>
      <c r="CL7" s="24"/>
      <c r="CM7" s="24">
        <v>250</v>
      </c>
      <c r="CN7" s="24"/>
      <c r="CO7" s="24"/>
      <c r="CP7" s="24">
        <v>150</v>
      </c>
      <c r="CQ7" s="24"/>
      <c r="CR7" s="24">
        <v>100</v>
      </c>
      <c r="CS7" s="24">
        <v>200</v>
      </c>
      <c r="CT7" s="24">
        <v>400</v>
      </c>
      <c r="CU7" s="24">
        <v>900</v>
      </c>
      <c r="CV7" s="24">
        <v>1007</v>
      </c>
      <c r="CW7" s="24">
        <v>1093.499546</v>
      </c>
      <c r="CX7" s="24">
        <v>600</v>
      </c>
      <c r="CY7" s="24">
        <v>700</v>
      </c>
      <c r="CZ7" s="24">
        <v>1830</v>
      </c>
      <c r="DA7" s="24">
        <v>1430</v>
      </c>
      <c r="DB7" s="24">
        <v>2025</v>
      </c>
      <c r="DC7" s="24">
        <v>2080</v>
      </c>
      <c r="DD7" s="24">
        <v>750</v>
      </c>
      <c r="DE7" s="18">
        <v>12810.178179500112</v>
      </c>
      <c r="DF7" s="18">
        <f t="shared" si="9"/>
        <v>13015.499545999999</v>
      </c>
      <c r="DG7" s="23">
        <f t="shared" si="10"/>
        <v>1.0160279867791737</v>
      </c>
      <c r="DH7" s="24"/>
      <c r="DI7" s="24">
        <v>95</v>
      </c>
      <c r="DJ7" s="24">
        <v>210</v>
      </c>
      <c r="DK7" s="24">
        <v>800</v>
      </c>
      <c r="DL7" s="24">
        <v>205</v>
      </c>
      <c r="DM7" s="24">
        <v>70</v>
      </c>
      <c r="DN7" s="24">
        <v>20</v>
      </c>
      <c r="DO7" s="24">
        <v>70</v>
      </c>
      <c r="DP7" s="24">
        <v>15</v>
      </c>
      <c r="DQ7" s="24">
        <v>15</v>
      </c>
      <c r="DR7" s="24">
        <v>5</v>
      </c>
      <c r="DS7" s="24"/>
      <c r="DT7" s="24">
        <v>70</v>
      </c>
      <c r="DU7" s="24">
        <v>165</v>
      </c>
      <c r="DV7" s="24">
        <v>10</v>
      </c>
      <c r="DW7" s="24">
        <v>10</v>
      </c>
      <c r="DX7" s="24">
        <v>220</v>
      </c>
      <c r="DY7" s="24">
        <v>150</v>
      </c>
      <c r="DZ7" s="24">
        <v>130</v>
      </c>
      <c r="EA7" s="24">
        <v>240</v>
      </c>
      <c r="EB7" s="24">
        <v>220</v>
      </c>
      <c r="EC7" s="24">
        <v>40</v>
      </c>
      <c r="ED7" s="24">
        <v>170</v>
      </c>
      <c r="EE7" s="24">
        <v>170</v>
      </c>
      <c r="EF7" s="18">
        <v>1336.7664164188573</v>
      </c>
      <c r="EG7" s="18">
        <f t="shared" si="11"/>
        <v>1595</v>
      </c>
      <c r="EH7" s="23">
        <f t="shared" si="12"/>
        <v>1.1931777911304355</v>
      </c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>
        <v>1607.6663000000001</v>
      </c>
      <c r="EV7" s="24">
        <v>1339.777</v>
      </c>
      <c r="EW7" s="24">
        <v>285</v>
      </c>
      <c r="EX7" s="24">
        <v>646.70619999999997</v>
      </c>
      <c r="EY7" s="24">
        <v>1462.2034000000001</v>
      </c>
      <c r="EZ7" s="24">
        <v>2513.5315500000002</v>
      </c>
      <c r="FA7" s="24">
        <v>1550.3627763699999</v>
      </c>
      <c r="FB7" s="24">
        <v>1233.2360000000001</v>
      </c>
      <c r="FC7" s="24">
        <v>1539.8710000000001</v>
      </c>
      <c r="FD7" s="24">
        <v>7711.4045900000001</v>
      </c>
      <c r="FE7" s="24">
        <v>1494.9175</v>
      </c>
      <c r="FF7" s="24">
        <v>1215.7649999999999</v>
      </c>
      <c r="FG7" s="18">
        <v>12612.448550275043</v>
      </c>
      <c r="FH7" s="18">
        <v>10010.706469999999</v>
      </c>
      <c r="FI7" s="23">
        <v>0.78168012221184757</v>
      </c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3"/>
    </row>
    <row r="8" spans="1:192" s="14" customFormat="1" ht="24.95" customHeight="1">
      <c r="A8" s="19">
        <f t="shared" ref="A8:A105" si="14">+A7+1</f>
        <v>2</v>
      </c>
      <c r="B8" s="20" t="s">
        <v>40</v>
      </c>
      <c r="C8" s="21">
        <v>11254</v>
      </c>
      <c r="D8" s="21"/>
      <c r="E8" s="21"/>
      <c r="F8" s="21"/>
      <c r="G8" s="24">
        <v>111</v>
      </c>
      <c r="H8" s="24">
        <v>26</v>
      </c>
      <c r="I8" s="24">
        <v>96</v>
      </c>
      <c r="J8" s="24">
        <v>119</v>
      </c>
      <c r="K8" s="24">
        <v>115</v>
      </c>
      <c r="L8" s="24">
        <v>116</v>
      </c>
      <c r="M8" s="24">
        <v>115</v>
      </c>
      <c r="N8" s="24">
        <v>147</v>
      </c>
      <c r="O8" s="24">
        <v>100</v>
      </c>
      <c r="P8" s="24">
        <v>136</v>
      </c>
      <c r="Q8" s="24">
        <v>103</v>
      </c>
      <c r="R8" s="24">
        <v>97</v>
      </c>
      <c r="S8" s="24">
        <v>80</v>
      </c>
      <c r="T8" s="24">
        <v>143</v>
      </c>
      <c r="U8" s="24">
        <v>87</v>
      </c>
      <c r="V8" s="24">
        <v>148</v>
      </c>
      <c r="W8" s="24">
        <v>159</v>
      </c>
      <c r="X8" s="24"/>
      <c r="Y8" s="24">
        <v>76</v>
      </c>
      <c r="Z8" s="24">
        <v>188</v>
      </c>
      <c r="AA8" s="24">
        <v>18</v>
      </c>
      <c r="AB8" s="22">
        <v>737</v>
      </c>
      <c r="AC8" s="22">
        <f t="shared" si="3"/>
        <v>1235</v>
      </c>
      <c r="AD8" s="23">
        <f t="shared" si="4"/>
        <v>1.6757123473541384</v>
      </c>
      <c r="AE8" s="24"/>
      <c r="AF8" s="24"/>
      <c r="AG8" s="24"/>
      <c r="AH8" s="24"/>
      <c r="AI8" s="24"/>
      <c r="AJ8" s="24">
        <v>29</v>
      </c>
      <c r="AK8" s="24">
        <v>94</v>
      </c>
      <c r="AL8" s="24">
        <v>177</v>
      </c>
      <c r="AM8" s="24">
        <v>62</v>
      </c>
      <c r="AN8" s="24">
        <v>2</v>
      </c>
      <c r="AO8" s="24">
        <v>9</v>
      </c>
      <c r="AP8" s="24">
        <v>7</v>
      </c>
      <c r="AQ8" s="24">
        <v>21</v>
      </c>
      <c r="AR8" s="24">
        <v>85</v>
      </c>
      <c r="AS8" s="24">
        <v>50</v>
      </c>
      <c r="AT8" s="24">
        <v>52</v>
      </c>
      <c r="AU8" s="24">
        <v>64</v>
      </c>
      <c r="AV8" s="24">
        <v>63</v>
      </c>
      <c r="AW8" s="24">
        <v>56</v>
      </c>
      <c r="AX8" s="24">
        <v>50</v>
      </c>
      <c r="AY8" s="24">
        <v>47</v>
      </c>
      <c r="AZ8" s="24">
        <v>34</v>
      </c>
      <c r="BA8" s="24">
        <v>29</v>
      </c>
      <c r="BB8" s="24">
        <v>24</v>
      </c>
      <c r="BC8" s="32">
        <v>424</v>
      </c>
      <c r="BD8" s="32">
        <f t="shared" si="6"/>
        <v>575</v>
      </c>
      <c r="BE8" s="23">
        <f t="shared" si="7"/>
        <v>1.3561320754716981</v>
      </c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>
        <v>154</v>
      </c>
      <c r="BS8" s="24">
        <v>400</v>
      </c>
      <c r="BT8" s="24">
        <v>146</v>
      </c>
      <c r="BU8" s="24">
        <v>99</v>
      </c>
      <c r="BV8" s="24">
        <v>310</v>
      </c>
      <c r="BW8" s="24">
        <v>699</v>
      </c>
      <c r="BX8" s="24">
        <v>634</v>
      </c>
      <c r="BY8" s="24">
        <v>330</v>
      </c>
      <c r="BZ8" s="24">
        <v>352</v>
      </c>
      <c r="CA8" s="24">
        <v>154</v>
      </c>
      <c r="CB8" s="24">
        <v>338</v>
      </c>
      <c r="CC8" s="24">
        <v>120</v>
      </c>
      <c r="CD8" s="25">
        <v>1621</v>
      </c>
      <c r="CE8" s="25">
        <v>3278</v>
      </c>
      <c r="CF8" s="23">
        <f t="shared" si="8"/>
        <v>2.0222085132634176</v>
      </c>
      <c r="CG8" s="24"/>
      <c r="CH8" s="24"/>
      <c r="CI8" s="24">
        <v>93.678000000000011</v>
      </c>
      <c r="CJ8" s="24">
        <v>99.93</v>
      </c>
      <c r="CK8" s="24">
        <v>350</v>
      </c>
      <c r="CL8" s="24">
        <v>300</v>
      </c>
      <c r="CM8" s="24">
        <v>193</v>
      </c>
      <c r="CN8" s="24">
        <v>400</v>
      </c>
      <c r="CO8" s="24"/>
      <c r="CP8" s="24">
        <v>100</v>
      </c>
      <c r="CQ8" s="24"/>
      <c r="CR8" s="24"/>
      <c r="CS8" s="24">
        <v>100</v>
      </c>
      <c r="CT8" s="24">
        <v>180</v>
      </c>
      <c r="CU8" s="24">
        <v>350</v>
      </c>
      <c r="CV8" s="24">
        <v>350</v>
      </c>
      <c r="CW8" s="24">
        <v>590</v>
      </c>
      <c r="CX8" s="24">
        <v>450</v>
      </c>
      <c r="CY8" s="24">
        <v>695</v>
      </c>
      <c r="CZ8" s="24">
        <v>800</v>
      </c>
      <c r="DA8" s="24">
        <v>400</v>
      </c>
      <c r="DB8" s="24">
        <v>530</v>
      </c>
      <c r="DC8" s="24">
        <v>874.99333133999994</v>
      </c>
      <c r="DD8" s="24"/>
      <c r="DE8" s="18">
        <v>5294.4487141505542</v>
      </c>
      <c r="DF8" s="18">
        <f t="shared" si="9"/>
        <v>5319.9933313399997</v>
      </c>
      <c r="DG8" s="23">
        <f t="shared" si="10"/>
        <v>1.0048247926401048</v>
      </c>
      <c r="DH8" s="24"/>
      <c r="DI8" s="24">
        <v>55</v>
      </c>
      <c r="DJ8" s="24">
        <v>110</v>
      </c>
      <c r="DK8" s="24">
        <v>615</v>
      </c>
      <c r="DL8" s="24">
        <v>195</v>
      </c>
      <c r="DM8" s="24">
        <v>90</v>
      </c>
      <c r="DN8" s="24">
        <v>205</v>
      </c>
      <c r="DO8" s="24">
        <v>30</v>
      </c>
      <c r="DP8" s="24">
        <v>30</v>
      </c>
      <c r="DQ8" s="24">
        <v>20</v>
      </c>
      <c r="DR8" s="24">
        <v>45</v>
      </c>
      <c r="DS8" s="24">
        <v>15</v>
      </c>
      <c r="DT8" s="24">
        <v>80</v>
      </c>
      <c r="DU8" s="24">
        <v>480</v>
      </c>
      <c r="DV8" s="24">
        <v>156</v>
      </c>
      <c r="DW8" s="24">
        <v>55</v>
      </c>
      <c r="DX8" s="24">
        <v>560</v>
      </c>
      <c r="DY8" s="24">
        <v>330</v>
      </c>
      <c r="DZ8" s="24">
        <v>100</v>
      </c>
      <c r="EA8" s="24">
        <v>520</v>
      </c>
      <c r="EB8" s="24">
        <v>60</v>
      </c>
      <c r="EC8" s="24">
        <v>430</v>
      </c>
      <c r="ED8" s="24">
        <v>510</v>
      </c>
      <c r="EE8" s="24">
        <v>100</v>
      </c>
      <c r="EF8" s="18">
        <v>2707.1158378838081</v>
      </c>
      <c r="EG8" s="18">
        <f t="shared" si="11"/>
        <v>3381</v>
      </c>
      <c r="EH8" s="23">
        <f t="shared" si="12"/>
        <v>1.2489306710432373</v>
      </c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>
        <v>920.39063999999996</v>
      </c>
      <c r="EV8" s="24">
        <v>783.22870899999998</v>
      </c>
      <c r="EW8" s="24">
        <v>482.30848000000003</v>
      </c>
      <c r="EX8" s="24">
        <v>772.05</v>
      </c>
      <c r="EY8" s="24">
        <v>210.8</v>
      </c>
      <c r="EZ8" s="24">
        <v>913.35532799999987</v>
      </c>
      <c r="FA8" s="24">
        <v>989.82099999999991</v>
      </c>
      <c r="FB8" s="24">
        <v>514.26166000000001</v>
      </c>
      <c r="FC8" s="24">
        <v>1720.3220000000001</v>
      </c>
      <c r="FD8" s="24">
        <v>1360.9920000000002</v>
      </c>
      <c r="FE8" s="24"/>
      <c r="FF8" s="24">
        <v>150.80000000000001</v>
      </c>
      <c r="FG8" s="18">
        <v>8274.9680848525513</v>
      </c>
      <c r="FH8" s="18">
        <v>7396.1938170000003</v>
      </c>
      <c r="FI8" s="23">
        <v>0.89380330427362498</v>
      </c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3"/>
    </row>
    <row r="9" spans="1:192" s="14" customFormat="1" ht="24.95" customHeight="1">
      <c r="A9" s="19">
        <f t="shared" si="14"/>
        <v>3</v>
      </c>
      <c r="B9" s="20" t="s">
        <v>41</v>
      </c>
      <c r="C9" s="21">
        <v>11255</v>
      </c>
      <c r="D9" s="21"/>
      <c r="E9" s="21"/>
      <c r="F9" s="21"/>
      <c r="G9" s="24">
        <v>235</v>
      </c>
      <c r="H9" s="24">
        <v>210</v>
      </c>
      <c r="I9" s="24">
        <v>231</v>
      </c>
      <c r="J9" s="24">
        <v>202</v>
      </c>
      <c r="K9" s="24">
        <v>325</v>
      </c>
      <c r="L9" s="24">
        <v>246</v>
      </c>
      <c r="M9" s="24">
        <v>209</v>
      </c>
      <c r="N9" s="24">
        <v>193</v>
      </c>
      <c r="O9" s="24">
        <v>127</v>
      </c>
      <c r="P9" s="24">
        <v>156</v>
      </c>
      <c r="Q9" s="24">
        <v>247</v>
      </c>
      <c r="R9" s="24">
        <v>202</v>
      </c>
      <c r="S9" s="24">
        <v>105</v>
      </c>
      <c r="T9" s="24">
        <v>63</v>
      </c>
      <c r="U9" s="24">
        <v>96</v>
      </c>
      <c r="V9" s="24">
        <v>124</v>
      </c>
      <c r="W9" s="24">
        <v>118</v>
      </c>
      <c r="X9" s="24">
        <v>104</v>
      </c>
      <c r="Y9" s="24">
        <v>155</v>
      </c>
      <c r="Z9" s="24">
        <v>255</v>
      </c>
      <c r="AA9" s="24">
        <v>55</v>
      </c>
      <c r="AB9" s="22">
        <v>1166</v>
      </c>
      <c r="AC9" s="22">
        <f t="shared" si="3"/>
        <v>1680</v>
      </c>
      <c r="AD9" s="23">
        <f t="shared" si="4"/>
        <v>1.4408233276157805</v>
      </c>
      <c r="AE9" s="24"/>
      <c r="AF9" s="24"/>
      <c r="AG9" s="24"/>
      <c r="AH9" s="24"/>
      <c r="AI9" s="24"/>
      <c r="AJ9" s="24"/>
      <c r="AK9" s="24">
        <v>120</v>
      </c>
      <c r="AL9" s="24">
        <v>161</v>
      </c>
      <c r="AM9" s="24">
        <v>54</v>
      </c>
      <c r="AN9" s="24">
        <v>3</v>
      </c>
      <c r="AO9" s="24">
        <v>1</v>
      </c>
      <c r="AP9" s="24"/>
      <c r="AQ9" s="24">
        <v>16</v>
      </c>
      <c r="AR9" s="24">
        <v>56</v>
      </c>
      <c r="AS9" s="24">
        <v>78</v>
      </c>
      <c r="AT9" s="24">
        <v>46</v>
      </c>
      <c r="AU9" s="24">
        <v>59</v>
      </c>
      <c r="AV9" s="24">
        <v>41</v>
      </c>
      <c r="AW9" s="24">
        <v>40</v>
      </c>
      <c r="AX9" s="24">
        <v>35</v>
      </c>
      <c r="AY9" s="24">
        <v>25</v>
      </c>
      <c r="AZ9" s="24">
        <v>30</v>
      </c>
      <c r="BA9" s="24">
        <v>33</v>
      </c>
      <c r="BB9" s="24">
        <v>15</v>
      </c>
      <c r="BC9" s="32">
        <v>411</v>
      </c>
      <c r="BD9" s="32">
        <f t="shared" si="6"/>
        <v>474</v>
      </c>
      <c r="BE9" s="23">
        <f t="shared" si="7"/>
        <v>1.1532846715328466</v>
      </c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>
        <v>169</v>
      </c>
      <c r="BS9" s="24">
        <v>379</v>
      </c>
      <c r="BT9" s="24">
        <v>131</v>
      </c>
      <c r="BU9" s="24">
        <v>102</v>
      </c>
      <c r="BV9" s="24">
        <v>306</v>
      </c>
      <c r="BW9" s="24">
        <v>259</v>
      </c>
      <c r="BX9" s="24">
        <v>200</v>
      </c>
      <c r="BY9" s="24">
        <v>232</v>
      </c>
      <c r="BZ9" s="24">
        <v>152</v>
      </c>
      <c r="CA9" s="24">
        <v>327</v>
      </c>
      <c r="CB9" s="24">
        <v>332</v>
      </c>
      <c r="CC9" s="24">
        <v>200</v>
      </c>
      <c r="CD9" s="25">
        <v>1478</v>
      </c>
      <c r="CE9" s="25">
        <v>2411</v>
      </c>
      <c r="CF9" s="23">
        <f t="shared" si="8"/>
        <v>1.6312584573748308</v>
      </c>
      <c r="CG9" s="24"/>
      <c r="CH9" s="24"/>
      <c r="CI9" s="24">
        <v>200</v>
      </c>
      <c r="CJ9" s="24"/>
      <c r="CK9" s="24">
        <v>400</v>
      </c>
      <c r="CL9" s="24"/>
      <c r="CM9" s="24"/>
      <c r="CN9" s="24"/>
      <c r="CO9" s="24">
        <v>100</v>
      </c>
      <c r="CP9" s="24">
        <v>100</v>
      </c>
      <c r="CQ9" s="24"/>
      <c r="CR9" s="24"/>
      <c r="CS9" s="24">
        <v>100</v>
      </c>
      <c r="CT9" s="24">
        <v>149.76220000000001</v>
      </c>
      <c r="CU9" s="24">
        <v>419.99080000000004</v>
      </c>
      <c r="CV9" s="24">
        <v>700</v>
      </c>
      <c r="CW9" s="24">
        <v>1350</v>
      </c>
      <c r="CX9" s="24">
        <v>620</v>
      </c>
      <c r="CY9" s="24">
        <v>500</v>
      </c>
      <c r="CZ9" s="24">
        <v>1348.9159999999999</v>
      </c>
      <c r="DA9" s="24">
        <v>900</v>
      </c>
      <c r="DB9" s="24">
        <v>1056.3699999999999</v>
      </c>
      <c r="DC9" s="24">
        <v>1400</v>
      </c>
      <c r="DD9" s="24"/>
      <c r="DE9" s="18">
        <v>8351.7933820703711</v>
      </c>
      <c r="DF9" s="18">
        <f t="shared" si="9"/>
        <v>8545.0390000000007</v>
      </c>
      <c r="DG9" s="23">
        <f t="shared" si="10"/>
        <v>1.0231382182351985</v>
      </c>
      <c r="DH9" s="24"/>
      <c r="DI9" s="24">
        <v>10</v>
      </c>
      <c r="DJ9" s="24">
        <v>5</v>
      </c>
      <c r="DK9" s="24"/>
      <c r="DL9" s="24"/>
      <c r="DM9" s="24"/>
      <c r="DN9" s="24"/>
      <c r="DO9" s="24"/>
      <c r="DP9" s="24"/>
      <c r="DQ9" s="24"/>
      <c r="DR9" s="24"/>
      <c r="DS9" s="24"/>
      <c r="DT9" s="24">
        <v>60</v>
      </c>
      <c r="DU9" s="24">
        <v>190</v>
      </c>
      <c r="DV9" s="24">
        <v>50</v>
      </c>
      <c r="DW9" s="24">
        <v>40</v>
      </c>
      <c r="DX9" s="24">
        <v>190</v>
      </c>
      <c r="DY9" s="24">
        <v>310</v>
      </c>
      <c r="DZ9" s="24">
        <v>180</v>
      </c>
      <c r="EA9" s="24">
        <v>380</v>
      </c>
      <c r="EB9" s="24">
        <v>340</v>
      </c>
      <c r="EC9" s="24">
        <v>130</v>
      </c>
      <c r="ED9" s="24">
        <v>220</v>
      </c>
      <c r="EE9" s="24">
        <v>100</v>
      </c>
      <c r="EF9" s="18">
        <v>1814.5817556670863</v>
      </c>
      <c r="EG9" s="18">
        <f t="shared" si="11"/>
        <v>2190</v>
      </c>
      <c r="EH9" s="23">
        <f t="shared" si="12"/>
        <v>1.2068896830690885</v>
      </c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>
        <v>1622.1381860000001</v>
      </c>
      <c r="EV9" s="24">
        <v>2495.5198559999999</v>
      </c>
      <c r="EW9" s="24">
        <v>4169.6124000000009</v>
      </c>
      <c r="EX9" s="24">
        <v>4251.0997000000007</v>
      </c>
      <c r="EY9" s="24">
        <v>6394.7785199999998</v>
      </c>
      <c r="EZ9" s="24">
        <v>2081.2789890500003</v>
      </c>
      <c r="FA9" s="24">
        <v>4224.6259999999984</v>
      </c>
      <c r="FB9" s="24">
        <v>5147.1579200000006</v>
      </c>
      <c r="FC9" s="24">
        <v>2687.9900000000002</v>
      </c>
      <c r="FD9" s="24">
        <v>3485.4364800000003</v>
      </c>
      <c r="FE9" s="24">
        <v>993.80199999999991</v>
      </c>
      <c r="FF9" s="24">
        <v>74.915999999999997</v>
      </c>
      <c r="FG9" s="18">
        <v>8398.6919926530536</v>
      </c>
      <c r="FH9" s="18">
        <v>8351.5284420000007</v>
      </c>
      <c r="FI9" s="23">
        <v>0.99438441715753945</v>
      </c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3"/>
    </row>
    <row r="10" spans="1:192" s="14" customFormat="1" ht="24.95" customHeight="1">
      <c r="A10" s="19">
        <f t="shared" si="14"/>
        <v>4</v>
      </c>
      <c r="B10" s="20" t="s">
        <v>42</v>
      </c>
      <c r="C10" s="21">
        <v>11256</v>
      </c>
      <c r="D10" s="21"/>
      <c r="E10" s="21"/>
      <c r="F10" s="21"/>
      <c r="G10" s="24">
        <v>169</v>
      </c>
      <c r="H10" s="24">
        <v>168</v>
      </c>
      <c r="I10" s="24">
        <v>190</v>
      </c>
      <c r="J10" s="24">
        <v>187</v>
      </c>
      <c r="K10" s="24">
        <v>191</v>
      </c>
      <c r="L10" s="24">
        <v>191</v>
      </c>
      <c r="M10" s="24">
        <v>158</v>
      </c>
      <c r="N10" s="24">
        <v>158</v>
      </c>
      <c r="O10" s="24">
        <v>125</v>
      </c>
      <c r="P10" s="24">
        <v>93</v>
      </c>
      <c r="Q10" s="24">
        <v>175</v>
      </c>
      <c r="R10" s="24">
        <v>193</v>
      </c>
      <c r="S10" s="24">
        <v>123</v>
      </c>
      <c r="T10" s="24">
        <v>81</v>
      </c>
      <c r="U10" s="24">
        <v>498</v>
      </c>
      <c r="V10" s="24">
        <v>106</v>
      </c>
      <c r="W10" s="24">
        <v>151</v>
      </c>
      <c r="X10" s="24">
        <v>114</v>
      </c>
      <c r="Y10" s="24">
        <v>60</v>
      </c>
      <c r="Z10" s="24">
        <v>69</v>
      </c>
      <c r="AA10" s="24">
        <v>19</v>
      </c>
      <c r="AB10" s="22">
        <v>1346</v>
      </c>
      <c r="AC10" s="22">
        <f t="shared" si="3"/>
        <v>1682</v>
      </c>
      <c r="AD10" s="23">
        <f t="shared" si="4"/>
        <v>1.24962852897474</v>
      </c>
      <c r="AE10" s="24"/>
      <c r="AF10" s="24"/>
      <c r="AG10" s="24"/>
      <c r="AH10" s="24"/>
      <c r="AI10" s="24"/>
      <c r="AJ10" s="24"/>
      <c r="AK10" s="24">
        <v>247</v>
      </c>
      <c r="AL10" s="24">
        <v>362</v>
      </c>
      <c r="AM10" s="24">
        <v>128</v>
      </c>
      <c r="AN10" s="24">
        <v>18</v>
      </c>
      <c r="AO10" s="24">
        <v>59</v>
      </c>
      <c r="AP10" s="24">
        <v>12</v>
      </c>
      <c r="AQ10" s="24">
        <v>37</v>
      </c>
      <c r="AR10" s="24">
        <v>123</v>
      </c>
      <c r="AS10" s="24">
        <v>148</v>
      </c>
      <c r="AT10" s="24">
        <v>93</v>
      </c>
      <c r="AU10" s="24">
        <v>99</v>
      </c>
      <c r="AV10" s="24">
        <v>102</v>
      </c>
      <c r="AW10" s="24">
        <v>74</v>
      </c>
      <c r="AX10" s="24">
        <v>79</v>
      </c>
      <c r="AY10" s="24">
        <v>74</v>
      </c>
      <c r="AZ10" s="24">
        <v>72</v>
      </c>
      <c r="BA10" s="24">
        <v>77</v>
      </c>
      <c r="BB10" s="24">
        <v>56</v>
      </c>
      <c r="BC10" s="32">
        <v>888</v>
      </c>
      <c r="BD10" s="32">
        <f t="shared" si="6"/>
        <v>1034</v>
      </c>
      <c r="BE10" s="23">
        <f t="shared" si="7"/>
        <v>1.1644144144144144</v>
      </c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>
        <v>982</v>
      </c>
      <c r="BS10" s="24">
        <v>841</v>
      </c>
      <c r="BT10" s="24">
        <v>329</v>
      </c>
      <c r="BU10" s="24">
        <v>315</v>
      </c>
      <c r="BV10" s="24">
        <v>407</v>
      </c>
      <c r="BW10" s="24">
        <v>379</v>
      </c>
      <c r="BX10" s="24">
        <v>502</v>
      </c>
      <c r="BY10" s="24">
        <v>270</v>
      </c>
      <c r="BZ10" s="24">
        <v>341</v>
      </c>
      <c r="CA10" s="24">
        <v>515</v>
      </c>
      <c r="CB10" s="24">
        <v>368</v>
      </c>
      <c r="CC10" s="24">
        <v>33</v>
      </c>
      <c r="CD10" s="25">
        <v>2456</v>
      </c>
      <c r="CE10" s="25">
        <v>4906</v>
      </c>
      <c r="CF10" s="23">
        <f t="shared" si="8"/>
        <v>1.9975570032573291</v>
      </c>
      <c r="CG10" s="24"/>
      <c r="CH10" s="24"/>
      <c r="CI10" s="24">
        <v>529.45000000000005</v>
      </c>
      <c r="CJ10" s="24">
        <v>170</v>
      </c>
      <c r="CK10" s="24">
        <v>350</v>
      </c>
      <c r="CL10" s="24">
        <v>100</v>
      </c>
      <c r="CM10" s="24"/>
      <c r="CN10" s="24">
        <v>250</v>
      </c>
      <c r="CO10" s="24">
        <v>50</v>
      </c>
      <c r="CP10" s="24"/>
      <c r="CQ10" s="24"/>
      <c r="CR10" s="24"/>
      <c r="CS10" s="24">
        <v>247.8</v>
      </c>
      <c r="CT10" s="24">
        <v>730</v>
      </c>
      <c r="CU10" s="24">
        <v>600</v>
      </c>
      <c r="CV10" s="24">
        <v>1132</v>
      </c>
      <c r="CW10" s="24">
        <v>1158</v>
      </c>
      <c r="CX10" s="24">
        <v>700</v>
      </c>
      <c r="CY10" s="24">
        <v>950</v>
      </c>
      <c r="CZ10" s="24">
        <v>800</v>
      </c>
      <c r="DA10" s="24">
        <v>700</v>
      </c>
      <c r="DB10" s="24">
        <v>1775</v>
      </c>
      <c r="DC10" s="24">
        <v>645</v>
      </c>
      <c r="DD10" s="24">
        <v>150</v>
      </c>
      <c r="DE10" s="18">
        <v>9520.7466688748082</v>
      </c>
      <c r="DF10" s="18">
        <f t="shared" si="9"/>
        <v>9587.7999999999993</v>
      </c>
      <c r="DG10" s="23">
        <f t="shared" si="10"/>
        <v>1.0070428647518164</v>
      </c>
      <c r="DH10" s="24"/>
      <c r="DI10" s="24">
        <v>35</v>
      </c>
      <c r="DJ10" s="24">
        <v>115</v>
      </c>
      <c r="DK10" s="24">
        <v>230</v>
      </c>
      <c r="DL10" s="24">
        <v>125</v>
      </c>
      <c r="DM10" s="24">
        <v>45</v>
      </c>
      <c r="DN10" s="24">
        <v>115</v>
      </c>
      <c r="DO10" s="24">
        <v>60</v>
      </c>
      <c r="DP10" s="24">
        <v>45</v>
      </c>
      <c r="DQ10" s="24">
        <v>15</v>
      </c>
      <c r="DR10" s="24">
        <v>5</v>
      </c>
      <c r="DS10" s="24">
        <v>5</v>
      </c>
      <c r="DT10" s="24">
        <v>120</v>
      </c>
      <c r="DU10" s="24">
        <v>450</v>
      </c>
      <c r="DV10" s="24">
        <v>130</v>
      </c>
      <c r="DW10" s="24">
        <v>110</v>
      </c>
      <c r="DX10" s="24">
        <v>460</v>
      </c>
      <c r="DY10" s="24">
        <v>650</v>
      </c>
      <c r="DZ10" s="24">
        <v>510</v>
      </c>
      <c r="EA10" s="24">
        <v>450</v>
      </c>
      <c r="EB10" s="24">
        <v>285</v>
      </c>
      <c r="EC10" s="24">
        <v>480</v>
      </c>
      <c r="ED10" s="24">
        <v>340</v>
      </c>
      <c r="EE10" s="24">
        <v>90</v>
      </c>
      <c r="EF10" s="18">
        <v>3418.1751406364283</v>
      </c>
      <c r="EG10" s="18">
        <f t="shared" si="11"/>
        <v>4075</v>
      </c>
      <c r="EH10" s="23">
        <f t="shared" si="12"/>
        <v>1.1921565842414026</v>
      </c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>
        <v>284.91070000000002</v>
      </c>
      <c r="EV10" s="24">
        <v>1766.5891999999999</v>
      </c>
      <c r="EW10" s="24">
        <v>255.916</v>
      </c>
      <c r="EX10" s="24">
        <v>38</v>
      </c>
      <c r="EY10" s="24">
        <v>81.87</v>
      </c>
      <c r="EZ10" s="24">
        <v>583</v>
      </c>
      <c r="FA10" s="24">
        <v>361</v>
      </c>
      <c r="FB10" s="24">
        <v>779.61099999999999</v>
      </c>
      <c r="FC10" s="24">
        <v>4256.5159999999996</v>
      </c>
      <c r="FD10" s="24">
        <v>2119.9300000000003</v>
      </c>
      <c r="FE10" s="24">
        <v>109</v>
      </c>
      <c r="FF10" s="24">
        <v>333.15</v>
      </c>
      <c r="FG10" s="18">
        <v>6858.9404128379329</v>
      </c>
      <c r="FH10" s="18">
        <v>9401.1512000000002</v>
      </c>
      <c r="FI10" s="23">
        <v>1.3706419117454047</v>
      </c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3"/>
    </row>
    <row r="11" spans="1:192" s="14" customFormat="1" ht="24.95" customHeight="1">
      <c r="A11" s="19">
        <f t="shared" si="14"/>
        <v>5</v>
      </c>
      <c r="B11" s="20" t="s">
        <v>43</v>
      </c>
      <c r="C11" s="21">
        <v>11183</v>
      </c>
      <c r="D11" s="21"/>
      <c r="E11" s="21"/>
      <c r="F11" s="21"/>
      <c r="G11" s="24">
        <v>148</v>
      </c>
      <c r="H11" s="24">
        <v>45</v>
      </c>
      <c r="I11" s="24">
        <v>48</v>
      </c>
      <c r="J11" s="24">
        <v>69</v>
      </c>
      <c r="K11" s="24">
        <v>32</v>
      </c>
      <c r="L11" s="24">
        <v>51</v>
      </c>
      <c r="M11" s="24">
        <v>67</v>
      </c>
      <c r="N11" s="24">
        <v>32</v>
      </c>
      <c r="O11" s="24">
        <v>65</v>
      </c>
      <c r="P11" s="24">
        <v>60</v>
      </c>
      <c r="Q11" s="24">
        <v>136</v>
      </c>
      <c r="R11" s="24">
        <v>121</v>
      </c>
      <c r="S11" s="24">
        <v>60</v>
      </c>
      <c r="T11" s="24">
        <v>115</v>
      </c>
      <c r="U11" s="24">
        <v>102</v>
      </c>
      <c r="V11" s="24">
        <v>91</v>
      </c>
      <c r="W11" s="24">
        <v>64</v>
      </c>
      <c r="X11" s="24">
        <v>80</v>
      </c>
      <c r="Y11" s="24">
        <v>5</v>
      </c>
      <c r="Z11" s="24">
        <v>37</v>
      </c>
      <c r="AA11" s="24">
        <v>37</v>
      </c>
      <c r="AB11" s="22">
        <v>656</v>
      </c>
      <c r="AC11" s="22">
        <f t="shared" si="3"/>
        <v>908</v>
      </c>
      <c r="AD11" s="23">
        <f t="shared" si="4"/>
        <v>1.3841463414634145</v>
      </c>
      <c r="AE11" s="24"/>
      <c r="AF11" s="24"/>
      <c r="AG11" s="24"/>
      <c r="AH11" s="24"/>
      <c r="AI11" s="24"/>
      <c r="AJ11" s="24"/>
      <c r="AK11" s="24">
        <v>161</v>
      </c>
      <c r="AL11" s="24">
        <v>293</v>
      </c>
      <c r="AM11" s="24">
        <v>10</v>
      </c>
      <c r="AN11" s="24">
        <v>23</v>
      </c>
      <c r="AO11" s="24">
        <v>3</v>
      </c>
      <c r="AP11" s="24"/>
      <c r="AQ11" s="24">
        <v>27</v>
      </c>
      <c r="AR11" s="24">
        <v>66</v>
      </c>
      <c r="AS11" s="24">
        <v>111</v>
      </c>
      <c r="AT11" s="24">
        <v>73</v>
      </c>
      <c r="AU11" s="24">
        <v>71</v>
      </c>
      <c r="AV11" s="24">
        <v>67</v>
      </c>
      <c r="AW11" s="24">
        <v>77</v>
      </c>
      <c r="AX11" s="24">
        <v>59</v>
      </c>
      <c r="AY11" s="24">
        <v>46</v>
      </c>
      <c r="AZ11" s="24">
        <v>17</v>
      </c>
      <c r="BA11" s="24">
        <v>21</v>
      </c>
      <c r="BB11" s="24">
        <v>12</v>
      </c>
      <c r="BC11" s="32">
        <v>568</v>
      </c>
      <c r="BD11" s="32">
        <f t="shared" si="6"/>
        <v>647</v>
      </c>
      <c r="BE11" s="23">
        <f t="shared" si="7"/>
        <v>1.1390845070422535</v>
      </c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>
        <v>196</v>
      </c>
      <c r="BS11" s="24">
        <v>165</v>
      </c>
      <c r="BT11" s="24">
        <v>65</v>
      </c>
      <c r="BU11" s="24">
        <v>60</v>
      </c>
      <c r="BV11" s="24">
        <v>143</v>
      </c>
      <c r="BW11" s="24">
        <v>117</v>
      </c>
      <c r="BX11" s="24">
        <v>140</v>
      </c>
      <c r="BY11" s="24">
        <v>101</v>
      </c>
      <c r="BZ11" s="24">
        <v>133</v>
      </c>
      <c r="CA11" s="24">
        <v>104</v>
      </c>
      <c r="CB11" s="24">
        <v>146</v>
      </c>
      <c r="CC11" s="24">
        <v>25</v>
      </c>
      <c r="CD11" s="25">
        <v>842</v>
      </c>
      <c r="CE11" s="25">
        <v>1177</v>
      </c>
      <c r="CF11" s="23">
        <f t="shared" si="8"/>
        <v>1.3978622327790975</v>
      </c>
      <c r="CG11" s="24"/>
      <c r="CH11" s="24"/>
      <c r="CI11" s="24">
        <v>100</v>
      </c>
      <c r="CJ11" s="24">
        <v>170</v>
      </c>
      <c r="CK11" s="24"/>
      <c r="CL11" s="24">
        <v>132.96</v>
      </c>
      <c r="CM11" s="24"/>
      <c r="CN11" s="24">
        <v>199.8</v>
      </c>
      <c r="CO11" s="24"/>
      <c r="CP11" s="24">
        <v>100</v>
      </c>
      <c r="CQ11" s="24">
        <v>100</v>
      </c>
      <c r="CR11" s="24">
        <v>100</v>
      </c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18"/>
      <c r="DF11" s="18">
        <f t="shared" si="9"/>
        <v>0</v>
      </c>
      <c r="DG11" s="23">
        <v>0</v>
      </c>
      <c r="DH11" s="24"/>
      <c r="DI11" s="24">
        <v>70</v>
      </c>
      <c r="DJ11" s="24">
        <v>70</v>
      </c>
      <c r="DK11" s="24">
        <v>310</v>
      </c>
      <c r="DL11" s="24">
        <v>135</v>
      </c>
      <c r="DM11" s="24">
        <v>27.5</v>
      </c>
      <c r="DN11" s="24">
        <v>135</v>
      </c>
      <c r="DO11" s="24">
        <v>75</v>
      </c>
      <c r="DP11" s="24">
        <v>30</v>
      </c>
      <c r="DQ11" s="24">
        <v>5</v>
      </c>
      <c r="DR11" s="24">
        <v>5</v>
      </c>
      <c r="DS11" s="24"/>
      <c r="DT11" s="24">
        <v>60</v>
      </c>
      <c r="DU11" s="24">
        <v>275</v>
      </c>
      <c r="DV11" s="24">
        <v>170</v>
      </c>
      <c r="DW11" s="24">
        <v>6</v>
      </c>
      <c r="DX11" s="24">
        <v>245</v>
      </c>
      <c r="DY11" s="24">
        <v>430</v>
      </c>
      <c r="DZ11" s="24">
        <v>245</v>
      </c>
      <c r="EA11" s="24">
        <v>290</v>
      </c>
      <c r="EB11" s="24">
        <v>160</v>
      </c>
      <c r="EC11" s="24">
        <v>270</v>
      </c>
      <c r="ED11" s="24">
        <v>310</v>
      </c>
      <c r="EE11" s="24">
        <v>186</v>
      </c>
      <c r="EF11" s="18">
        <v>2230.5557955180493</v>
      </c>
      <c r="EG11" s="18">
        <f t="shared" si="11"/>
        <v>2647</v>
      </c>
      <c r="EH11" s="23">
        <f t="shared" si="12"/>
        <v>1.1866997478021979</v>
      </c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>
        <v>655.80089999999996</v>
      </c>
      <c r="EV11" s="24">
        <v>553.38499999999999</v>
      </c>
      <c r="EW11" s="24">
        <v>122.175</v>
      </c>
      <c r="EX11" s="24">
        <v>212</v>
      </c>
      <c r="EY11" s="24">
        <v>150</v>
      </c>
      <c r="EZ11" s="24">
        <v>222.053</v>
      </c>
      <c r="FA11" s="24">
        <v>156</v>
      </c>
      <c r="FB11" s="24">
        <v>83.041359999999997</v>
      </c>
      <c r="FC11" s="24">
        <v>1915</v>
      </c>
      <c r="FD11" s="24">
        <v>421.45035631999997</v>
      </c>
      <c r="FE11" s="24">
        <v>630.28</v>
      </c>
      <c r="FF11" s="24"/>
      <c r="FG11" s="18">
        <v>2351.3641612263073</v>
      </c>
      <c r="FH11" s="18">
        <v>2121.0353563200001</v>
      </c>
      <c r="FI11" s="23">
        <v>0.90204460512565454</v>
      </c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3"/>
    </row>
    <row r="12" spans="1:192" s="14" customFormat="1" ht="24.95" customHeight="1">
      <c r="A12" s="19">
        <f t="shared" si="14"/>
        <v>6</v>
      </c>
      <c r="B12" s="20" t="s">
        <v>44</v>
      </c>
      <c r="C12" s="21">
        <v>11141</v>
      </c>
      <c r="D12" s="21"/>
      <c r="E12" s="21"/>
      <c r="F12" s="21"/>
      <c r="G12" s="24">
        <v>135</v>
      </c>
      <c r="H12" s="24">
        <v>21</v>
      </c>
      <c r="I12" s="24">
        <v>54</v>
      </c>
      <c r="J12" s="24">
        <v>38</v>
      </c>
      <c r="K12" s="24">
        <v>28</v>
      </c>
      <c r="L12" s="24">
        <v>89</v>
      </c>
      <c r="M12" s="24">
        <v>91</v>
      </c>
      <c r="N12" s="24">
        <v>256</v>
      </c>
      <c r="O12" s="24">
        <v>95</v>
      </c>
      <c r="P12" s="24">
        <v>485</v>
      </c>
      <c r="Q12" s="24">
        <v>187</v>
      </c>
      <c r="R12" s="24">
        <v>112</v>
      </c>
      <c r="S12" s="24">
        <v>61</v>
      </c>
      <c r="T12" s="24">
        <v>209</v>
      </c>
      <c r="U12" s="24">
        <v>143</v>
      </c>
      <c r="V12" s="24">
        <v>164</v>
      </c>
      <c r="W12" s="24">
        <v>102</v>
      </c>
      <c r="X12" s="24">
        <v>86</v>
      </c>
      <c r="Y12" s="24">
        <v>135</v>
      </c>
      <c r="Z12" s="24">
        <v>127</v>
      </c>
      <c r="AA12" s="24">
        <v>27</v>
      </c>
      <c r="AB12" s="22">
        <v>789</v>
      </c>
      <c r="AC12" s="22">
        <f t="shared" si="3"/>
        <v>1838</v>
      </c>
      <c r="AD12" s="23">
        <f t="shared" si="4"/>
        <v>2.329531051964512</v>
      </c>
      <c r="AE12" s="24"/>
      <c r="AF12" s="24"/>
      <c r="AG12" s="24"/>
      <c r="AH12" s="24"/>
      <c r="AI12" s="24"/>
      <c r="AJ12" s="24"/>
      <c r="AK12" s="24">
        <v>48</v>
      </c>
      <c r="AL12" s="24">
        <v>84</v>
      </c>
      <c r="AM12" s="24">
        <v>23</v>
      </c>
      <c r="AN12" s="24"/>
      <c r="AO12" s="24">
        <v>2</v>
      </c>
      <c r="AP12" s="24">
        <v>19</v>
      </c>
      <c r="AQ12" s="24">
        <v>9</v>
      </c>
      <c r="AR12" s="24">
        <v>20</v>
      </c>
      <c r="AS12" s="24">
        <v>31</v>
      </c>
      <c r="AT12" s="24">
        <v>29</v>
      </c>
      <c r="AU12" s="24">
        <v>34</v>
      </c>
      <c r="AV12" s="24">
        <v>29</v>
      </c>
      <c r="AW12" s="24">
        <v>19</v>
      </c>
      <c r="AX12" s="24">
        <v>12</v>
      </c>
      <c r="AY12" s="24">
        <v>11</v>
      </c>
      <c r="AZ12" s="24">
        <v>7</v>
      </c>
      <c r="BA12" s="24">
        <v>7</v>
      </c>
      <c r="BB12" s="24">
        <v>2</v>
      </c>
      <c r="BC12" s="32">
        <v>189</v>
      </c>
      <c r="BD12" s="32">
        <f t="shared" si="6"/>
        <v>210</v>
      </c>
      <c r="BE12" s="23">
        <f t="shared" si="7"/>
        <v>1.1111111111111112</v>
      </c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>
        <v>209</v>
      </c>
      <c r="BS12" s="24">
        <v>440</v>
      </c>
      <c r="BT12" s="24">
        <v>56</v>
      </c>
      <c r="BU12" s="24">
        <v>202</v>
      </c>
      <c r="BV12" s="24">
        <v>482</v>
      </c>
      <c r="BW12" s="24">
        <v>286</v>
      </c>
      <c r="BX12" s="24">
        <v>236</v>
      </c>
      <c r="BY12" s="24">
        <v>267</v>
      </c>
      <c r="BZ12" s="24">
        <v>223</v>
      </c>
      <c r="CA12" s="24">
        <v>390</v>
      </c>
      <c r="CB12" s="24">
        <v>336</v>
      </c>
      <c r="CC12" s="24">
        <v>223</v>
      </c>
      <c r="CD12" s="25">
        <v>1645</v>
      </c>
      <c r="CE12" s="25">
        <v>2821</v>
      </c>
      <c r="CF12" s="23">
        <f t="shared" si="8"/>
        <v>1.7148936170212765</v>
      </c>
      <c r="CG12" s="24"/>
      <c r="CH12" s="24"/>
      <c r="CI12" s="24">
        <v>200</v>
      </c>
      <c r="CJ12" s="24"/>
      <c r="CK12" s="24">
        <v>99.1</v>
      </c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18"/>
      <c r="DF12" s="18">
        <f t="shared" si="9"/>
        <v>0</v>
      </c>
      <c r="DG12" s="23">
        <v>0</v>
      </c>
      <c r="DH12" s="24"/>
      <c r="DI12" s="24">
        <v>25</v>
      </c>
      <c r="DJ12" s="24">
        <v>55</v>
      </c>
      <c r="DK12" s="24">
        <v>275</v>
      </c>
      <c r="DL12" s="24">
        <v>75</v>
      </c>
      <c r="DM12" s="24">
        <v>35</v>
      </c>
      <c r="DN12" s="24">
        <v>20</v>
      </c>
      <c r="DO12" s="24">
        <v>20</v>
      </c>
      <c r="DP12" s="24">
        <v>5</v>
      </c>
      <c r="DQ12" s="24">
        <v>5</v>
      </c>
      <c r="DR12" s="24">
        <v>20</v>
      </c>
      <c r="DS12" s="24">
        <v>10</v>
      </c>
      <c r="DT12" s="24">
        <v>60</v>
      </c>
      <c r="DU12" s="24">
        <v>150</v>
      </c>
      <c r="DV12" s="24">
        <v>80</v>
      </c>
      <c r="DW12" s="24">
        <v>50</v>
      </c>
      <c r="DX12" s="24">
        <v>140</v>
      </c>
      <c r="DY12" s="24">
        <v>140</v>
      </c>
      <c r="DZ12" s="24">
        <v>178</v>
      </c>
      <c r="EA12" s="24">
        <v>250</v>
      </c>
      <c r="EB12" s="24">
        <v>150</v>
      </c>
      <c r="EC12" s="24">
        <v>60</v>
      </c>
      <c r="ED12" s="24">
        <v>120</v>
      </c>
      <c r="EE12" s="24">
        <v>100</v>
      </c>
      <c r="EF12" s="18">
        <v>1254.8722212809366</v>
      </c>
      <c r="EG12" s="18">
        <f t="shared" si="11"/>
        <v>1478</v>
      </c>
      <c r="EH12" s="23">
        <f t="shared" si="12"/>
        <v>1.1778091625068416</v>
      </c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>
        <v>1101.755128</v>
      </c>
      <c r="EV12" s="24">
        <v>980.00067999999999</v>
      </c>
      <c r="EW12" s="24">
        <v>747.06</v>
      </c>
      <c r="EX12" s="24">
        <v>1270.0768880000001</v>
      </c>
      <c r="EY12" s="24">
        <v>1055.8150000000001</v>
      </c>
      <c r="EZ12" s="24">
        <v>2758.6019999999999</v>
      </c>
      <c r="FA12" s="24">
        <v>1822.1010000000001</v>
      </c>
      <c r="FB12" s="24">
        <v>3882.1400000000003</v>
      </c>
      <c r="FC12" s="24">
        <v>2336.3549279999997</v>
      </c>
      <c r="FD12" s="24">
        <v>533.70000000000005</v>
      </c>
      <c r="FE12" s="24">
        <v>3191.7601840000007</v>
      </c>
      <c r="FF12" s="24"/>
      <c r="FG12" s="18">
        <v>3041.9760452781848</v>
      </c>
      <c r="FH12" s="18">
        <v>3130.175616</v>
      </c>
      <c r="FI12" s="23">
        <v>1.0289941700424368</v>
      </c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3"/>
    </row>
    <row r="13" spans="1:192" s="14" customFormat="1" ht="24.95" customHeight="1">
      <c r="A13" s="19">
        <f t="shared" si="14"/>
        <v>7</v>
      </c>
      <c r="B13" s="20" t="s">
        <v>45</v>
      </c>
      <c r="C13" s="21">
        <v>11142</v>
      </c>
      <c r="D13" s="21"/>
      <c r="E13" s="21"/>
      <c r="F13" s="21"/>
      <c r="G13" s="24">
        <v>98</v>
      </c>
      <c r="H13" s="24">
        <v>117</v>
      </c>
      <c r="I13" s="24">
        <v>91</v>
      </c>
      <c r="J13" s="24">
        <v>79</v>
      </c>
      <c r="K13" s="24">
        <v>63</v>
      </c>
      <c r="L13" s="24">
        <v>107</v>
      </c>
      <c r="M13" s="24">
        <v>50</v>
      </c>
      <c r="N13" s="24">
        <v>107</v>
      </c>
      <c r="O13" s="24">
        <v>127</v>
      </c>
      <c r="P13" s="24">
        <v>64</v>
      </c>
      <c r="Q13" s="24">
        <v>29</v>
      </c>
      <c r="R13" s="24">
        <v>120</v>
      </c>
      <c r="S13" s="24">
        <v>355</v>
      </c>
      <c r="T13" s="24">
        <v>27</v>
      </c>
      <c r="U13" s="24">
        <v>45</v>
      </c>
      <c r="V13" s="24">
        <v>50</v>
      </c>
      <c r="W13" s="24">
        <v>98</v>
      </c>
      <c r="X13" s="24">
        <v>85</v>
      </c>
      <c r="Y13" s="24">
        <v>70</v>
      </c>
      <c r="Z13" s="24">
        <v>62</v>
      </c>
      <c r="AA13" s="24">
        <v>12</v>
      </c>
      <c r="AB13" s="22">
        <v>503</v>
      </c>
      <c r="AC13" s="22">
        <f t="shared" si="3"/>
        <v>1017</v>
      </c>
      <c r="AD13" s="23">
        <f t="shared" si="4"/>
        <v>2.0218687872763419</v>
      </c>
      <c r="AE13" s="24"/>
      <c r="AF13" s="24"/>
      <c r="AG13" s="24"/>
      <c r="AH13" s="24"/>
      <c r="AI13" s="24"/>
      <c r="AJ13" s="24"/>
      <c r="AK13" s="24">
        <v>50</v>
      </c>
      <c r="AL13" s="24">
        <v>101</v>
      </c>
      <c r="AM13" s="24">
        <v>8</v>
      </c>
      <c r="AN13" s="24"/>
      <c r="AO13" s="24">
        <v>6</v>
      </c>
      <c r="AP13" s="24"/>
      <c r="AQ13" s="24">
        <v>11</v>
      </c>
      <c r="AR13" s="24">
        <v>46</v>
      </c>
      <c r="AS13" s="24">
        <v>21</v>
      </c>
      <c r="AT13" s="24">
        <v>25</v>
      </c>
      <c r="AU13" s="24">
        <v>38</v>
      </c>
      <c r="AV13" s="24">
        <v>29</v>
      </c>
      <c r="AW13" s="24">
        <v>21</v>
      </c>
      <c r="AX13" s="24">
        <v>11</v>
      </c>
      <c r="AY13" s="24">
        <v>13</v>
      </c>
      <c r="AZ13" s="24">
        <v>16</v>
      </c>
      <c r="BA13" s="24">
        <v>4</v>
      </c>
      <c r="BB13" s="24">
        <v>9</v>
      </c>
      <c r="BC13" s="32">
        <v>225</v>
      </c>
      <c r="BD13" s="32">
        <f t="shared" si="6"/>
        <v>244</v>
      </c>
      <c r="BE13" s="23">
        <f t="shared" si="7"/>
        <v>1.0844444444444445</v>
      </c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>
        <v>139</v>
      </c>
      <c r="BS13" s="24">
        <v>290</v>
      </c>
      <c r="BT13" s="24">
        <v>86</v>
      </c>
      <c r="BU13" s="24">
        <v>96</v>
      </c>
      <c r="BV13" s="24">
        <v>179</v>
      </c>
      <c r="BW13" s="24">
        <v>115</v>
      </c>
      <c r="BX13" s="24">
        <v>154</v>
      </c>
      <c r="BY13" s="24">
        <v>153</v>
      </c>
      <c r="BZ13" s="24">
        <v>168</v>
      </c>
      <c r="CA13" s="24">
        <v>105</v>
      </c>
      <c r="CB13" s="24">
        <v>162</v>
      </c>
      <c r="CC13" s="24">
        <v>41</v>
      </c>
      <c r="CD13" s="25">
        <v>1038</v>
      </c>
      <c r="CE13" s="25">
        <v>1458</v>
      </c>
      <c r="CF13" s="23">
        <f t="shared" si="8"/>
        <v>1.4046242774566473</v>
      </c>
      <c r="CG13" s="24"/>
      <c r="CH13" s="24"/>
      <c r="CI13" s="24">
        <v>100</v>
      </c>
      <c r="CJ13" s="24"/>
      <c r="CK13" s="24"/>
      <c r="CL13" s="24"/>
      <c r="CM13" s="24">
        <v>100</v>
      </c>
      <c r="CN13" s="24">
        <v>2.7</v>
      </c>
      <c r="CO13" s="24">
        <v>100</v>
      </c>
      <c r="CP13" s="24">
        <v>200</v>
      </c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18"/>
      <c r="DF13" s="18">
        <f t="shared" si="9"/>
        <v>0</v>
      </c>
      <c r="DG13" s="23">
        <v>0</v>
      </c>
      <c r="DH13" s="24"/>
      <c r="DI13" s="24"/>
      <c r="DJ13" s="24">
        <v>35</v>
      </c>
      <c r="DK13" s="24">
        <v>250</v>
      </c>
      <c r="DL13" s="24">
        <v>62.5</v>
      </c>
      <c r="DM13" s="24">
        <v>40</v>
      </c>
      <c r="DN13" s="24">
        <v>125</v>
      </c>
      <c r="DO13" s="24"/>
      <c r="DP13" s="24">
        <v>5</v>
      </c>
      <c r="DQ13" s="24"/>
      <c r="DR13" s="24"/>
      <c r="DS13" s="24">
        <v>5</v>
      </c>
      <c r="DT13" s="24">
        <v>50</v>
      </c>
      <c r="DU13" s="24">
        <v>90</v>
      </c>
      <c r="DV13" s="24">
        <v>10</v>
      </c>
      <c r="DW13" s="24">
        <v>0</v>
      </c>
      <c r="DX13" s="24">
        <v>140</v>
      </c>
      <c r="DY13" s="24">
        <v>440</v>
      </c>
      <c r="DZ13" s="24">
        <v>160</v>
      </c>
      <c r="EA13" s="24">
        <v>295</v>
      </c>
      <c r="EB13" s="24">
        <v>60</v>
      </c>
      <c r="EC13" s="24">
        <v>190</v>
      </c>
      <c r="ED13" s="24">
        <v>170</v>
      </c>
      <c r="EE13" s="24">
        <v>120</v>
      </c>
      <c r="EF13" s="18">
        <v>1417.6540694433627</v>
      </c>
      <c r="EG13" s="18">
        <f t="shared" si="11"/>
        <v>1725</v>
      </c>
      <c r="EH13" s="23">
        <f t="shared" si="12"/>
        <v>1.2167989618774315</v>
      </c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>
        <v>220.6</v>
      </c>
      <c r="EV13" s="24">
        <v>199</v>
      </c>
      <c r="EW13" s="24">
        <v>168</v>
      </c>
      <c r="EX13" s="24">
        <v>949.93000000000006</v>
      </c>
      <c r="EY13" s="24">
        <v>865</v>
      </c>
      <c r="EZ13" s="24">
        <v>336.8</v>
      </c>
      <c r="FA13" s="24">
        <v>745</v>
      </c>
      <c r="FB13" s="24">
        <v>473.6</v>
      </c>
      <c r="FC13" s="24">
        <v>490.84500000000003</v>
      </c>
      <c r="FD13" s="24">
        <v>85</v>
      </c>
      <c r="FE13" s="24">
        <v>396.36</v>
      </c>
      <c r="FF13" s="24"/>
      <c r="FG13" s="18">
        <v>2036.6876738513199</v>
      </c>
      <c r="FH13" s="18">
        <v>2258.8820000000001</v>
      </c>
      <c r="FI13" s="23">
        <v>1.1997910028818173</v>
      </c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3"/>
    </row>
    <row r="14" spans="1:192" s="14" customFormat="1" ht="32.25" customHeight="1">
      <c r="A14" s="9"/>
      <c r="B14" s="10" t="s">
        <v>7</v>
      </c>
      <c r="C14" s="11"/>
      <c r="D14" s="11"/>
      <c r="E14" s="11"/>
      <c r="F14" s="11"/>
      <c r="G14" s="12">
        <v>1104</v>
      </c>
      <c r="H14" s="12">
        <v>1091</v>
      </c>
      <c r="I14" s="12">
        <v>1139</v>
      </c>
      <c r="J14" s="12">
        <v>1162</v>
      </c>
      <c r="K14" s="12">
        <v>1095</v>
      </c>
      <c r="L14" s="12">
        <v>1102</v>
      </c>
      <c r="M14" s="12">
        <v>1091</v>
      </c>
      <c r="N14" s="12">
        <v>1029</v>
      </c>
      <c r="O14" s="12">
        <v>1019</v>
      </c>
      <c r="P14" s="12">
        <v>518</v>
      </c>
      <c r="Q14" s="12">
        <v>434</v>
      </c>
      <c r="R14" s="12">
        <v>999</v>
      </c>
      <c r="S14" s="12">
        <v>1462</v>
      </c>
      <c r="T14" s="12">
        <v>1009</v>
      </c>
      <c r="U14" s="12">
        <v>1601</v>
      </c>
      <c r="V14" s="12">
        <v>1132</v>
      </c>
      <c r="W14" s="12">
        <v>1463</v>
      </c>
      <c r="X14" s="12">
        <v>987</v>
      </c>
      <c r="Y14" s="12">
        <v>482</v>
      </c>
      <c r="Z14" s="12">
        <v>1037</v>
      </c>
      <c r="AA14" s="12">
        <v>174</v>
      </c>
      <c r="AB14" s="12">
        <v>7249</v>
      </c>
      <c r="AC14" s="12">
        <f t="shared" si="3"/>
        <v>11298</v>
      </c>
      <c r="AD14" s="13">
        <f t="shared" si="4"/>
        <v>1.5585598013519106</v>
      </c>
      <c r="AE14" s="12"/>
      <c r="AF14" s="12"/>
      <c r="AG14" s="12"/>
      <c r="AH14" s="12"/>
      <c r="AI14" s="12">
        <f>+SUM(AI15:AI20)</f>
        <v>0</v>
      </c>
      <c r="AJ14" s="12">
        <f t="shared" ref="AJ14:BB14" si="15">+SUM(AJ15:AJ20)</f>
        <v>36</v>
      </c>
      <c r="AK14" s="12">
        <f t="shared" si="15"/>
        <v>1095</v>
      </c>
      <c r="AL14" s="12">
        <f t="shared" si="15"/>
        <v>1878</v>
      </c>
      <c r="AM14" s="12">
        <f t="shared" si="15"/>
        <v>432</v>
      </c>
      <c r="AN14" s="12">
        <f t="shared" si="15"/>
        <v>65</v>
      </c>
      <c r="AO14" s="12">
        <f t="shared" si="15"/>
        <v>154</v>
      </c>
      <c r="AP14" s="12">
        <f t="shared" si="15"/>
        <v>35</v>
      </c>
      <c r="AQ14" s="12">
        <f t="shared" si="15"/>
        <v>293</v>
      </c>
      <c r="AR14" s="12">
        <f t="shared" si="15"/>
        <v>614</v>
      </c>
      <c r="AS14" s="12">
        <f t="shared" si="15"/>
        <v>552</v>
      </c>
      <c r="AT14" s="12">
        <f t="shared" si="15"/>
        <v>419</v>
      </c>
      <c r="AU14" s="12">
        <f t="shared" si="15"/>
        <v>462</v>
      </c>
      <c r="AV14" s="12">
        <f t="shared" si="15"/>
        <v>434</v>
      </c>
      <c r="AW14" s="12">
        <f t="shared" si="15"/>
        <v>433</v>
      </c>
      <c r="AX14" s="12">
        <f t="shared" si="15"/>
        <v>269</v>
      </c>
      <c r="AY14" s="12">
        <f t="shared" si="15"/>
        <v>332</v>
      </c>
      <c r="AZ14" s="12">
        <f t="shared" si="15"/>
        <v>361</v>
      </c>
      <c r="BA14" s="12">
        <f t="shared" si="15"/>
        <v>275</v>
      </c>
      <c r="BB14" s="12">
        <f t="shared" si="15"/>
        <v>239</v>
      </c>
      <c r="BC14" s="12">
        <v>4054</v>
      </c>
      <c r="BD14" s="12">
        <f t="shared" si="6"/>
        <v>4683</v>
      </c>
      <c r="BE14" s="13">
        <f t="shared" si="7"/>
        <v>1.1551554020720276</v>
      </c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>
        <v>1930</v>
      </c>
      <c r="BS14" s="12">
        <v>2277</v>
      </c>
      <c r="BT14" s="12">
        <v>1510</v>
      </c>
      <c r="BU14" s="12">
        <v>1388</v>
      </c>
      <c r="BV14" s="12">
        <v>1870</v>
      </c>
      <c r="BW14" s="12">
        <v>1859</v>
      </c>
      <c r="BX14" s="12">
        <v>1451</v>
      </c>
      <c r="BY14" s="12">
        <v>1050</v>
      </c>
      <c r="BZ14" s="12">
        <v>879</v>
      </c>
      <c r="CA14" s="12">
        <v>1277</v>
      </c>
      <c r="CB14" s="12">
        <v>1558</v>
      </c>
      <c r="CC14" s="12">
        <v>1193</v>
      </c>
      <c r="CD14" s="12">
        <f t="shared" ref="CD14:CE14" si="16">+SUM(CD15:CD20)</f>
        <v>10995</v>
      </c>
      <c r="CE14" s="12">
        <f t="shared" si="16"/>
        <v>15491</v>
      </c>
      <c r="CF14" s="13">
        <f t="shared" si="8"/>
        <v>1.4089131423374261</v>
      </c>
      <c r="CG14" s="12">
        <v>0</v>
      </c>
      <c r="CH14" s="12">
        <v>0</v>
      </c>
      <c r="CI14" s="12">
        <v>412.82499999999999</v>
      </c>
      <c r="CJ14" s="12">
        <v>1805.3789999999999</v>
      </c>
      <c r="CK14" s="12">
        <v>5342.259</v>
      </c>
      <c r="CL14" s="12">
        <v>3094.5160799999999</v>
      </c>
      <c r="CM14" s="12">
        <v>5783.4257730999998</v>
      </c>
      <c r="CN14" s="12">
        <v>4387.6322420300003</v>
      </c>
      <c r="CO14" s="12">
        <v>4646.3053</v>
      </c>
      <c r="CP14" s="12">
        <v>4931.3055359999998</v>
      </c>
      <c r="CQ14" s="12">
        <v>1226.4392472</v>
      </c>
      <c r="CR14" s="12">
        <v>0</v>
      </c>
      <c r="CS14" s="12">
        <v>3504.5</v>
      </c>
      <c r="CT14" s="12">
        <v>2846.2439999999997</v>
      </c>
      <c r="CU14" s="12">
        <v>3186.2919999999995</v>
      </c>
      <c r="CV14" s="12">
        <v>4966.2571229999994</v>
      </c>
      <c r="CW14" s="12">
        <v>3553.7949779999999</v>
      </c>
      <c r="CX14" s="12">
        <v>966.52599999999995</v>
      </c>
      <c r="CY14" s="12">
        <v>2040.4649999999999</v>
      </c>
      <c r="CZ14" s="12">
        <v>1834.1840000000002</v>
      </c>
      <c r="DA14" s="12">
        <v>2623.9331899999997</v>
      </c>
      <c r="DB14" s="12">
        <v>6387.4416000000001</v>
      </c>
      <c r="DC14" s="12">
        <v>4188.95</v>
      </c>
      <c r="DD14" s="12">
        <v>590</v>
      </c>
      <c r="DE14" s="12">
        <v>35815.908774833733</v>
      </c>
      <c r="DF14" s="12">
        <f t="shared" si="9"/>
        <v>36688.587891000003</v>
      </c>
      <c r="DG14" s="13">
        <f t="shared" si="10"/>
        <v>1.0243656840219413</v>
      </c>
      <c r="DH14" s="12">
        <v>0</v>
      </c>
      <c r="DI14" s="12">
        <v>135</v>
      </c>
      <c r="DJ14" s="12">
        <v>622.70049999999992</v>
      </c>
      <c r="DK14" s="12">
        <v>7167.3515499999994</v>
      </c>
      <c r="DL14" s="12">
        <v>4723.7376999999969</v>
      </c>
      <c r="DM14" s="12">
        <v>5479.5149999999985</v>
      </c>
      <c r="DN14" s="12">
        <v>7216.2524999999969</v>
      </c>
      <c r="DO14" s="12">
        <v>9793.3000000000084</v>
      </c>
      <c r="DP14" s="12">
        <v>6256.5599999999949</v>
      </c>
      <c r="DQ14" s="12">
        <v>4989.9999999999982</v>
      </c>
      <c r="DR14" s="12">
        <v>3314.1400000000003</v>
      </c>
      <c r="DS14" s="12">
        <v>1878.55</v>
      </c>
      <c r="DT14" s="12">
        <v>5364.3862999999992</v>
      </c>
      <c r="DU14" s="12">
        <v>9307.5525440000019</v>
      </c>
      <c r="DV14" s="12">
        <v>11933.521940000006</v>
      </c>
      <c r="DW14" s="12">
        <v>4498.0019999999968</v>
      </c>
      <c r="DX14" s="12">
        <v>2056.6489999999976</v>
      </c>
      <c r="DY14" s="12">
        <v>3031.0777646600036</v>
      </c>
      <c r="DZ14" s="12">
        <v>3304.8421439900048</v>
      </c>
      <c r="EA14" s="12">
        <v>3900.1772719999863</v>
      </c>
      <c r="EB14" s="12">
        <v>4552.7007591000074</v>
      </c>
      <c r="EC14" s="12">
        <v>2992.6419999999998</v>
      </c>
      <c r="ED14" s="12">
        <v>698.14408759000071</v>
      </c>
      <c r="EE14" s="12">
        <v>67.031759420002345</v>
      </c>
      <c r="EF14" s="12">
        <v>36912.024128869176</v>
      </c>
      <c r="EG14" s="12">
        <f t="shared" si="11"/>
        <v>51706.727570760006</v>
      </c>
      <c r="EH14" s="13">
        <f t="shared" si="12"/>
        <v>1.4008098659189969</v>
      </c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>
        <f>+SUM(EU15:EU20)</f>
        <v>33559.655022999999</v>
      </c>
      <c r="EV14" s="12">
        <f t="shared" ref="EV14:FF14" si="17">+SUM(EV15:EV20)</f>
        <v>64386.356602</v>
      </c>
      <c r="EW14" s="12">
        <f t="shared" si="17"/>
        <v>84010.700606700004</v>
      </c>
      <c r="EX14" s="12">
        <f t="shared" si="17"/>
        <v>80524.741911000005</v>
      </c>
      <c r="EY14" s="12">
        <f t="shared" si="17"/>
        <v>49895.951928999995</v>
      </c>
      <c r="EZ14" s="12">
        <f t="shared" si="17"/>
        <v>19959.416181000004</v>
      </c>
      <c r="FA14" s="12">
        <f t="shared" si="17"/>
        <v>33668.573224799999</v>
      </c>
      <c r="FB14" s="12">
        <f t="shared" si="17"/>
        <v>19369.649433980001</v>
      </c>
      <c r="FC14" s="12">
        <f t="shared" si="17"/>
        <v>15929.856154479996</v>
      </c>
      <c r="FD14" s="12">
        <f t="shared" si="17"/>
        <v>24347.82391237</v>
      </c>
      <c r="FE14" s="12">
        <f t="shared" si="17"/>
        <v>16081.5053137</v>
      </c>
      <c r="FF14" s="12">
        <f t="shared" si="17"/>
        <v>8248.348</v>
      </c>
      <c r="FG14" s="12">
        <v>257958.68269993624</v>
      </c>
      <c r="FH14" s="12">
        <v>308985.20480150002</v>
      </c>
      <c r="FI14" s="13">
        <v>1.1978088954691983</v>
      </c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>
        <v>0</v>
      </c>
      <c r="GH14" s="12">
        <v>0</v>
      </c>
      <c r="GI14" s="12">
        <v>0</v>
      </c>
      <c r="GJ14" s="13"/>
    </row>
    <row r="15" spans="1:192" s="14" customFormat="1" ht="24.95" customHeight="1">
      <c r="A15" s="19">
        <f t="shared" si="14"/>
        <v>1</v>
      </c>
      <c r="B15" s="20" t="s">
        <v>67</v>
      </c>
      <c r="C15" s="21">
        <v>11198</v>
      </c>
      <c r="D15" s="21"/>
      <c r="E15" s="21"/>
      <c r="F15" s="21"/>
      <c r="G15" s="24">
        <v>278</v>
      </c>
      <c r="H15" s="24">
        <v>291</v>
      </c>
      <c r="I15" s="24">
        <v>148</v>
      </c>
      <c r="J15" s="24">
        <v>192</v>
      </c>
      <c r="K15" s="24">
        <v>182</v>
      </c>
      <c r="L15" s="24">
        <v>173</v>
      </c>
      <c r="M15" s="24">
        <v>185</v>
      </c>
      <c r="N15" s="24">
        <v>169</v>
      </c>
      <c r="O15" s="24">
        <v>170</v>
      </c>
      <c r="P15" s="24">
        <v>63</v>
      </c>
      <c r="Q15" s="24">
        <v>16</v>
      </c>
      <c r="R15" s="24">
        <v>271</v>
      </c>
      <c r="S15" s="24">
        <v>190</v>
      </c>
      <c r="T15" s="24">
        <v>303</v>
      </c>
      <c r="U15" s="24">
        <v>159</v>
      </c>
      <c r="V15" s="24">
        <v>216</v>
      </c>
      <c r="W15" s="24">
        <v>304</v>
      </c>
      <c r="X15" s="24">
        <v>259</v>
      </c>
      <c r="Y15" s="24">
        <v>136</v>
      </c>
      <c r="Z15" s="24">
        <v>226</v>
      </c>
      <c r="AA15" s="24">
        <v>16</v>
      </c>
      <c r="AB15" s="22">
        <v>1061</v>
      </c>
      <c r="AC15" s="22">
        <f t="shared" si="3"/>
        <v>2159</v>
      </c>
      <c r="AD15" s="23">
        <f t="shared" si="4"/>
        <v>2.0348727615457114</v>
      </c>
      <c r="AE15" s="24"/>
      <c r="AF15" s="24"/>
      <c r="AG15" s="24"/>
      <c r="AH15" s="24"/>
      <c r="AI15" s="24"/>
      <c r="AJ15" s="24"/>
      <c r="AK15" s="24">
        <v>76</v>
      </c>
      <c r="AL15" s="24">
        <v>86</v>
      </c>
      <c r="AM15" s="24">
        <v>18</v>
      </c>
      <c r="AN15" s="24">
        <v>1</v>
      </c>
      <c r="AO15" s="24">
        <v>1</v>
      </c>
      <c r="AP15" s="24"/>
      <c r="AQ15" s="24">
        <v>5</v>
      </c>
      <c r="AR15" s="24">
        <v>10</v>
      </c>
      <c r="AS15" s="24">
        <v>11</v>
      </c>
      <c r="AT15" s="24">
        <v>9</v>
      </c>
      <c r="AU15" s="24">
        <v>5</v>
      </c>
      <c r="AV15" s="24">
        <v>7</v>
      </c>
      <c r="AW15" s="24">
        <v>4</v>
      </c>
      <c r="AX15" s="24">
        <v>6</v>
      </c>
      <c r="AY15" s="24">
        <v>14</v>
      </c>
      <c r="AZ15" s="24">
        <v>3</v>
      </c>
      <c r="BA15" s="24">
        <v>4</v>
      </c>
      <c r="BB15" s="24">
        <v>12</v>
      </c>
      <c r="BC15" s="32">
        <v>74</v>
      </c>
      <c r="BD15" s="32">
        <f t="shared" si="6"/>
        <v>90</v>
      </c>
      <c r="BE15" s="23">
        <f t="shared" si="7"/>
        <v>1.2162162162162162</v>
      </c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>
        <v>98</v>
      </c>
      <c r="BS15" s="24">
        <v>52</v>
      </c>
      <c r="BT15" s="24">
        <v>43</v>
      </c>
      <c r="BU15" s="24">
        <v>27</v>
      </c>
      <c r="BV15" s="24">
        <v>31</v>
      </c>
      <c r="BW15" s="24">
        <v>76</v>
      </c>
      <c r="BX15" s="24">
        <v>34</v>
      </c>
      <c r="BY15" s="24">
        <v>83</v>
      </c>
      <c r="BZ15" s="24">
        <v>62</v>
      </c>
      <c r="CA15" s="24">
        <v>184</v>
      </c>
      <c r="CB15" s="24">
        <v>192</v>
      </c>
      <c r="CC15" s="24">
        <v>163</v>
      </c>
      <c r="CD15" s="25">
        <v>549</v>
      </c>
      <c r="CE15" s="25">
        <v>625</v>
      </c>
      <c r="CF15" s="23">
        <f>+CE15/CD15</f>
        <v>1.1384335154826959</v>
      </c>
      <c r="CG15" s="24"/>
      <c r="CH15" s="24"/>
      <c r="CI15" s="24">
        <v>100</v>
      </c>
      <c r="CJ15" s="24">
        <v>350</v>
      </c>
      <c r="CK15" s="24"/>
      <c r="CL15" s="24">
        <v>100</v>
      </c>
      <c r="CM15" s="24">
        <v>400</v>
      </c>
      <c r="CN15" s="24">
        <v>197.94863396</v>
      </c>
      <c r="CO15" s="24">
        <v>710</v>
      </c>
      <c r="CP15" s="24">
        <v>723.07595200000003</v>
      </c>
      <c r="CQ15" s="24">
        <v>100</v>
      </c>
      <c r="CR15" s="24"/>
      <c r="CS15" s="24">
        <v>925</v>
      </c>
      <c r="CT15" s="24">
        <v>770</v>
      </c>
      <c r="CU15" s="24">
        <v>400</v>
      </c>
      <c r="CV15" s="24">
        <v>1571.37</v>
      </c>
      <c r="CW15" s="24">
        <v>646.36897799999997</v>
      </c>
      <c r="CX15" s="24"/>
      <c r="CY15" s="24">
        <v>300</v>
      </c>
      <c r="CZ15" s="24">
        <v>196.37</v>
      </c>
      <c r="DA15" s="24">
        <v>496.37</v>
      </c>
      <c r="DB15" s="24">
        <v>1303.5259999999998</v>
      </c>
      <c r="DC15" s="24">
        <v>1800</v>
      </c>
      <c r="DD15" s="24"/>
      <c r="DE15" s="18">
        <v>4485.1616176652215</v>
      </c>
      <c r="DF15" s="18">
        <f t="shared" si="9"/>
        <v>8409.004977999999</v>
      </c>
      <c r="DG15" s="23">
        <f t="shared" si="10"/>
        <v>1.8748499373758036</v>
      </c>
      <c r="DH15" s="24"/>
      <c r="DI15" s="24"/>
      <c r="DJ15" s="24">
        <v>64.750500000000002</v>
      </c>
      <c r="DK15" s="24">
        <v>560.91399999999999</v>
      </c>
      <c r="DL15" s="24">
        <v>95</v>
      </c>
      <c r="DM15" s="24">
        <v>173</v>
      </c>
      <c r="DN15" s="24">
        <v>42.5</v>
      </c>
      <c r="DO15" s="24">
        <v>121.79999999999998</v>
      </c>
      <c r="DP15" s="24">
        <v>78.8</v>
      </c>
      <c r="DQ15" s="24">
        <v>31.2</v>
      </c>
      <c r="DR15" s="24">
        <v>47.099999999999994</v>
      </c>
      <c r="DS15" s="24">
        <v>39.6</v>
      </c>
      <c r="DT15" s="24">
        <v>127.5</v>
      </c>
      <c r="DU15" s="24">
        <v>224</v>
      </c>
      <c r="DV15" s="24">
        <v>413.29999999999995</v>
      </c>
      <c r="DW15" s="24">
        <v>41.498000000000047</v>
      </c>
      <c r="DX15" s="24">
        <v>114.69500000000005</v>
      </c>
      <c r="DY15" s="24">
        <v>350.41999999999996</v>
      </c>
      <c r="DZ15" s="24">
        <v>268.83500000000004</v>
      </c>
      <c r="EA15" s="24">
        <v>234.09400000000005</v>
      </c>
      <c r="EB15" s="24">
        <v>147</v>
      </c>
      <c r="EC15" s="24">
        <v>237</v>
      </c>
      <c r="ED15" s="24">
        <v>10</v>
      </c>
      <c r="EE15" s="24">
        <v>0</v>
      </c>
      <c r="EF15" s="18">
        <v>1394.9771856630659</v>
      </c>
      <c r="EG15" s="18">
        <f t="shared" si="11"/>
        <v>2168.3420000000001</v>
      </c>
      <c r="EH15" s="23">
        <f t="shared" si="12"/>
        <v>1.554392446188527</v>
      </c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>
        <v>4293.7114499999998</v>
      </c>
      <c r="EV15" s="24">
        <v>14009.917300000001</v>
      </c>
      <c r="EW15" s="24">
        <v>29975.996859199997</v>
      </c>
      <c r="EX15" s="24">
        <v>19864.833255999998</v>
      </c>
      <c r="EY15" s="24">
        <v>8038.1047419999995</v>
      </c>
      <c r="EZ15" s="24">
        <v>5153.3403159999998</v>
      </c>
      <c r="FA15" s="24">
        <v>12271.680677999999</v>
      </c>
      <c r="FB15" s="24">
        <v>1056.10724</v>
      </c>
      <c r="FC15" s="24">
        <v>2225.4641999999999</v>
      </c>
      <c r="FD15" s="24">
        <v>9767.1611310000008</v>
      </c>
      <c r="FE15" s="24">
        <v>1943.8000000000002</v>
      </c>
      <c r="FF15" s="24">
        <v>500</v>
      </c>
      <c r="FG15" s="18">
        <v>28006.4599503563</v>
      </c>
      <c r="FH15" s="18">
        <v>34670.420317999997</v>
      </c>
      <c r="FI15" s="23">
        <v>1.2379436879725643</v>
      </c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3"/>
    </row>
    <row r="16" spans="1:192" s="14" customFormat="1" ht="24.95" customHeight="1">
      <c r="A16" s="19">
        <f t="shared" si="14"/>
        <v>2</v>
      </c>
      <c r="B16" s="20" t="s">
        <v>44</v>
      </c>
      <c r="C16" s="21">
        <v>11201</v>
      </c>
      <c r="D16" s="21"/>
      <c r="E16" s="21"/>
      <c r="F16" s="21"/>
      <c r="G16" s="24">
        <v>303</v>
      </c>
      <c r="H16" s="24">
        <v>129</v>
      </c>
      <c r="I16" s="24">
        <v>220</v>
      </c>
      <c r="J16" s="24">
        <v>188</v>
      </c>
      <c r="K16" s="24">
        <v>180</v>
      </c>
      <c r="L16" s="24">
        <v>190</v>
      </c>
      <c r="M16" s="24">
        <v>188</v>
      </c>
      <c r="N16" s="24">
        <v>180</v>
      </c>
      <c r="O16" s="24">
        <v>165</v>
      </c>
      <c r="P16" s="24">
        <v>182</v>
      </c>
      <c r="Q16" s="24">
        <v>79</v>
      </c>
      <c r="R16" s="24">
        <v>262</v>
      </c>
      <c r="S16" s="24">
        <v>246</v>
      </c>
      <c r="T16" s="24">
        <v>126</v>
      </c>
      <c r="U16" s="24">
        <v>228</v>
      </c>
      <c r="V16" s="24">
        <v>304</v>
      </c>
      <c r="W16" s="24">
        <v>200</v>
      </c>
      <c r="X16" s="24">
        <v>247</v>
      </c>
      <c r="Y16" s="24">
        <v>77</v>
      </c>
      <c r="Z16" s="24">
        <v>269</v>
      </c>
      <c r="AA16" s="24">
        <v>19</v>
      </c>
      <c r="AB16" s="22">
        <v>1237</v>
      </c>
      <c r="AC16" s="22">
        <f t="shared" si="3"/>
        <v>2239</v>
      </c>
      <c r="AD16" s="23">
        <f t="shared" si="4"/>
        <v>1.8100242522231205</v>
      </c>
      <c r="AE16" s="24"/>
      <c r="AF16" s="24"/>
      <c r="AG16" s="24"/>
      <c r="AH16" s="24"/>
      <c r="AI16" s="24"/>
      <c r="AJ16" s="24"/>
      <c r="AK16" s="24">
        <v>127</v>
      </c>
      <c r="AL16" s="24">
        <v>186</v>
      </c>
      <c r="AM16" s="24">
        <v>51</v>
      </c>
      <c r="AN16" s="24">
        <v>17</v>
      </c>
      <c r="AO16" s="24">
        <v>3</v>
      </c>
      <c r="AP16" s="24">
        <v>16</v>
      </c>
      <c r="AQ16" s="24">
        <v>26</v>
      </c>
      <c r="AR16" s="24">
        <v>57</v>
      </c>
      <c r="AS16" s="24">
        <v>78</v>
      </c>
      <c r="AT16" s="24">
        <v>44</v>
      </c>
      <c r="AU16" s="24">
        <v>63</v>
      </c>
      <c r="AV16" s="24">
        <v>60</v>
      </c>
      <c r="AW16" s="24">
        <v>44</v>
      </c>
      <c r="AX16" s="24">
        <v>18</v>
      </c>
      <c r="AY16" s="24">
        <v>32</v>
      </c>
      <c r="AZ16" s="24">
        <v>38</v>
      </c>
      <c r="BA16" s="24">
        <v>29</v>
      </c>
      <c r="BB16" s="24">
        <v>36</v>
      </c>
      <c r="BC16" s="32">
        <v>484</v>
      </c>
      <c r="BD16" s="32">
        <f t="shared" si="6"/>
        <v>525</v>
      </c>
      <c r="BE16" s="23">
        <f t="shared" si="7"/>
        <v>1.084710743801653</v>
      </c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>
        <v>187</v>
      </c>
      <c r="BS16" s="24">
        <v>407</v>
      </c>
      <c r="BT16" s="24">
        <v>65</v>
      </c>
      <c r="BU16" s="24">
        <v>312</v>
      </c>
      <c r="BV16" s="24">
        <v>548</v>
      </c>
      <c r="BW16" s="24">
        <v>231</v>
      </c>
      <c r="BX16" s="24">
        <v>143</v>
      </c>
      <c r="BY16" s="24">
        <v>106</v>
      </c>
      <c r="BZ16" s="24">
        <v>136</v>
      </c>
      <c r="CA16" s="24">
        <v>204</v>
      </c>
      <c r="CB16" s="24">
        <v>210</v>
      </c>
      <c r="CC16" s="24">
        <v>75</v>
      </c>
      <c r="CD16" s="25">
        <v>1681</v>
      </c>
      <c r="CE16" s="25">
        <v>2344</v>
      </c>
      <c r="CF16" s="23">
        <f>+CE16/CD16</f>
        <v>1.3944080904223677</v>
      </c>
      <c r="CG16" s="24"/>
      <c r="CH16" s="24"/>
      <c r="CI16" s="24">
        <v>200</v>
      </c>
      <c r="CJ16" s="24">
        <v>380</v>
      </c>
      <c r="CK16" s="24">
        <v>1700</v>
      </c>
      <c r="CL16" s="24">
        <v>510</v>
      </c>
      <c r="CM16" s="24">
        <v>802.29937499999994</v>
      </c>
      <c r="CN16" s="24">
        <v>448.5</v>
      </c>
      <c r="CO16" s="24">
        <v>921.50940000000003</v>
      </c>
      <c r="CP16" s="24">
        <v>570.57358399999998</v>
      </c>
      <c r="CQ16" s="24"/>
      <c r="CR16" s="24"/>
      <c r="CS16" s="24">
        <v>1065</v>
      </c>
      <c r="CT16" s="24">
        <v>399.91999999999996</v>
      </c>
      <c r="CU16" s="24">
        <v>818</v>
      </c>
      <c r="CV16" s="24">
        <v>820</v>
      </c>
      <c r="CW16" s="24">
        <v>650</v>
      </c>
      <c r="CX16" s="24">
        <v>100</v>
      </c>
      <c r="CY16" s="24">
        <v>589.04</v>
      </c>
      <c r="CZ16" s="24">
        <v>290</v>
      </c>
      <c r="DA16" s="24">
        <v>420.00919999999996</v>
      </c>
      <c r="DB16" s="24">
        <v>1423.5456000000001</v>
      </c>
      <c r="DC16" s="24">
        <v>315</v>
      </c>
      <c r="DD16" s="24">
        <v>50</v>
      </c>
      <c r="DE16" s="18">
        <v>6225.6667291223575</v>
      </c>
      <c r="DF16" s="18">
        <f t="shared" si="9"/>
        <v>6940.5147999999999</v>
      </c>
      <c r="DG16" s="23">
        <f t="shared" si="10"/>
        <v>1.1148227333682565</v>
      </c>
      <c r="DH16" s="24"/>
      <c r="DI16" s="24">
        <v>5</v>
      </c>
      <c r="DJ16" s="24">
        <v>35</v>
      </c>
      <c r="DK16" s="24">
        <v>817</v>
      </c>
      <c r="DL16" s="24">
        <v>250</v>
      </c>
      <c r="DM16" s="24">
        <v>253</v>
      </c>
      <c r="DN16" s="24">
        <v>360</v>
      </c>
      <c r="DO16" s="24">
        <v>326.565</v>
      </c>
      <c r="DP16" s="24">
        <v>340.65999999999997</v>
      </c>
      <c r="DQ16" s="24">
        <v>207</v>
      </c>
      <c r="DR16" s="24">
        <v>88</v>
      </c>
      <c r="DS16" s="24">
        <v>138</v>
      </c>
      <c r="DT16" s="24">
        <v>485.75</v>
      </c>
      <c r="DU16" s="24">
        <v>767.73199999999997</v>
      </c>
      <c r="DV16" s="24">
        <v>1031.4300000000003</v>
      </c>
      <c r="DW16" s="24">
        <v>1452.4979999999996</v>
      </c>
      <c r="DX16" s="24">
        <v>706.03399999999965</v>
      </c>
      <c r="DY16" s="24">
        <v>1104.3887646599997</v>
      </c>
      <c r="DZ16" s="24">
        <v>1211.80514399</v>
      </c>
      <c r="EA16" s="24">
        <v>795.27999999999975</v>
      </c>
      <c r="EB16" s="24">
        <v>1183.4107590999993</v>
      </c>
      <c r="EC16" s="24">
        <v>413.60200000000077</v>
      </c>
      <c r="ED16" s="24">
        <v>310.65004158999909</v>
      </c>
      <c r="EE16" s="24">
        <v>25.246767419999742</v>
      </c>
      <c r="EF16" s="18">
        <v>3844.0146787031263</v>
      </c>
      <c r="EG16" s="18">
        <f t="shared" si="11"/>
        <v>9487.8274767599978</v>
      </c>
      <c r="EH16" s="23">
        <f t="shared" si="12"/>
        <v>2.468207920569375</v>
      </c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>
        <v>3649.7360000000003</v>
      </c>
      <c r="EV16" s="24">
        <v>5983.3799999999992</v>
      </c>
      <c r="EW16" s="24">
        <v>7735.7977760000003</v>
      </c>
      <c r="EX16" s="24">
        <v>9279.4685499999996</v>
      </c>
      <c r="EY16" s="24">
        <v>12866.343249999998</v>
      </c>
      <c r="EZ16" s="24">
        <v>3564.3604059999998</v>
      </c>
      <c r="FA16" s="24">
        <v>6418.0416246100003</v>
      </c>
      <c r="FB16" s="24">
        <v>5791.4054000000006</v>
      </c>
      <c r="FC16" s="24">
        <v>6768.9246799999992</v>
      </c>
      <c r="FD16" s="24">
        <v>4099.1090000000004</v>
      </c>
      <c r="FE16" s="24">
        <v>4867.5</v>
      </c>
      <c r="FF16" s="24">
        <v>2231.9480000000003</v>
      </c>
      <c r="FG16" s="18">
        <v>50394.369085006176</v>
      </c>
      <c r="FH16" s="18">
        <v>66942.837786000004</v>
      </c>
      <c r="FI16" s="23">
        <v>1.3283793209729355</v>
      </c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3"/>
    </row>
    <row r="17" spans="1:192" s="14" customFormat="1" ht="24.95" customHeight="1">
      <c r="A17" s="19">
        <f t="shared" si="14"/>
        <v>3</v>
      </c>
      <c r="B17" s="20" t="s">
        <v>55</v>
      </c>
      <c r="C17" s="21">
        <v>11202</v>
      </c>
      <c r="D17" s="21"/>
      <c r="E17" s="21"/>
      <c r="F17" s="21"/>
      <c r="G17" s="24">
        <v>87</v>
      </c>
      <c r="H17" s="24">
        <v>94</v>
      </c>
      <c r="I17" s="24">
        <v>191</v>
      </c>
      <c r="J17" s="24">
        <v>221</v>
      </c>
      <c r="K17" s="24">
        <v>183</v>
      </c>
      <c r="L17" s="24">
        <v>175</v>
      </c>
      <c r="M17" s="24">
        <v>176</v>
      </c>
      <c r="N17" s="24">
        <v>169</v>
      </c>
      <c r="O17" s="24">
        <v>171</v>
      </c>
      <c r="P17" s="24">
        <v>138</v>
      </c>
      <c r="Q17" s="24">
        <v>122</v>
      </c>
      <c r="R17" s="24">
        <v>143</v>
      </c>
      <c r="S17" s="24">
        <v>96</v>
      </c>
      <c r="T17" s="24">
        <v>74</v>
      </c>
      <c r="U17" s="24">
        <v>78</v>
      </c>
      <c r="V17" s="24">
        <v>110</v>
      </c>
      <c r="W17" s="24">
        <v>98</v>
      </c>
      <c r="X17" s="24">
        <v>117</v>
      </c>
      <c r="Y17" s="24">
        <v>24</v>
      </c>
      <c r="Z17" s="24">
        <v>131</v>
      </c>
      <c r="AA17" s="24">
        <v>22</v>
      </c>
      <c r="AB17" s="22">
        <v>1012</v>
      </c>
      <c r="AC17" s="22">
        <f t="shared" si="3"/>
        <v>1153</v>
      </c>
      <c r="AD17" s="23">
        <f t="shared" si="4"/>
        <v>1.1393280632411067</v>
      </c>
      <c r="AE17" s="24"/>
      <c r="AF17" s="24"/>
      <c r="AG17" s="24"/>
      <c r="AH17" s="24"/>
      <c r="AI17" s="24"/>
      <c r="AJ17" s="24"/>
      <c r="AK17" s="24">
        <v>307</v>
      </c>
      <c r="AL17" s="24">
        <v>585</v>
      </c>
      <c r="AM17" s="24">
        <v>134</v>
      </c>
      <c r="AN17" s="24">
        <v>16</v>
      </c>
      <c r="AO17" s="24">
        <v>16</v>
      </c>
      <c r="AP17" s="24"/>
      <c r="AQ17" s="24">
        <v>108</v>
      </c>
      <c r="AR17" s="24">
        <v>202</v>
      </c>
      <c r="AS17" s="24">
        <v>170</v>
      </c>
      <c r="AT17" s="24">
        <v>115</v>
      </c>
      <c r="AU17" s="24">
        <v>120</v>
      </c>
      <c r="AV17" s="24">
        <v>93</v>
      </c>
      <c r="AW17" s="24">
        <v>130</v>
      </c>
      <c r="AX17" s="24">
        <v>101</v>
      </c>
      <c r="AY17" s="24">
        <v>98</v>
      </c>
      <c r="AZ17" s="24">
        <v>78</v>
      </c>
      <c r="BA17" s="24">
        <v>95</v>
      </c>
      <c r="BB17" s="24">
        <v>63</v>
      </c>
      <c r="BC17" s="32">
        <v>1200</v>
      </c>
      <c r="BD17" s="32">
        <f t="shared" si="6"/>
        <v>1373</v>
      </c>
      <c r="BE17" s="23">
        <f t="shared" si="7"/>
        <v>1.1441666666666668</v>
      </c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>
        <v>480</v>
      </c>
      <c r="BS17" s="24">
        <v>427</v>
      </c>
      <c r="BT17" s="24">
        <v>153</v>
      </c>
      <c r="BU17" s="24">
        <v>115</v>
      </c>
      <c r="BV17" s="24">
        <v>160</v>
      </c>
      <c r="BW17" s="24">
        <v>285</v>
      </c>
      <c r="BX17" s="24">
        <v>236</v>
      </c>
      <c r="BY17" s="24">
        <v>128</v>
      </c>
      <c r="BZ17" s="24">
        <v>126</v>
      </c>
      <c r="CA17" s="24">
        <v>127</v>
      </c>
      <c r="CB17" s="24">
        <v>402</v>
      </c>
      <c r="CC17" s="24">
        <v>248</v>
      </c>
      <c r="CD17" s="25">
        <v>2142</v>
      </c>
      <c r="CE17" s="25">
        <v>2237</v>
      </c>
      <c r="CF17" s="23">
        <f>+CE17/CD17</f>
        <v>1.0443510737628385</v>
      </c>
      <c r="CG17" s="24"/>
      <c r="CH17" s="24"/>
      <c r="CI17" s="24">
        <v>23</v>
      </c>
      <c r="CJ17" s="24">
        <v>484.375</v>
      </c>
      <c r="CK17" s="24">
        <v>2176.259</v>
      </c>
      <c r="CL17" s="24">
        <v>934.51607999999999</v>
      </c>
      <c r="CM17" s="24">
        <v>2851.1263981000002</v>
      </c>
      <c r="CN17" s="24">
        <v>2143.23260807</v>
      </c>
      <c r="CO17" s="24">
        <v>442.78399999999999</v>
      </c>
      <c r="CP17" s="24">
        <v>1353.6559999999999</v>
      </c>
      <c r="CQ17" s="24">
        <v>552.43924719999995</v>
      </c>
      <c r="CR17" s="24"/>
      <c r="CS17" s="24">
        <v>889.5</v>
      </c>
      <c r="CT17" s="24">
        <v>674.9</v>
      </c>
      <c r="CU17" s="24">
        <v>732.74</v>
      </c>
      <c r="CV17" s="24">
        <v>1238.991123</v>
      </c>
      <c r="CW17" s="24">
        <v>50</v>
      </c>
      <c r="CX17" s="24">
        <v>100</v>
      </c>
      <c r="CY17" s="24">
        <v>496.37</v>
      </c>
      <c r="CZ17" s="24">
        <v>100</v>
      </c>
      <c r="DA17" s="24">
        <v>98.960000000000008</v>
      </c>
      <c r="DB17" s="24">
        <v>454</v>
      </c>
      <c r="DC17" s="24">
        <v>760</v>
      </c>
      <c r="DD17" s="24">
        <v>500</v>
      </c>
      <c r="DE17" s="18">
        <v>3895.9971556416231</v>
      </c>
      <c r="DF17" s="18">
        <f t="shared" si="9"/>
        <v>6095.461123</v>
      </c>
      <c r="DG17" s="23">
        <f t="shared" si="10"/>
        <v>1.564544551623563</v>
      </c>
      <c r="DH17" s="24"/>
      <c r="DI17" s="24">
        <v>5</v>
      </c>
      <c r="DJ17" s="24">
        <v>151.44999999999999</v>
      </c>
      <c r="DK17" s="24">
        <v>1362.0699999999997</v>
      </c>
      <c r="DL17" s="24">
        <v>2164.259999999997</v>
      </c>
      <c r="DM17" s="24">
        <v>2269.1199999999985</v>
      </c>
      <c r="DN17" s="24">
        <v>3941.399999999996</v>
      </c>
      <c r="DO17" s="24">
        <v>4949.9500000000053</v>
      </c>
      <c r="DP17" s="24">
        <v>3722.4999999999945</v>
      </c>
      <c r="DQ17" s="24">
        <v>2583.449999999998</v>
      </c>
      <c r="DR17" s="24">
        <v>1329.7000000000003</v>
      </c>
      <c r="DS17" s="24">
        <v>1112.42</v>
      </c>
      <c r="DT17" s="24">
        <v>1874.1667999999986</v>
      </c>
      <c r="DU17" s="24">
        <v>2829.8745440000025</v>
      </c>
      <c r="DV17" s="24">
        <v>3675.4844400000038</v>
      </c>
      <c r="DW17" s="24">
        <v>1222.2599999999984</v>
      </c>
      <c r="DX17" s="24">
        <v>215.32799999999952</v>
      </c>
      <c r="DY17" s="24">
        <v>50.497999999999593</v>
      </c>
      <c r="DZ17" s="24">
        <v>292.43599999999969</v>
      </c>
      <c r="EA17" s="24">
        <v>393.5570000000007</v>
      </c>
      <c r="EB17" s="24">
        <v>198.29999999999927</v>
      </c>
      <c r="EC17" s="24">
        <v>653.625</v>
      </c>
      <c r="ED17" s="24">
        <v>231.98999999999978</v>
      </c>
      <c r="EE17" s="24">
        <v>16</v>
      </c>
      <c r="EF17" s="18">
        <v>9384.7553410391392</v>
      </c>
      <c r="EG17" s="18">
        <f t="shared" si="11"/>
        <v>11653.519784000002</v>
      </c>
      <c r="EH17" s="23">
        <f t="shared" si="12"/>
        <v>1.2417499828727183</v>
      </c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>
        <v>5662.6015240000006</v>
      </c>
      <c r="EV17" s="24">
        <v>18815.564924999999</v>
      </c>
      <c r="EW17" s="24">
        <v>18382.715260000004</v>
      </c>
      <c r="EX17" s="24">
        <v>16650.433800000003</v>
      </c>
      <c r="EY17" s="24">
        <v>10514.53896</v>
      </c>
      <c r="EZ17" s="24">
        <v>2796.2182790000006</v>
      </c>
      <c r="FA17" s="24">
        <v>4902.6153990700013</v>
      </c>
      <c r="FB17" s="24">
        <v>5727.5713179800014</v>
      </c>
      <c r="FC17" s="24">
        <v>2198.5373624799986</v>
      </c>
      <c r="FD17" s="24">
        <v>1950.7704813699993</v>
      </c>
      <c r="FE17" s="24">
        <v>1391.0453136999997</v>
      </c>
      <c r="FF17" s="24">
        <v>1248.4000000000001</v>
      </c>
      <c r="FG17" s="18">
        <v>53407.766349285259</v>
      </c>
      <c r="FH17" s="18">
        <v>57878.921634999999</v>
      </c>
      <c r="FI17" s="23">
        <v>1.083717324114877</v>
      </c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3"/>
    </row>
    <row r="18" spans="1:192" s="14" customFormat="1" ht="24.95" customHeight="1">
      <c r="A18" s="19">
        <f t="shared" si="14"/>
        <v>4</v>
      </c>
      <c r="B18" s="20" t="s">
        <v>40</v>
      </c>
      <c r="C18" s="21">
        <v>11199</v>
      </c>
      <c r="D18" s="21"/>
      <c r="E18" s="21"/>
      <c r="F18" s="21"/>
      <c r="G18" s="24">
        <v>113</v>
      </c>
      <c r="H18" s="24">
        <v>20</v>
      </c>
      <c r="I18" s="24">
        <v>203</v>
      </c>
      <c r="J18" s="24">
        <v>188</v>
      </c>
      <c r="K18" s="24">
        <v>188</v>
      </c>
      <c r="L18" s="24">
        <v>191</v>
      </c>
      <c r="M18" s="24">
        <v>171</v>
      </c>
      <c r="N18" s="24">
        <v>169</v>
      </c>
      <c r="O18" s="24">
        <v>180</v>
      </c>
      <c r="P18" s="24">
        <v>78</v>
      </c>
      <c r="Q18" s="24">
        <v>137</v>
      </c>
      <c r="R18" s="24">
        <v>154</v>
      </c>
      <c r="S18" s="24">
        <v>217</v>
      </c>
      <c r="T18" s="24">
        <v>237</v>
      </c>
      <c r="U18" s="24">
        <v>235</v>
      </c>
      <c r="V18" s="24">
        <v>191</v>
      </c>
      <c r="W18" s="24">
        <v>149</v>
      </c>
      <c r="X18" s="24"/>
      <c r="Y18" s="24">
        <v>109</v>
      </c>
      <c r="Z18" s="24">
        <v>166</v>
      </c>
      <c r="AA18" s="24">
        <v>37</v>
      </c>
      <c r="AB18" s="22">
        <v>1253</v>
      </c>
      <c r="AC18" s="22">
        <f t="shared" si="3"/>
        <v>1710</v>
      </c>
      <c r="AD18" s="23">
        <f t="shared" si="4"/>
        <v>1.3647246608140462</v>
      </c>
      <c r="AE18" s="24"/>
      <c r="AF18" s="24"/>
      <c r="AG18" s="24"/>
      <c r="AH18" s="24"/>
      <c r="AI18" s="24"/>
      <c r="AJ18" s="24">
        <v>36</v>
      </c>
      <c r="AK18" s="24">
        <v>156</v>
      </c>
      <c r="AL18" s="24">
        <v>354</v>
      </c>
      <c r="AM18" s="24">
        <v>71</v>
      </c>
      <c r="AN18" s="24">
        <v>2</v>
      </c>
      <c r="AO18" s="24">
        <v>51</v>
      </c>
      <c r="AP18" s="24">
        <v>15</v>
      </c>
      <c r="AQ18" s="24">
        <v>42</v>
      </c>
      <c r="AR18" s="24">
        <v>123</v>
      </c>
      <c r="AS18" s="24">
        <v>115</v>
      </c>
      <c r="AT18" s="24">
        <v>86</v>
      </c>
      <c r="AU18" s="24">
        <v>91</v>
      </c>
      <c r="AV18" s="24">
        <v>125</v>
      </c>
      <c r="AW18" s="24">
        <v>109</v>
      </c>
      <c r="AX18" s="24">
        <v>55</v>
      </c>
      <c r="AY18" s="24">
        <v>59</v>
      </c>
      <c r="AZ18" s="24">
        <v>49</v>
      </c>
      <c r="BA18" s="24">
        <v>37</v>
      </c>
      <c r="BB18" s="24">
        <v>34</v>
      </c>
      <c r="BC18" s="32">
        <v>732</v>
      </c>
      <c r="BD18" s="32">
        <f t="shared" si="6"/>
        <v>925</v>
      </c>
      <c r="BE18" s="23">
        <f t="shared" si="7"/>
        <v>1.2636612021857923</v>
      </c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>
        <v>473</v>
      </c>
      <c r="BS18" s="24">
        <v>453</v>
      </c>
      <c r="BT18" s="24">
        <v>327</v>
      </c>
      <c r="BU18" s="24">
        <v>157</v>
      </c>
      <c r="BV18" s="24">
        <v>586</v>
      </c>
      <c r="BW18" s="24">
        <v>751</v>
      </c>
      <c r="BX18" s="24">
        <v>539</v>
      </c>
      <c r="BY18" s="24">
        <v>216</v>
      </c>
      <c r="BZ18" s="24">
        <v>255</v>
      </c>
      <c r="CA18" s="24">
        <v>168</v>
      </c>
      <c r="CB18" s="24">
        <v>181</v>
      </c>
      <c r="CC18" s="24">
        <v>169</v>
      </c>
      <c r="CD18" s="25">
        <v>2207</v>
      </c>
      <c r="CE18" s="25">
        <v>3925</v>
      </c>
      <c r="CF18" s="23">
        <f>+CE18/CD18</f>
        <v>1.7784322609877663</v>
      </c>
      <c r="CG18" s="24"/>
      <c r="CH18" s="24"/>
      <c r="CI18" s="24">
        <v>5</v>
      </c>
      <c r="CJ18" s="24">
        <v>295</v>
      </c>
      <c r="CK18" s="24">
        <v>502</v>
      </c>
      <c r="CL18" s="24">
        <v>600</v>
      </c>
      <c r="CM18" s="24">
        <v>1030</v>
      </c>
      <c r="CN18" s="24">
        <v>550</v>
      </c>
      <c r="CO18" s="24">
        <v>400</v>
      </c>
      <c r="CP18" s="24">
        <v>1292</v>
      </c>
      <c r="CQ18" s="24">
        <v>250</v>
      </c>
      <c r="CR18" s="24"/>
      <c r="CS18" s="24">
        <v>100</v>
      </c>
      <c r="CT18" s="24">
        <v>388.68399999999997</v>
      </c>
      <c r="CU18" s="24">
        <v>270</v>
      </c>
      <c r="CV18" s="24">
        <v>500</v>
      </c>
      <c r="CW18" s="24">
        <v>1112.9000000000001</v>
      </c>
      <c r="CX18" s="24">
        <v>250</v>
      </c>
      <c r="CY18" s="24">
        <v>217.459</v>
      </c>
      <c r="CZ18" s="24">
        <v>354.19200000000001</v>
      </c>
      <c r="DA18" s="24">
        <v>928.06799000000001</v>
      </c>
      <c r="DB18" s="24">
        <v>1259.3699999999999</v>
      </c>
      <c r="DC18" s="24">
        <v>860</v>
      </c>
      <c r="DD18" s="24"/>
      <c r="DE18" s="18">
        <v>6871.9034280767364</v>
      </c>
      <c r="DF18" s="18">
        <f t="shared" si="9"/>
        <v>6240.67299</v>
      </c>
      <c r="DG18" s="23">
        <f t="shared" si="10"/>
        <v>0.90814329032947416</v>
      </c>
      <c r="DH18" s="24"/>
      <c r="DI18" s="24">
        <v>25</v>
      </c>
      <c r="DJ18" s="24">
        <v>51</v>
      </c>
      <c r="DK18" s="24">
        <v>1712.9160000000002</v>
      </c>
      <c r="DL18" s="24">
        <v>992.35399999999993</v>
      </c>
      <c r="DM18" s="24">
        <v>1129.8420000000001</v>
      </c>
      <c r="DN18" s="24">
        <v>917.76000000000079</v>
      </c>
      <c r="DO18" s="24">
        <v>2414.4550000000017</v>
      </c>
      <c r="DP18" s="24">
        <v>657.36999999999989</v>
      </c>
      <c r="DQ18" s="24">
        <v>535.58500000000004</v>
      </c>
      <c r="DR18" s="24">
        <v>489.33999999999992</v>
      </c>
      <c r="DS18" s="24">
        <v>147.6</v>
      </c>
      <c r="DT18" s="24">
        <v>971.08500000000004</v>
      </c>
      <c r="DU18" s="24">
        <v>1844.6999999999998</v>
      </c>
      <c r="DV18" s="24">
        <v>1877.9989999999998</v>
      </c>
      <c r="DW18" s="24">
        <v>648.84000000000015</v>
      </c>
      <c r="DX18" s="24">
        <v>466.49200000000019</v>
      </c>
      <c r="DY18" s="24">
        <v>1044.5210000000006</v>
      </c>
      <c r="DZ18" s="24">
        <v>448.37700000000041</v>
      </c>
      <c r="EA18" s="24">
        <v>713.88640000000032</v>
      </c>
      <c r="EB18" s="24">
        <v>910.80000000000018</v>
      </c>
      <c r="EC18" s="24">
        <v>545</v>
      </c>
      <c r="ED18" s="24">
        <v>0</v>
      </c>
      <c r="EE18" s="24">
        <v>0</v>
      </c>
      <c r="EF18" s="18">
        <v>7245.1732586722073</v>
      </c>
      <c r="EG18" s="18">
        <f t="shared" si="11"/>
        <v>9471.7004000000015</v>
      </c>
      <c r="EH18" s="23">
        <f t="shared" si="12"/>
        <v>1.3073117870111282</v>
      </c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>
        <v>6736.5999999999995</v>
      </c>
      <c r="EV18" s="24">
        <v>6206.3</v>
      </c>
      <c r="EW18" s="24">
        <v>4805.9999999999991</v>
      </c>
      <c r="EX18" s="24">
        <v>5565.5143200000002</v>
      </c>
      <c r="EY18" s="24">
        <v>5712.394918</v>
      </c>
      <c r="EZ18" s="24">
        <v>3562.8359480000008</v>
      </c>
      <c r="FA18" s="24">
        <v>4397.3979110000009</v>
      </c>
      <c r="FB18" s="24">
        <v>3209.0653609999999</v>
      </c>
      <c r="FC18" s="24">
        <v>2378.3500000000004</v>
      </c>
      <c r="FD18" s="24">
        <v>3776.8400000000006</v>
      </c>
      <c r="FE18" s="24">
        <v>1738.569</v>
      </c>
      <c r="FF18" s="24">
        <v>1069</v>
      </c>
      <c r="FG18" s="18">
        <v>35023.858261047717</v>
      </c>
      <c r="FH18" s="18">
        <v>44163.372879000002</v>
      </c>
      <c r="FI18" s="23">
        <v>1.260951107951374</v>
      </c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3"/>
    </row>
    <row r="19" spans="1:192" s="14" customFormat="1" ht="24.95" customHeight="1">
      <c r="A19" s="19">
        <f t="shared" si="14"/>
        <v>5</v>
      </c>
      <c r="B19" s="20" t="s">
        <v>45</v>
      </c>
      <c r="C19" s="21">
        <v>11200</v>
      </c>
      <c r="D19" s="21"/>
      <c r="E19" s="21"/>
      <c r="F19" s="21"/>
      <c r="G19" s="24">
        <v>237</v>
      </c>
      <c r="H19" s="24">
        <v>433</v>
      </c>
      <c r="I19" s="24">
        <v>186</v>
      </c>
      <c r="J19" s="24">
        <v>189</v>
      </c>
      <c r="K19" s="24">
        <v>182</v>
      </c>
      <c r="L19" s="24">
        <v>186</v>
      </c>
      <c r="M19" s="24">
        <v>191</v>
      </c>
      <c r="N19" s="24">
        <v>167</v>
      </c>
      <c r="O19" s="24">
        <v>171</v>
      </c>
      <c r="P19" s="24">
        <v>32</v>
      </c>
      <c r="Q19" s="24">
        <v>58</v>
      </c>
      <c r="R19" s="24">
        <v>92</v>
      </c>
      <c r="S19" s="24">
        <v>389</v>
      </c>
      <c r="T19" s="24">
        <v>121</v>
      </c>
      <c r="U19" s="24">
        <v>490</v>
      </c>
      <c r="V19" s="24">
        <v>244</v>
      </c>
      <c r="W19" s="24">
        <v>526</v>
      </c>
      <c r="X19" s="24">
        <v>297</v>
      </c>
      <c r="Y19" s="24">
        <v>80</v>
      </c>
      <c r="Z19" s="24">
        <v>115</v>
      </c>
      <c r="AA19" s="24">
        <v>58</v>
      </c>
      <c r="AB19" s="22">
        <v>1611</v>
      </c>
      <c r="AC19" s="22">
        <f t="shared" si="3"/>
        <v>2502</v>
      </c>
      <c r="AD19" s="23">
        <f t="shared" si="4"/>
        <v>1.553072625698324</v>
      </c>
      <c r="AE19" s="24"/>
      <c r="AF19" s="24"/>
      <c r="AG19" s="24"/>
      <c r="AH19" s="24"/>
      <c r="AI19" s="24"/>
      <c r="AJ19" s="24"/>
      <c r="AK19" s="24">
        <v>289</v>
      </c>
      <c r="AL19" s="24">
        <v>481</v>
      </c>
      <c r="AM19" s="24">
        <v>106</v>
      </c>
      <c r="AN19" s="24">
        <v>21</v>
      </c>
      <c r="AO19" s="24">
        <v>42</v>
      </c>
      <c r="AP19" s="24">
        <v>1</v>
      </c>
      <c r="AQ19" s="24">
        <v>90</v>
      </c>
      <c r="AR19" s="24">
        <v>163</v>
      </c>
      <c r="AS19" s="24">
        <v>120</v>
      </c>
      <c r="AT19" s="24">
        <v>124</v>
      </c>
      <c r="AU19" s="24">
        <v>123</v>
      </c>
      <c r="AV19" s="24">
        <v>129</v>
      </c>
      <c r="AW19" s="24">
        <v>91</v>
      </c>
      <c r="AX19" s="24">
        <v>36</v>
      </c>
      <c r="AY19" s="24">
        <v>78</v>
      </c>
      <c r="AZ19" s="24">
        <v>155</v>
      </c>
      <c r="BA19" s="24">
        <v>73</v>
      </c>
      <c r="BB19" s="24">
        <v>65</v>
      </c>
      <c r="BC19" s="32">
        <v>1118</v>
      </c>
      <c r="BD19" s="32">
        <f t="shared" si="6"/>
        <v>1247</v>
      </c>
      <c r="BE19" s="23">
        <f t="shared" si="7"/>
        <v>1.1153846153846154</v>
      </c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>
        <v>540</v>
      </c>
      <c r="BS19" s="24">
        <v>636</v>
      </c>
      <c r="BT19" s="24">
        <v>419</v>
      </c>
      <c r="BU19" s="24">
        <v>372</v>
      </c>
      <c r="BV19" s="24">
        <v>239</v>
      </c>
      <c r="BW19" s="24">
        <v>291</v>
      </c>
      <c r="BX19" s="24">
        <v>378</v>
      </c>
      <c r="BY19" s="24">
        <v>416</v>
      </c>
      <c r="BZ19" s="24">
        <v>199</v>
      </c>
      <c r="CA19" s="24">
        <v>406</v>
      </c>
      <c r="CB19" s="24">
        <v>483</v>
      </c>
      <c r="CC19" s="24">
        <v>483</v>
      </c>
      <c r="CD19" s="25">
        <v>3000</v>
      </c>
      <c r="CE19" s="25">
        <v>3968</v>
      </c>
      <c r="CF19" s="23">
        <f>+CE19/CD19</f>
        <v>1.3226666666666667</v>
      </c>
      <c r="CG19" s="24"/>
      <c r="CH19" s="24"/>
      <c r="CI19" s="24"/>
      <c r="CJ19" s="24">
        <v>296.00400000000002</v>
      </c>
      <c r="CK19" s="24">
        <v>750</v>
      </c>
      <c r="CL19" s="24">
        <v>650</v>
      </c>
      <c r="CM19" s="24">
        <v>600</v>
      </c>
      <c r="CN19" s="24">
        <v>947.95100000000002</v>
      </c>
      <c r="CO19" s="24">
        <v>636.44190000000003</v>
      </c>
      <c r="CP19" s="24">
        <v>936</v>
      </c>
      <c r="CQ19" s="24">
        <v>300</v>
      </c>
      <c r="CR19" s="24"/>
      <c r="CS19" s="24">
        <v>100</v>
      </c>
      <c r="CT19" s="24">
        <v>447.74</v>
      </c>
      <c r="CU19" s="24">
        <v>550.18200000000002</v>
      </c>
      <c r="CV19" s="24">
        <v>289.52600000000001</v>
      </c>
      <c r="CW19" s="24">
        <v>346.37</v>
      </c>
      <c r="CX19" s="24">
        <v>343.15600000000001</v>
      </c>
      <c r="CY19" s="24">
        <v>137.596</v>
      </c>
      <c r="CZ19" s="24">
        <v>593.62200000000007</v>
      </c>
      <c r="DA19" s="24">
        <v>299.52600000000001</v>
      </c>
      <c r="DB19" s="24">
        <v>500</v>
      </c>
      <c r="DC19" s="24">
        <v>293.95</v>
      </c>
      <c r="DD19" s="24"/>
      <c r="DE19" s="18">
        <v>9303.5507418444868</v>
      </c>
      <c r="DF19" s="18">
        <f t="shared" si="9"/>
        <v>3901.6679999999997</v>
      </c>
      <c r="DG19" s="23">
        <f t="shared" si="10"/>
        <v>0.41937407644282593</v>
      </c>
      <c r="DH19" s="24"/>
      <c r="DI19" s="24"/>
      <c r="DJ19" s="24">
        <v>107</v>
      </c>
      <c r="DK19" s="24">
        <v>2095</v>
      </c>
      <c r="DL19" s="24">
        <v>631.5</v>
      </c>
      <c r="DM19" s="24">
        <v>1155</v>
      </c>
      <c r="DN19" s="24">
        <v>1374</v>
      </c>
      <c r="DO19" s="24">
        <v>1590</v>
      </c>
      <c r="DP19" s="24">
        <v>910</v>
      </c>
      <c r="DQ19" s="24">
        <v>1265</v>
      </c>
      <c r="DR19" s="24">
        <v>1100</v>
      </c>
      <c r="DS19" s="24">
        <v>352</v>
      </c>
      <c r="DT19" s="24">
        <v>1191.2094999999999</v>
      </c>
      <c r="DU19" s="24">
        <v>1926.1990000000001</v>
      </c>
      <c r="DV19" s="24">
        <v>2408.2584999999995</v>
      </c>
      <c r="DW19" s="24">
        <v>314.46800000000076</v>
      </c>
      <c r="DX19" s="24">
        <v>260.84299999999985</v>
      </c>
      <c r="DY19" s="24">
        <v>322.83899999999994</v>
      </c>
      <c r="DZ19" s="24">
        <v>761.18099999999959</v>
      </c>
      <c r="EA19" s="24">
        <v>1313.2799999999988</v>
      </c>
      <c r="EB19" s="24">
        <v>1933.5</v>
      </c>
      <c r="EC19" s="24">
        <v>848</v>
      </c>
      <c r="ED19" s="24">
        <v>0</v>
      </c>
      <c r="EE19" s="24">
        <v>0</v>
      </c>
      <c r="EF19" s="18">
        <v>9350.8177910704362</v>
      </c>
      <c r="EG19" s="18">
        <f t="shared" si="11"/>
        <v>11279.777999999998</v>
      </c>
      <c r="EH19" s="23">
        <f t="shared" si="12"/>
        <v>1.2062878618778801</v>
      </c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>
        <v>10161.139848999999</v>
      </c>
      <c r="EV19" s="24">
        <v>14001.614802999999</v>
      </c>
      <c r="EW19" s="24">
        <v>11765.655246499999</v>
      </c>
      <c r="EX19" s="24">
        <v>20501.082254999998</v>
      </c>
      <c r="EY19" s="24">
        <v>8975.1203859999987</v>
      </c>
      <c r="EZ19" s="24">
        <v>3244.7321020000004</v>
      </c>
      <c r="FA19" s="24">
        <v>3489.9946121200001</v>
      </c>
      <c r="FB19" s="24">
        <v>1985.800465</v>
      </c>
      <c r="FC19" s="24">
        <v>729</v>
      </c>
      <c r="FD19" s="24">
        <v>2267</v>
      </c>
      <c r="FE19" s="24">
        <v>2852.2460000000001</v>
      </c>
      <c r="FF19" s="24">
        <v>1375</v>
      </c>
      <c r="FG19" s="18">
        <v>58109.911563385409</v>
      </c>
      <c r="FH19" s="18">
        <v>63273.238679499998</v>
      </c>
      <c r="FI19" s="23">
        <v>1.0888544996404359</v>
      </c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3"/>
    </row>
    <row r="20" spans="1:192" s="14" customFormat="1" ht="24.95" customHeight="1">
      <c r="A20" s="19">
        <f t="shared" si="14"/>
        <v>6</v>
      </c>
      <c r="B20" s="20" t="s">
        <v>42</v>
      </c>
      <c r="C20" s="21">
        <v>11203</v>
      </c>
      <c r="D20" s="21"/>
      <c r="E20" s="21"/>
      <c r="F20" s="21"/>
      <c r="G20" s="24">
        <v>86</v>
      </c>
      <c r="H20" s="24">
        <v>124</v>
      </c>
      <c r="I20" s="24">
        <v>191</v>
      </c>
      <c r="J20" s="24">
        <v>184</v>
      </c>
      <c r="K20" s="24">
        <v>180</v>
      </c>
      <c r="L20" s="24">
        <v>187</v>
      </c>
      <c r="M20" s="24">
        <v>180</v>
      </c>
      <c r="N20" s="24">
        <v>175</v>
      </c>
      <c r="O20" s="24">
        <v>162</v>
      </c>
      <c r="P20" s="24">
        <v>25</v>
      </c>
      <c r="Q20" s="24">
        <v>22</v>
      </c>
      <c r="R20" s="24">
        <v>77</v>
      </c>
      <c r="S20" s="24">
        <v>324</v>
      </c>
      <c r="T20" s="24">
        <v>148</v>
      </c>
      <c r="U20" s="24">
        <v>411</v>
      </c>
      <c r="V20" s="24">
        <v>67</v>
      </c>
      <c r="W20" s="24">
        <v>186</v>
      </c>
      <c r="X20" s="24">
        <v>67</v>
      </c>
      <c r="Y20" s="24">
        <v>56</v>
      </c>
      <c r="Z20" s="24">
        <v>130</v>
      </c>
      <c r="AA20" s="24">
        <v>22</v>
      </c>
      <c r="AB20" s="22">
        <v>1075</v>
      </c>
      <c r="AC20" s="22">
        <f t="shared" si="3"/>
        <v>1535</v>
      </c>
      <c r="AD20" s="23">
        <f t="shared" si="4"/>
        <v>1.4279069767441861</v>
      </c>
      <c r="AE20" s="24"/>
      <c r="AF20" s="24"/>
      <c r="AG20" s="24"/>
      <c r="AH20" s="24"/>
      <c r="AI20" s="24"/>
      <c r="AJ20" s="24"/>
      <c r="AK20" s="24">
        <v>140</v>
      </c>
      <c r="AL20" s="24">
        <v>186</v>
      </c>
      <c r="AM20" s="24">
        <v>52</v>
      </c>
      <c r="AN20" s="24">
        <v>8</v>
      </c>
      <c r="AO20" s="24">
        <v>41</v>
      </c>
      <c r="AP20" s="24">
        <v>3</v>
      </c>
      <c r="AQ20" s="24">
        <v>22</v>
      </c>
      <c r="AR20" s="24">
        <v>59</v>
      </c>
      <c r="AS20" s="24">
        <v>58</v>
      </c>
      <c r="AT20" s="24">
        <v>41</v>
      </c>
      <c r="AU20" s="24">
        <v>60</v>
      </c>
      <c r="AV20" s="24">
        <v>20</v>
      </c>
      <c r="AW20" s="24">
        <v>55</v>
      </c>
      <c r="AX20" s="24">
        <v>53</v>
      </c>
      <c r="AY20" s="24">
        <v>51</v>
      </c>
      <c r="AZ20" s="24">
        <v>38</v>
      </c>
      <c r="BA20" s="24">
        <v>37</v>
      </c>
      <c r="BB20" s="24">
        <v>29</v>
      </c>
      <c r="BC20" s="32">
        <v>446</v>
      </c>
      <c r="BD20" s="32">
        <f t="shared" si="6"/>
        <v>523</v>
      </c>
      <c r="BE20" s="23">
        <f t="shared" si="7"/>
        <v>1.1726457399103138</v>
      </c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>
        <v>152</v>
      </c>
      <c r="BS20" s="24">
        <v>302</v>
      </c>
      <c r="BT20" s="24">
        <v>503</v>
      </c>
      <c r="BU20" s="24">
        <v>405</v>
      </c>
      <c r="BV20" s="24">
        <v>306</v>
      </c>
      <c r="BW20" s="24">
        <v>225</v>
      </c>
      <c r="BX20" s="24">
        <v>121</v>
      </c>
      <c r="BY20" s="24">
        <v>101</v>
      </c>
      <c r="BZ20" s="24">
        <v>101</v>
      </c>
      <c r="CA20" s="24">
        <v>188</v>
      </c>
      <c r="CB20" s="24">
        <v>90</v>
      </c>
      <c r="CC20" s="24">
        <v>55</v>
      </c>
      <c r="CD20" s="25">
        <v>1416</v>
      </c>
      <c r="CE20" s="25">
        <v>2392</v>
      </c>
      <c r="CF20" s="23">
        <f t="shared" si="8"/>
        <v>1.6892655367231639</v>
      </c>
      <c r="CG20" s="24"/>
      <c r="CH20" s="24"/>
      <c r="CI20" s="24">
        <v>84.825000000000003</v>
      </c>
      <c r="CJ20" s="24"/>
      <c r="CK20" s="24">
        <v>214</v>
      </c>
      <c r="CL20" s="24">
        <v>300</v>
      </c>
      <c r="CM20" s="24">
        <v>100</v>
      </c>
      <c r="CN20" s="24">
        <v>100</v>
      </c>
      <c r="CO20" s="24">
        <v>1535.5700000000002</v>
      </c>
      <c r="CP20" s="24">
        <v>56</v>
      </c>
      <c r="CQ20" s="24">
        <v>24</v>
      </c>
      <c r="CR20" s="24"/>
      <c r="CS20" s="24">
        <v>425</v>
      </c>
      <c r="CT20" s="24">
        <v>165</v>
      </c>
      <c r="CU20" s="24">
        <v>415.37</v>
      </c>
      <c r="CV20" s="24">
        <v>546.37</v>
      </c>
      <c r="CW20" s="24">
        <v>748.15599999999995</v>
      </c>
      <c r="CX20" s="24">
        <v>173.37</v>
      </c>
      <c r="CY20" s="24">
        <v>300</v>
      </c>
      <c r="CZ20" s="24">
        <v>300</v>
      </c>
      <c r="DA20" s="24">
        <v>381</v>
      </c>
      <c r="DB20" s="24">
        <v>1447</v>
      </c>
      <c r="DC20" s="24">
        <v>160</v>
      </c>
      <c r="DD20" s="24">
        <v>40</v>
      </c>
      <c r="DE20" s="18">
        <v>5033.6291024833072</v>
      </c>
      <c r="DF20" s="18">
        <f t="shared" si="9"/>
        <v>5101.2659999999996</v>
      </c>
      <c r="DG20" s="23">
        <f t="shared" si="10"/>
        <v>1.0134370046222365</v>
      </c>
      <c r="DH20" s="24"/>
      <c r="DI20" s="24">
        <v>100</v>
      </c>
      <c r="DJ20" s="24">
        <v>213.5</v>
      </c>
      <c r="DK20" s="24">
        <v>619.45155000000011</v>
      </c>
      <c r="DL20" s="24">
        <v>590.62369999999987</v>
      </c>
      <c r="DM20" s="24">
        <v>499.55299999999983</v>
      </c>
      <c r="DN20" s="24">
        <v>580.59249999999997</v>
      </c>
      <c r="DO20" s="24">
        <v>390.52999999999986</v>
      </c>
      <c r="DP20" s="24">
        <v>547.23000000000025</v>
      </c>
      <c r="DQ20" s="24">
        <v>367.76500000000004</v>
      </c>
      <c r="DR20" s="24">
        <v>259.99999999999994</v>
      </c>
      <c r="DS20" s="24">
        <v>88.93</v>
      </c>
      <c r="DT20" s="24">
        <v>714.67499999999995</v>
      </c>
      <c r="DU20" s="24">
        <v>1715.0469999999989</v>
      </c>
      <c r="DV20" s="24">
        <v>2527.050000000002</v>
      </c>
      <c r="DW20" s="24">
        <v>818.43799999999919</v>
      </c>
      <c r="DX20" s="24">
        <v>293.25699999999961</v>
      </c>
      <c r="DY20" s="24">
        <v>158.41100000000006</v>
      </c>
      <c r="DZ20" s="24">
        <v>322.20800000000054</v>
      </c>
      <c r="EA20" s="24">
        <v>450.07987200000025</v>
      </c>
      <c r="EB20" s="24">
        <v>179.6899999999996</v>
      </c>
      <c r="EC20" s="24">
        <v>295.41499999999996</v>
      </c>
      <c r="ED20" s="24">
        <v>145.50404600000002</v>
      </c>
      <c r="EE20" s="24">
        <v>25.784991999999875</v>
      </c>
      <c r="EF20" s="18">
        <v>5692.2858737212036</v>
      </c>
      <c r="EG20" s="18">
        <f t="shared" si="11"/>
        <v>7645.5599099999999</v>
      </c>
      <c r="EH20" s="23">
        <f t="shared" si="12"/>
        <v>1.3431440513724389</v>
      </c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>
        <v>3055.8662000000008</v>
      </c>
      <c r="EV20" s="24">
        <v>5369.579574000003</v>
      </c>
      <c r="EW20" s="24">
        <v>11344.535464999995</v>
      </c>
      <c r="EX20" s="24">
        <v>8663.4097299999994</v>
      </c>
      <c r="EY20" s="24">
        <v>3789.4496730000001</v>
      </c>
      <c r="EZ20" s="24">
        <v>1637.9291300000002</v>
      </c>
      <c r="FA20" s="24">
        <v>2188.8429999999998</v>
      </c>
      <c r="FB20" s="24">
        <v>1599.69965</v>
      </c>
      <c r="FC20" s="24">
        <v>1629.5799120000001</v>
      </c>
      <c r="FD20" s="24">
        <v>2486.9432999999999</v>
      </c>
      <c r="FE20" s="24">
        <v>3288.3450000000003</v>
      </c>
      <c r="FF20" s="24">
        <v>1823.9999999999998</v>
      </c>
      <c r="FG20" s="18">
        <v>33016.31749085537</v>
      </c>
      <c r="FH20" s="18">
        <v>42056.413503999996</v>
      </c>
      <c r="FI20" s="23">
        <v>1.2738069142825661</v>
      </c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3"/>
    </row>
    <row r="21" spans="1:192" s="14" customFormat="1" ht="32.25" customHeight="1">
      <c r="A21" s="9"/>
      <c r="B21" s="10" t="s">
        <v>8</v>
      </c>
      <c r="C21" s="11"/>
      <c r="D21" s="11"/>
      <c r="E21" s="11"/>
      <c r="F21" s="11"/>
      <c r="G21" s="12">
        <v>1434</v>
      </c>
      <c r="H21" s="12">
        <v>1354</v>
      </c>
      <c r="I21" s="12">
        <v>1223</v>
      </c>
      <c r="J21" s="12">
        <v>1339</v>
      </c>
      <c r="K21" s="12">
        <v>1262</v>
      </c>
      <c r="L21" s="12">
        <v>1285</v>
      </c>
      <c r="M21" s="12">
        <v>1219</v>
      </c>
      <c r="N21" s="12">
        <v>1187</v>
      </c>
      <c r="O21" s="12">
        <v>1161</v>
      </c>
      <c r="P21" s="12">
        <v>811</v>
      </c>
      <c r="Q21" s="12">
        <v>2505</v>
      </c>
      <c r="R21" s="12">
        <v>781</v>
      </c>
      <c r="S21" s="12">
        <v>1209</v>
      </c>
      <c r="T21" s="12">
        <v>1023</v>
      </c>
      <c r="U21" s="12">
        <v>1030</v>
      </c>
      <c r="V21" s="12">
        <v>1154</v>
      </c>
      <c r="W21" s="12">
        <v>973</v>
      </c>
      <c r="X21" s="12">
        <v>947</v>
      </c>
      <c r="Y21" s="12">
        <v>787</v>
      </c>
      <c r="Z21" s="12">
        <v>887</v>
      </c>
      <c r="AA21" s="12">
        <v>418</v>
      </c>
      <c r="AB21" s="12">
        <v>9743</v>
      </c>
      <c r="AC21" s="12">
        <f t="shared" si="3"/>
        <v>12525</v>
      </c>
      <c r="AD21" s="13">
        <f t="shared" si="4"/>
        <v>1.2855383352150263</v>
      </c>
      <c r="AE21" s="12">
        <f t="shared" ref="AE21:AH21" si="18">+SUM(AE22:AE32)</f>
        <v>0</v>
      </c>
      <c r="AF21" s="12">
        <f t="shared" si="18"/>
        <v>0</v>
      </c>
      <c r="AG21" s="12">
        <f t="shared" si="18"/>
        <v>0</v>
      </c>
      <c r="AH21" s="12">
        <f t="shared" si="18"/>
        <v>0</v>
      </c>
      <c r="AI21" s="12">
        <f>+SUM(AI22:AI32)</f>
        <v>0</v>
      </c>
      <c r="AJ21" s="12">
        <f t="shared" ref="AJ21:AP21" si="19">+SUM(AJ22:AJ32)</f>
        <v>42</v>
      </c>
      <c r="AK21" s="12">
        <f t="shared" si="19"/>
        <v>1992</v>
      </c>
      <c r="AL21" s="12">
        <f t="shared" si="19"/>
        <v>3567</v>
      </c>
      <c r="AM21" s="12">
        <f t="shared" si="19"/>
        <v>556</v>
      </c>
      <c r="AN21" s="12">
        <f t="shared" si="19"/>
        <v>90</v>
      </c>
      <c r="AO21" s="12">
        <f t="shared" si="19"/>
        <v>255</v>
      </c>
      <c r="AP21" s="12">
        <f t="shared" si="19"/>
        <v>90</v>
      </c>
      <c r="AQ21" s="12">
        <f t="shared" ref="AQ21" si="20">+SUM(AQ22:AQ32)</f>
        <v>438</v>
      </c>
      <c r="AR21" s="12">
        <f t="shared" ref="AR21" si="21">+SUM(AR22:AR32)</f>
        <v>1021</v>
      </c>
      <c r="AS21" s="12">
        <f t="shared" ref="AS21" si="22">+SUM(AS22:AS32)</f>
        <v>940</v>
      </c>
      <c r="AT21" s="12">
        <f t="shared" ref="AT21" si="23">+SUM(AT22:AT32)</f>
        <v>852</v>
      </c>
      <c r="AU21" s="12">
        <f t="shared" ref="AU21" si="24">+SUM(AU22:AU32)</f>
        <v>929</v>
      </c>
      <c r="AV21" s="12">
        <f t="shared" ref="AV21" si="25">+SUM(AV22:AV32)</f>
        <v>850</v>
      </c>
      <c r="AW21" s="12">
        <f t="shared" ref="AW21" si="26">+SUM(AW22:AW32)</f>
        <v>631</v>
      </c>
      <c r="AX21" s="12">
        <f t="shared" ref="AX21" si="27">+SUM(AX22:AX32)</f>
        <v>515</v>
      </c>
      <c r="AY21" s="12">
        <f t="shared" ref="AY21" si="28">+SUM(AY22:AY32)</f>
        <v>683</v>
      </c>
      <c r="AZ21" s="12">
        <f t="shared" ref="AZ21" si="29">+SUM(AZ22:AZ32)</f>
        <v>519</v>
      </c>
      <c r="BA21" s="12">
        <f t="shared" ref="BA21" si="30">+SUM(BA22:BA32)</f>
        <v>490</v>
      </c>
      <c r="BB21" s="12">
        <f t="shared" ref="BB21" si="31">+SUM(BB22:BB32)</f>
        <v>228</v>
      </c>
      <c r="BC21" s="12">
        <v>7220</v>
      </c>
      <c r="BD21" s="12">
        <f t="shared" si="6"/>
        <v>8096</v>
      </c>
      <c r="BE21" s="13">
        <f t="shared" si="7"/>
        <v>1.1213296398891968</v>
      </c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>
        <v>1846</v>
      </c>
      <c r="BS21" s="12">
        <v>2439</v>
      </c>
      <c r="BT21" s="12">
        <v>1329</v>
      </c>
      <c r="BU21" s="12">
        <v>1289</v>
      </c>
      <c r="BV21" s="12">
        <v>2055</v>
      </c>
      <c r="BW21" s="12">
        <v>2378</v>
      </c>
      <c r="BX21" s="12">
        <v>2186</v>
      </c>
      <c r="BY21" s="12">
        <v>2199</v>
      </c>
      <c r="BZ21" s="12">
        <v>1957</v>
      </c>
      <c r="CA21" s="12">
        <v>4114</v>
      </c>
      <c r="CB21" s="12">
        <v>3882</v>
      </c>
      <c r="CC21" s="12">
        <v>2540</v>
      </c>
      <c r="CD21" s="12">
        <f t="shared" ref="CD21:CE21" si="32">+SUM(CD22:CD32)</f>
        <v>16366</v>
      </c>
      <c r="CE21" s="12">
        <f t="shared" si="32"/>
        <v>21792</v>
      </c>
      <c r="CF21" s="13">
        <f t="shared" si="8"/>
        <v>1.3315409996333862</v>
      </c>
      <c r="CG21" s="12">
        <v>0</v>
      </c>
      <c r="CH21" s="12">
        <v>540</v>
      </c>
      <c r="CI21" s="12">
        <v>1340</v>
      </c>
      <c r="CJ21" s="12">
        <v>8137.9570000000003</v>
      </c>
      <c r="CK21" s="12">
        <v>11640.99358</v>
      </c>
      <c r="CL21" s="12">
        <v>6928.5</v>
      </c>
      <c r="CM21" s="12">
        <v>12144.4</v>
      </c>
      <c r="CN21" s="12">
        <v>13909.999</v>
      </c>
      <c r="CO21" s="12">
        <v>7270.3429999</v>
      </c>
      <c r="CP21" s="12">
        <v>4235</v>
      </c>
      <c r="CQ21" s="12">
        <v>500</v>
      </c>
      <c r="CR21" s="12">
        <v>0</v>
      </c>
      <c r="CS21" s="12">
        <v>2566.2494919999999</v>
      </c>
      <c r="CT21" s="12">
        <v>3139.5561039999998</v>
      </c>
      <c r="CU21" s="12">
        <v>5729.1965870000004</v>
      </c>
      <c r="CV21" s="12">
        <v>8818.1042774800007</v>
      </c>
      <c r="CW21" s="12">
        <v>9023.7395899999992</v>
      </c>
      <c r="CX21" s="12">
        <v>7248.3234730000004</v>
      </c>
      <c r="CY21" s="12">
        <v>7922.6892769999995</v>
      </c>
      <c r="CZ21" s="12">
        <v>10140.796071000001</v>
      </c>
      <c r="DA21" s="12">
        <v>14065.581342999998</v>
      </c>
      <c r="DB21" s="12">
        <v>15150.489999999998</v>
      </c>
      <c r="DC21" s="12">
        <v>9042.1139729999995</v>
      </c>
      <c r="DD21" s="12">
        <v>5344.8700000000008</v>
      </c>
      <c r="DE21" s="12">
        <v>94473.007746519565</v>
      </c>
      <c r="DF21" s="12">
        <f t="shared" si="9"/>
        <v>98191.710187479999</v>
      </c>
      <c r="DG21" s="13">
        <f t="shared" si="10"/>
        <v>1.0393625918096954</v>
      </c>
      <c r="DH21" s="12">
        <v>0</v>
      </c>
      <c r="DI21" s="12">
        <v>560</v>
      </c>
      <c r="DJ21" s="12">
        <v>259</v>
      </c>
      <c r="DK21" s="12">
        <v>1310</v>
      </c>
      <c r="DL21" s="12">
        <v>1482.9999999999998</v>
      </c>
      <c r="DM21" s="12">
        <v>1622.25</v>
      </c>
      <c r="DN21" s="12">
        <v>5370.4</v>
      </c>
      <c r="DO21" s="12">
        <v>7958.1</v>
      </c>
      <c r="DP21" s="12">
        <v>8680.2000000000007</v>
      </c>
      <c r="DQ21" s="12">
        <v>6065.2</v>
      </c>
      <c r="DR21" s="12">
        <v>3754.7</v>
      </c>
      <c r="DS21" s="12">
        <v>3265.3</v>
      </c>
      <c r="DT21" s="12">
        <v>3615.5</v>
      </c>
      <c r="DU21" s="12">
        <v>2245.9499999999998</v>
      </c>
      <c r="DV21" s="12">
        <v>4758.9749999999995</v>
      </c>
      <c r="DW21" s="12">
        <v>7577.8900000000031</v>
      </c>
      <c r="DX21" s="12">
        <v>7790.5999999999913</v>
      </c>
      <c r="DY21" s="12">
        <v>6933.1500000000087</v>
      </c>
      <c r="DZ21" s="12">
        <v>7066.7249999999913</v>
      </c>
      <c r="EA21" s="12">
        <v>7401.1000000000058</v>
      </c>
      <c r="EB21" s="12">
        <v>5345.0999999999985</v>
      </c>
      <c r="EC21" s="12">
        <v>1422.2000000000044</v>
      </c>
      <c r="ED21" s="12">
        <v>1947.6999999999971</v>
      </c>
      <c r="EE21" s="12">
        <v>183</v>
      </c>
      <c r="EF21" s="12">
        <v>54085.81735577419</v>
      </c>
      <c r="EG21" s="12">
        <f t="shared" si="11"/>
        <v>56287.89</v>
      </c>
      <c r="EH21" s="13">
        <f t="shared" si="12"/>
        <v>1.0407144192670821</v>
      </c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>
        <f t="shared" ref="EU21:FH21" si="33">+SUM(EU22:EU32)</f>
        <v>1435.9</v>
      </c>
      <c r="EV21" s="12">
        <f t="shared" si="33"/>
        <v>12399.800000000001</v>
      </c>
      <c r="EW21" s="12">
        <f t="shared" si="33"/>
        <v>10786.97</v>
      </c>
      <c r="EX21" s="12">
        <f t="shared" si="33"/>
        <v>14687.105</v>
      </c>
      <c r="EY21" s="12">
        <f t="shared" si="33"/>
        <v>14258.550000000001</v>
      </c>
      <c r="EZ21" s="12">
        <f t="shared" si="33"/>
        <v>13303.824999999999</v>
      </c>
      <c r="FA21" s="12">
        <f t="shared" si="33"/>
        <v>13315.475</v>
      </c>
      <c r="FB21" s="12">
        <f t="shared" si="33"/>
        <v>14381.8</v>
      </c>
      <c r="FC21" s="12">
        <f t="shared" si="33"/>
        <v>9852.85</v>
      </c>
      <c r="FD21" s="12">
        <f t="shared" si="33"/>
        <v>2692.4</v>
      </c>
      <c r="FE21" s="12">
        <f t="shared" si="33"/>
        <v>1303</v>
      </c>
      <c r="FF21" s="12">
        <f t="shared" si="33"/>
        <v>167</v>
      </c>
      <c r="FG21" s="12">
        <f t="shared" si="33"/>
        <v>95589.468142574915</v>
      </c>
      <c r="FH21" s="12">
        <f t="shared" si="33"/>
        <v>107322.97500000001</v>
      </c>
      <c r="FI21" s="13">
        <v>1.1227489501241306</v>
      </c>
      <c r="FJ21" s="12">
        <f>+SUM(FJ22:FJ32)</f>
        <v>645.91442600000005</v>
      </c>
      <c r="FK21" s="12">
        <f t="shared" ref="FK21:FU21" si="34">+SUM(FK22:FK32)</f>
        <v>555.48</v>
      </c>
      <c r="FL21" s="12">
        <f t="shared" si="34"/>
        <v>0</v>
      </c>
      <c r="FM21" s="12">
        <f t="shared" si="34"/>
        <v>0</v>
      </c>
      <c r="FN21" s="12">
        <f t="shared" si="34"/>
        <v>0</v>
      </c>
      <c r="FO21" s="12">
        <f t="shared" si="34"/>
        <v>70.270270269999997</v>
      </c>
      <c r="FP21" s="12">
        <f t="shared" si="34"/>
        <v>0</v>
      </c>
      <c r="FQ21" s="12">
        <f t="shared" si="34"/>
        <v>0</v>
      </c>
      <c r="FR21" s="12">
        <f t="shared" si="34"/>
        <v>0</v>
      </c>
      <c r="FS21" s="12">
        <f t="shared" si="34"/>
        <v>700</v>
      </c>
      <c r="FT21" s="12">
        <f t="shared" si="34"/>
        <v>0</v>
      </c>
      <c r="FU21" s="12">
        <f t="shared" si="34"/>
        <v>0</v>
      </c>
      <c r="FV21" s="12">
        <f t="shared" ref="FV21" si="35">+SUM(FV22:FV32)</f>
        <v>0</v>
      </c>
      <c r="FW21" s="12">
        <f t="shared" ref="FW21" si="36">+SUM(FW22:FW32)</f>
        <v>281.536</v>
      </c>
      <c r="FX21" s="12">
        <f t="shared" ref="FX21" si="37">+SUM(FX22:FX32)</f>
        <v>0</v>
      </c>
      <c r="FY21" s="12">
        <f t="shared" ref="FY21" si="38">+SUM(FY22:FY32)</f>
        <v>0</v>
      </c>
      <c r="FZ21" s="12">
        <f t="shared" ref="FZ21" si="39">+SUM(FZ22:FZ32)</f>
        <v>0</v>
      </c>
      <c r="GA21" s="12">
        <f t="shared" ref="GA21" si="40">+SUM(GA22:GA32)</f>
        <v>0</v>
      </c>
      <c r="GB21" s="12">
        <f t="shared" ref="GB21" si="41">+SUM(GB22:GB32)</f>
        <v>0</v>
      </c>
      <c r="GC21" s="12">
        <f t="shared" ref="GC21" si="42">+SUM(GC22:GC32)</f>
        <v>0</v>
      </c>
      <c r="GD21" s="12">
        <f t="shared" ref="GD21" si="43">+SUM(GD22:GD32)</f>
        <v>0</v>
      </c>
      <c r="GE21" s="12">
        <f t="shared" ref="GE21" si="44">+SUM(GE22:GE32)</f>
        <v>0</v>
      </c>
      <c r="GF21" s="12">
        <f t="shared" ref="GF21" si="45">+SUM(GF22:GF32)</f>
        <v>0</v>
      </c>
      <c r="GG21" s="12">
        <f t="shared" ref="GG21" si="46">+SUM(GG22:GG32)</f>
        <v>0</v>
      </c>
      <c r="GH21" s="12">
        <f t="shared" ref="GH21" si="47">+SUM(GH22:GH32)</f>
        <v>0</v>
      </c>
      <c r="GI21" s="12">
        <f t="shared" ref="GI21" si="48">+SUM(GI22:GI32)</f>
        <v>0</v>
      </c>
      <c r="GJ21" s="13"/>
    </row>
    <row r="22" spans="1:192" s="14" customFormat="1" ht="24.95" customHeight="1">
      <c r="A22" s="19">
        <f t="shared" si="14"/>
        <v>1</v>
      </c>
      <c r="B22" s="20" t="s">
        <v>68</v>
      </c>
      <c r="C22" s="21" t="s">
        <v>16</v>
      </c>
      <c r="D22" s="21"/>
      <c r="E22" s="21"/>
      <c r="F22" s="21"/>
      <c r="G22" s="24">
        <v>127</v>
      </c>
      <c r="H22" s="24">
        <v>92</v>
      </c>
      <c r="I22" s="24">
        <v>111</v>
      </c>
      <c r="J22" s="24">
        <v>121</v>
      </c>
      <c r="K22" s="24">
        <v>120</v>
      </c>
      <c r="L22" s="24">
        <v>70</v>
      </c>
      <c r="M22" s="24">
        <v>90</v>
      </c>
      <c r="N22" s="24">
        <v>90</v>
      </c>
      <c r="O22" s="24">
        <v>88</v>
      </c>
      <c r="P22" s="24">
        <v>17</v>
      </c>
      <c r="Q22" s="24">
        <v>136</v>
      </c>
      <c r="R22" s="24">
        <v>114</v>
      </c>
      <c r="S22" s="24">
        <v>108</v>
      </c>
      <c r="T22" s="24">
        <v>68</v>
      </c>
      <c r="U22" s="24">
        <v>59</v>
      </c>
      <c r="V22" s="24">
        <v>87</v>
      </c>
      <c r="W22" s="24">
        <v>56</v>
      </c>
      <c r="X22" s="24">
        <v>81</v>
      </c>
      <c r="Y22" s="24">
        <v>45</v>
      </c>
      <c r="Z22" s="24">
        <v>90</v>
      </c>
      <c r="AA22" s="24">
        <v>11</v>
      </c>
      <c r="AB22" s="22">
        <v>726</v>
      </c>
      <c r="AC22" s="22">
        <f t="shared" si="3"/>
        <v>872</v>
      </c>
      <c r="AD22" s="23">
        <f t="shared" si="4"/>
        <v>1.2011019283746556</v>
      </c>
      <c r="AE22" s="24"/>
      <c r="AF22" s="24"/>
      <c r="AG22" s="24"/>
      <c r="AH22" s="24"/>
      <c r="AI22" s="24"/>
      <c r="AJ22" s="24"/>
      <c r="AK22" s="24">
        <v>184</v>
      </c>
      <c r="AL22" s="24">
        <v>326</v>
      </c>
      <c r="AM22" s="24">
        <v>53</v>
      </c>
      <c r="AN22" s="24"/>
      <c r="AO22" s="24">
        <v>18</v>
      </c>
      <c r="AP22" s="24">
        <v>44</v>
      </c>
      <c r="AQ22" s="24">
        <v>33</v>
      </c>
      <c r="AR22" s="24">
        <v>84</v>
      </c>
      <c r="AS22" s="24">
        <v>90</v>
      </c>
      <c r="AT22" s="24">
        <v>77</v>
      </c>
      <c r="AU22" s="24">
        <v>89</v>
      </c>
      <c r="AV22" s="24">
        <v>74</v>
      </c>
      <c r="AW22" s="24">
        <v>82</v>
      </c>
      <c r="AX22" s="24">
        <v>66</v>
      </c>
      <c r="AY22" s="24">
        <v>91</v>
      </c>
      <c r="AZ22" s="24">
        <v>46</v>
      </c>
      <c r="BA22" s="24">
        <v>51</v>
      </c>
      <c r="BB22" s="24">
        <v>20</v>
      </c>
      <c r="BC22" s="32">
        <v>713</v>
      </c>
      <c r="BD22" s="32">
        <f t="shared" si="6"/>
        <v>803</v>
      </c>
      <c r="BE22" s="23">
        <f t="shared" si="7"/>
        <v>1.1262272089761571</v>
      </c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>
        <v>148</v>
      </c>
      <c r="BS22" s="24">
        <v>119</v>
      </c>
      <c r="BT22" s="24">
        <v>146</v>
      </c>
      <c r="BU22" s="24">
        <v>121</v>
      </c>
      <c r="BV22" s="24">
        <v>275</v>
      </c>
      <c r="BW22" s="24">
        <v>203</v>
      </c>
      <c r="BX22" s="24">
        <v>166</v>
      </c>
      <c r="BY22" s="24">
        <v>148</v>
      </c>
      <c r="BZ22" s="24">
        <v>193</v>
      </c>
      <c r="CA22" s="24">
        <v>429</v>
      </c>
      <c r="CB22" s="24">
        <v>416</v>
      </c>
      <c r="CC22" s="24">
        <v>160</v>
      </c>
      <c r="CD22" s="25">
        <v>1642</v>
      </c>
      <c r="CE22" s="25">
        <v>1948</v>
      </c>
      <c r="CF22" s="23">
        <f t="shared" si="8"/>
        <v>1.1863580998781973</v>
      </c>
      <c r="CG22" s="24"/>
      <c r="CH22" s="24"/>
      <c r="CI22" s="24"/>
      <c r="CJ22" s="24">
        <v>1069.8499999999999</v>
      </c>
      <c r="CK22" s="24">
        <v>600.00058000000001</v>
      </c>
      <c r="CL22" s="24">
        <v>300</v>
      </c>
      <c r="CM22" s="24">
        <v>500</v>
      </c>
      <c r="CN22" s="24">
        <v>1121.1289999999999</v>
      </c>
      <c r="CO22" s="24">
        <v>200</v>
      </c>
      <c r="CP22" s="24">
        <v>100</v>
      </c>
      <c r="CQ22" s="24">
        <v>300</v>
      </c>
      <c r="CR22" s="24"/>
      <c r="CS22" s="24"/>
      <c r="CT22" s="24">
        <v>195.9</v>
      </c>
      <c r="CU22" s="24">
        <v>237</v>
      </c>
      <c r="CV22" s="24">
        <v>500</v>
      </c>
      <c r="CW22" s="24">
        <v>541.35437899999999</v>
      </c>
      <c r="CX22" s="24">
        <v>200</v>
      </c>
      <c r="CY22" s="24">
        <v>470</v>
      </c>
      <c r="CZ22" s="24">
        <v>1181.2237300000002</v>
      </c>
      <c r="DA22" s="24">
        <v>2253.564155</v>
      </c>
      <c r="DB22" s="24">
        <v>1593.1149999999998</v>
      </c>
      <c r="DC22" s="24">
        <v>400</v>
      </c>
      <c r="DD22" s="24">
        <v>133.02500000000001</v>
      </c>
      <c r="DE22" s="18">
        <v>8224.3766274718255</v>
      </c>
      <c r="DF22" s="18">
        <f t="shared" si="9"/>
        <v>7705.1822639999991</v>
      </c>
      <c r="DG22" s="23">
        <f t="shared" si="10"/>
        <v>0.93687128070745629</v>
      </c>
      <c r="DH22" s="24"/>
      <c r="DI22" s="24">
        <v>35</v>
      </c>
      <c r="DJ22" s="24">
        <v>25</v>
      </c>
      <c r="DK22" s="24">
        <v>80</v>
      </c>
      <c r="DL22" s="24">
        <v>91</v>
      </c>
      <c r="DM22" s="24">
        <v>98</v>
      </c>
      <c r="DN22" s="24">
        <v>201</v>
      </c>
      <c r="DO22" s="24">
        <v>259</v>
      </c>
      <c r="DP22" s="24">
        <v>632</v>
      </c>
      <c r="DQ22" s="24">
        <v>489</v>
      </c>
      <c r="DR22" s="24">
        <v>175</v>
      </c>
      <c r="DS22" s="24">
        <v>51</v>
      </c>
      <c r="DT22" s="24">
        <v>100</v>
      </c>
      <c r="DU22" s="24">
        <v>84</v>
      </c>
      <c r="DV22" s="24">
        <v>301</v>
      </c>
      <c r="DW22" s="24">
        <v>542</v>
      </c>
      <c r="DX22" s="24">
        <v>499</v>
      </c>
      <c r="DY22" s="24">
        <v>527.5</v>
      </c>
      <c r="DZ22" s="24">
        <v>463.5</v>
      </c>
      <c r="EA22" s="24">
        <v>526</v>
      </c>
      <c r="EB22" s="24">
        <v>347.5</v>
      </c>
      <c r="EC22" s="24">
        <v>119</v>
      </c>
      <c r="ED22" s="24">
        <v>246</v>
      </c>
      <c r="EE22" s="24">
        <v>78</v>
      </c>
      <c r="EF22" s="18">
        <v>3745.8082965992116</v>
      </c>
      <c r="EG22" s="18">
        <f t="shared" si="11"/>
        <v>3833.5</v>
      </c>
      <c r="EH22" s="23">
        <f t="shared" si="12"/>
        <v>1.0234106223429542</v>
      </c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>
        <v>20</v>
      </c>
      <c r="EV22" s="24">
        <v>707.59999999999991</v>
      </c>
      <c r="EW22" s="24">
        <v>631.79999999999995</v>
      </c>
      <c r="EX22" s="24">
        <v>838.6</v>
      </c>
      <c r="EY22" s="24">
        <v>754.5</v>
      </c>
      <c r="EZ22" s="24">
        <v>1065.3</v>
      </c>
      <c r="FA22" s="24">
        <v>1087.8000000000002</v>
      </c>
      <c r="FB22" s="24">
        <v>1063</v>
      </c>
      <c r="FC22" s="24">
        <v>1562.2</v>
      </c>
      <c r="FD22" s="24">
        <v>328</v>
      </c>
      <c r="FE22" s="24">
        <v>151.5</v>
      </c>
      <c r="FF22" s="24"/>
      <c r="FG22" s="18">
        <v>5269.1051198102887</v>
      </c>
      <c r="FH22" s="18">
        <v>8112.9</v>
      </c>
      <c r="FI22" s="23">
        <v>1.5397111683154463</v>
      </c>
      <c r="FJ22" s="24"/>
      <c r="FK22" s="24">
        <v>100</v>
      </c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3"/>
    </row>
    <row r="23" spans="1:192" s="14" customFormat="1" ht="24.95" customHeight="1">
      <c r="A23" s="19">
        <f t="shared" si="14"/>
        <v>2</v>
      </c>
      <c r="B23" s="20" t="s">
        <v>69</v>
      </c>
      <c r="C23" s="21" t="s">
        <v>17</v>
      </c>
      <c r="D23" s="21"/>
      <c r="E23" s="21"/>
      <c r="F23" s="21"/>
      <c r="G23" s="24">
        <v>81</v>
      </c>
      <c r="H23" s="24">
        <v>95</v>
      </c>
      <c r="I23" s="24">
        <v>99</v>
      </c>
      <c r="J23" s="24">
        <v>105</v>
      </c>
      <c r="K23" s="24">
        <v>100</v>
      </c>
      <c r="L23" s="24">
        <v>120</v>
      </c>
      <c r="M23" s="24">
        <v>113</v>
      </c>
      <c r="N23" s="24">
        <v>121</v>
      </c>
      <c r="O23" s="24">
        <v>120</v>
      </c>
      <c r="P23" s="24">
        <v>25</v>
      </c>
      <c r="Q23" s="24">
        <v>172</v>
      </c>
      <c r="R23" s="24">
        <v>169</v>
      </c>
      <c r="S23" s="24">
        <v>122</v>
      </c>
      <c r="T23" s="24">
        <v>87</v>
      </c>
      <c r="U23" s="24">
        <v>81</v>
      </c>
      <c r="V23" s="24">
        <v>96</v>
      </c>
      <c r="W23" s="24">
        <v>51</v>
      </c>
      <c r="X23" s="24">
        <v>94</v>
      </c>
      <c r="Y23" s="24">
        <v>73</v>
      </c>
      <c r="Z23" s="24">
        <v>67</v>
      </c>
      <c r="AA23" s="24">
        <v>62</v>
      </c>
      <c r="AB23" s="22">
        <v>831</v>
      </c>
      <c r="AC23" s="22">
        <f t="shared" si="3"/>
        <v>1099</v>
      </c>
      <c r="AD23" s="23">
        <f t="shared" si="4"/>
        <v>1.322503008423586</v>
      </c>
      <c r="AE23" s="24"/>
      <c r="AF23" s="24"/>
      <c r="AG23" s="24"/>
      <c r="AH23" s="24"/>
      <c r="AI23" s="24"/>
      <c r="AJ23" s="24"/>
      <c r="AK23" s="24">
        <v>102</v>
      </c>
      <c r="AL23" s="24">
        <v>196</v>
      </c>
      <c r="AM23" s="24">
        <v>3</v>
      </c>
      <c r="AN23" s="24"/>
      <c r="AO23" s="24">
        <v>28</v>
      </c>
      <c r="AP23" s="24"/>
      <c r="AQ23" s="24">
        <v>36</v>
      </c>
      <c r="AR23" s="24">
        <v>54</v>
      </c>
      <c r="AS23" s="24">
        <v>41</v>
      </c>
      <c r="AT23" s="24">
        <v>44</v>
      </c>
      <c r="AU23" s="24">
        <v>49</v>
      </c>
      <c r="AV23" s="24">
        <v>53</v>
      </c>
      <c r="AW23" s="24">
        <v>35</v>
      </c>
      <c r="AX23" s="24">
        <v>22</v>
      </c>
      <c r="AY23" s="24">
        <v>48</v>
      </c>
      <c r="AZ23" s="24">
        <v>11</v>
      </c>
      <c r="BA23" s="24">
        <v>7</v>
      </c>
      <c r="BB23" s="24">
        <v>16</v>
      </c>
      <c r="BC23" s="32">
        <v>378</v>
      </c>
      <c r="BD23" s="32">
        <f t="shared" si="6"/>
        <v>416</v>
      </c>
      <c r="BE23" s="23">
        <f t="shared" si="7"/>
        <v>1.1005291005291005</v>
      </c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>
        <v>87</v>
      </c>
      <c r="BS23" s="24">
        <v>126</v>
      </c>
      <c r="BT23" s="24">
        <v>133</v>
      </c>
      <c r="BU23" s="24">
        <v>60</v>
      </c>
      <c r="BV23" s="24">
        <v>86</v>
      </c>
      <c r="BW23" s="24">
        <v>123</v>
      </c>
      <c r="BX23" s="24">
        <v>174</v>
      </c>
      <c r="BY23" s="24">
        <v>134</v>
      </c>
      <c r="BZ23" s="24">
        <v>101</v>
      </c>
      <c r="CA23" s="24">
        <v>406</v>
      </c>
      <c r="CB23" s="24">
        <v>300</v>
      </c>
      <c r="CC23" s="24">
        <v>109</v>
      </c>
      <c r="CD23" s="25">
        <v>989</v>
      </c>
      <c r="CE23" s="25">
        <v>1430</v>
      </c>
      <c r="CF23" s="23">
        <f t="shared" si="8"/>
        <v>1.4459049544994944</v>
      </c>
      <c r="CG23" s="24"/>
      <c r="CH23" s="24"/>
      <c r="CI23" s="24">
        <v>100</v>
      </c>
      <c r="CJ23" s="24">
        <v>300</v>
      </c>
      <c r="CK23" s="24">
        <v>719.99299999999994</v>
      </c>
      <c r="CL23" s="24">
        <v>600</v>
      </c>
      <c r="CM23" s="24">
        <v>300</v>
      </c>
      <c r="CN23" s="24">
        <v>1199.92</v>
      </c>
      <c r="CO23" s="24">
        <v>500</v>
      </c>
      <c r="CP23" s="24">
        <v>1100</v>
      </c>
      <c r="CQ23" s="24"/>
      <c r="CR23" s="24"/>
      <c r="CS23" s="24">
        <v>50</v>
      </c>
      <c r="CT23" s="24">
        <v>335</v>
      </c>
      <c r="CU23" s="24">
        <v>459</v>
      </c>
      <c r="CV23" s="24">
        <v>699.8</v>
      </c>
      <c r="CW23" s="24">
        <v>1312.7192</v>
      </c>
      <c r="CX23" s="24">
        <v>748.63199999999995</v>
      </c>
      <c r="CY23" s="24">
        <v>680.85106399999995</v>
      </c>
      <c r="CZ23" s="24">
        <v>750</v>
      </c>
      <c r="DA23" s="24">
        <v>665</v>
      </c>
      <c r="DB23" s="24">
        <v>1123.01</v>
      </c>
      <c r="DC23" s="24">
        <v>800</v>
      </c>
      <c r="DD23" s="24">
        <v>487.5</v>
      </c>
      <c r="DE23" s="18">
        <v>7777.4773226291281</v>
      </c>
      <c r="DF23" s="18">
        <f t="shared" si="9"/>
        <v>8111.512264</v>
      </c>
      <c r="DG23" s="23">
        <f t="shared" si="10"/>
        <v>1.0429490087227864</v>
      </c>
      <c r="DH23" s="24"/>
      <c r="DI23" s="24">
        <v>50</v>
      </c>
      <c r="DJ23" s="24">
        <v>20</v>
      </c>
      <c r="DK23" s="24">
        <v>130</v>
      </c>
      <c r="DL23" s="24">
        <v>85</v>
      </c>
      <c r="DM23" s="24">
        <v>10</v>
      </c>
      <c r="DN23" s="24">
        <v>59</v>
      </c>
      <c r="DO23" s="24">
        <v>112</v>
      </c>
      <c r="DP23" s="24">
        <v>68</v>
      </c>
      <c r="DQ23" s="24">
        <v>90</v>
      </c>
      <c r="DR23" s="24">
        <v>44</v>
      </c>
      <c r="DS23" s="24">
        <v>129</v>
      </c>
      <c r="DT23" s="24">
        <v>227</v>
      </c>
      <c r="DU23" s="24">
        <v>127.25</v>
      </c>
      <c r="DV23" s="24">
        <v>182.875</v>
      </c>
      <c r="DW23" s="24">
        <v>583.15000000000009</v>
      </c>
      <c r="DX23" s="24">
        <v>791</v>
      </c>
      <c r="DY23" s="24">
        <v>686.25</v>
      </c>
      <c r="DZ23" s="24">
        <v>523.125</v>
      </c>
      <c r="EA23" s="24">
        <v>744</v>
      </c>
      <c r="EB23" s="24">
        <v>468.99999999999955</v>
      </c>
      <c r="EC23" s="24">
        <v>102</v>
      </c>
      <c r="ED23" s="24">
        <v>17</v>
      </c>
      <c r="EE23" s="24">
        <v>0</v>
      </c>
      <c r="EF23" s="18">
        <v>4093.2524730021623</v>
      </c>
      <c r="EG23" s="18">
        <f t="shared" si="11"/>
        <v>4452.6499999999996</v>
      </c>
      <c r="EH23" s="23">
        <f t="shared" si="12"/>
        <v>1.0878024332406353</v>
      </c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>
        <v>623</v>
      </c>
      <c r="EW23" s="24">
        <v>535.79999999999995</v>
      </c>
      <c r="EX23" s="24">
        <v>1171.5049999999999</v>
      </c>
      <c r="EY23" s="24">
        <v>926.52499999999986</v>
      </c>
      <c r="EZ23" s="24">
        <v>1330.1499999999999</v>
      </c>
      <c r="FA23" s="24">
        <v>1043.2750000000001</v>
      </c>
      <c r="FB23" s="24">
        <v>1040.9000000000001</v>
      </c>
      <c r="FC23" s="24">
        <v>763.5</v>
      </c>
      <c r="FD23" s="24">
        <v>221.7</v>
      </c>
      <c r="FE23" s="24">
        <v>60</v>
      </c>
      <c r="FF23" s="24"/>
      <c r="FG23" s="18">
        <v>7077.0171693755537</v>
      </c>
      <c r="FH23" s="18">
        <v>7802.3549999999996</v>
      </c>
      <c r="FI23" s="23">
        <v>1.1024920264095455</v>
      </c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>
        <v>281.536</v>
      </c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3"/>
    </row>
    <row r="24" spans="1:192" s="14" customFormat="1" ht="24.95" customHeight="1">
      <c r="A24" s="19">
        <f t="shared" si="14"/>
        <v>3</v>
      </c>
      <c r="B24" s="20" t="s">
        <v>70</v>
      </c>
      <c r="C24" s="21" t="s">
        <v>18</v>
      </c>
      <c r="D24" s="21"/>
      <c r="E24" s="21"/>
      <c r="F24" s="21"/>
      <c r="G24" s="24">
        <v>138</v>
      </c>
      <c r="H24" s="24">
        <v>124</v>
      </c>
      <c r="I24" s="24">
        <v>130</v>
      </c>
      <c r="J24" s="24">
        <v>153</v>
      </c>
      <c r="K24" s="24">
        <v>133</v>
      </c>
      <c r="L24" s="24">
        <v>120</v>
      </c>
      <c r="M24" s="24">
        <v>110</v>
      </c>
      <c r="N24" s="24">
        <v>105</v>
      </c>
      <c r="O24" s="24">
        <v>103</v>
      </c>
      <c r="P24" s="24">
        <v>44</v>
      </c>
      <c r="Q24" s="24">
        <v>280</v>
      </c>
      <c r="R24" s="24">
        <v>42</v>
      </c>
      <c r="S24" s="24">
        <v>68</v>
      </c>
      <c r="T24" s="24">
        <v>127</v>
      </c>
      <c r="U24" s="24">
        <v>86</v>
      </c>
      <c r="V24" s="24">
        <v>77</v>
      </c>
      <c r="W24" s="24">
        <v>62</v>
      </c>
      <c r="X24" s="24">
        <v>77</v>
      </c>
      <c r="Y24" s="24">
        <v>67</v>
      </c>
      <c r="Z24" s="24">
        <v>74</v>
      </c>
      <c r="AA24" s="24">
        <v>77</v>
      </c>
      <c r="AB24" s="22">
        <v>796</v>
      </c>
      <c r="AC24" s="22">
        <f t="shared" si="3"/>
        <v>1081</v>
      </c>
      <c r="AD24" s="23">
        <f t="shared" si="4"/>
        <v>1.3580402010050252</v>
      </c>
      <c r="AE24" s="24"/>
      <c r="AF24" s="24"/>
      <c r="AG24" s="24"/>
      <c r="AH24" s="24"/>
      <c r="AI24" s="24"/>
      <c r="AJ24" s="24"/>
      <c r="AK24" s="24">
        <v>162</v>
      </c>
      <c r="AL24" s="24">
        <v>251</v>
      </c>
      <c r="AM24" s="24">
        <v>44</v>
      </c>
      <c r="AN24" s="24">
        <v>8</v>
      </c>
      <c r="AO24" s="24">
        <v>16</v>
      </c>
      <c r="AP24" s="24"/>
      <c r="AQ24" s="24">
        <v>27</v>
      </c>
      <c r="AR24" s="24">
        <v>69</v>
      </c>
      <c r="AS24" s="24">
        <v>55</v>
      </c>
      <c r="AT24" s="24">
        <v>44</v>
      </c>
      <c r="AU24" s="24">
        <v>75</v>
      </c>
      <c r="AV24" s="24">
        <v>62</v>
      </c>
      <c r="AW24" s="24">
        <v>34</v>
      </c>
      <c r="AX24" s="24">
        <v>36</v>
      </c>
      <c r="AY24" s="24">
        <v>37</v>
      </c>
      <c r="AZ24" s="24">
        <v>47</v>
      </c>
      <c r="BA24" s="24">
        <v>42</v>
      </c>
      <c r="BB24" s="24">
        <v>18</v>
      </c>
      <c r="BC24" s="32">
        <v>482</v>
      </c>
      <c r="BD24" s="32">
        <f t="shared" si="6"/>
        <v>546</v>
      </c>
      <c r="BE24" s="23">
        <f t="shared" si="7"/>
        <v>1.1327800829875518</v>
      </c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>
        <v>170</v>
      </c>
      <c r="BS24" s="24">
        <v>442</v>
      </c>
      <c r="BT24" s="24">
        <v>94</v>
      </c>
      <c r="BU24" s="24">
        <v>81</v>
      </c>
      <c r="BV24" s="24">
        <v>148</v>
      </c>
      <c r="BW24" s="24">
        <v>386</v>
      </c>
      <c r="BX24" s="24">
        <v>256</v>
      </c>
      <c r="BY24" s="24">
        <v>152</v>
      </c>
      <c r="BZ24" s="24">
        <v>165</v>
      </c>
      <c r="CA24" s="24">
        <v>424</v>
      </c>
      <c r="CB24" s="24">
        <v>249</v>
      </c>
      <c r="CC24" s="24">
        <v>302</v>
      </c>
      <c r="CD24" s="25">
        <v>1279</v>
      </c>
      <c r="CE24" s="25">
        <v>2318</v>
      </c>
      <c r="CF24" s="23">
        <f t="shared" si="8"/>
        <v>1.8123534010946052</v>
      </c>
      <c r="CG24" s="24"/>
      <c r="CH24" s="24"/>
      <c r="CI24" s="24">
        <v>200</v>
      </c>
      <c r="CJ24" s="24">
        <v>280</v>
      </c>
      <c r="CK24" s="24">
        <v>1079</v>
      </c>
      <c r="CL24" s="24">
        <v>360</v>
      </c>
      <c r="CM24" s="24">
        <v>600</v>
      </c>
      <c r="CN24" s="24">
        <v>1090</v>
      </c>
      <c r="CO24" s="24"/>
      <c r="CP24" s="24">
        <v>300</v>
      </c>
      <c r="CQ24" s="24"/>
      <c r="CR24" s="24"/>
      <c r="CS24" s="24">
        <v>614.35845300000005</v>
      </c>
      <c r="CT24" s="24">
        <v>468.83910400000002</v>
      </c>
      <c r="CU24" s="24">
        <v>421.5</v>
      </c>
      <c r="CV24" s="24">
        <v>756.619145</v>
      </c>
      <c r="CW24" s="24">
        <v>700</v>
      </c>
      <c r="CX24" s="24">
        <v>665.4</v>
      </c>
      <c r="CY24" s="24">
        <v>502.815</v>
      </c>
      <c r="CZ24" s="24">
        <v>812.9</v>
      </c>
      <c r="DA24" s="24">
        <v>1071.5099999999998</v>
      </c>
      <c r="DB24" s="24">
        <v>1230</v>
      </c>
      <c r="DC24" s="24">
        <v>651</v>
      </c>
      <c r="DD24" s="24">
        <v>300</v>
      </c>
      <c r="DE24" s="18">
        <v>7624.6338287858071</v>
      </c>
      <c r="DF24" s="18">
        <f t="shared" si="9"/>
        <v>8194.9417020000001</v>
      </c>
      <c r="DG24" s="23">
        <f t="shared" si="10"/>
        <v>1.0747980671623953</v>
      </c>
      <c r="DH24" s="24"/>
      <c r="DI24" s="24">
        <v>50</v>
      </c>
      <c r="DJ24" s="24">
        <v>10</v>
      </c>
      <c r="DK24" s="24">
        <v>80</v>
      </c>
      <c r="DL24" s="24">
        <v>147.79999999999998</v>
      </c>
      <c r="DM24" s="24">
        <v>178.4</v>
      </c>
      <c r="DN24" s="24">
        <v>357.7</v>
      </c>
      <c r="DO24" s="24">
        <v>603.29999999999995</v>
      </c>
      <c r="DP24" s="24">
        <v>710.40000000000009</v>
      </c>
      <c r="DQ24" s="24">
        <v>714.9</v>
      </c>
      <c r="DR24" s="24">
        <v>471.7</v>
      </c>
      <c r="DS24" s="24">
        <v>425.5</v>
      </c>
      <c r="DT24" s="24">
        <v>335.6</v>
      </c>
      <c r="DU24" s="24">
        <v>125</v>
      </c>
      <c r="DV24" s="24">
        <v>176.39999999999998</v>
      </c>
      <c r="DW24" s="24">
        <v>519.5</v>
      </c>
      <c r="DX24" s="24">
        <v>539</v>
      </c>
      <c r="DY24" s="24">
        <v>539</v>
      </c>
      <c r="DZ24" s="24">
        <v>543</v>
      </c>
      <c r="EA24" s="24">
        <v>560.5</v>
      </c>
      <c r="EB24" s="24">
        <v>409</v>
      </c>
      <c r="EC24" s="24">
        <v>51</v>
      </c>
      <c r="ED24" s="24">
        <v>117</v>
      </c>
      <c r="EE24" s="24">
        <v>0</v>
      </c>
      <c r="EF24" s="18">
        <v>3249.1937728050239</v>
      </c>
      <c r="EG24" s="18">
        <f t="shared" si="11"/>
        <v>3915</v>
      </c>
      <c r="EH24" s="23">
        <f t="shared" si="12"/>
        <v>1.2049142875896215</v>
      </c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>
        <v>219</v>
      </c>
      <c r="EV24" s="24">
        <v>707</v>
      </c>
      <c r="EW24" s="24">
        <v>397.2</v>
      </c>
      <c r="EX24" s="24">
        <v>1398.45</v>
      </c>
      <c r="EY24" s="24">
        <v>913.02499999999998</v>
      </c>
      <c r="EZ24" s="24">
        <v>709.17499999999995</v>
      </c>
      <c r="FA24" s="24">
        <v>564.1</v>
      </c>
      <c r="FB24" s="24">
        <v>818.10000000000014</v>
      </c>
      <c r="FC24" s="24">
        <v>690.4</v>
      </c>
      <c r="FD24" s="24">
        <v>168.7</v>
      </c>
      <c r="FE24" s="24"/>
      <c r="FF24" s="24">
        <v>100</v>
      </c>
      <c r="FG24" s="18">
        <v>5765.8505078297621</v>
      </c>
      <c r="FH24" s="18">
        <v>6489.15</v>
      </c>
      <c r="FI24" s="23">
        <v>1.1254454119453894</v>
      </c>
      <c r="FJ24" s="24"/>
      <c r="FK24" s="24">
        <v>255.5</v>
      </c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3"/>
    </row>
    <row r="25" spans="1:192" s="14" customFormat="1" ht="24.95" customHeight="1">
      <c r="A25" s="19">
        <f t="shared" si="14"/>
        <v>4</v>
      </c>
      <c r="B25" s="20" t="s">
        <v>71</v>
      </c>
      <c r="C25" s="21" t="s">
        <v>19</v>
      </c>
      <c r="D25" s="21"/>
      <c r="E25" s="21"/>
      <c r="F25" s="21"/>
      <c r="G25" s="24">
        <v>147</v>
      </c>
      <c r="H25" s="24">
        <v>136</v>
      </c>
      <c r="I25" s="24">
        <v>130</v>
      </c>
      <c r="J25" s="24">
        <v>140</v>
      </c>
      <c r="K25" s="24">
        <v>133</v>
      </c>
      <c r="L25" s="24">
        <v>125</v>
      </c>
      <c r="M25" s="24">
        <v>115</v>
      </c>
      <c r="N25" s="24">
        <v>115</v>
      </c>
      <c r="O25" s="24">
        <v>113</v>
      </c>
      <c r="P25" s="24">
        <v>160</v>
      </c>
      <c r="Q25" s="24">
        <v>185</v>
      </c>
      <c r="R25" s="24">
        <v>77</v>
      </c>
      <c r="S25" s="24">
        <v>143</v>
      </c>
      <c r="T25" s="24">
        <v>129</v>
      </c>
      <c r="U25" s="24">
        <v>99</v>
      </c>
      <c r="V25" s="24">
        <v>103</v>
      </c>
      <c r="W25" s="24">
        <v>102</v>
      </c>
      <c r="X25" s="24">
        <v>91</v>
      </c>
      <c r="Y25" s="24">
        <v>79</v>
      </c>
      <c r="Z25" s="24">
        <v>74</v>
      </c>
      <c r="AA25" s="24">
        <v>41</v>
      </c>
      <c r="AB25" s="22">
        <v>959</v>
      </c>
      <c r="AC25" s="22">
        <f t="shared" si="3"/>
        <v>1283</v>
      </c>
      <c r="AD25" s="23">
        <f t="shared" si="4"/>
        <v>1.337851929092805</v>
      </c>
      <c r="AE25" s="24"/>
      <c r="AF25" s="24"/>
      <c r="AG25" s="24"/>
      <c r="AH25" s="24"/>
      <c r="AI25" s="24"/>
      <c r="AJ25" s="24"/>
      <c r="AK25" s="24">
        <v>222</v>
      </c>
      <c r="AL25" s="24">
        <v>320</v>
      </c>
      <c r="AM25" s="24">
        <v>119</v>
      </c>
      <c r="AN25" s="24">
        <v>40</v>
      </c>
      <c r="AO25" s="24">
        <v>59</v>
      </c>
      <c r="AP25" s="24">
        <v>5</v>
      </c>
      <c r="AQ25" s="24">
        <v>44</v>
      </c>
      <c r="AR25" s="24">
        <v>120</v>
      </c>
      <c r="AS25" s="24">
        <v>143</v>
      </c>
      <c r="AT25" s="24">
        <v>115</v>
      </c>
      <c r="AU25" s="24">
        <v>89</v>
      </c>
      <c r="AV25" s="24">
        <v>90</v>
      </c>
      <c r="AW25" s="24">
        <v>90</v>
      </c>
      <c r="AX25" s="24">
        <v>37</v>
      </c>
      <c r="AY25" s="24">
        <v>52</v>
      </c>
      <c r="AZ25" s="24">
        <v>69</v>
      </c>
      <c r="BA25" s="24">
        <v>33</v>
      </c>
      <c r="BB25" s="24">
        <v>18</v>
      </c>
      <c r="BC25" s="32">
        <v>816</v>
      </c>
      <c r="BD25" s="32">
        <f t="shared" si="6"/>
        <v>900</v>
      </c>
      <c r="BE25" s="23">
        <f t="shared" si="7"/>
        <v>1.1029411764705883</v>
      </c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>
        <v>455</v>
      </c>
      <c r="BS25" s="24">
        <v>573</v>
      </c>
      <c r="BT25" s="24">
        <v>184</v>
      </c>
      <c r="BU25" s="24">
        <v>166</v>
      </c>
      <c r="BV25" s="24">
        <v>267</v>
      </c>
      <c r="BW25" s="24">
        <v>254</v>
      </c>
      <c r="BX25" s="24">
        <v>277</v>
      </c>
      <c r="BY25" s="24">
        <v>210</v>
      </c>
      <c r="BZ25" s="24">
        <v>285</v>
      </c>
      <c r="CA25" s="24">
        <v>621</v>
      </c>
      <c r="CB25" s="24">
        <v>558</v>
      </c>
      <c r="CC25" s="24">
        <v>585</v>
      </c>
      <c r="CD25" s="25">
        <v>2136</v>
      </c>
      <c r="CE25" s="25">
        <v>3292</v>
      </c>
      <c r="CF25" s="23">
        <f t="shared" si="8"/>
        <v>1.5411985018726593</v>
      </c>
      <c r="CG25" s="24"/>
      <c r="CH25" s="24">
        <v>70</v>
      </c>
      <c r="CI25" s="24"/>
      <c r="CJ25" s="24">
        <v>700</v>
      </c>
      <c r="CK25" s="24">
        <v>560</v>
      </c>
      <c r="CL25" s="24">
        <v>500</v>
      </c>
      <c r="CM25" s="24">
        <v>470</v>
      </c>
      <c r="CN25" s="24">
        <v>690</v>
      </c>
      <c r="CO25" s="24">
        <v>200</v>
      </c>
      <c r="CP25" s="24">
        <v>100</v>
      </c>
      <c r="CQ25" s="24">
        <v>100</v>
      </c>
      <c r="CR25" s="24"/>
      <c r="CS25" s="24">
        <v>401.89103899999998</v>
      </c>
      <c r="CT25" s="24">
        <v>350</v>
      </c>
      <c r="CU25" s="24">
        <v>522.79999999999995</v>
      </c>
      <c r="CV25" s="24">
        <v>992.76595748</v>
      </c>
      <c r="CW25" s="24">
        <v>740</v>
      </c>
      <c r="CX25" s="24">
        <v>588</v>
      </c>
      <c r="CY25" s="24">
        <v>997.17021299999999</v>
      </c>
      <c r="CZ25" s="24">
        <v>800</v>
      </c>
      <c r="DA25" s="24">
        <v>902.888104</v>
      </c>
      <c r="DB25" s="24">
        <v>794</v>
      </c>
      <c r="DC25" s="24">
        <v>689</v>
      </c>
      <c r="DD25" s="24">
        <v>480</v>
      </c>
      <c r="DE25" s="18">
        <v>7970.212976834443</v>
      </c>
      <c r="DF25" s="18">
        <f t="shared" si="9"/>
        <v>8258.5153134799984</v>
      </c>
      <c r="DG25" s="23">
        <f t="shared" si="10"/>
        <v>1.0361724758778104</v>
      </c>
      <c r="DH25" s="24"/>
      <c r="DI25" s="24">
        <v>50</v>
      </c>
      <c r="DJ25" s="24">
        <v>15</v>
      </c>
      <c r="DK25" s="24">
        <v>145</v>
      </c>
      <c r="DL25" s="24">
        <v>155</v>
      </c>
      <c r="DM25" s="24">
        <v>200</v>
      </c>
      <c r="DN25" s="24">
        <v>697</v>
      </c>
      <c r="DO25" s="24">
        <v>847</v>
      </c>
      <c r="DP25" s="24">
        <v>482</v>
      </c>
      <c r="DQ25" s="24">
        <v>362</v>
      </c>
      <c r="DR25" s="24">
        <v>243</v>
      </c>
      <c r="DS25" s="24">
        <v>400.5</v>
      </c>
      <c r="DT25" s="24">
        <v>597.20000000000005</v>
      </c>
      <c r="DU25" s="24">
        <v>321</v>
      </c>
      <c r="DV25" s="24">
        <v>613</v>
      </c>
      <c r="DW25" s="24">
        <v>782.99999999999977</v>
      </c>
      <c r="DX25" s="24">
        <v>865</v>
      </c>
      <c r="DY25" s="24">
        <v>659</v>
      </c>
      <c r="DZ25" s="24">
        <v>828</v>
      </c>
      <c r="EA25" s="24">
        <v>839</v>
      </c>
      <c r="EB25" s="24">
        <v>503</v>
      </c>
      <c r="EC25" s="24">
        <v>102</v>
      </c>
      <c r="ED25" s="24">
        <v>17</v>
      </c>
      <c r="EE25" s="24">
        <v>0</v>
      </c>
      <c r="EF25" s="18">
        <v>5635.0688401986044</v>
      </c>
      <c r="EG25" s="18">
        <f t="shared" si="11"/>
        <v>6127.2</v>
      </c>
      <c r="EH25" s="23">
        <f t="shared" si="12"/>
        <v>1.0873336553212454</v>
      </c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>
        <v>67</v>
      </c>
      <c r="EV25" s="24">
        <v>1372.7</v>
      </c>
      <c r="EW25" s="24">
        <v>1720.5</v>
      </c>
      <c r="EX25" s="24">
        <v>1757.5400000000002</v>
      </c>
      <c r="EY25" s="24">
        <v>1408.4</v>
      </c>
      <c r="EZ25" s="24">
        <v>1333.8</v>
      </c>
      <c r="FA25" s="24">
        <v>1571.6000000000001</v>
      </c>
      <c r="FB25" s="24">
        <v>1822.1999999999998</v>
      </c>
      <c r="FC25" s="24">
        <v>974.45</v>
      </c>
      <c r="FD25" s="24">
        <v>208.3</v>
      </c>
      <c r="FE25" s="24">
        <v>130</v>
      </c>
      <c r="FF25" s="24"/>
      <c r="FG25" s="18">
        <v>11289.962683820349</v>
      </c>
      <c r="FH25" s="18">
        <v>11986.49</v>
      </c>
      <c r="FI25" s="23">
        <v>1.0616943860388346</v>
      </c>
      <c r="FJ25" s="24">
        <v>70</v>
      </c>
      <c r="FK25" s="24">
        <v>199.98</v>
      </c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3"/>
    </row>
    <row r="26" spans="1:192" s="14" customFormat="1" ht="24.95" customHeight="1">
      <c r="A26" s="19">
        <f t="shared" si="14"/>
        <v>5</v>
      </c>
      <c r="B26" s="20" t="s">
        <v>72</v>
      </c>
      <c r="C26" s="21" t="s">
        <v>20</v>
      </c>
      <c r="D26" s="21"/>
      <c r="E26" s="21"/>
      <c r="F26" s="21"/>
      <c r="G26" s="24">
        <v>86</v>
      </c>
      <c r="H26" s="24">
        <v>85</v>
      </c>
      <c r="I26" s="24">
        <v>97</v>
      </c>
      <c r="J26" s="24">
        <v>106</v>
      </c>
      <c r="K26" s="24">
        <v>102</v>
      </c>
      <c r="L26" s="24">
        <v>102</v>
      </c>
      <c r="M26" s="24">
        <v>105</v>
      </c>
      <c r="N26" s="24">
        <v>106</v>
      </c>
      <c r="O26" s="24">
        <v>101</v>
      </c>
      <c r="P26" s="24">
        <v>8</v>
      </c>
      <c r="Q26" s="24">
        <v>283</v>
      </c>
      <c r="R26" s="24">
        <v>12</v>
      </c>
      <c r="S26" s="24">
        <v>74</v>
      </c>
      <c r="T26" s="24">
        <v>129</v>
      </c>
      <c r="U26" s="24">
        <v>107</v>
      </c>
      <c r="V26" s="24">
        <v>115</v>
      </c>
      <c r="W26" s="24">
        <v>107</v>
      </c>
      <c r="X26" s="24">
        <v>85</v>
      </c>
      <c r="Y26" s="24">
        <v>71</v>
      </c>
      <c r="Z26" s="24">
        <v>83</v>
      </c>
      <c r="AA26" s="24">
        <v>18</v>
      </c>
      <c r="AB26" s="22">
        <v>881</v>
      </c>
      <c r="AC26" s="22">
        <f t="shared" si="3"/>
        <v>1092</v>
      </c>
      <c r="AD26" s="23">
        <f t="shared" si="4"/>
        <v>1.23950056753689</v>
      </c>
      <c r="AE26" s="24"/>
      <c r="AF26" s="24"/>
      <c r="AG26" s="24"/>
      <c r="AH26" s="24"/>
      <c r="AI26" s="24"/>
      <c r="AJ26" s="24">
        <v>42</v>
      </c>
      <c r="AK26" s="24">
        <v>58</v>
      </c>
      <c r="AL26" s="24">
        <v>177</v>
      </c>
      <c r="AM26" s="24">
        <v>27</v>
      </c>
      <c r="AN26" s="24"/>
      <c r="AO26" s="24">
        <v>16</v>
      </c>
      <c r="AP26" s="24">
        <v>13</v>
      </c>
      <c r="AQ26" s="24">
        <v>25</v>
      </c>
      <c r="AR26" s="24">
        <v>62</v>
      </c>
      <c r="AS26" s="24">
        <v>57</v>
      </c>
      <c r="AT26" s="24">
        <v>42</v>
      </c>
      <c r="AU26" s="24">
        <v>63</v>
      </c>
      <c r="AV26" s="24">
        <v>36</v>
      </c>
      <c r="AW26" s="24">
        <v>26</v>
      </c>
      <c r="AX26" s="24">
        <v>13</v>
      </c>
      <c r="AY26" s="24">
        <v>25</v>
      </c>
      <c r="AZ26" s="24">
        <v>41</v>
      </c>
      <c r="BA26" s="24">
        <v>25</v>
      </c>
      <c r="BB26" s="24">
        <v>13</v>
      </c>
      <c r="BC26" s="32">
        <v>377</v>
      </c>
      <c r="BD26" s="32">
        <f t="shared" si="6"/>
        <v>428</v>
      </c>
      <c r="BE26" s="23">
        <f t="shared" si="7"/>
        <v>1.1352785145888593</v>
      </c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>
        <v>76</v>
      </c>
      <c r="BS26" s="24">
        <v>111</v>
      </c>
      <c r="BT26" s="24">
        <v>154</v>
      </c>
      <c r="BU26" s="24">
        <v>219</v>
      </c>
      <c r="BV26" s="24">
        <v>143</v>
      </c>
      <c r="BW26" s="24">
        <v>112</v>
      </c>
      <c r="BX26" s="24">
        <v>127</v>
      </c>
      <c r="BY26" s="24">
        <v>148</v>
      </c>
      <c r="BZ26" s="24">
        <v>168</v>
      </c>
      <c r="CA26" s="24">
        <v>348</v>
      </c>
      <c r="CB26" s="24">
        <v>346</v>
      </c>
      <c r="CC26" s="24">
        <v>239</v>
      </c>
      <c r="CD26" s="25">
        <v>1548</v>
      </c>
      <c r="CE26" s="25">
        <v>1606</v>
      </c>
      <c r="CF26" s="23">
        <f t="shared" si="8"/>
        <v>1.0374677002583979</v>
      </c>
      <c r="CG26" s="24"/>
      <c r="CH26" s="24">
        <v>100</v>
      </c>
      <c r="CI26" s="24">
        <v>200</v>
      </c>
      <c r="CJ26" s="24">
        <v>100</v>
      </c>
      <c r="CK26" s="24">
        <v>760</v>
      </c>
      <c r="CL26" s="24">
        <v>200</v>
      </c>
      <c r="CM26" s="24">
        <v>860</v>
      </c>
      <c r="CN26" s="24">
        <v>1200</v>
      </c>
      <c r="CO26" s="24">
        <v>959.92399999999998</v>
      </c>
      <c r="CP26" s="24">
        <v>435</v>
      </c>
      <c r="CQ26" s="24"/>
      <c r="CR26" s="24"/>
      <c r="CS26" s="24"/>
      <c r="CT26" s="24">
        <v>493</v>
      </c>
      <c r="CU26" s="24">
        <v>1124.0325870000001</v>
      </c>
      <c r="CV26" s="24">
        <v>1105</v>
      </c>
      <c r="CW26" s="24">
        <v>600</v>
      </c>
      <c r="CX26" s="24">
        <v>500</v>
      </c>
      <c r="CY26" s="24">
        <v>1083</v>
      </c>
      <c r="CZ26" s="24">
        <v>1100</v>
      </c>
      <c r="DA26" s="24">
        <v>1196.3699999999999</v>
      </c>
      <c r="DB26" s="24">
        <v>1430</v>
      </c>
      <c r="DC26" s="24">
        <v>1105</v>
      </c>
      <c r="DD26" s="24">
        <v>1000</v>
      </c>
      <c r="DE26" s="18">
        <v>7410.7639431714688</v>
      </c>
      <c r="DF26" s="18">
        <f t="shared" si="9"/>
        <v>10736.402587</v>
      </c>
      <c r="DG26" s="23">
        <f t="shared" si="10"/>
        <v>1.4487578702183448</v>
      </c>
      <c r="DH26" s="24"/>
      <c r="DI26" s="24">
        <v>80</v>
      </c>
      <c r="DJ26" s="24">
        <v>55</v>
      </c>
      <c r="DK26" s="24">
        <v>35</v>
      </c>
      <c r="DL26" s="24">
        <v>20</v>
      </c>
      <c r="DM26" s="24">
        <v>20</v>
      </c>
      <c r="DN26" s="24"/>
      <c r="DO26" s="24"/>
      <c r="DP26" s="24">
        <v>17</v>
      </c>
      <c r="DQ26" s="24">
        <v>17</v>
      </c>
      <c r="DR26" s="24"/>
      <c r="DS26" s="24">
        <v>34</v>
      </c>
      <c r="DT26" s="24">
        <v>397</v>
      </c>
      <c r="DU26" s="24">
        <v>119</v>
      </c>
      <c r="DV26" s="24">
        <v>276.10000000000002</v>
      </c>
      <c r="DW26" s="24">
        <v>526.49999999999989</v>
      </c>
      <c r="DX26" s="24">
        <v>455</v>
      </c>
      <c r="DY26" s="24">
        <v>437</v>
      </c>
      <c r="DZ26" s="24">
        <v>532.09999999999991</v>
      </c>
      <c r="EA26" s="24">
        <v>473</v>
      </c>
      <c r="EB26" s="24">
        <v>264.19999999999982</v>
      </c>
      <c r="EC26" s="24">
        <v>119</v>
      </c>
      <c r="ED26" s="24">
        <v>34</v>
      </c>
      <c r="EE26" s="24">
        <v>0</v>
      </c>
      <c r="EF26" s="18">
        <v>3784.3318968290437</v>
      </c>
      <c r="EG26" s="18">
        <f t="shared" si="11"/>
        <v>3632.8999999999996</v>
      </c>
      <c r="EH26" s="23">
        <f t="shared" si="12"/>
        <v>0.95998450956272319</v>
      </c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>
        <v>627.90000000000009</v>
      </c>
      <c r="EV26" s="24">
        <v>1357</v>
      </c>
      <c r="EW26" s="24">
        <v>1251.5999999999999</v>
      </c>
      <c r="EX26" s="24">
        <v>1830.6</v>
      </c>
      <c r="EY26" s="24">
        <v>1765.4</v>
      </c>
      <c r="EZ26" s="24">
        <v>1114.6999999999998</v>
      </c>
      <c r="FA26" s="24">
        <v>1588.6000000000001</v>
      </c>
      <c r="FB26" s="24">
        <v>1904.3</v>
      </c>
      <c r="FC26" s="24">
        <v>1144.6000000000001</v>
      </c>
      <c r="FD26" s="24">
        <v>339.5</v>
      </c>
      <c r="FE26" s="24">
        <v>32</v>
      </c>
      <c r="FF26" s="24"/>
      <c r="FG26" s="18">
        <v>11619.527258280032</v>
      </c>
      <c r="FH26" s="18">
        <v>12990.7</v>
      </c>
      <c r="FI26" s="23">
        <v>1.1180058974209022</v>
      </c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3"/>
    </row>
    <row r="27" spans="1:192" s="14" customFormat="1" ht="24.95" customHeight="1">
      <c r="A27" s="19">
        <f t="shared" si="14"/>
        <v>6</v>
      </c>
      <c r="B27" s="20" t="s">
        <v>73</v>
      </c>
      <c r="C27" s="21" t="s">
        <v>21</v>
      </c>
      <c r="D27" s="21"/>
      <c r="E27" s="21"/>
      <c r="F27" s="21"/>
      <c r="G27" s="24">
        <v>93</v>
      </c>
      <c r="H27" s="24">
        <v>176</v>
      </c>
      <c r="I27" s="24">
        <v>67</v>
      </c>
      <c r="J27" s="24">
        <v>77</v>
      </c>
      <c r="K27" s="24">
        <v>73</v>
      </c>
      <c r="L27" s="24">
        <v>112</v>
      </c>
      <c r="M27" s="24">
        <v>101</v>
      </c>
      <c r="N27" s="24">
        <v>87</v>
      </c>
      <c r="O27" s="24">
        <v>86</v>
      </c>
      <c r="P27" s="24">
        <v>185</v>
      </c>
      <c r="Q27" s="24">
        <v>155</v>
      </c>
      <c r="R27" s="24">
        <v>94</v>
      </c>
      <c r="S27" s="24">
        <v>83</v>
      </c>
      <c r="T27" s="24">
        <v>84</v>
      </c>
      <c r="U27" s="24">
        <v>70</v>
      </c>
      <c r="V27" s="24">
        <v>149</v>
      </c>
      <c r="W27" s="24">
        <v>69</v>
      </c>
      <c r="X27" s="24">
        <v>65</v>
      </c>
      <c r="Y27" s="24">
        <v>80</v>
      </c>
      <c r="Z27" s="24">
        <v>71</v>
      </c>
      <c r="AA27" s="24">
        <v>15</v>
      </c>
      <c r="AB27" s="22">
        <v>901</v>
      </c>
      <c r="AC27" s="22">
        <f t="shared" si="3"/>
        <v>1120</v>
      </c>
      <c r="AD27" s="23">
        <f t="shared" si="4"/>
        <v>1.2430632630410654</v>
      </c>
      <c r="AE27" s="24"/>
      <c r="AF27" s="24"/>
      <c r="AG27" s="24"/>
      <c r="AH27" s="24"/>
      <c r="AI27" s="24"/>
      <c r="AJ27" s="24"/>
      <c r="AK27" s="24">
        <v>231</v>
      </c>
      <c r="AL27" s="24">
        <v>403</v>
      </c>
      <c r="AM27" s="24">
        <v>24</v>
      </c>
      <c r="AN27" s="24">
        <v>9</v>
      </c>
      <c r="AO27" s="24">
        <v>28</v>
      </c>
      <c r="AP27" s="24">
        <v>5</v>
      </c>
      <c r="AQ27" s="24">
        <v>61</v>
      </c>
      <c r="AR27" s="24">
        <v>116</v>
      </c>
      <c r="AS27" s="24">
        <v>82</v>
      </c>
      <c r="AT27" s="24">
        <v>123</v>
      </c>
      <c r="AU27" s="24">
        <v>99</v>
      </c>
      <c r="AV27" s="24">
        <v>110</v>
      </c>
      <c r="AW27" s="24">
        <v>71</v>
      </c>
      <c r="AX27" s="24">
        <v>90</v>
      </c>
      <c r="AY27" s="24">
        <v>38</v>
      </c>
      <c r="AZ27" s="24">
        <v>25</v>
      </c>
      <c r="BA27" s="24">
        <v>48</v>
      </c>
      <c r="BB27" s="24">
        <v>27</v>
      </c>
      <c r="BC27" s="32">
        <v>788</v>
      </c>
      <c r="BD27" s="32">
        <f t="shared" si="6"/>
        <v>890</v>
      </c>
      <c r="BE27" s="23">
        <f t="shared" si="7"/>
        <v>1.1294416243654823</v>
      </c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>
        <v>132</v>
      </c>
      <c r="BS27" s="24">
        <v>247</v>
      </c>
      <c r="BT27" s="24">
        <v>66</v>
      </c>
      <c r="BU27" s="24">
        <v>75</v>
      </c>
      <c r="BV27" s="24">
        <v>85</v>
      </c>
      <c r="BW27" s="24">
        <v>56</v>
      </c>
      <c r="BX27" s="24">
        <v>82</v>
      </c>
      <c r="BY27" s="24">
        <v>96</v>
      </c>
      <c r="BZ27" s="24">
        <v>113</v>
      </c>
      <c r="CA27" s="24">
        <v>353</v>
      </c>
      <c r="CB27" s="24">
        <v>279</v>
      </c>
      <c r="CC27" s="24">
        <v>308</v>
      </c>
      <c r="CD27" s="25">
        <v>1080</v>
      </c>
      <c r="CE27" s="25">
        <v>1305</v>
      </c>
      <c r="CF27" s="23">
        <f t="shared" si="8"/>
        <v>1.2083333333333333</v>
      </c>
      <c r="CG27" s="24"/>
      <c r="CH27" s="24"/>
      <c r="CI27" s="24">
        <v>170</v>
      </c>
      <c r="CJ27" s="24">
        <v>543.10699999999997</v>
      </c>
      <c r="CK27" s="24">
        <v>1310</v>
      </c>
      <c r="CL27" s="24">
        <v>770</v>
      </c>
      <c r="CM27" s="24">
        <v>1800</v>
      </c>
      <c r="CN27" s="24">
        <v>965</v>
      </c>
      <c r="CO27" s="24">
        <v>580</v>
      </c>
      <c r="CP27" s="24">
        <v>200</v>
      </c>
      <c r="CQ27" s="24"/>
      <c r="CR27" s="24"/>
      <c r="CS27" s="24">
        <v>100</v>
      </c>
      <c r="CT27" s="24">
        <v>200</v>
      </c>
      <c r="CU27" s="24">
        <v>300</v>
      </c>
      <c r="CV27" s="24">
        <v>350</v>
      </c>
      <c r="CW27" s="24">
        <v>623</v>
      </c>
      <c r="CX27" s="24">
        <v>781.15800000000002</v>
      </c>
      <c r="CY27" s="24">
        <v>746.8</v>
      </c>
      <c r="CZ27" s="24">
        <v>957.9</v>
      </c>
      <c r="DA27" s="24">
        <v>1228</v>
      </c>
      <c r="DB27" s="24">
        <v>1600</v>
      </c>
      <c r="DC27" s="24">
        <v>569</v>
      </c>
      <c r="DD27" s="24">
        <v>555.41</v>
      </c>
      <c r="DE27" s="18">
        <v>12190.782733069114</v>
      </c>
      <c r="DF27" s="18">
        <f t="shared" si="9"/>
        <v>8011.268</v>
      </c>
      <c r="DG27" s="23">
        <f t="shared" si="10"/>
        <v>0.65715780318751593</v>
      </c>
      <c r="DH27" s="24"/>
      <c r="DI27" s="24">
        <v>50</v>
      </c>
      <c r="DJ27" s="24">
        <v>10</v>
      </c>
      <c r="DK27" s="24">
        <v>115</v>
      </c>
      <c r="DL27" s="24">
        <v>144.9</v>
      </c>
      <c r="DM27" s="24">
        <v>167</v>
      </c>
      <c r="DN27" s="24">
        <v>951.6</v>
      </c>
      <c r="DO27" s="24">
        <v>1222.7</v>
      </c>
      <c r="DP27" s="24">
        <v>449.8</v>
      </c>
      <c r="DQ27" s="24">
        <v>453</v>
      </c>
      <c r="DR27" s="24">
        <v>351.4</v>
      </c>
      <c r="DS27" s="24">
        <v>409.3</v>
      </c>
      <c r="DT27" s="24">
        <v>139</v>
      </c>
      <c r="DU27" s="24">
        <v>32</v>
      </c>
      <c r="DV27" s="24">
        <v>525.70000000000005</v>
      </c>
      <c r="DW27" s="24">
        <v>731</v>
      </c>
      <c r="DX27" s="24">
        <v>724.99999999999977</v>
      </c>
      <c r="DY27" s="24">
        <v>814</v>
      </c>
      <c r="DZ27" s="24">
        <v>870</v>
      </c>
      <c r="EA27" s="24">
        <v>841</v>
      </c>
      <c r="EB27" s="24">
        <v>340</v>
      </c>
      <c r="EC27" s="24">
        <v>204</v>
      </c>
      <c r="ED27" s="24">
        <v>173</v>
      </c>
      <c r="EE27" s="24">
        <v>61</v>
      </c>
      <c r="EF27" s="18">
        <v>5450.9688635247239</v>
      </c>
      <c r="EG27" s="18">
        <f t="shared" si="11"/>
        <v>5455.7</v>
      </c>
      <c r="EH27" s="23">
        <f t="shared" si="12"/>
        <v>1.0008679441386896</v>
      </c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>
        <v>150</v>
      </c>
      <c r="EV27" s="24">
        <v>914.3</v>
      </c>
      <c r="EW27" s="24">
        <v>670.49999999999989</v>
      </c>
      <c r="EX27" s="24">
        <v>1243.8599999999999</v>
      </c>
      <c r="EY27" s="24">
        <v>1094.6000000000001</v>
      </c>
      <c r="EZ27" s="24">
        <v>1418.3</v>
      </c>
      <c r="FA27" s="24">
        <v>1474.3000000000002</v>
      </c>
      <c r="FB27" s="24">
        <v>1853.3999999999999</v>
      </c>
      <c r="FC27" s="24">
        <v>1514</v>
      </c>
      <c r="FD27" s="24">
        <v>345.5</v>
      </c>
      <c r="FE27" s="24">
        <v>300.5</v>
      </c>
      <c r="FF27" s="24">
        <v>17</v>
      </c>
      <c r="FG27" s="18">
        <v>9398.6746705686874</v>
      </c>
      <c r="FH27" s="18">
        <v>10886.66</v>
      </c>
      <c r="FI27" s="23">
        <v>1.158318633380389</v>
      </c>
      <c r="FJ27" s="24">
        <v>275.91442599999999</v>
      </c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3"/>
    </row>
    <row r="28" spans="1:192" s="14" customFormat="1" ht="24.95" customHeight="1">
      <c r="A28" s="19">
        <f t="shared" si="14"/>
        <v>7</v>
      </c>
      <c r="B28" s="20" t="s">
        <v>74</v>
      </c>
      <c r="C28" s="21" t="s">
        <v>22</v>
      </c>
      <c r="D28" s="21"/>
      <c r="E28" s="21"/>
      <c r="F28" s="21"/>
      <c r="G28" s="24">
        <v>164</v>
      </c>
      <c r="H28" s="24">
        <v>114</v>
      </c>
      <c r="I28" s="24">
        <v>126</v>
      </c>
      <c r="J28" s="24">
        <v>139</v>
      </c>
      <c r="K28" s="24">
        <v>130</v>
      </c>
      <c r="L28" s="24">
        <v>130</v>
      </c>
      <c r="M28" s="24">
        <v>132</v>
      </c>
      <c r="N28" s="24">
        <v>125</v>
      </c>
      <c r="O28" s="24">
        <v>125</v>
      </c>
      <c r="P28" s="24">
        <v>98</v>
      </c>
      <c r="Q28" s="24">
        <v>289</v>
      </c>
      <c r="R28" s="24">
        <v>6</v>
      </c>
      <c r="S28" s="24">
        <v>109</v>
      </c>
      <c r="T28" s="24">
        <v>133</v>
      </c>
      <c r="U28" s="24">
        <v>102</v>
      </c>
      <c r="V28" s="24">
        <v>141</v>
      </c>
      <c r="W28" s="24">
        <v>174</v>
      </c>
      <c r="X28" s="24">
        <v>108</v>
      </c>
      <c r="Y28" s="24">
        <v>89</v>
      </c>
      <c r="Z28" s="24">
        <v>90</v>
      </c>
      <c r="AA28" s="24">
        <v>8</v>
      </c>
      <c r="AB28" s="22">
        <v>1093</v>
      </c>
      <c r="AC28" s="22">
        <f t="shared" si="3"/>
        <v>1347</v>
      </c>
      <c r="AD28" s="23">
        <f t="shared" si="4"/>
        <v>1.2323879231473009</v>
      </c>
      <c r="AE28" s="24"/>
      <c r="AF28" s="24"/>
      <c r="AG28" s="24"/>
      <c r="AH28" s="24"/>
      <c r="AI28" s="24"/>
      <c r="AJ28" s="24"/>
      <c r="AK28" s="24">
        <v>293</v>
      </c>
      <c r="AL28" s="24">
        <v>547</v>
      </c>
      <c r="AM28" s="24">
        <v>40</v>
      </c>
      <c r="AN28" s="24"/>
      <c r="AO28" s="24">
        <v>49</v>
      </c>
      <c r="AP28" s="24"/>
      <c r="AQ28" s="24">
        <v>66</v>
      </c>
      <c r="AR28" s="24">
        <v>147</v>
      </c>
      <c r="AS28" s="24">
        <v>110</v>
      </c>
      <c r="AT28" s="24">
        <v>107</v>
      </c>
      <c r="AU28" s="24">
        <v>164</v>
      </c>
      <c r="AV28" s="24">
        <v>133</v>
      </c>
      <c r="AW28" s="24">
        <v>90</v>
      </c>
      <c r="AX28" s="24">
        <v>75</v>
      </c>
      <c r="AY28" s="24">
        <v>138</v>
      </c>
      <c r="AZ28" s="24">
        <v>74</v>
      </c>
      <c r="BA28" s="24">
        <v>95</v>
      </c>
      <c r="BB28" s="24">
        <v>45</v>
      </c>
      <c r="BC28" s="32">
        <v>1081</v>
      </c>
      <c r="BD28" s="32">
        <f t="shared" si="6"/>
        <v>1244</v>
      </c>
      <c r="BE28" s="23">
        <f t="shared" si="7"/>
        <v>1.1507863089731729</v>
      </c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>
        <v>211</v>
      </c>
      <c r="BS28" s="24">
        <v>95</v>
      </c>
      <c r="BT28" s="24">
        <v>131</v>
      </c>
      <c r="BU28" s="24">
        <v>160</v>
      </c>
      <c r="BV28" s="24">
        <v>270</v>
      </c>
      <c r="BW28" s="24">
        <v>284</v>
      </c>
      <c r="BX28" s="24">
        <v>243</v>
      </c>
      <c r="BY28" s="24">
        <v>373</v>
      </c>
      <c r="BZ28" s="24">
        <v>222</v>
      </c>
      <c r="CA28" s="24">
        <v>271</v>
      </c>
      <c r="CB28" s="24">
        <v>456</v>
      </c>
      <c r="CC28" s="24">
        <v>408</v>
      </c>
      <c r="CD28" s="25">
        <v>2035</v>
      </c>
      <c r="CE28" s="25">
        <v>2260</v>
      </c>
      <c r="CF28" s="23">
        <f t="shared" si="8"/>
        <v>1.1105651105651106</v>
      </c>
      <c r="CG28" s="24"/>
      <c r="CH28" s="24">
        <v>100</v>
      </c>
      <c r="CI28" s="24">
        <v>200</v>
      </c>
      <c r="CJ28" s="24">
        <v>640</v>
      </c>
      <c r="CK28" s="24">
        <v>800</v>
      </c>
      <c r="CL28" s="24">
        <v>719.5</v>
      </c>
      <c r="CM28" s="24">
        <v>700</v>
      </c>
      <c r="CN28" s="24">
        <v>650</v>
      </c>
      <c r="CO28" s="24">
        <v>995.41899999999998</v>
      </c>
      <c r="CP28" s="24">
        <v>200</v>
      </c>
      <c r="CQ28" s="24"/>
      <c r="CR28" s="24"/>
      <c r="CS28" s="24"/>
      <c r="CT28" s="24">
        <v>170.8</v>
      </c>
      <c r="CU28" s="24">
        <v>200</v>
      </c>
      <c r="CV28" s="24">
        <v>872.69900000000007</v>
      </c>
      <c r="CW28" s="24">
        <v>1488.7</v>
      </c>
      <c r="CX28" s="24">
        <v>1724.02709</v>
      </c>
      <c r="CY28" s="24">
        <v>1100</v>
      </c>
      <c r="CZ28" s="24">
        <v>1000</v>
      </c>
      <c r="DA28" s="24">
        <v>1677</v>
      </c>
      <c r="DB28" s="24">
        <v>1500</v>
      </c>
      <c r="DC28" s="24">
        <v>797.11397299999999</v>
      </c>
      <c r="DD28" s="24">
        <v>15.13</v>
      </c>
      <c r="DE28" s="18">
        <v>10032.080544158393</v>
      </c>
      <c r="DF28" s="18">
        <f t="shared" si="9"/>
        <v>10545.470062999999</v>
      </c>
      <c r="DG28" s="23">
        <f t="shared" si="10"/>
        <v>1.0511747804039062</v>
      </c>
      <c r="DH28" s="24"/>
      <c r="DI28" s="24">
        <v>50</v>
      </c>
      <c r="DJ28" s="24">
        <v>40</v>
      </c>
      <c r="DK28" s="24">
        <v>180</v>
      </c>
      <c r="DL28" s="24">
        <v>235</v>
      </c>
      <c r="DM28" s="24">
        <v>180</v>
      </c>
      <c r="DN28" s="24">
        <v>212</v>
      </c>
      <c r="DO28" s="24">
        <v>645</v>
      </c>
      <c r="DP28" s="24">
        <v>900</v>
      </c>
      <c r="DQ28" s="24">
        <v>368</v>
      </c>
      <c r="DR28" s="24">
        <v>149</v>
      </c>
      <c r="DS28" s="24">
        <v>147</v>
      </c>
      <c r="DT28" s="24">
        <v>226.4</v>
      </c>
      <c r="DU28" s="24">
        <v>212.70000000000002</v>
      </c>
      <c r="DV28" s="24">
        <v>506.80000000000007</v>
      </c>
      <c r="DW28" s="24">
        <v>638.90000000000009</v>
      </c>
      <c r="DX28" s="24">
        <v>773.5</v>
      </c>
      <c r="DY28" s="24">
        <v>832.40000000000009</v>
      </c>
      <c r="DZ28" s="24">
        <v>668</v>
      </c>
      <c r="EA28" s="24">
        <v>873.89999999999918</v>
      </c>
      <c r="EB28" s="24">
        <v>1252</v>
      </c>
      <c r="EC28" s="24">
        <v>310</v>
      </c>
      <c r="ED28" s="24">
        <v>689</v>
      </c>
      <c r="EE28" s="24">
        <v>0</v>
      </c>
      <c r="EF28" s="18">
        <v>6419.4076625421803</v>
      </c>
      <c r="EG28" s="18">
        <f t="shared" si="11"/>
        <v>6983.5999999999995</v>
      </c>
      <c r="EH28" s="23">
        <f t="shared" si="12"/>
        <v>1.0878885353784169</v>
      </c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>
        <v>17</v>
      </c>
      <c r="EV28" s="24">
        <v>1362.1</v>
      </c>
      <c r="EW28" s="24">
        <v>1043.3</v>
      </c>
      <c r="EX28" s="24">
        <v>2023.8000000000002</v>
      </c>
      <c r="EY28" s="24">
        <v>1746.1</v>
      </c>
      <c r="EZ28" s="24">
        <v>1547.1999999999998</v>
      </c>
      <c r="FA28" s="24">
        <v>1177.5</v>
      </c>
      <c r="FB28" s="24">
        <v>1324</v>
      </c>
      <c r="FC28" s="24">
        <v>670</v>
      </c>
      <c r="FD28" s="24">
        <v>339.7</v>
      </c>
      <c r="FE28" s="24">
        <v>150</v>
      </c>
      <c r="FF28" s="24"/>
      <c r="FG28" s="18">
        <v>10185.744053093778</v>
      </c>
      <c r="FH28" s="18">
        <v>11131.5</v>
      </c>
      <c r="FI28" s="23">
        <v>1.0928509436302751</v>
      </c>
      <c r="FJ28" s="24">
        <v>300</v>
      </c>
      <c r="FK28" s="24"/>
      <c r="FL28" s="24"/>
      <c r="FM28" s="24"/>
      <c r="FN28" s="24"/>
      <c r="FO28" s="24">
        <v>70.270270269999997</v>
      </c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3"/>
    </row>
    <row r="29" spans="1:192" s="14" customFormat="1" ht="24.95" customHeight="1">
      <c r="A29" s="19">
        <f t="shared" si="14"/>
        <v>8</v>
      </c>
      <c r="B29" s="20" t="s">
        <v>75</v>
      </c>
      <c r="C29" s="21" t="s">
        <v>23</v>
      </c>
      <c r="D29" s="21"/>
      <c r="E29" s="21"/>
      <c r="F29" s="21"/>
      <c r="G29" s="24">
        <v>60</v>
      </c>
      <c r="H29" s="24">
        <v>81</v>
      </c>
      <c r="I29" s="24">
        <v>87</v>
      </c>
      <c r="J29" s="24">
        <v>96</v>
      </c>
      <c r="K29" s="24">
        <v>91</v>
      </c>
      <c r="L29" s="24">
        <v>91</v>
      </c>
      <c r="M29" s="24">
        <v>95</v>
      </c>
      <c r="N29" s="24">
        <v>90</v>
      </c>
      <c r="O29" s="24">
        <v>90</v>
      </c>
      <c r="P29" s="24">
        <v>16</v>
      </c>
      <c r="Q29" s="24">
        <v>176</v>
      </c>
      <c r="R29" s="24">
        <v>63</v>
      </c>
      <c r="S29" s="24">
        <v>161</v>
      </c>
      <c r="T29" s="24">
        <v>78</v>
      </c>
      <c r="U29" s="24">
        <v>67</v>
      </c>
      <c r="V29" s="24">
        <v>78</v>
      </c>
      <c r="W29" s="24">
        <v>67</v>
      </c>
      <c r="X29" s="24">
        <v>70</v>
      </c>
      <c r="Y29" s="24">
        <v>55</v>
      </c>
      <c r="Z29" s="24">
        <v>55</v>
      </c>
      <c r="AA29" s="24">
        <v>70</v>
      </c>
      <c r="AB29" s="22">
        <v>709</v>
      </c>
      <c r="AC29" s="22">
        <f t="shared" si="3"/>
        <v>956</v>
      </c>
      <c r="AD29" s="23">
        <f t="shared" si="4"/>
        <v>1.3483779971791254</v>
      </c>
      <c r="AE29" s="24"/>
      <c r="AF29" s="24"/>
      <c r="AG29" s="24"/>
      <c r="AH29" s="24"/>
      <c r="AI29" s="24"/>
      <c r="AJ29" s="24"/>
      <c r="AK29" s="24">
        <v>281</v>
      </c>
      <c r="AL29" s="24">
        <v>469</v>
      </c>
      <c r="AM29" s="24">
        <v>107</v>
      </c>
      <c r="AN29" s="24">
        <v>14</v>
      </c>
      <c r="AO29" s="24">
        <v>16</v>
      </c>
      <c r="AP29" s="24"/>
      <c r="AQ29" s="24">
        <v>64</v>
      </c>
      <c r="AR29" s="24">
        <v>135</v>
      </c>
      <c r="AS29" s="24">
        <v>136</v>
      </c>
      <c r="AT29" s="24">
        <v>119</v>
      </c>
      <c r="AU29" s="24">
        <v>133</v>
      </c>
      <c r="AV29" s="24">
        <v>122</v>
      </c>
      <c r="AW29" s="24">
        <v>73</v>
      </c>
      <c r="AX29" s="24">
        <v>85</v>
      </c>
      <c r="AY29" s="24">
        <v>110</v>
      </c>
      <c r="AZ29" s="24">
        <v>59</v>
      </c>
      <c r="BA29" s="24">
        <v>80</v>
      </c>
      <c r="BB29" s="24">
        <v>20</v>
      </c>
      <c r="BC29" s="32">
        <v>1024</v>
      </c>
      <c r="BD29" s="32">
        <f t="shared" si="6"/>
        <v>1136</v>
      </c>
      <c r="BE29" s="23">
        <f t="shared" si="7"/>
        <v>1.109375</v>
      </c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>
        <v>148</v>
      </c>
      <c r="BS29" s="24">
        <v>131</v>
      </c>
      <c r="BT29" s="24">
        <v>152</v>
      </c>
      <c r="BU29" s="24">
        <v>100</v>
      </c>
      <c r="BV29" s="24">
        <v>214</v>
      </c>
      <c r="BW29" s="24">
        <v>232</v>
      </c>
      <c r="BX29" s="24">
        <v>170</v>
      </c>
      <c r="BY29" s="24">
        <v>148</v>
      </c>
      <c r="BZ29" s="24">
        <v>182</v>
      </c>
      <c r="CA29" s="24">
        <v>403</v>
      </c>
      <c r="CB29" s="24">
        <v>360</v>
      </c>
      <c r="CC29" s="24">
        <v>29</v>
      </c>
      <c r="CD29" s="25">
        <v>1417</v>
      </c>
      <c r="CE29" s="25">
        <v>1880</v>
      </c>
      <c r="CF29" s="23">
        <f t="shared" si="8"/>
        <v>1.3267466478475654</v>
      </c>
      <c r="CG29" s="24"/>
      <c r="CH29" s="24">
        <v>70</v>
      </c>
      <c r="CI29" s="24"/>
      <c r="CJ29" s="24">
        <v>860</v>
      </c>
      <c r="CK29" s="24">
        <v>1986</v>
      </c>
      <c r="CL29" s="24">
        <v>600</v>
      </c>
      <c r="CM29" s="24">
        <v>2283</v>
      </c>
      <c r="CN29" s="24">
        <v>1200</v>
      </c>
      <c r="CO29" s="24">
        <v>800</v>
      </c>
      <c r="CP29" s="24">
        <v>400</v>
      </c>
      <c r="CQ29" s="24"/>
      <c r="CR29" s="24"/>
      <c r="CS29" s="24">
        <v>50</v>
      </c>
      <c r="CT29" s="24">
        <v>100</v>
      </c>
      <c r="CU29" s="24">
        <v>100</v>
      </c>
      <c r="CV29" s="24">
        <v>625.46600000000001</v>
      </c>
      <c r="CW29" s="24">
        <v>780.96601099999998</v>
      </c>
      <c r="CX29" s="24">
        <v>630.10638300000005</v>
      </c>
      <c r="CY29" s="24">
        <v>600</v>
      </c>
      <c r="CZ29" s="24">
        <v>1097.872341</v>
      </c>
      <c r="DA29" s="24">
        <v>1100</v>
      </c>
      <c r="DB29" s="24">
        <v>1156.3699999999999</v>
      </c>
      <c r="DC29" s="24">
        <v>1080</v>
      </c>
      <c r="DD29" s="24">
        <v>614.20000000000005</v>
      </c>
      <c r="DE29" s="18">
        <v>10463.294992956102</v>
      </c>
      <c r="DF29" s="18">
        <f t="shared" si="9"/>
        <v>7934.9807350000001</v>
      </c>
      <c r="DG29" s="23">
        <f t="shared" si="10"/>
        <v>0.75836347348916711</v>
      </c>
      <c r="DH29" s="24"/>
      <c r="DI29" s="24">
        <v>55</v>
      </c>
      <c r="DJ29" s="24"/>
      <c r="DK29" s="24">
        <v>200</v>
      </c>
      <c r="DL29" s="24">
        <v>84</v>
      </c>
      <c r="DM29" s="24">
        <v>413.85</v>
      </c>
      <c r="DN29" s="24">
        <v>1572.1</v>
      </c>
      <c r="DO29" s="24">
        <v>1770.1</v>
      </c>
      <c r="DP29" s="24">
        <v>1286</v>
      </c>
      <c r="DQ29" s="24">
        <v>1278.5</v>
      </c>
      <c r="DR29" s="24">
        <v>699.6</v>
      </c>
      <c r="DS29" s="24">
        <v>496</v>
      </c>
      <c r="DT29" s="24">
        <v>204</v>
      </c>
      <c r="DU29" s="24">
        <v>132</v>
      </c>
      <c r="DV29" s="24">
        <v>565.29999999999995</v>
      </c>
      <c r="DW29" s="24">
        <v>961.97</v>
      </c>
      <c r="DX29" s="24">
        <v>1180.7999999999997</v>
      </c>
      <c r="DY29" s="24">
        <v>766</v>
      </c>
      <c r="DZ29" s="24">
        <v>705</v>
      </c>
      <c r="EA29" s="24">
        <v>639.5</v>
      </c>
      <c r="EB29" s="24">
        <v>643.5</v>
      </c>
      <c r="EC29" s="24">
        <v>145.69999999999982</v>
      </c>
      <c r="ED29" s="24">
        <v>126</v>
      </c>
      <c r="EE29" s="24">
        <v>17</v>
      </c>
      <c r="EF29" s="18">
        <v>6594.3582397168784</v>
      </c>
      <c r="EG29" s="18">
        <f t="shared" si="11"/>
        <v>6086.7699999999995</v>
      </c>
      <c r="EH29" s="23">
        <f t="shared" si="12"/>
        <v>0.92302689340416066</v>
      </c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>
        <v>50</v>
      </c>
      <c r="EV29" s="24">
        <v>1012.1999999999999</v>
      </c>
      <c r="EW29" s="24">
        <v>988.27</v>
      </c>
      <c r="EX29" s="24">
        <v>1376.7999999999997</v>
      </c>
      <c r="EY29" s="24">
        <v>2128.9</v>
      </c>
      <c r="EZ29" s="24">
        <v>1789.7</v>
      </c>
      <c r="FA29" s="24">
        <v>1509.6999999999998</v>
      </c>
      <c r="FB29" s="24">
        <v>1677.1</v>
      </c>
      <c r="FC29" s="24">
        <v>1551.9</v>
      </c>
      <c r="FD29" s="24">
        <v>144</v>
      </c>
      <c r="FE29" s="24">
        <v>129</v>
      </c>
      <c r="FF29" s="24"/>
      <c r="FG29" s="18">
        <v>11567.103665345694</v>
      </c>
      <c r="FH29" s="18">
        <v>12337.57</v>
      </c>
      <c r="FI29" s="23">
        <v>1.0666084057811787</v>
      </c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3"/>
    </row>
    <row r="30" spans="1:192" s="14" customFormat="1" ht="24.95" customHeight="1">
      <c r="A30" s="19">
        <f t="shared" si="14"/>
        <v>9</v>
      </c>
      <c r="B30" s="20" t="s">
        <v>76</v>
      </c>
      <c r="C30" s="21" t="s">
        <v>24</v>
      </c>
      <c r="D30" s="21"/>
      <c r="E30" s="21"/>
      <c r="F30" s="21"/>
      <c r="G30" s="24">
        <v>118</v>
      </c>
      <c r="H30" s="24">
        <v>112</v>
      </c>
      <c r="I30" s="24">
        <v>125</v>
      </c>
      <c r="J30" s="24">
        <v>135</v>
      </c>
      <c r="K30" s="24">
        <v>131</v>
      </c>
      <c r="L30" s="24">
        <v>122</v>
      </c>
      <c r="M30" s="24">
        <v>100</v>
      </c>
      <c r="N30" s="24">
        <v>110</v>
      </c>
      <c r="O30" s="24">
        <v>98</v>
      </c>
      <c r="P30" s="24">
        <v>116</v>
      </c>
      <c r="Q30" s="24">
        <v>329</v>
      </c>
      <c r="R30" s="24">
        <v>51</v>
      </c>
      <c r="S30" s="24">
        <v>91</v>
      </c>
      <c r="T30" s="24">
        <v>69</v>
      </c>
      <c r="U30" s="24">
        <v>146</v>
      </c>
      <c r="V30" s="24">
        <v>125</v>
      </c>
      <c r="W30" s="24">
        <v>76</v>
      </c>
      <c r="X30" s="24">
        <v>107</v>
      </c>
      <c r="Y30" s="24">
        <v>90</v>
      </c>
      <c r="Z30" s="24">
        <v>80</v>
      </c>
      <c r="AA30" s="24">
        <v>17</v>
      </c>
      <c r="AB30" s="22">
        <v>1082</v>
      </c>
      <c r="AC30" s="22">
        <f t="shared" si="3"/>
        <v>1297</v>
      </c>
      <c r="AD30" s="23">
        <f t="shared" si="4"/>
        <v>1.1987060998151571</v>
      </c>
      <c r="AE30" s="24"/>
      <c r="AF30" s="24"/>
      <c r="AG30" s="24"/>
      <c r="AH30" s="24"/>
      <c r="AI30" s="24"/>
      <c r="AJ30" s="24"/>
      <c r="AK30" s="24">
        <v>152</v>
      </c>
      <c r="AL30" s="24">
        <v>232</v>
      </c>
      <c r="AM30" s="24">
        <v>76</v>
      </c>
      <c r="AN30" s="24">
        <v>10</v>
      </c>
      <c r="AO30" s="24">
        <v>19</v>
      </c>
      <c r="AP30" s="24">
        <v>19</v>
      </c>
      <c r="AQ30" s="24">
        <v>40</v>
      </c>
      <c r="AR30" s="24">
        <v>77</v>
      </c>
      <c r="AS30" s="24">
        <v>89</v>
      </c>
      <c r="AT30" s="24">
        <v>67</v>
      </c>
      <c r="AU30" s="24">
        <v>68</v>
      </c>
      <c r="AV30" s="24">
        <v>67</v>
      </c>
      <c r="AW30" s="24">
        <v>61</v>
      </c>
      <c r="AX30" s="24">
        <v>38</v>
      </c>
      <c r="AY30" s="24">
        <v>35</v>
      </c>
      <c r="AZ30" s="24">
        <v>34</v>
      </c>
      <c r="BA30" s="24">
        <v>30</v>
      </c>
      <c r="BB30" s="24">
        <v>18</v>
      </c>
      <c r="BC30" s="32">
        <v>553</v>
      </c>
      <c r="BD30" s="32">
        <f t="shared" si="6"/>
        <v>624</v>
      </c>
      <c r="BE30" s="23">
        <f t="shared" si="7"/>
        <v>1.1283905967450272</v>
      </c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>
        <v>58</v>
      </c>
      <c r="BS30" s="24">
        <v>66</v>
      </c>
      <c r="BT30" s="24">
        <v>29</v>
      </c>
      <c r="BU30" s="24">
        <v>44</v>
      </c>
      <c r="BV30" s="24">
        <v>151</v>
      </c>
      <c r="BW30" s="24">
        <v>230</v>
      </c>
      <c r="BX30" s="24">
        <v>309</v>
      </c>
      <c r="BY30" s="24">
        <v>367</v>
      </c>
      <c r="BZ30" s="24">
        <v>171</v>
      </c>
      <c r="CA30" s="24">
        <v>352</v>
      </c>
      <c r="CB30" s="24">
        <v>245</v>
      </c>
      <c r="CC30" s="24">
        <v>97</v>
      </c>
      <c r="CD30" s="25">
        <v>772</v>
      </c>
      <c r="CE30" s="25">
        <v>1777</v>
      </c>
      <c r="CF30" s="23">
        <f t="shared" si="8"/>
        <v>2.3018134715025909</v>
      </c>
      <c r="CG30" s="24"/>
      <c r="CH30" s="24">
        <v>100</v>
      </c>
      <c r="CI30" s="24"/>
      <c r="CJ30" s="24">
        <v>1340</v>
      </c>
      <c r="CK30" s="24">
        <v>925</v>
      </c>
      <c r="CL30" s="24">
        <v>345</v>
      </c>
      <c r="CM30" s="24">
        <v>1479.4</v>
      </c>
      <c r="CN30" s="24">
        <v>2618.9499999999998</v>
      </c>
      <c r="CO30" s="24">
        <v>1035</v>
      </c>
      <c r="CP30" s="24">
        <v>900</v>
      </c>
      <c r="CQ30" s="24">
        <v>100</v>
      </c>
      <c r="CR30" s="24"/>
      <c r="CS30" s="24">
        <v>300</v>
      </c>
      <c r="CT30" s="24">
        <v>226.017</v>
      </c>
      <c r="CU30" s="24">
        <v>1074.864</v>
      </c>
      <c r="CV30" s="24">
        <v>900</v>
      </c>
      <c r="CW30" s="24">
        <v>487</v>
      </c>
      <c r="CX30" s="24">
        <v>450</v>
      </c>
      <c r="CY30" s="24">
        <v>513.149</v>
      </c>
      <c r="CZ30" s="24">
        <v>790.9</v>
      </c>
      <c r="DA30" s="24">
        <v>1201.249084</v>
      </c>
      <c r="DB30" s="24">
        <v>1173.9949999999999</v>
      </c>
      <c r="DC30" s="24">
        <v>868</v>
      </c>
      <c r="DD30" s="24">
        <v>359.60500000000002</v>
      </c>
      <c r="DE30" s="18">
        <v>7562.0266330585891</v>
      </c>
      <c r="DF30" s="18">
        <f t="shared" si="9"/>
        <v>8344.7790839999998</v>
      </c>
      <c r="DG30" s="23">
        <f t="shared" si="10"/>
        <v>1.103510935483814</v>
      </c>
      <c r="DH30" s="24"/>
      <c r="DI30" s="24">
        <v>55</v>
      </c>
      <c r="DJ30" s="24">
        <v>39</v>
      </c>
      <c r="DK30" s="24">
        <v>240</v>
      </c>
      <c r="DL30" s="24">
        <v>295</v>
      </c>
      <c r="DM30" s="24">
        <v>110</v>
      </c>
      <c r="DN30" s="24">
        <v>90</v>
      </c>
      <c r="DO30" s="24">
        <v>143</v>
      </c>
      <c r="DP30" s="24">
        <v>1263</v>
      </c>
      <c r="DQ30" s="24">
        <v>554</v>
      </c>
      <c r="DR30" s="24">
        <v>751</v>
      </c>
      <c r="DS30" s="24">
        <v>634</v>
      </c>
      <c r="DT30" s="24">
        <v>1134.3</v>
      </c>
      <c r="DU30" s="24">
        <v>303</v>
      </c>
      <c r="DV30" s="24">
        <v>564.79999999999995</v>
      </c>
      <c r="DW30" s="24">
        <v>722.19</v>
      </c>
      <c r="DX30" s="24">
        <v>557.90000000000009</v>
      </c>
      <c r="DY30" s="24">
        <v>449.59999999999991</v>
      </c>
      <c r="DZ30" s="24">
        <v>491</v>
      </c>
      <c r="EA30" s="24">
        <v>509</v>
      </c>
      <c r="EB30" s="24">
        <v>143</v>
      </c>
      <c r="EC30" s="24">
        <v>116.5</v>
      </c>
      <c r="ED30" s="24">
        <v>146</v>
      </c>
      <c r="EE30" s="24">
        <v>0</v>
      </c>
      <c r="EF30" s="18">
        <v>4727.9222843361895</v>
      </c>
      <c r="EG30" s="18">
        <f t="shared" si="11"/>
        <v>5137.29</v>
      </c>
      <c r="EH30" s="23">
        <f t="shared" si="12"/>
        <v>1.0865851194339771</v>
      </c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>
        <v>235</v>
      </c>
      <c r="EV30" s="24">
        <v>2328.9</v>
      </c>
      <c r="EW30" s="24">
        <v>1706.4</v>
      </c>
      <c r="EX30" s="24">
        <v>992.92000000000007</v>
      </c>
      <c r="EY30" s="24">
        <v>1042.1999999999998</v>
      </c>
      <c r="EZ30" s="24">
        <v>1047.9000000000001</v>
      </c>
      <c r="FA30" s="24">
        <v>921</v>
      </c>
      <c r="FB30" s="24">
        <v>912.8</v>
      </c>
      <c r="FC30" s="24">
        <v>392.2</v>
      </c>
      <c r="FD30" s="24">
        <v>237.8</v>
      </c>
      <c r="FE30" s="24">
        <v>200</v>
      </c>
      <c r="FF30" s="24"/>
      <c r="FG30" s="18">
        <v>9007.6273857054603</v>
      </c>
      <c r="FH30" s="18">
        <v>9907.1200000000008</v>
      </c>
      <c r="FI30" s="23">
        <v>1.099858994580746</v>
      </c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3"/>
    </row>
    <row r="31" spans="1:192" s="14" customFormat="1" ht="24.95" customHeight="1">
      <c r="A31" s="19">
        <f t="shared" si="14"/>
        <v>10</v>
      </c>
      <c r="B31" s="20" t="s">
        <v>77</v>
      </c>
      <c r="C31" s="21" t="s">
        <v>25</v>
      </c>
      <c r="D31" s="21"/>
      <c r="E31" s="21"/>
      <c r="F31" s="21"/>
      <c r="G31" s="24">
        <v>158</v>
      </c>
      <c r="H31" s="24">
        <v>125</v>
      </c>
      <c r="I31" s="24">
        <v>123</v>
      </c>
      <c r="J31" s="24">
        <v>134</v>
      </c>
      <c r="K31" s="24">
        <v>124</v>
      </c>
      <c r="L31" s="24">
        <v>125</v>
      </c>
      <c r="M31" s="24">
        <v>125</v>
      </c>
      <c r="N31" s="24">
        <v>105</v>
      </c>
      <c r="O31" s="24">
        <v>103</v>
      </c>
      <c r="P31" s="24">
        <v>139</v>
      </c>
      <c r="Q31" s="24">
        <v>203</v>
      </c>
      <c r="R31" s="24">
        <v>82</v>
      </c>
      <c r="S31" s="24">
        <v>125</v>
      </c>
      <c r="T31" s="24">
        <v>90</v>
      </c>
      <c r="U31" s="24">
        <v>91</v>
      </c>
      <c r="V31" s="24">
        <v>72</v>
      </c>
      <c r="W31" s="24">
        <v>102</v>
      </c>
      <c r="X31" s="24">
        <v>88</v>
      </c>
      <c r="Y31" s="24">
        <v>71</v>
      </c>
      <c r="Z31" s="24">
        <v>109</v>
      </c>
      <c r="AA31" s="24">
        <v>18</v>
      </c>
      <c r="AB31" s="22">
        <v>911</v>
      </c>
      <c r="AC31" s="22">
        <f t="shared" si="3"/>
        <v>1190</v>
      </c>
      <c r="AD31" s="23">
        <f t="shared" si="4"/>
        <v>1.3062568605927551</v>
      </c>
      <c r="AE31" s="24"/>
      <c r="AF31" s="24"/>
      <c r="AG31" s="24"/>
      <c r="AH31" s="24"/>
      <c r="AI31" s="24"/>
      <c r="AJ31" s="24"/>
      <c r="AK31" s="24">
        <v>103</v>
      </c>
      <c r="AL31" s="24">
        <v>168</v>
      </c>
      <c r="AM31" s="24">
        <v>46</v>
      </c>
      <c r="AN31" s="24">
        <v>5</v>
      </c>
      <c r="AO31" s="24"/>
      <c r="AP31" s="24">
        <v>4</v>
      </c>
      <c r="AQ31" s="24">
        <v>23</v>
      </c>
      <c r="AR31" s="24">
        <v>65</v>
      </c>
      <c r="AS31" s="24">
        <v>64</v>
      </c>
      <c r="AT31" s="24">
        <v>40</v>
      </c>
      <c r="AU31" s="24">
        <v>42</v>
      </c>
      <c r="AV31" s="24">
        <v>40</v>
      </c>
      <c r="AW31" s="24">
        <v>32</v>
      </c>
      <c r="AX31" s="24">
        <v>16</v>
      </c>
      <c r="AY31" s="24">
        <v>45</v>
      </c>
      <c r="AZ31" s="24">
        <v>32</v>
      </c>
      <c r="BA31" s="24">
        <v>31</v>
      </c>
      <c r="BB31" s="24">
        <v>23</v>
      </c>
      <c r="BC31" s="32">
        <v>402</v>
      </c>
      <c r="BD31" s="32">
        <f t="shared" si="6"/>
        <v>453</v>
      </c>
      <c r="BE31" s="23">
        <f t="shared" si="7"/>
        <v>1.1268656716417911</v>
      </c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>
        <v>127</v>
      </c>
      <c r="BS31" s="24">
        <v>255</v>
      </c>
      <c r="BT31" s="24">
        <v>89</v>
      </c>
      <c r="BU31" s="24">
        <v>121</v>
      </c>
      <c r="BV31" s="24">
        <v>203</v>
      </c>
      <c r="BW31" s="24">
        <v>300</v>
      </c>
      <c r="BX31" s="24">
        <v>245</v>
      </c>
      <c r="BY31" s="24">
        <v>170</v>
      </c>
      <c r="BZ31" s="24">
        <v>223</v>
      </c>
      <c r="CA31" s="24">
        <v>327</v>
      </c>
      <c r="CB31" s="24">
        <v>369</v>
      </c>
      <c r="CC31" s="24">
        <v>209</v>
      </c>
      <c r="CD31" s="25">
        <v>1467</v>
      </c>
      <c r="CE31" s="25">
        <v>2060</v>
      </c>
      <c r="CF31" s="23">
        <f t="shared" si="8"/>
        <v>1.4042263122017724</v>
      </c>
      <c r="CG31" s="24"/>
      <c r="CH31" s="24">
        <v>100</v>
      </c>
      <c r="CI31" s="24">
        <v>300</v>
      </c>
      <c r="CJ31" s="24">
        <v>1405</v>
      </c>
      <c r="CK31" s="24">
        <v>1600</v>
      </c>
      <c r="CL31" s="24">
        <v>1949</v>
      </c>
      <c r="CM31" s="24">
        <v>2605</v>
      </c>
      <c r="CN31" s="24">
        <v>2975</v>
      </c>
      <c r="CO31" s="24">
        <v>1799.9999999000001</v>
      </c>
      <c r="CP31" s="24">
        <v>300</v>
      </c>
      <c r="CQ31" s="24"/>
      <c r="CR31" s="24"/>
      <c r="CS31" s="24">
        <v>850</v>
      </c>
      <c r="CT31" s="24">
        <v>600</v>
      </c>
      <c r="CU31" s="24">
        <v>590</v>
      </c>
      <c r="CV31" s="24">
        <v>1458</v>
      </c>
      <c r="CW31" s="24">
        <v>1350</v>
      </c>
      <c r="CX31" s="24">
        <v>461</v>
      </c>
      <c r="CY31" s="24">
        <v>728.904</v>
      </c>
      <c r="CZ31" s="24">
        <v>850</v>
      </c>
      <c r="DA31" s="24">
        <v>1370</v>
      </c>
      <c r="DB31" s="24">
        <v>2250</v>
      </c>
      <c r="DC31" s="24">
        <v>1183</v>
      </c>
      <c r="DD31" s="24">
        <v>1000</v>
      </c>
      <c r="DE31" s="18">
        <v>8074.1969947279022</v>
      </c>
      <c r="DF31" s="18">
        <f t="shared" si="9"/>
        <v>12690.904</v>
      </c>
      <c r="DG31" s="23">
        <f t="shared" si="10"/>
        <v>1.5717852819650804</v>
      </c>
      <c r="DH31" s="24"/>
      <c r="DI31" s="24">
        <v>50</v>
      </c>
      <c r="DJ31" s="24">
        <v>10</v>
      </c>
      <c r="DK31" s="24">
        <v>55</v>
      </c>
      <c r="DL31" s="24">
        <v>153.30000000000001</v>
      </c>
      <c r="DM31" s="24">
        <v>118</v>
      </c>
      <c r="DN31" s="24">
        <v>726</v>
      </c>
      <c r="DO31" s="24">
        <v>1240</v>
      </c>
      <c r="DP31" s="24">
        <v>1326</v>
      </c>
      <c r="DQ31" s="24">
        <v>894.8</v>
      </c>
      <c r="DR31" s="24">
        <v>724</v>
      </c>
      <c r="DS31" s="24">
        <v>539</v>
      </c>
      <c r="DT31" s="24">
        <v>187</v>
      </c>
      <c r="DU31" s="24">
        <v>283.5</v>
      </c>
      <c r="DV31" s="24">
        <v>623.5</v>
      </c>
      <c r="DW31" s="24">
        <v>527</v>
      </c>
      <c r="DX31" s="24">
        <v>686</v>
      </c>
      <c r="DY31" s="24">
        <v>440</v>
      </c>
      <c r="DZ31" s="24">
        <v>644</v>
      </c>
      <c r="EA31" s="24">
        <v>659.69999999999982</v>
      </c>
      <c r="EB31" s="24">
        <v>333.69999999999982</v>
      </c>
      <c r="EC31" s="24">
        <v>17</v>
      </c>
      <c r="ED31" s="24">
        <v>204</v>
      </c>
      <c r="EE31" s="24">
        <v>27</v>
      </c>
      <c r="EF31" s="18">
        <v>4840.5470759686796</v>
      </c>
      <c r="EG31" s="18">
        <f t="shared" si="11"/>
        <v>4632.3999999999996</v>
      </c>
      <c r="EH31" s="23">
        <f t="shared" si="12"/>
        <v>0.95699926626020348</v>
      </c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>
        <v>1293</v>
      </c>
      <c r="EW31" s="24">
        <v>1101.0999999999999</v>
      </c>
      <c r="EX31" s="24">
        <v>1526.8500000000001</v>
      </c>
      <c r="EY31" s="24">
        <v>1042.9000000000001</v>
      </c>
      <c r="EZ31" s="24">
        <v>959.8</v>
      </c>
      <c r="FA31" s="24">
        <v>903.90000000000009</v>
      </c>
      <c r="FB31" s="24">
        <v>825</v>
      </c>
      <c r="FC31" s="24">
        <v>291.8</v>
      </c>
      <c r="FD31" s="24">
        <v>36.5</v>
      </c>
      <c r="FE31" s="24">
        <v>50</v>
      </c>
      <c r="FF31" s="24"/>
      <c r="FG31" s="18">
        <v>7408.8255265468351</v>
      </c>
      <c r="FH31" s="18">
        <v>8030.85</v>
      </c>
      <c r="FI31" s="23">
        <v>1.083957230633164</v>
      </c>
      <c r="FJ31" s="24"/>
      <c r="FK31" s="24"/>
      <c r="FL31" s="24"/>
      <c r="FM31" s="24"/>
      <c r="FN31" s="24"/>
      <c r="FO31" s="24"/>
      <c r="FP31" s="24"/>
      <c r="FQ31" s="24"/>
      <c r="FR31" s="24"/>
      <c r="FS31" s="24">
        <v>700</v>
      </c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3"/>
    </row>
    <row r="32" spans="1:192" s="14" customFormat="1" ht="24.95" customHeight="1">
      <c r="A32" s="19">
        <f t="shared" si="14"/>
        <v>11</v>
      </c>
      <c r="B32" s="20" t="s">
        <v>78</v>
      </c>
      <c r="C32" s="21" t="s">
        <v>26</v>
      </c>
      <c r="D32" s="21"/>
      <c r="E32" s="21"/>
      <c r="F32" s="21"/>
      <c r="G32" s="24">
        <v>262</v>
      </c>
      <c r="H32" s="24">
        <v>214</v>
      </c>
      <c r="I32" s="24">
        <v>128</v>
      </c>
      <c r="J32" s="24">
        <v>133</v>
      </c>
      <c r="K32" s="24">
        <v>125</v>
      </c>
      <c r="L32" s="24">
        <v>168</v>
      </c>
      <c r="M32" s="24">
        <v>133</v>
      </c>
      <c r="N32" s="24">
        <v>133</v>
      </c>
      <c r="O32" s="24">
        <v>134</v>
      </c>
      <c r="P32" s="24">
        <v>3</v>
      </c>
      <c r="Q32" s="24">
        <v>297</v>
      </c>
      <c r="R32" s="24">
        <v>71</v>
      </c>
      <c r="S32" s="24">
        <v>125</v>
      </c>
      <c r="T32" s="24">
        <v>29</v>
      </c>
      <c r="U32" s="24">
        <v>122</v>
      </c>
      <c r="V32" s="24">
        <v>111</v>
      </c>
      <c r="W32" s="24">
        <v>107</v>
      </c>
      <c r="X32" s="24">
        <v>81</v>
      </c>
      <c r="Y32" s="24">
        <v>67</v>
      </c>
      <c r="Z32" s="24">
        <v>94</v>
      </c>
      <c r="AA32" s="24">
        <v>81</v>
      </c>
      <c r="AB32" s="22">
        <v>854</v>
      </c>
      <c r="AC32" s="22">
        <f t="shared" si="3"/>
        <v>1188</v>
      </c>
      <c r="AD32" s="23">
        <f t="shared" si="4"/>
        <v>1.3911007025761124</v>
      </c>
      <c r="AE32" s="24"/>
      <c r="AF32" s="24"/>
      <c r="AG32" s="24"/>
      <c r="AH32" s="24"/>
      <c r="AI32" s="24"/>
      <c r="AJ32" s="24"/>
      <c r="AK32" s="24">
        <v>204</v>
      </c>
      <c r="AL32" s="24">
        <v>478</v>
      </c>
      <c r="AM32" s="24">
        <v>17</v>
      </c>
      <c r="AN32" s="24">
        <v>4</v>
      </c>
      <c r="AO32" s="24">
        <v>6</v>
      </c>
      <c r="AP32" s="24"/>
      <c r="AQ32" s="24">
        <v>19</v>
      </c>
      <c r="AR32" s="24">
        <v>92</v>
      </c>
      <c r="AS32" s="24">
        <v>73</v>
      </c>
      <c r="AT32" s="24">
        <v>74</v>
      </c>
      <c r="AU32" s="24">
        <v>58</v>
      </c>
      <c r="AV32" s="24">
        <v>63</v>
      </c>
      <c r="AW32" s="24">
        <v>37</v>
      </c>
      <c r="AX32" s="24">
        <v>37</v>
      </c>
      <c r="AY32" s="24">
        <v>64</v>
      </c>
      <c r="AZ32" s="24">
        <v>81</v>
      </c>
      <c r="BA32" s="24">
        <v>48</v>
      </c>
      <c r="BB32" s="24">
        <v>10</v>
      </c>
      <c r="BC32" s="32">
        <v>606</v>
      </c>
      <c r="BD32" s="32">
        <f t="shared" si="6"/>
        <v>656</v>
      </c>
      <c r="BE32" s="23">
        <f t="shared" si="7"/>
        <v>1.0825082508250825</v>
      </c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>
        <v>234</v>
      </c>
      <c r="BS32" s="24">
        <v>274</v>
      </c>
      <c r="BT32" s="24">
        <v>151</v>
      </c>
      <c r="BU32" s="24">
        <v>142</v>
      </c>
      <c r="BV32" s="24">
        <v>213</v>
      </c>
      <c r="BW32" s="24">
        <v>198</v>
      </c>
      <c r="BX32" s="24">
        <v>137</v>
      </c>
      <c r="BY32" s="24">
        <v>253</v>
      </c>
      <c r="BZ32" s="24">
        <v>134</v>
      </c>
      <c r="CA32" s="24">
        <v>180</v>
      </c>
      <c r="CB32" s="24">
        <v>304</v>
      </c>
      <c r="CC32" s="24">
        <v>94</v>
      </c>
      <c r="CD32" s="25">
        <v>2001</v>
      </c>
      <c r="CE32" s="25">
        <v>1916</v>
      </c>
      <c r="CF32" s="23">
        <f t="shared" si="8"/>
        <v>0.95752123938030986</v>
      </c>
      <c r="CG32" s="24"/>
      <c r="CH32" s="24"/>
      <c r="CI32" s="24">
        <v>170</v>
      </c>
      <c r="CJ32" s="24">
        <v>900</v>
      </c>
      <c r="CK32" s="24">
        <v>1301</v>
      </c>
      <c r="CL32" s="24">
        <v>585</v>
      </c>
      <c r="CM32" s="24">
        <v>547</v>
      </c>
      <c r="CN32" s="24">
        <v>200</v>
      </c>
      <c r="CO32" s="24">
        <v>200</v>
      </c>
      <c r="CP32" s="24">
        <v>200</v>
      </c>
      <c r="CQ32" s="24"/>
      <c r="CR32" s="24"/>
      <c r="CS32" s="24">
        <v>200</v>
      </c>
      <c r="CT32" s="24"/>
      <c r="CU32" s="24">
        <v>700</v>
      </c>
      <c r="CV32" s="24">
        <v>557.75417500000003</v>
      </c>
      <c r="CW32" s="24">
        <v>400</v>
      </c>
      <c r="CX32" s="24">
        <v>500</v>
      </c>
      <c r="CY32" s="24">
        <v>500</v>
      </c>
      <c r="CZ32" s="24">
        <v>800</v>
      </c>
      <c r="DA32" s="24">
        <v>1400</v>
      </c>
      <c r="DB32" s="24">
        <v>1300</v>
      </c>
      <c r="DC32" s="24">
        <v>900</v>
      </c>
      <c r="DD32" s="24">
        <v>400</v>
      </c>
      <c r="DE32" s="18">
        <v>7143.1611496567893</v>
      </c>
      <c r="DF32" s="18">
        <f t="shared" si="9"/>
        <v>7657.754175</v>
      </c>
      <c r="DG32" s="23">
        <f t="shared" si="10"/>
        <v>1.0720399574588815</v>
      </c>
      <c r="DH32" s="24"/>
      <c r="DI32" s="24">
        <v>35</v>
      </c>
      <c r="DJ32" s="24">
        <v>35</v>
      </c>
      <c r="DK32" s="24">
        <v>50</v>
      </c>
      <c r="DL32" s="24">
        <v>72</v>
      </c>
      <c r="DM32" s="24">
        <v>127</v>
      </c>
      <c r="DN32" s="24">
        <v>504</v>
      </c>
      <c r="DO32" s="24">
        <v>1116</v>
      </c>
      <c r="DP32" s="24">
        <v>1546</v>
      </c>
      <c r="DQ32" s="24">
        <v>844</v>
      </c>
      <c r="DR32" s="24">
        <v>146</v>
      </c>
      <c r="DS32" s="24"/>
      <c r="DT32" s="24">
        <v>68</v>
      </c>
      <c r="DU32" s="24">
        <v>506.5</v>
      </c>
      <c r="DV32" s="24">
        <v>423.5</v>
      </c>
      <c r="DW32" s="24">
        <v>1042.68</v>
      </c>
      <c r="DX32" s="24">
        <v>718.39999999999986</v>
      </c>
      <c r="DY32" s="24">
        <v>782.40000000000009</v>
      </c>
      <c r="DZ32" s="24">
        <v>798.99999999999955</v>
      </c>
      <c r="EA32" s="24">
        <v>735.5</v>
      </c>
      <c r="EB32" s="24">
        <v>640.19999999999982</v>
      </c>
      <c r="EC32" s="24">
        <v>136</v>
      </c>
      <c r="ED32" s="24">
        <v>178.69999999999982</v>
      </c>
      <c r="EE32" s="24">
        <v>0</v>
      </c>
      <c r="EF32" s="18">
        <v>5544.9579502514998</v>
      </c>
      <c r="EG32" s="18">
        <f t="shared" si="11"/>
        <v>6030.8799999999992</v>
      </c>
      <c r="EH32" s="23">
        <f t="shared" si="12"/>
        <v>1.0876331352028485</v>
      </c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>
        <v>50</v>
      </c>
      <c r="EV32" s="24">
        <v>722</v>
      </c>
      <c r="EW32" s="24">
        <v>740.5</v>
      </c>
      <c r="EX32" s="24">
        <v>526.18000000000006</v>
      </c>
      <c r="EY32" s="24">
        <v>1435.9999999999998</v>
      </c>
      <c r="EZ32" s="24">
        <v>987.8</v>
      </c>
      <c r="FA32" s="24">
        <v>1473.7</v>
      </c>
      <c r="FB32" s="24">
        <v>1141</v>
      </c>
      <c r="FC32" s="24">
        <v>297.8</v>
      </c>
      <c r="FD32" s="24">
        <v>322.7</v>
      </c>
      <c r="FE32" s="24">
        <v>100</v>
      </c>
      <c r="FF32" s="24">
        <v>50</v>
      </c>
      <c r="FG32" s="18">
        <v>7000.030102198476</v>
      </c>
      <c r="FH32" s="18">
        <v>7647.68</v>
      </c>
      <c r="FI32" s="23">
        <v>1.0925210161022192</v>
      </c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3"/>
    </row>
    <row r="33" spans="1:192" s="14" customFormat="1" ht="32.25" customHeight="1">
      <c r="A33" s="9"/>
      <c r="B33" s="10" t="s">
        <v>2</v>
      </c>
      <c r="C33" s="11"/>
      <c r="D33" s="11"/>
      <c r="E33" s="11"/>
      <c r="F33" s="11"/>
      <c r="G33" s="12">
        <v>891</v>
      </c>
      <c r="H33" s="12">
        <v>764</v>
      </c>
      <c r="I33" s="12">
        <v>874</v>
      </c>
      <c r="J33" s="12">
        <v>863</v>
      </c>
      <c r="K33" s="12">
        <v>837</v>
      </c>
      <c r="L33" s="12">
        <v>925</v>
      </c>
      <c r="M33" s="12">
        <v>817</v>
      </c>
      <c r="N33" s="12">
        <v>782</v>
      </c>
      <c r="O33" s="12">
        <v>779</v>
      </c>
      <c r="P33" s="12">
        <v>629</v>
      </c>
      <c r="Q33" s="12">
        <v>1178</v>
      </c>
      <c r="R33" s="12">
        <v>1022</v>
      </c>
      <c r="S33" s="12">
        <v>1231</v>
      </c>
      <c r="T33" s="12">
        <v>1272</v>
      </c>
      <c r="U33" s="12">
        <v>1038</v>
      </c>
      <c r="V33" s="12">
        <v>1136</v>
      </c>
      <c r="W33" s="12">
        <v>1173</v>
      </c>
      <c r="X33" s="12">
        <v>1068</v>
      </c>
      <c r="Y33" s="12">
        <v>414</v>
      </c>
      <c r="Z33" s="12">
        <v>728</v>
      </c>
      <c r="AA33" s="12">
        <v>184</v>
      </c>
      <c r="AB33" s="12">
        <v>7921</v>
      </c>
      <c r="AC33" s="12">
        <f t="shared" si="3"/>
        <v>11073</v>
      </c>
      <c r="AD33" s="13">
        <f t="shared" si="4"/>
        <v>1.3979295543491983</v>
      </c>
      <c r="AE33" s="12"/>
      <c r="AF33" s="12"/>
      <c r="AG33" s="12"/>
      <c r="AH33" s="12"/>
      <c r="AI33" s="12">
        <f t="shared" ref="AI33:BB33" si="49">+SUM(AI34:AI43)</f>
        <v>0</v>
      </c>
      <c r="AJ33" s="12">
        <f t="shared" si="49"/>
        <v>62</v>
      </c>
      <c r="AK33" s="12">
        <f t="shared" si="49"/>
        <v>1213</v>
      </c>
      <c r="AL33" s="12">
        <f t="shared" si="49"/>
        <v>2534</v>
      </c>
      <c r="AM33" s="12">
        <f t="shared" si="49"/>
        <v>364</v>
      </c>
      <c r="AN33" s="12">
        <f t="shared" si="49"/>
        <v>19</v>
      </c>
      <c r="AO33" s="12">
        <f t="shared" si="49"/>
        <v>147</v>
      </c>
      <c r="AP33" s="12">
        <f t="shared" si="49"/>
        <v>67</v>
      </c>
      <c r="AQ33" s="12">
        <f t="shared" si="49"/>
        <v>219</v>
      </c>
      <c r="AR33" s="12">
        <f t="shared" si="49"/>
        <v>710</v>
      </c>
      <c r="AS33" s="12">
        <f t="shared" si="49"/>
        <v>864</v>
      </c>
      <c r="AT33" s="12">
        <f t="shared" si="49"/>
        <v>610</v>
      </c>
      <c r="AU33" s="12">
        <f t="shared" si="49"/>
        <v>574</v>
      </c>
      <c r="AV33" s="12">
        <f t="shared" si="49"/>
        <v>465</v>
      </c>
      <c r="AW33" s="12">
        <f t="shared" si="49"/>
        <v>386</v>
      </c>
      <c r="AX33" s="12">
        <f t="shared" si="49"/>
        <v>371</v>
      </c>
      <c r="AY33" s="12">
        <f t="shared" si="49"/>
        <v>500</v>
      </c>
      <c r="AZ33" s="12">
        <f t="shared" si="49"/>
        <v>373</v>
      </c>
      <c r="BA33" s="12">
        <f t="shared" si="49"/>
        <v>230</v>
      </c>
      <c r="BB33" s="12">
        <f t="shared" si="49"/>
        <v>212</v>
      </c>
      <c r="BC33" s="12">
        <v>4895</v>
      </c>
      <c r="BD33" s="12">
        <f t="shared" si="6"/>
        <v>5514</v>
      </c>
      <c r="BE33" s="13">
        <f t="shared" si="7"/>
        <v>1.1264555669050051</v>
      </c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>
        <v>1276</v>
      </c>
      <c r="BS33" s="12">
        <v>1969</v>
      </c>
      <c r="BT33" s="12">
        <v>1464</v>
      </c>
      <c r="BU33" s="12">
        <v>1925</v>
      </c>
      <c r="BV33" s="12">
        <v>3747</v>
      </c>
      <c r="BW33" s="12">
        <v>3235</v>
      </c>
      <c r="BX33" s="12">
        <v>2897</v>
      </c>
      <c r="BY33" s="12">
        <v>1987</v>
      </c>
      <c r="BZ33" s="12">
        <v>1922</v>
      </c>
      <c r="CA33" s="12">
        <v>1057</v>
      </c>
      <c r="CB33" s="12">
        <v>1127</v>
      </c>
      <c r="CC33" s="12">
        <v>1038</v>
      </c>
      <c r="CD33" s="12">
        <f>+SUM(CD34:CD43)</f>
        <v>12267</v>
      </c>
      <c r="CE33" s="12">
        <f>+SUM(CE34:CE43)</f>
        <v>21479</v>
      </c>
      <c r="CF33" s="13">
        <f t="shared" si="8"/>
        <v>1.7509578544061302</v>
      </c>
      <c r="CG33" s="12">
        <v>0</v>
      </c>
      <c r="CH33" s="12">
        <v>100</v>
      </c>
      <c r="CI33" s="12">
        <v>1336.5</v>
      </c>
      <c r="CJ33" s="12">
        <v>3145.9971302499998</v>
      </c>
      <c r="CK33" s="12">
        <v>4829.7813000000006</v>
      </c>
      <c r="CL33" s="12">
        <v>3909</v>
      </c>
      <c r="CM33" s="12">
        <v>4696.3356800000001</v>
      </c>
      <c r="CN33" s="12">
        <v>7684.808</v>
      </c>
      <c r="CO33" s="12">
        <v>4290.47</v>
      </c>
      <c r="CP33" s="12">
        <v>1300</v>
      </c>
      <c r="CQ33" s="12">
        <v>400</v>
      </c>
      <c r="CR33" s="12">
        <v>0</v>
      </c>
      <c r="CS33" s="12">
        <v>1673.7431999999999</v>
      </c>
      <c r="CT33" s="12">
        <v>4220.3891999999996</v>
      </c>
      <c r="CU33" s="12">
        <v>5409.9</v>
      </c>
      <c r="CV33" s="12">
        <v>4015.6531611999999</v>
      </c>
      <c r="CW33" s="12">
        <v>4286.404531189999</v>
      </c>
      <c r="CX33" s="12">
        <v>2941.1009999999997</v>
      </c>
      <c r="CY33" s="12">
        <v>3550.3649999999998</v>
      </c>
      <c r="CZ33" s="12">
        <v>5489.6133159999999</v>
      </c>
      <c r="DA33" s="12">
        <v>6574.7689999999993</v>
      </c>
      <c r="DB33" s="12">
        <v>6885.5982499999991</v>
      </c>
      <c r="DC33" s="12">
        <v>5823.2202530000004</v>
      </c>
      <c r="DD33" s="12">
        <v>1789.1660770000001</v>
      </c>
      <c r="DE33" s="12">
        <v>51534.856330876362</v>
      </c>
      <c r="DF33" s="12">
        <f t="shared" si="9"/>
        <v>52659.92298838999</v>
      </c>
      <c r="DG33" s="13">
        <f t="shared" si="10"/>
        <v>1.0218311786937022</v>
      </c>
      <c r="DH33" s="12">
        <v>0</v>
      </c>
      <c r="DI33" s="12">
        <v>46</v>
      </c>
      <c r="DJ33" s="12">
        <v>335.7</v>
      </c>
      <c r="DK33" s="12">
        <v>4753.1000000000004</v>
      </c>
      <c r="DL33" s="12">
        <v>2759.9870000000001</v>
      </c>
      <c r="DM33" s="12">
        <v>485.2</v>
      </c>
      <c r="DN33" s="12">
        <v>741.9</v>
      </c>
      <c r="DO33" s="12">
        <v>438.6</v>
      </c>
      <c r="DP33" s="12">
        <v>1120.8</v>
      </c>
      <c r="DQ33" s="12">
        <v>850</v>
      </c>
      <c r="DR33" s="12">
        <v>880.8</v>
      </c>
      <c r="DS33" s="12">
        <v>350.5</v>
      </c>
      <c r="DT33" s="12">
        <v>701.09999999999991</v>
      </c>
      <c r="DU33" s="12">
        <v>4258.9999999999982</v>
      </c>
      <c r="DV33" s="12">
        <v>3748.7560000000012</v>
      </c>
      <c r="DW33" s="12">
        <v>2463.6990000000005</v>
      </c>
      <c r="DX33" s="12">
        <v>1981.4999999999982</v>
      </c>
      <c r="DY33" s="12">
        <v>1828.6640000000007</v>
      </c>
      <c r="DZ33" s="12">
        <v>2204.1989999999987</v>
      </c>
      <c r="EA33" s="12">
        <v>2405.3000000000029</v>
      </c>
      <c r="EB33" s="12">
        <v>949.5</v>
      </c>
      <c r="EC33" s="12">
        <v>1639.5</v>
      </c>
      <c r="ED33" s="12">
        <v>1222.3600000000006</v>
      </c>
      <c r="EE33" s="12">
        <v>632.80000000000291</v>
      </c>
      <c r="EF33" s="12">
        <v>17358.623813508544</v>
      </c>
      <c r="EG33" s="12">
        <f t="shared" si="11"/>
        <v>24036.378000000004</v>
      </c>
      <c r="EH33" s="13">
        <f t="shared" si="12"/>
        <v>1.3846937555784122</v>
      </c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>
        <f t="shared" ref="EU33:FF33" si="50">+SUM(EU34:EU43)</f>
        <v>0</v>
      </c>
      <c r="EV33" s="12">
        <f t="shared" si="50"/>
        <v>3935</v>
      </c>
      <c r="EW33" s="12">
        <f t="shared" si="50"/>
        <v>13318.5</v>
      </c>
      <c r="EX33" s="12">
        <f t="shared" si="50"/>
        <v>16668.650000000001</v>
      </c>
      <c r="EY33" s="12">
        <f t="shared" si="50"/>
        <v>12976.6</v>
      </c>
      <c r="EZ33" s="12">
        <f t="shared" si="50"/>
        <v>6989.6</v>
      </c>
      <c r="FA33" s="12">
        <f t="shared" si="50"/>
        <v>7799</v>
      </c>
      <c r="FB33" s="12">
        <f t="shared" si="50"/>
        <v>7850.5</v>
      </c>
      <c r="FC33" s="12">
        <f t="shared" si="50"/>
        <v>5449.8001999999997</v>
      </c>
      <c r="FD33" s="12">
        <f t="shared" si="50"/>
        <v>3706</v>
      </c>
      <c r="FE33" s="12">
        <f t="shared" si="50"/>
        <v>2672.4</v>
      </c>
      <c r="FF33" s="12">
        <f t="shared" si="50"/>
        <v>1621</v>
      </c>
      <c r="FG33" s="12">
        <v>75754.423932464284</v>
      </c>
      <c r="FH33" s="12">
        <v>80093.450199999992</v>
      </c>
      <c r="FI33" s="13">
        <v>1.0572775297110566</v>
      </c>
      <c r="FJ33" s="12">
        <f t="shared" ref="FJ33:GH33" si="51">+SUM(FJ34:FJ43)</f>
        <v>0</v>
      </c>
      <c r="FK33" s="12">
        <f t="shared" si="51"/>
        <v>668.64049999999997</v>
      </c>
      <c r="FL33" s="12">
        <f t="shared" si="51"/>
        <v>3885.2476780000002</v>
      </c>
      <c r="FM33" s="12">
        <f t="shared" si="51"/>
        <v>13141.850606</v>
      </c>
      <c r="FN33" s="12">
        <f t="shared" si="51"/>
        <v>19502.356</v>
      </c>
      <c r="FO33" s="12">
        <f t="shared" si="51"/>
        <v>12567.79187372</v>
      </c>
      <c r="FP33" s="12">
        <f t="shared" si="51"/>
        <v>16372.8171</v>
      </c>
      <c r="FQ33" s="12">
        <f t="shared" si="51"/>
        <v>15190.764800000001</v>
      </c>
      <c r="FR33" s="12">
        <f t="shared" si="51"/>
        <v>12158.601349999997</v>
      </c>
      <c r="FS33" s="12">
        <f t="shared" si="51"/>
        <v>6226.4747200000002</v>
      </c>
      <c r="FT33" s="12">
        <f t="shared" si="51"/>
        <v>9845.3240000000005</v>
      </c>
      <c r="FU33" s="12">
        <f t="shared" si="51"/>
        <v>15496.11476</v>
      </c>
      <c r="FV33" s="12">
        <f t="shared" si="51"/>
        <v>5336.4330000000009</v>
      </c>
      <c r="FW33" s="12">
        <f t="shared" si="51"/>
        <v>10998.956999999999</v>
      </c>
      <c r="FX33" s="12">
        <f t="shared" si="51"/>
        <v>12400.566200000001</v>
      </c>
      <c r="FY33" s="12">
        <f t="shared" si="51"/>
        <v>23749.608999999997</v>
      </c>
      <c r="FZ33" s="12">
        <f t="shared" si="51"/>
        <v>5487.9840000000004</v>
      </c>
      <c r="GA33" s="12">
        <f t="shared" si="51"/>
        <v>4093.0220000000004</v>
      </c>
      <c r="GB33" s="12">
        <f t="shared" si="51"/>
        <v>4889.6499990000002</v>
      </c>
      <c r="GC33" s="12">
        <f t="shared" si="51"/>
        <v>4080.849948</v>
      </c>
      <c r="GD33" s="12">
        <f t="shared" si="51"/>
        <v>14020.0502</v>
      </c>
      <c r="GE33" s="12">
        <f t="shared" si="51"/>
        <v>7747.4790000000003</v>
      </c>
      <c r="GF33" s="12">
        <f t="shared" si="51"/>
        <v>3921.3495000000003</v>
      </c>
      <c r="GG33" s="12">
        <f t="shared" si="51"/>
        <v>3657.2</v>
      </c>
      <c r="GH33" s="12">
        <f t="shared" si="51"/>
        <v>99914.731654546937</v>
      </c>
      <c r="GI33" s="12">
        <f t="shared" ref="GI33:GI63" si="52">+FV33+FW33+FX33+FY33+FZ33+GA33+GB33+GC33+GD33+GE33+GF33+GG33</f>
        <v>100383.14984699999</v>
      </c>
      <c r="GJ33" s="13">
        <f t="shared" ref="GJ33:GJ63" si="53">+GI33/GH33</f>
        <v>1.0046881794575859</v>
      </c>
    </row>
    <row r="34" spans="1:192" s="14" customFormat="1" ht="24.95" customHeight="1">
      <c r="A34" s="19">
        <f t="shared" si="14"/>
        <v>1</v>
      </c>
      <c r="B34" s="20" t="s">
        <v>79</v>
      </c>
      <c r="C34" s="21">
        <v>11786</v>
      </c>
      <c r="D34" s="21"/>
      <c r="E34" s="21"/>
      <c r="F34" s="21"/>
      <c r="G34" s="24">
        <v>74</v>
      </c>
      <c r="H34" s="24">
        <v>196</v>
      </c>
      <c r="I34" s="24">
        <v>112</v>
      </c>
      <c r="J34" s="24">
        <v>56</v>
      </c>
      <c r="K34" s="24">
        <v>93</v>
      </c>
      <c r="L34" s="24">
        <v>111</v>
      </c>
      <c r="M34" s="24">
        <v>120</v>
      </c>
      <c r="N34" s="24">
        <v>49</v>
      </c>
      <c r="O34" s="24">
        <v>126</v>
      </c>
      <c r="P34" s="24">
        <v>275</v>
      </c>
      <c r="Q34" s="24">
        <v>71</v>
      </c>
      <c r="R34" s="24">
        <v>72</v>
      </c>
      <c r="S34" s="24">
        <v>106</v>
      </c>
      <c r="T34" s="24">
        <v>116</v>
      </c>
      <c r="U34" s="24">
        <v>75</v>
      </c>
      <c r="V34" s="24">
        <v>123</v>
      </c>
      <c r="W34" s="24">
        <v>51</v>
      </c>
      <c r="X34" s="24">
        <v>214</v>
      </c>
      <c r="Y34" s="24">
        <v>41</v>
      </c>
      <c r="Z34" s="24">
        <v>19</v>
      </c>
      <c r="AA34" s="24">
        <v>41</v>
      </c>
      <c r="AB34" s="22">
        <v>914</v>
      </c>
      <c r="AC34" s="22">
        <f t="shared" si="3"/>
        <v>1204</v>
      </c>
      <c r="AD34" s="23">
        <f t="shared" si="4"/>
        <v>1.3172866520787747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32"/>
      <c r="BD34" s="32">
        <f t="shared" si="6"/>
        <v>0</v>
      </c>
      <c r="BE34" s="23">
        <v>0</v>
      </c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>
        <v>21</v>
      </c>
      <c r="BS34" s="24">
        <v>22</v>
      </c>
      <c r="BT34" s="24">
        <v>29</v>
      </c>
      <c r="BU34" s="24">
        <v>41</v>
      </c>
      <c r="BV34" s="24">
        <v>204</v>
      </c>
      <c r="BW34" s="24">
        <v>155</v>
      </c>
      <c r="BX34" s="24">
        <v>78</v>
      </c>
      <c r="BY34" s="24">
        <v>15</v>
      </c>
      <c r="BZ34" s="24">
        <v>12</v>
      </c>
      <c r="CA34" s="24">
        <v>13</v>
      </c>
      <c r="CB34" s="24">
        <v>110</v>
      </c>
      <c r="CC34" s="24">
        <v>48</v>
      </c>
      <c r="CD34" s="25">
        <v>758</v>
      </c>
      <c r="CE34" s="25">
        <v>591</v>
      </c>
      <c r="CF34" s="23">
        <f t="shared" si="8"/>
        <v>0.77968337730870707</v>
      </c>
      <c r="CG34" s="24"/>
      <c r="CH34" s="24"/>
      <c r="CI34" s="24">
        <v>150</v>
      </c>
      <c r="CJ34" s="24"/>
      <c r="CK34" s="24">
        <v>100</v>
      </c>
      <c r="CL34" s="24">
        <v>99</v>
      </c>
      <c r="CM34" s="24">
        <v>100</v>
      </c>
      <c r="CN34" s="24"/>
      <c r="CO34" s="24"/>
      <c r="CP34" s="24">
        <v>100</v>
      </c>
      <c r="CQ34" s="24"/>
      <c r="CR34" s="24"/>
      <c r="CS34" s="24">
        <v>300</v>
      </c>
      <c r="CT34" s="24">
        <v>300</v>
      </c>
      <c r="CU34" s="24">
        <v>300</v>
      </c>
      <c r="CV34" s="24">
        <v>450</v>
      </c>
      <c r="CW34" s="24">
        <v>800</v>
      </c>
      <c r="CX34" s="24">
        <v>200</v>
      </c>
      <c r="CY34" s="24">
        <v>200</v>
      </c>
      <c r="CZ34" s="24">
        <v>1004.75</v>
      </c>
      <c r="DA34" s="24">
        <v>1500</v>
      </c>
      <c r="DB34" s="24">
        <v>300</v>
      </c>
      <c r="DC34" s="24">
        <v>350</v>
      </c>
      <c r="DD34" s="24">
        <v>350</v>
      </c>
      <c r="DE34" s="18">
        <v>2209.0334298743383</v>
      </c>
      <c r="DF34" s="18">
        <f t="shared" si="9"/>
        <v>6054.75</v>
      </c>
      <c r="DG34" s="23">
        <f t="shared" si="10"/>
        <v>2.7409046500235297</v>
      </c>
      <c r="DH34" s="24"/>
      <c r="DI34" s="24"/>
      <c r="DJ34" s="24">
        <v>61.199999999999989</v>
      </c>
      <c r="DK34" s="24">
        <v>602.20000000000005</v>
      </c>
      <c r="DL34" s="24">
        <v>383</v>
      </c>
      <c r="DM34" s="24">
        <v>15</v>
      </c>
      <c r="DN34" s="24">
        <v>42</v>
      </c>
      <c r="DO34" s="24">
        <v>15</v>
      </c>
      <c r="DP34" s="24">
        <v>220</v>
      </c>
      <c r="DQ34" s="24">
        <v>152</v>
      </c>
      <c r="DR34" s="24">
        <v>47</v>
      </c>
      <c r="DS34" s="24"/>
      <c r="DT34" s="24">
        <v>17</v>
      </c>
      <c r="DU34" s="24">
        <v>15</v>
      </c>
      <c r="DV34" s="24">
        <v>337.6</v>
      </c>
      <c r="DW34" s="24">
        <v>32</v>
      </c>
      <c r="DX34" s="24">
        <v>0</v>
      </c>
      <c r="DY34" s="24">
        <v>50</v>
      </c>
      <c r="DZ34" s="24">
        <v>0</v>
      </c>
      <c r="EA34" s="24">
        <v>0</v>
      </c>
      <c r="EB34" s="24">
        <v>0</v>
      </c>
      <c r="EC34" s="24">
        <v>0</v>
      </c>
      <c r="ED34" s="24">
        <v>0</v>
      </c>
      <c r="EE34" s="24">
        <v>0</v>
      </c>
      <c r="EF34" s="18">
        <v>0</v>
      </c>
      <c r="EG34" s="18">
        <f t="shared" si="11"/>
        <v>451.6</v>
      </c>
      <c r="EH34" s="23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>
        <v>20</v>
      </c>
      <c r="EW34" s="24">
        <v>1032</v>
      </c>
      <c r="EX34" s="24">
        <v>624.5</v>
      </c>
      <c r="EY34" s="24"/>
      <c r="EZ34" s="24">
        <v>30</v>
      </c>
      <c r="FA34" s="24">
        <v>34</v>
      </c>
      <c r="FB34" s="24"/>
      <c r="FC34" s="24">
        <v>45</v>
      </c>
      <c r="FD34" s="24"/>
      <c r="FE34" s="24"/>
      <c r="FF34" s="24">
        <v>50</v>
      </c>
      <c r="FG34" s="27">
        <v>2064.1082844776706</v>
      </c>
      <c r="FH34" s="28">
        <v>1802.5</v>
      </c>
      <c r="FI34" s="23"/>
      <c r="FJ34" s="24"/>
      <c r="FK34" s="24"/>
      <c r="FL34" s="24"/>
      <c r="FM34" s="24">
        <v>711.24</v>
      </c>
      <c r="FN34" s="24">
        <v>843.26700000000005</v>
      </c>
      <c r="FO34" s="24">
        <v>508.15</v>
      </c>
      <c r="FP34" s="24">
        <v>978.77599999999995</v>
      </c>
      <c r="FQ34" s="24">
        <v>855.07799999999997</v>
      </c>
      <c r="FR34" s="24">
        <v>1002</v>
      </c>
      <c r="FS34" s="24">
        <v>299</v>
      </c>
      <c r="FT34" s="24">
        <v>659.79</v>
      </c>
      <c r="FU34" s="24">
        <v>1734.8600000000001</v>
      </c>
      <c r="FV34" s="24">
        <v>731</v>
      </c>
      <c r="FW34" s="24">
        <v>882.47900000000004</v>
      </c>
      <c r="FX34" s="24">
        <v>978.54500000000007</v>
      </c>
      <c r="FY34" s="24">
        <v>1855.15</v>
      </c>
      <c r="FZ34" s="24">
        <v>251</v>
      </c>
      <c r="GA34" s="24">
        <v>307.89999999999998</v>
      </c>
      <c r="GB34" s="24">
        <v>194.5</v>
      </c>
      <c r="GC34" s="24">
        <v>136.25</v>
      </c>
      <c r="GD34" s="24">
        <v>573</v>
      </c>
      <c r="GE34" s="24">
        <v>452</v>
      </c>
      <c r="GF34" s="24">
        <v>328</v>
      </c>
      <c r="GG34" s="24">
        <v>202.5</v>
      </c>
      <c r="GH34" s="26">
        <v>9875.8523950290546</v>
      </c>
      <c r="GI34" s="26">
        <f t="shared" si="52"/>
        <v>6892.3240000000005</v>
      </c>
      <c r="GJ34" s="23">
        <f t="shared" si="53"/>
        <v>0.6978966193813515</v>
      </c>
    </row>
    <row r="35" spans="1:192" s="14" customFormat="1" ht="24.95" customHeight="1">
      <c r="A35" s="19">
        <f t="shared" si="14"/>
        <v>2</v>
      </c>
      <c r="B35" s="20" t="s">
        <v>46</v>
      </c>
      <c r="C35" s="21">
        <v>11412</v>
      </c>
      <c r="D35" s="21"/>
      <c r="E35" s="21"/>
      <c r="F35" s="21"/>
      <c r="G35" s="24">
        <v>144</v>
      </c>
      <c r="H35" s="24">
        <v>64</v>
      </c>
      <c r="I35" s="24">
        <v>105</v>
      </c>
      <c r="J35" s="24">
        <v>81</v>
      </c>
      <c r="K35" s="24">
        <v>104</v>
      </c>
      <c r="L35" s="24">
        <v>121</v>
      </c>
      <c r="M35" s="24">
        <v>107</v>
      </c>
      <c r="N35" s="24">
        <v>100</v>
      </c>
      <c r="O35" s="24">
        <v>107</v>
      </c>
      <c r="P35" s="24">
        <v>25</v>
      </c>
      <c r="Q35" s="24">
        <v>74</v>
      </c>
      <c r="R35" s="24">
        <v>135</v>
      </c>
      <c r="S35" s="24">
        <v>42</v>
      </c>
      <c r="T35" s="24">
        <v>16</v>
      </c>
      <c r="U35" s="24">
        <v>36</v>
      </c>
      <c r="V35" s="24">
        <v>38</v>
      </c>
      <c r="W35" s="24">
        <v>86</v>
      </c>
      <c r="X35" s="24">
        <v>36</v>
      </c>
      <c r="Y35" s="24">
        <v>78</v>
      </c>
      <c r="Z35" s="24">
        <v>240</v>
      </c>
      <c r="AA35" s="24">
        <v>18</v>
      </c>
      <c r="AB35" s="22">
        <v>861</v>
      </c>
      <c r="AC35" s="22">
        <f t="shared" si="3"/>
        <v>824</v>
      </c>
      <c r="AD35" s="23">
        <f t="shared" si="4"/>
        <v>0.95702671312427412</v>
      </c>
      <c r="AE35" s="24"/>
      <c r="AF35" s="24"/>
      <c r="AG35" s="24"/>
      <c r="AH35" s="24"/>
      <c r="AI35" s="24"/>
      <c r="AJ35" s="24"/>
      <c r="AK35" s="24">
        <v>138</v>
      </c>
      <c r="AL35" s="24">
        <v>281</v>
      </c>
      <c r="AM35" s="24">
        <v>1</v>
      </c>
      <c r="AN35" s="24"/>
      <c r="AO35" s="24">
        <v>42</v>
      </c>
      <c r="AP35" s="24"/>
      <c r="AQ35" s="24">
        <v>22</v>
      </c>
      <c r="AR35" s="24">
        <v>84</v>
      </c>
      <c r="AS35" s="24">
        <v>80</v>
      </c>
      <c r="AT35" s="24">
        <v>53</v>
      </c>
      <c r="AU35" s="24">
        <v>61</v>
      </c>
      <c r="AV35" s="24">
        <v>31</v>
      </c>
      <c r="AW35" s="24">
        <v>48</v>
      </c>
      <c r="AX35" s="24">
        <v>44</v>
      </c>
      <c r="AY35" s="24">
        <v>73</v>
      </c>
      <c r="AZ35" s="24">
        <v>36</v>
      </c>
      <c r="BA35" s="24">
        <v>20</v>
      </c>
      <c r="BB35" s="24">
        <v>25</v>
      </c>
      <c r="BC35" s="32">
        <v>520</v>
      </c>
      <c r="BD35" s="32">
        <f t="shared" si="6"/>
        <v>577</v>
      </c>
      <c r="BE35" s="23">
        <f t="shared" si="7"/>
        <v>1.1096153846153847</v>
      </c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>
        <v>172</v>
      </c>
      <c r="BS35" s="24">
        <v>109</v>
      </c>
      <c r="BT35" s="24">
        <v>60</v>
      </c>
      <c r="BU35" s="24">
        <v>107</v>
      </c>
      <c r="BV35" s="24">
        <v>326</v>
      </c>
      <c r="BW35" s="24">
        <v>273</v>
      </c>
      <c r="BX35" s="24">
        <v>259</v>
      </c>
      <c r="BY35" s="24">
        <v>357</v>
      </c>
      <c r="BZ35" s="24">
        <v>167</v>
      </c>
      <c r="CA35" s="24">
        <v>107</v>
      </c>
      <c r="CB35" s="24">
        <v>98</v>
      </c>
      <c r="CC35" s="24">
        <v>149</v>
      </c>
      <c r="CD35" s="25">
        <v>1180</v>
      </c>
      <c r="CE35" s="25">
        <v>1936</v>
      </c>
      <c r="CF35" s="23">
        <f t="shared" si="8"/>
        <v>1.6406779661016948</v>
      </c>
      <c r="CG35" s="24"/>
      <c r="CH35" s="24"/>
      <c r="CI35" s="24">
        <v>200</v>
      </c>
      <c r="CJ35" s="24">
        <v>298</v>
      </c>
      <c r="CK35" s="24">
        <v>639.74</v>
      </c>
      <c r="CL35" s="24">
        <v>100</v>
      </c>
      <c r="CM35" s="24">
        <v>200</v>
      </c>
      <c r="CN35" s="24">
        <v>150</v>
      </c>
      <c r="CO35" s="24"/>
      <c r="CP35" s="24">
        <v>100</v>
      </c>
      <c r="CQ35" s="24">
        <v>100</v>
      </c>
      <c r="CR35" s="24"/>
      <c r="CS35" s="24">
        <v>229.9992</v>
      </c>
      <c r="CT35" s="24">
        <v>687.19920000000002</v>
      </c>
      <c r="CU35" s="24">
        <v>744</v>
      </c>
      <c r="CV35" s="24">
        <v>667.65968120000002</v>
      </c>
      <c r="CW35" s="24">
        <v>592.63653119000003</v>
      </c>
      <c r="CX35" s="24">
        <v>429.79</v>
      </c>
      <c r="CY35" s="24">
        <v>600.11500000000001</v>
      </c>
      <c r="CZ35" s="24">
        <v>280</v>
      </c>
      <c r="DA35" s="24">
        <v>400</v>
      </c>
      <c r="DB35" s="24">
        <v>995.39999999999986</v>
      </c>
      <c r="DC35" s="24">
        <v>1019</v>
      </c>
      <c r="DD35" s="24">
        <v>100</v>
      </c>
      <c r="DE35" s="18">
        <v>6674.9336795036861</v>
      </c>
      <c r="DF35" s="18">
        <f t="shared" si="9"/>
        <v>6745.7996123899993</v>
      </c>
      <c r="DG35" s="23">
        <f t="shared" si="10"/>
        <v>1.0106167246431101</v>
      </c>
      <c r="DH35" s="24"/>
      <c r="DI35" s="24"/>
      <c r="DJ35" s="24">
        <v>47.599999999999994</v>
      </c>
      <c r="DK35" s="24">
        <v>570.29999999999995</v>
      </c>
      <c r="DL35" s="24">
        <v>215.4</v>
      </c>
      <c r="DM35" s="24">
        <v>62</v>
      </c>
      <c r="DN35" s="24">
        <v>31.6</v>
      </c>
      <c r="DO35" s="24"/>
      <c r="DP35" s="24">
        <v>170</v>
      </c>
      <c r="DQ35" s="24">
        <v>140</v>
      </c>
      <c r="DR35" s="24">
        <v>67</v>
      </c>
      <c r="DS35" s="24"/>
      <c r="DT35" s="24">
        <v>66</v>
      </c>
      <c r="DU35" s="24">
        <v>479</v>
      </c>
      <c r="DV35" s="24">
        <v>45</v>
      </c>
      <c r="DW35" s="24">
        <v>130.5</v>
      </c>
      <c r="DX35" s="24">
        <v>112.5</v>
      </c>
      <c r="DY35" s="24">
        <v>182</v>
      </c>
      <c r="DZ35" s="24">
        <v>131.79999999999995</v>
      </c>
      <c r="EA35" s="24">
        <v>227.5</v>
      </c>
      <c r="EB35" s="24">
        <v>207.5</v>
      </c>
      <c r="EC35" s="24">
        <v>586.50000000000023</v>
      </c>
      <c r="ED35" s="24">
        <v>416.5</v>
      </c>
      <c r="EE35" s="24">
        <v>5</v>
      </c>
      <c r="EF35" s="18">
        <v>1883.144542005964</v>
      </c>
      <c r="EG35" s="18">
        <f t="shared" si="11"/>
        <v>2589.8000000000002</v>
      </c>
      <c r="EH35" s="23">
        <f t="shared" si="12"/>
        <v>1.3752529039758639</v>
      </c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>
        <v>1060</v>
      </c>
      <c r="EW35" s="24">
        <v>2336</v>
      </c>
      <c r="EX35" s="24">
        <v>2119</v>
      </c>
      <c r="EY35" s="24">
        <v>2336.8000000000002</v>
      </c>
      <c r="EZ35" s="24">
        <v>1268</v>
      </c>
      <c r="FA35" s="24">
        <v>1467</v>
      </c>
      <c r="FB35" s="24">
        <v>1372.5</v>
      </c>
      <c r="FC35" s="24">
        <v>588.5</v>
      </c>
      <c r="FD35" s="24">
        <v>112</v>
      </c>
      <c r="FE35" s="24">
        <v>296.39999999999998</v>
      </c>
      <c r="FF35" s="24">
        <v>212</v>
      </c>
      <c r="FG35" s="18">
        <v>12171.981314971476</v>
      </c>
      <c r="FH35" s="18">
        <v>12835.2</v>
      </c>
      <c r="FI35" s="23">
        <v>1.0544873236218963</v>
      </c>
      <c r="FJ35" s="24"/>
      <c r="FK35" s="24">
        <v>250.99949999999998</v>
      </c>
      <c r="FL35" s="24">
        <v>419.05</v>
      </c>
      <c r="FM35" s="24">
        <v>2921.3680000000004</v>
      </c>
      <c r="FN35" s="24">
        <v>1836.65</v>
      </c>
      <c r="FO35" s="24">
        <v>787.36800000000005</v>
      </c>
      <c r="FP35" s="24">
        <v>1796.2470000000001</v>
      </c>
      <c r="FQ35" s="24">
        <v>1509.8090000000002</v>
      </c>
      <c r="FR35" s="24">
        <v>1541.65</v>
      </c>
      <c r="FS35" s="24">
        <v>1309.0934999999999</v>
      </c>
      <c r="FT35" s="24">
        <v>1194.72</v>
      </c>
      <c r="FU35" s="24">
        <v>1776.5119999999999</v>
      </c>
      <c r="FV35" s="24">
        <v>555</v>
      </c>
      <c r="FW35" s="24">
        <v>1735.2949999999998</v>
      </c>
      <c r="FX35" s="24">
        <v>1838.425</v>
      </c>
      <c r="FY35" s="24">
        <v>1965.8500000000001</v>
      </c>
      <c r="FZ35" s="24">
        <v>1006.2500000000001</v>
      </c>
      <c r="GA35" s="24">
        <v>708.4</v>
      </c>
      <c r="GB35" s="24">
        <v>790.4</v>
      </c>
      <c r="GC35" s="24">
        <v>946.8</v>
      </c>
      <c r="GD35" s="24">
        <v>3304.72</v>
      </c>
      <c r="GE35" s="24">
        <v>2140</v>
      </c>
      <c r="GF35" s="24">
        <v>853.95</v>
      </c>
      <c r="GG35" s="24">
        <v>688.03</v>
      </c>
      <c r="GH35" s="26">
        <v>15185.300451407087</v>
      </c>
      <c r="GI35" s="26">
        <f t="shared" si="52"/>
        <v>16533.12</v>
      </c>
      <c r="GJ35" s="23">
        <f t="shared" si="53"/>
        <v>1.0887581745850818</v>
      </c>
    </row>
    <row r="36" spans="1:192" s="14" customFormat="1" ht="24.95" customHeight="1">
      <c r="A36" s="19">
        <f t="shared" si="14"/>
        <v>3</v>
      </c>
      <c r="B36" s="20" t="s">
        <v>47</v>
      </c>
      <c r="C36" s="21">
        <v>11413</v>
      </c>
      <c r="D36" s="21"/>
      <c r="E36" s="21"/>
      <c r="F36" s="21"/>
      <c r="G36" s="24">
        <v>227</v>
      </c>
      <c r="H36" s="24">
        <v>132</v>
      </c>
      <c r="I36" s="24">
        <v>127</v>
      </c>
      <c r="J36" s="24">
        <v>130</v>
      </c>
      <c r="K36" s="24">
        <v>110</v>
      </c>
      <c r="L36" s="24">
        <v>117</v>
      </c>
      <c r="M36" s="24">
        <v>102</v>
      </c>
      <c r="N36" s="24">
        <v>98</v>
      </c>
      <c r="O36" s="24">
        <v>73</v>
      </c>
      <c r="P36" s="24">
        <v>43</v>
      </c>
      <c r="Q36" s="24">
        <v>238</v>
      </c>
      <c r="R36" s="24">
        <v>150</v>
      </c>
      <c r="S36" s="24">
        <v>81</v>
      </c>
      <c r="T36" s="24">
        <v>96</v>
      </c>
      <c r="U36" s="24">
        <v>102</v>
      </c>
      <c r="V36" s="24">
        <v>164</v>
      </c>
      <c r="W36" s="24">
        <v>108</v>
      </c>
      <c r="X36" s="24">
        <v>113</v>
      </c>
      <c r="Y36" s="24">
        <v>18</v>
      </c>
      <c r="Z36" s="24">
        <v>83</v>
      </c>
      <c r="AA36" s="24">
        <v>18</v>
      </c>
      <c r="AB36" s="22">
        <v>931</v>
      </c>
      <c r="AC36" s="22">
        <f t="shared" si="3"/>
        <v>1214</v>
      </c>
      <c r="AD36" s="23">
        <f t="shared" si="4"/>
        <v>1.3039742212674543</v>
      </c>
      <c r="AE36" s="24"/>
      <c r="AF36" s="24"/>
      <c r="AG36" s="24"/>
      <c r="AH36" s="24"/>
      <c r="AI36" s="24"/>
      <c r="AJ36" s="24"/>
      <c r="AK36" s="24">
        <v>106</v>
      </c>
      <c r="AL36" s="24">
        <v>225</v>
      </c>
      <c r="AM36" s="24">
        <v>9</v>
      </c>
      <c r="AN36" s="24">
        <v>2</v>
      </c>
      <c r="AO36" s="24">
        <v>1</v>
      </c>
      <c r="AP36" s="24"/>
      <c r="AQ36" s="24">
        <v>23</v>
      </c>
      <c r="AR36" s="24">
        <v>50</v>
      </c>
      <c r="AS36" s="24">
        <v>90</v>
      </c>
      <c r="AT36" s="24">
        <v>52</v>
      </c>
      <c r="AU36" s="24">
        <v>47</v>
      </c>
      <c r="AV36" s="24">
        <v>42</v>
      </c>
      <c r="AW36" s="24">
        <v>46</v>
      </c>
      <c r="AX36" s="24">
        <v>39</v>
      </c>
      <c r="AY36" s="24">
        <v>42</v>
      </c>
      <c r="AZ36" s="24">
        <v>13</v>
      </c>
      <c r="BA36" s="24">
        <v>7</v>
      </c>
      <c r="BB36" s="24">
        <v>2</v>
      </c>
      <c r="BC36" s="32">
        <v>413</v>
      </c>
      <c r="BD36" s="32">
        <f t="shared" si="6"/>
        <v>453</v>
      </c>
      <c r="BE36" s="23">
        <f t="shared" si="7"/>
        <v>1.0968523002421307</v>
      </c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>
        <v>52</v>
      </c>
      <c r="BS36" s="24">
        <v>130</v>
      </c>
      <c r="BT36" s="24">
        <v>72</v>
      </c>
      <c r="BU36" s="24">
        <v>67</v>
      </c>
      <c r="BV36" s="24">
        <v>269</v>
      </c>
      <c r="BW36" s="24">
        <v>281</v>
      </c>
      <c r="BX36" s="24">
        <v>153</v>
      </c>
      <c r="BY36" s="24">
        <v>117</v>
      </c>
      <c r="BZ36" s="24">
        <v>168</v>
      </c>
      <c r="CA36" s="24">
        <v>141</v>
      </c>
      <c r="CB36" s="24">
        <v>63</v>
      </c>
      <c r="CC36" s="24">
        <v>112</v>
      </c>
      <c r="CD36" s="25">
        <v>1065</v>
      </c>
      <c r="CE36" s="25">
        <v>1459</v>
      </c>
      <c r="CF36" s="23">
        <f t="shared" si="8"/>
        <v>1.3699530516431926</v>
      </c>
      <c r="CG36" s="24"/>
      <c r="CH36" s="24"/>
      <c r="CI36" s="24">
        <v>600</v>
      </c>
      <c r="CJ36" s="24">
        <v>700</v>
      </c>
      <c r="CK36" s="24">
        <v>300</v>
      </c>
      <c r="CL36" s="24">
        <v>1210</v>
      </c>
      <c r="CM36" s="24">
        <v>671</v>
      </c>
      <c r="CN36" s="24">
        <v>900</v>
      </c>
      <c r="CO36" s="24">
        <v>800</v>
      </c>
      <c r="CP36" s="24">
        <v>200</v>
      </c>
      <c r="CQ36" s="24"/>
      <c r="CR36" s="24"/>
      <c r="CS36" s="24">
        <v>193.744</v>
      </c>
      <c r="CT36" s="24">
        <v>716.9</v>
      </c>
      <c r="CU36" s="24">
        <v>1193</v>
      </c>
      <c r="CV36" s="24">
        <v>536.61847999999998</v>
      </c>
      <c r="CW36" s="24">
        <v>383.9</v>
      </c>
      <c r="CX36" s="24">
        <v>424.8</v>
      </c>
      <c r="CY36" s="24">
        <v>266</v>
      </c>
      <c r="CZ36" s="24">
        <v>711.75</v>
      </c>
      <c r="DA36" s="24">
        <v>1149.7</v>
      </c>
      <c r="DB36" s="24">
        <v>2023</v>
      </c>
      <c r="DC36" s="24">
        <v>1498.26</v>
      </c>
      <c r="DD36" s="24">
        <v>237.36607700000002</v>
      </c>
      <c r="DE36" s="18">
        <v>9308.6392714587928</v>
      </c>
      <c r="DF36" s="18">
        <f t="shared" si="9"/>
        <v>9335.0385569999999</v>
      </c>
      <c r="DG36" s="23">
        <f t="shared" si="10"/>
        <v>1.0028359983421153</v>
      </c>
      <c r="DH36" s="24"/>
      <c r="DI36" s="24"/>
      <c r="DJ36" s="24">
        <v>13.6</v>
      </c>
      <c r="DK36" s="24">
        <v>64.399999999999991</v>
      </c>
      <c r="DL36" s="24">
        <v>76.199999999999989</v>
      </c>
      <c r="DM36" s="24">
        <v>57.6</v>
      </c>
      <c r="DN36" s="24">
        <v>17</v>
      </c>
      <c r="DO36" s="24"/>
      <c r="DP36" s="24">
        <v>185</v>
      </c>
      <c r="DQ36" s="24">
        <v>100</v>
      </c>
      <c r="DR36" s="24">
        <v>74.8</v>
      </c>
      <c r="DS36" s="24">
        <v>76</v>
      </c>
      <c r="DT36" s="24">
        <v>51</v>
      </c>
      <c r="DU36" s="24">
        <v>431</v>
      </c>
      <c r="DV36" s="24">
        <v>220</v>
      </c>
      <c r="DW36" s="24">
        <v>155</v>
      </c>
      <c r="DX36" s="24">
        <v>205</v>
      </c>
      <c r="DY36" s="24">
        <v>275</v>
      </c>
      <c r="DZ36" s="24">
        <v>167.5</v>
      </c>
      <c r="EA36" s="24">
        <v>60</v>
      </c>
      <c r="EB36" s="24">
        <v>176</v>
      </c>
      <c r="EC36" s="24">
        <v>135</v>
      </c>
      <c r="ED36" s="24">
        <v>90</v>
      </c>
      <c r="EE36" s="24">
        <v>140</v>
      </c>
      <c r="EF36" s="18">
        <v>1652.412996990005</v>
      </c>
      <c r="EG36" s="18">
        <f t="shared" si="11"/>
        <v>2105.5</v>
      </c>
      <c r="EH36" s="23">
        <f t="shared" si="12"/>
        <v>1.2741971915225354</v>
      </c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>
        <v>263</v>
      </c>
      <c r="EW36" s="24">
        <v>716</v>
      </c>
      <c r="EX36" s="24">
        <v>809</v>
      </c>
      <c r="EY36" s="24">
        <v>1113</v>
      </c>
      <c r="EZ36" s="24">
        <v>850</v>
      </c>
      <c r="FA36" s="24">
        <v>909</v>
      </c>
      <c r="FB36" s="24">
        <v>921</v>
      </c>
      <c r="FC36" s="24">
        <v>632.5</v>
      </c>
      <c r="FD36" s="24">
        <v>812</v>
      </c>
      <c r="FE36" s="24">
        <v>380</v>
      </c>
      <c r="FF36" s="24">
        <v>339</v>
      </c>
      <c r="FG36" s="18">
        <v>6500.7685015620682</v>
      </c>
      <c r="FH36" s="18">
        <v>6948.5</v>
      </c>
      <c r="FI36" s="23">
        <v>1.0688736259921188</v>
      </c>
      <c r="FJ36" s="24"/>
      <c r="FK36" s="24">
        <v>135</v>
      </c>
      <c r="FL36" s="24">
        <v>559.19999999999993</v>
      </c>
      <c r="FM36" s="24">
        <v>1892.5</v>
      </c>
      <c r="FN36" s="24">
        <v>1597.4449999999999</v>
      </c>
      <c r="FO36" s="24">
        <v>1380.5</v>
      </c>
      <c r="FP36" s="24">
        <v>587</v>
      </c>
      <c r="FQ36" s="24">
        <v>901.10400000000004</v>
      </c>
      <c r="FR36" s="24">
        <v>1201.98</v>
      </c>
      <c r="FS36" s="24">
        <v>583.5</v>
      </c>
      <c r="FT36" s="24">
        <v>1510.1929</v>
      </c>
      <c r="FU36" s="24">
        <v>681.49400000000003</v>
      </c>
      <c r="FV36" s="24">
        <v>442.85</v>
      </c>
      <c r="FW36" s="24">
        <v>924</v>
      </c>
      <c r="FX36" s="24">
        <v>1480.498</v>
      </c>
      <c r="FY36" s="24">
        <v>3068.08</v>
      </c>
      <c r="FZ36" s="24">
        <v>692</v>
      </c>
      <c r="GA36" s="24">
        <v>563.20000000000005</v>
      </c>
      <c r="GB36" s="24">
        <v>1307.2</v>
      </c>
      <c r="GC36" s="24">
        <v>876.99994800000002</v>
      </c>
      <c r="GD36" s="24">
        <v>1526.3</v>
      </c>
      <c r="GE36" s="24">
        <v>911.673</v>
      </c>
      <c r="GF36" s="24">
        <v>577.89949999999999</v>
      </c>
      <c r="GG36" s="24">
        <v>234.2</v>
      </c>
      <c r="GH36" s="26">
        <v>12330.397331693055</v>
      </c>
      <c r="GI36" s="26">
        <f t="shared" si="52"/>
        <v>12604.900448</v>
      </c>
      <c r="GJ36" s="23">
        <f t="shared" si="53"/>
        <v>1.0222623090661795</v>
      </c>
    </row>
    <row r="37" spans="1:192" s="14" customFormat="1" ht="24.95" customHeight="1">
      <c r="A37" s="19">
        <f t="shared" si="14"/>
        <v>4</v>
      </c>
      <c r="B37" s="20" t="s">
        <v>80</v>
      </c>
      <c r="C37" s="21">
        <v>11787</v>
      </c>
      <c r="D37" s="21"/>
      <c r="E37" s="21"/>
      <c r="F37" s="21"/>
      <c r="G37" s="24">
        <v>91</v>
      </c>
      <c r="H37" s="24">
        <v>149</v>
      </c>
      <c r="I37" s="24">
        <v>133</v>
      </c>
      <c r="J37" s="24">
        <v>131</v>
      </c>
      <c r="K37" s="24">
        <v>123</v>
      </c>
      <c r="L37" s="24">
        <v>116</v>
      </c>
      <c r="M37" s="24">
        <v>122</v>
      </c>
      <c r="N37" s="24">
        <v>53</v>
      </c>
      <c r="O37" s="24">
        <v>113</v>
      </c>
      <c r="P37" s="24">
        <v>2</v>
      </c>
      <c r="Q37" s="24">
        <v>168</v>
      </c>
      <c r="R37" s="24">
        <v>87</v>
      </c>
      <c r="S37" s="24">
        <v>164</v>
      </c>
      <c r="T37" s="24">
        <v>73</v>
      </c>
      <c r="U37" s="24">
        <v>69</v>
      </c>
      <c r="V37" s="24">
        <v>182</v>
      </c>
      <c r="W37" s="24">
        <v>249</v>
      </c>
      <c r="X37" s="24">
        <v>172</v>
      </c>
      <c r="Y37" s="24">
        <v>2</v>
      </c>
      <c r="Z37" s="24">
        <v>95</v>
      </c>
      <c r="AA37" s="24">
        <v>2</v>
      </c>
      <c r="AB37" s="22">
        <v>881</v>
      </c>
      <c r="AC37" s="22">
        <f t="shared" si="3"/>
        <v>1265</v>
      </c>
      <c r="AD37" s="23">
        <f t="shared" si="4"/>
        <v>1.4358683314415437</v>
      </c>
      <c r="AE37" s="24"/>
      <c r="AF37" s="24"/>
      <c r="AG37" s="24"/>
      <c r="AH37" s="24"/>
      <c r="AI37" s="24"/>
      <c r="AJ37" s="24">
        <v>56</v>
      </c>
      <c r="AK37" s="24">
        <v>44</v>
      </c>
      <c r="AL37" s="24">
        <v>181</v>
      </c>
      <c r="AM37" s="24">
        <v>23</v>
      </c>
      <c r="AN37" s="24"/>
      <c r="AO37" s="24">
        <v>24</v>
      </c>
      <c r="AP37" s="24"/>
      <c r="AQ37" s="24">
        <v>19</v>
      </c>
      <c r="AR37" s="24">
        <v>62</v>
      </c>
      <c r="AS37" s="24">
        <v>64</v>
      </c>
      <c r="AT37" s="24">
        <v>43</v>
      </c>
      <c r="AU37" s="24">
        <v>56</v>
      </c>
      <c r="AV37" s="24">
        <v>40</v>
      </c>
      <c r="AW37" s="24">
        <v>29</v>
      </c>
      <c r="AX37" s="24">
        <v>20</v>
      </c>
      <c r="AY37" s="24">
        <v>40</v>
      </c>
      <c r="AZ37" s="24">
        <v>34</v>
      </c>
      <c r="BA37" s="24">
        <v>21</v>
      </c>
      <c r="BB37" s="24">
        <v>31</v>
      </c>
      <c r="BC37" s="32">
        <v>380</v>
      </c>
      <c r="BD37" s="32">
        <f t="shared" si="6"/>
        <v>459</v>
      </c>
      <c r="BE37" s="23">
        <f t="shared" si="7"/>
        <v>1.2078947368421054</v>
      </c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>
        <v>107</v>
      </c>
      <c r="BS37" s="24">
        <v>136</v>
      </c>
      <c r="BT37" s="24">
        <v>118</v>
      </c>
      <c r="BU37" s="24">
        <v>232</v>
      </c>
      <c r="BV37" s="24">
        <v>483</v>
      </c>
      <c r="BW37" s="24">
        <v>180</v>
      </c>
      <c r="BX37" s="24">
        <v>132</v>
      </c>
      <c r="BY37" s="24">
        <v>236</v>
      </c>
      <c r="BZ37" s="24">
        <v>124</v>
      </c>
      <c r="CA37" s="24">
        <v>130</v>
      </c>
      <c r="CB37" s="24">
        <v>118</v>
      </c>
      <c r="CC37" s="24">
        <v>209</v>
      </c>
      <c r="CD37" s="25">
        <v>1637</v>
      </c>
      <c r="CE37" s="25">
        <v>1878</v>
      </c>
      <c r="CF37" s="23">
        <f t="shared" si="8"/>
        <v>1.1472205253512522</v>
      </c>
      <c r="CG37" s="24"/>
      <c r="CH37" s="24"/>
      <c r="CI37" s="24">
        <v>60</v>
      </c>
      <c r="CJ37" s="24">
        <v>711.99990000000003</v>
      </c>
      <c r="CK37" s="24">
        <v>865.73630000000003</v>
      </c>
      <c r="CL37" s="24">
        <v>500</v>
      </c>
      <c r="CM37" s="24">
        <v>340</v>
      </c>
      <c r="CN37" s="24">
        <v>700</v>
      </c>
      <c r="CO37" s="24">
        <v>797.67000000000007</v>
      </c>
      <c r="CP37" s="24"/>
      <c r="CQ37" s="24"/>
      <c r="CR37" s="24"/>
      <c r="CS37" s="24"/>
      <c r="CT37" s="24">
        <v>300</v>
      </c>
      <c r="CU37" s="24">
        <v>400</v>
      </c>
      <c r="CV37" s="24">
        <v>360</v>
      </c>
      <c r="CW37" s="24">
        <v>174.55</v>
      </c>
      <c r="CX37" s="24"/>
      <c r="CY37" s="24">
        <v>200</v>
      </c>
      <c r="CZ37" s="24"/>
      <c r="DA37" s="24">
        <v>395</v>
      </c>
      <c r="DB37" s="24">
        <v>100</v>
      </c>
      <c r="DC37" s="24">
        <v>300</v>
      </c>
      <c r="DD37" s="24"/>
      <c r="DE37" s="18">
        <v>7116.8112406183072</v>
      </c>
      <c r="DF37" s="18">
        <f t="shared" si="9"/>
        <v>2229.5500000000002</v>
      </c>
      <c r="DG37" s="23">
        <f t="shared" si="10"/>
        <v>0.31327935006553542</v>
      </c>
      <c r="DH37" s="24"/>
      <c r="DI37" s="24"/>
      <c r="DJ37" s="24">
        <v>67.999999999999986</v>
      </c>
      <c r="DK37" s="24">
        <v>927.29999999999984</v>
      </c>
      <c r="DL37" s="24">
        <v>572.5</v>
      </c>
      <c r="DM37" s="24">
        <v>155.80000000000001</v>
      </c>
      <c r="DN37" s="24">
        <v>124.8</v>
      </c>
      <c r="DO37" s="24">
        <v>173</v>
      </c>
      <c r="DP37" s="24">
        <v>65</v>
      </c>
      <c r="DQ37" s="24"/>
      <c r="DR37" s="24">
        <v>129</v>
      </c>
      <c r="DS37" s="24">
        <v>68</v>
      </c>
      <c r="DT37" s="24">
        <v>66</v>
      </c>
      <c r="DU37" s="24">
        <v>402.3</v>
      </c>
      <c r="DV37" s="24">
        <v>874.95600000000013</v>
      </c>
      <c r="DW37" s="24">
        <v>384.5</v>
      </c>
      <c r="DX37" s="24">
        <v>90</v>
      </c>
      <c r="DY37" s="24">
        <v>267.00000000000023</v>
      </c>
      <c r="DZ37" s="24">
        <v>366</v>
      </c>
      <c r="EA37" s="24">
        <v>489.5</v>
      </c>
      <c r="EB37" s="24">
        <v>218</v>
      </c>
      <c r="EC37" s="24">
        <v>296</v>
      </c>
      <c r="ED37" s="24">
        <v>381.44000000000005</v>
      </c>
      <c r="EE37" s="24">
        <v>25</v>
      </c>
      <c r="EF37" s="18">
        <v>2047.0111559123509</v>
      </c>
      <c r="EG37" s="18">
        <f t="shared" si="11"/>
        <v>3860.6960000000004</v>
      </c>
      <c r="EH37" s="23">
        <f t="shared" si="12"/>
        <v>1.8860161014995993</v>
      </c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>
        <v>420</v>
      </c>
      <c r="EW37" s="24">
        <v>1745</v>
      </c>
      <c r="EX37" s="24">
        <v>3990.45</v>
      </c>
      <c r="EY37" s="24">
        <v>2555.9</v>
      </c>
      <c r="EZ37" s="24">
        <v>1005.5</v>
      </c>
      <c r="FA37" s="24">
        <v>1185</v>
      </c>
      <c r="FB37" s="24">
        <v>930</v>
      </c>
      <c r="FC37" s="24">
        <v>1090.0001999999999</v>
      </c>
      <c r="FD37" s="24">
        <v>200</v>
      </c>
      <c r="FE37" s="24">
        <v>250</v>
      </c>
      <c r="FF37" s="24">
        <v>150</v>
      </c>
      <c r="FG37" s="18">
        <v>12266.076034309659</v>
      </c>
      <c r="FH37" s="18">
        <v>13110.850200000001</v>
      </c>
      <c r="FI37" s="23">
        <v>1.0688707752444555</v>
      </c>
      <c r="FJ37" s="24"/>
      <c r="FK37" s="24">
        <v>28.938000000000002</v>
      </c>
      <c r="FL37" s="24">
        <v>316.84399999999999</v>
      </c>
      <c r="FM37" s="24">
        <v>716.55</v>
      </c>
      <c r="FN37" s="24">
        <v>1250.0999999999999</v>
      </c>
      <c r="FO37" s="24">
        <v>1270.3039999999999</v>
      </c>
      <c r="FP37" s="24">
        <v>1861.2</v>
      </c>
      <c r="FQ37" s="24">
        <v>2167.6039999999998</v>
      </c>
      <c r="FR37" s="24">
        <v>1457.2</v>
      </c>
      <c r="FS37" s="24">
        <v>550.25</v>
      </c>
      <c r="FT37" s="24">
        <v>607.5</v>
      </c>
      <c r="FU37" s="24">
        <v>736.59999999999991</v>
      </c>
      <c r="FV37" s="24">
        <v>386</v>
      </c>
      <c r="FW37" s="24">
        <v>1447.1</v>
      </c>
      <c r="FX37" s="24">
        <v>1557.1982</v>
      </c>
      <c r="FY37" s="24">
        <v>2751.9879999999998</v>
      </c>
      <c r="FZ37" s="24">
        <v>1471.5</v>
      </c>
      <c r="GA37" s="24">
        <v>1074.8</v>
      </c>
      <c r="GB37" s="24">
        <v>911.64999899999998</v>
      </c>
      <c r="GC37" s="24">
        <v>849</v>
      </c>
      <c r="GD37" s="24">
        <v>1970</v>
      </c>
      <c r="GE37" s="24">
        <v>1607</v>
      </c>
      <c r="GF37" s="24">
        <v>1003</v>
      </c>
      <c r="GG37" s="24">
        <v>926</v>
      </c>
      <c r="GH37" s="26">
        <v>14920.901558349335</v>
      </c>
      <c r="GI37" s="26">
        <f t="shared" si="52"/>
        <v>15955.236198999999</v>
      </c>
      <c r="GJ37" s="23">
        <f t="shared" si="53"/>
        <v>1.0693211892462275</v>
      </c>
    </row>
    <row r="38" spans="1:192" s="14" customFormat="1" ht="24.95" customHeight="1">
      <c r="A38" s="19">
        <f t="shared" si="14"/>
        <v>5</v>
      </c>
      <c r="B38" s="20" t="s">
        <v>81</v>
      </c>
      <c r="C38" s="21">
        <v>11785</v>
      </c>
      <c r="D38" s="21"/>
      <c r="E38" s="21"/>
      <c r="F38" s="21"/>
      <c r="G38" s="24">
        <v>145</v>
      </c>
      <c r="H38" s="24">
        <v>140</v>
      </c>
      <c r="I38" s="24">
        <v>114</v>
      </c>
      <c r="J38" s="24">
        <v>145</v>
      </c>
      <c r="K38" s="24">
        <v>107</v>
      </c>
      <c r="L38" s="24">
        <v>102</v>
      </c>
      <c r="M38" s="24">
        <v>105</v>
      </c>
      <c r="N38" s="24">
        <v>105</v>
      </c>
      <c r="O38" s="24">
        <v>100</v>
      </c>
      <c r="P38" s="24">
        <v>17</v>
      </c>
      <c r="Q38" s="24">
        <v>189</v>
      </c>
      <c r="R38" s="24">
        <v>102</v>
      </c>
      <c r="S38" s="24">
        <v>139</v>
      </c>
      <c r="T38" s="24">
        <v>83</v>
      </c>
      <c r="U38" s="24">
        <v>131</v>
      </c>
      <c r="V38" s="24">
        <v>91</v>
      </c>
      <c r="W38" s="24">
        <v>123</v>
      </c>
      <c r="X38" s="24">
        <v>50</v>
      </c>
      <c r="Y38" s="24">
        <v>96</v>
      </c>
      <c r="Z38" s="24">
        <v>117</v>
      </c>
      <c r="AA38" s="24">
        <v>16</v>
      </c>
      <c r="AB38" s="22">
        <v>891</v>
      </c>
      <c r="AC38" s="22">
        <f t="shared" si="3"/>
        <v>1154</v>
      </c>
      <c r="AD38" s="23">
        <f t="shared" si="4"/>
        <v>1.2951739618406286</v>
      </c>
      <c r="AE38" s="24"/>
      <c r="AF38" s="24"/>
      <c r="AG38" s="24"/>
      <c r="AH38" s="24"/>
      <c r="AI38" s="24"/>
      <c r="AJ38" s="24"/>
      <c r="AK38" s="24">
        <v>154</v>
      </c>
      <c r="AL38" s="24">
        <v>258</v>
      </c>
      <c r="AM38" s="24">
        <v>75</v>
      </c>
      <c r="AN38" s="24">
        <v>5</v>
      </c>
      <c r="AO38" s="24">
        <v>7</v>
      </c>
      <c r="AP38" s="24"/>
      <c r="AQ38" s="24">
        <v>34</v>
      </c>
      <c r="AR38" s="24">
        <v>133</v>
      </c>
      <c r="AS38" s="24">
        <v>120</v>
      </c>
      <c r="AT38" s="24">
        <v>73</v>
      </c>
      <c r="AU38" s="24">
        <v>70</v>
      </c>
      <c r="AV38" s="24">
        <v>57</v>
      </c>
      <c r="AW38" s="24">
        <v>67</v>
      </c>
      <c r="AX38" s="24">
        <v>43</v>
      </c>
      <c r="AY38" s="24">
        <v>63</v>
      </c>
      <c r="AZ38" s="24">
        <v>30</v>
      </c>
      <c r="BA38" s="24">
        <v>32</v>
      </c>
      <c r="BB38" s="24">
        <v>29</v>
      </c>
      <c r="BC38" s="32">
        <v>647</v>
      </c>
      <c r="BD38" s="32">
        <f t="shared" si="6"/>
        <v>751</v>
      </c>
      <c r="BE38" s="23">
        <f t="shared" si="7"/>
        <v>1.1607418856259659</v>
      </c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>
        <v>105</v>
      </c>
      <c r="BS38" s="24">
        <v>282</v>
      </c>
      <c r="BT38" s="24">
        <v>125</v>
      </c>
      <c r="BU38" s="24">
        <v>442</v>
      </c>
      <c r="BV38" s="24">
        <v>696</v>
      </c>
      <c r="BW38" s="24">
        <v>642</v>
      </c>
      <c r="BX38" s="24">
        <v>756</v>
      </c>
      <c r="BY38" s="24">
        <v>697</v>
      </c>
      <c r="BZ38" s="24">
        <v>477</v>
      </c>
      <c r="CA38" s="24">
        <v>291</v>
      </c>
      <c r="CB38" s="24">
        <v>348</v>
      </c>
      <c r="CC38" s="24">
        <v>267</v>
      </c>
      <c r="CD38" s="25">
        <v>1697</v>
      </c>
      <c r="CE38" s="25">
        <v>4513</v>
      </c>
      <c r="CF38" s="23">
        <f t="shared" si="8"/>
        <v>2.6593989393046553</v>
      </c>
      <c r="CG38" s="24"/>
      <c r="CH38" s="24">
        <v>100</v>
      </c>
      <c r="CI38" s="24">
        <v>220</v>
      </c>
      <c r="CJ38" s="24">
        <v>849</v>
      </c>
      <c r="CK38" s="24">
        <v>1650</v>
      </c>
      <c r="CL38" s="24">
        <v>1300</v>
      </c>
      <c r="CM38" s="24">
        <v>1960</v>
      </c>
      <c r="CN38" s="24">
        <v>2500</v>
      </c>
      <c r="CO38" s="24">
        <v>950</v>
      </c>
      <c r="CP38" s="24">
        <v>500</v>
      </c>
      <c r="CQ38" s="24">
        <v>200</v>
      </c>
      <c r="CR38" s="24"/>
      <c r="CS38" s="24">
        <v>450</v>
      </c>
      <c r="CT38" s="24">
        <v>1200.7600000000002</v>
      </c>
      <c r="CU38" s="24">
        <v>1560.5</v>
      </c>
      <c r="CV38" s="24">
        <v>822.5</v>
      </c>
      <c r="CW38" s="24">
        <v>1538.462</v>
      </c>
      <c r="CX38" s="24">
        <v>796.51099999999997</v>
      </c>
      <c r="CY38" s="24">
        <v>1493.5</v>
      </c>
      <c r="CZ38" s="24">
        <v>1436.2239999999999</v>
      </c>
      <c r="DA38" s="24">
        <v>1413.069</v>
      </c>
      <c r="DB38" s="24">
        <v>1783.8269999999998</v>
      </c>
      <c r="DC38" s="24">
        <v>1683.960253</v>
      </c>
      <c r="DD38" s="24">
        <v>422</v>
      </c>
      <c r="DE38" s="18">
        <v>14194.710998081529</v>
      </c>
      <c r="DF38" s="18">
        <f>(+CS38+CT38+CU38+CV38+CW38+CX38+CY38+CZ38+DA38+DB38+DC38+DD38)+2453.7</f>
        <v>17055.013252999997</v>
      </c>
      <c r="DG38" s="23">
        <f t="shared" si="10"/>
        <v>1.2015047897280227</v>
      </c>
      <c r="DH38" s="24"/>
      <c r="DI38" s="24"/>
      <c r="DJ38" s="24"/>
      <c r="DK38" s="24">
        <v>20.399999999999999</v>
      </c>
      <c r="DL38" s="24">
        <v>34</v>
      </c>
      <c r="DM38" s="24">
        <v>81</v>
      </c>
      <c r="DN38" s="24">
        <v>74.8</v>
      </c>
      <c r="DO38" s="24">
        <v>34</v>
      </c>
      <c r="DP38" s="24">
        <v>17</v>
      </c>
      <c r="DQ38" s="24">
        <v>34</v>
      </c>
      <c r="DR38" s="24"/>
      <c r="DS38" s="24"/>
      <c r="DT38" s="24">
        <v>244.8</v>
      </c>
      <c r="DU38" s="24">
        <v>903.8</v>
      </c>
      <c r="DV38" s="24">
        <v>908.59999999999991</v>
      </c>
      <c r="DW38" s="24">
        <v>491</v>
      </c>
      <c r="DX38" s="24">
        <v>66</v>
      </c>
      <c r="DY38" s="24">
        <v>40</v>
      </c>
      <c r="DZ38" s="24">
        <v>345.69900000000007</v>
      </c>
      <c r="EA38" s="24">
        <v>268</v>
      </c>
      <c r="EB38" s="24">
        <v>48.5</v>
      </c>
      <c r="EC38" s="24">
        <v>88</v>
      </c>
      <c r="ED38" s="24">
        <v>119</v>
      </c>
      <c r="EE38" s="24">
        <v>57</v>
      </c>
      <c r="EF38" s="18">
        <v>2058.1984479040025</v>
      </c>
      <c r="EG38" s="18">
        <f t="shared" si="11"/>
        <v>3580.3989999999999</v>
      </c>
      <c r="EH38" s="23">
        <f t="shared" si="12"/>
        <v>1.7395790982381478</v>
      </c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>
        <v>1139</v>
      </c>
      <c r="EW38" s="24">
        <v>2845</v>
      </c>
      <c r="EX38" s="24">
        <v>4266</v>
      </c>
      <c r="EY38" s="24">
        <v>2405</v>
      </c>
      <c r="EZ38" s="24">
        <v>1558</v>
      </c>
      <c r="FA38" s="24">
        <v>1666</v>
      </c>
      <c r="FB38" s="24">
        <v>1866</v>
      </c>
      <c r="FC38" s="24">
        <v>1258</v>
      </c>
      <c r="FD38" s="24">
        <v>801</v>
      </c>
      <c r="FE38" s="24">
        <v>520</v>
      </c>
      <c r="FF38" s="24">
        <v>200</v>
      </c>
      <c r="FG38" s="18">
        <v>17335.527877914617</v>
      </c>
      <c r="FH38" s="18">
        <v>18321</v>
      </c>
      <c r="FI38" s="23">
        <v>1.0685917121692337</v>
      </c>
      <c r="FJ38" s="24"/>
      <c r="FK38" s="24">
        <v>7</v>
      </c>
      <c r="FL38" s="24">
        <v>652.31524999999988</v>
      </c>
      <c r="FM38" s="24">
        <v>1620.54855</v>
      </c>
      <c r="FN38" s="24">
        <v>4736.0680000000011</v>
      </c>
      <c r="FO38" s="24">
        <v>2496.665</v>
      </c>
      <c r="FP38" s="24">
        <v>2815.7481000000002</v>
      </c>
      <c r="FQ38" s="24">
        <v>2510.1997999999999</v>
      </c>
      <c r="FR38" s="24">
        <v>1427.548</v>
      </c>
      <c r="FS38" s="24">
        <v>1012.9</v>
      </c>
      <c r="FT38" s="24">
        <v>1082.8</v>
      </c>
      <c r="FU38" s="24">
        <v>2103.3870000000006</v>
      </c>
      <c r="FV38" s="24">
        <v>1363</v>
      </c>
      <c r="FW38" s="24">
        <v>1196.799</v>
      </c>
      <c r="FX38" s="24">
        <v>1823.16</v>
      </c>
      <c r="FY38" s="24">
        <v>3391.201</v>
      </c>
      <c r="FZ38" s="24">
        <v>451.27</v>
      </c>
      <c r="GA38" s="24">
        <v>282.5</v>
      </c>
      <c r="GB38" s="24">
        <v>571.5</v>
      </c>
      <c r="GC38" s="24">
        <v>526.5</v>
      </c>
      <c r="GD38" s="24">
        <v>2262.6952000000001</v>
      </c>
      <c r="GE38" s="24">
        <v>712.39</v>
      </c>
      <c r="GF38" s="24">
        <v>683.5</v>
      </c>
      <c r="GG38" s="24">
        <v>496.52</v>
      </c>
      <c r="GH38" s="26">
        <v>12669.416088338881</v>
      </c>
      <c r="GI38" s="26">
        <f t="shared" si="52"/>
        <v>13761.0352</v>
      </c>
      <c r="GJ38" s="23">
        <f t="shared" si="53"/>
        <v>1.0861617539474342</v>
      </c>
    </row>
    <row r="39" spans="1:192" s="14" customFormat="1" ht="24.95" customHeight="1">
      <c r="A39" s="19">
        <f t="shared" si="14"/>
        <v>6</v>
      </c>
      <c r="B39" s="20" t="s">
        <v>62</v>
      </c>
      <c r="C39" s="21">
        <v>11943</v>
      </c>
      <c r="D39" s="21"/>
      <c r="E39" s="21"/>
      <c r="F39" s="21"/>
      <c r="G39" s="24">
        <v>180</v>
      </c>
      <c r="H39" s="24">
        <v>21</v>
      </c>
      <c r="I39" s="24">
        <v>135</v>
      </c>
      <c r="J39" s="24">
        <v>132</v>
      </c>
      <c r="K39" s="24">
        <v>125</v>
      </c>
      <c r="L39" s="24">
        <v>140</v>
      </c>
      <c r="M39" s="24">
        <v>117</v>
      </c>
      <c r="N39" s="24">
        <v>130</v>
      </c>
      <c r="O39" s="24">
        <v>118</v>
      </c>
      <c r="P39" s="24">
        <v>16</v>
      </c>
      <c r="Q39" s="24">
        <v>174</v>
      </c>
      <c r="R39" s="24">
        <v>201</v>
      </c>
      <c r="S39" s="24">
        <v>348</v>
      </c>
      <c r="T39" s="24">
        <v>486</v>
      </c>
      <c r="U39" s="24">
        <v>326</v>
      </c>
      <c r="V39" s="24">
        <v>264</v>
      </c>
      <c r="W39" s="24">
        <v>256</v>
      </c>
      <c r="X39" s="24">
        <v>9</v>
      </c>
      <c r="Y39" s="24"/>
      <c r="Z39" s="24"/>
      <c r="AA39" s="24"/>
      <c r="AB39" s="22">
        <v>1118</v>
      </c>
      <c r="AC39" s="22">
        <f t="shared" si="3"/>
        <v>2080</v>
      </c>
      <c r="AD39" s="23">
        <f t="shared" si="4"/>
        <v>1.8604651162790697</v>
      </c>
      <c r="AE39" s="24"/>
      <c r="AF39" s="24"/>
      <c r="AG39" s="24"/>
      <c r="AH39" s="24"/>
      <c r="AI39" s="24"/>
      <c r="AJ39" s="24">
        <v>6</v>
      </c>
      <c r="AK39" s="24">
        <v>301</v>
      </c>
      <c r="AL39" s="24">
        <v>662</v>
      </c>
      <c r="AM39" s="24">
        <v>109</v>
      </c>
      <c r="AN39" s="24"/>
      <c r="AO39" s="24">
        <v>19</v>
      </c>
      <c r="AP39" s="24">
        <v>13</v>
      </c>
      <c r="AQ39" s="24">
        <v>51</v>
      </c>
      <c r="AR39" s="24">
        <v>162</v>
      </c>
      <c r="AS39" s="24">
        <v>223</v>
      </c>
      <c r="AT39" s="24">
        <v>206</v>
      </c>
      <c r="AU39" s="24">
        <v>144</v>
      </c>
      <c r="AV39" s="24">
        <v>133</v>
      </c>
      <c r="AW39" s="24">
        <v>47</v>
      </c>
      <c r="AX39" s="24">
        <v>122</v>
      </c>
      <c r="AY39" s="24">
        <v>123</v>
      </c>
      <c r="AZ39" s="24">
        <v>131</v>
      </c>
      <c r="BA39" s="24">
        <v>38</v>
      </c>
      <c r="BB39" s="24">
        <v>40</v>
      </c>
      <c r="BC39" s="32">
        <v>1274</v>
      </c>
      <c r="BD39" s="32">
        <f t="shared" si="6"/>
        <v>1420</v>
      </c>
      <c r="BE39" s="23">
        <f t="shared" si="7"/>
        <v>1.1145996860282574</v>
      </c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>
        <v>292</v>
      </c>
      <c r="BS39" s="24">
        <v>509</v>
      </c>
      <c r="BT39" s="24">
        <v>781</v>
      </c>
      <c r="BU39" s="24">
        <v>663</v>
      </c>
      <c r="BV39" s="24">
        <v>905</v>
      </c>
      <c r="BW39" s="24">
        <v>860</v>
      </c>
      <c r="BX39" s="24">
        <v>758</v>
      </c>
      <c r="BY39" s="24">
        <v>75</v>
      </c>
      <c r="BZ39" s="24">
        <v>637</v>
      </c>
      <c r="CA39" s="24">
        <v>44</v>
      </c>
      <c r="CB39" s="24">
        <v>158</v>
      </c>
      <c r="CC39" s="24">
        <v>81</v>
      </c>
      <c r="CD39" s="25">
        <v>1875</v>
      </c>
      <c r="CE39" s="25">
        <v>5523</v>
      </c>
      <c r="CF39" s="23">
        <f t="shared" si="8"/>
        <v>2.9456000000000002</v>
      </c>
      <c r="CG39" s="24"/>
      <c r="CH39" s="24"/>
      <c r="CI39" s="24">
        <v>5</v>
      </c>
      <c r="CJ39" s="24">
        <v>168</v>
      </c>
      <c r="CK39" s="24">
        <v>654.30499999999995</v>
      </c>
      <c r="CL39" s="24">
        <v>400</v>
      </c>
      <c r="CM39" s="24">
        <v>730</v>
      </c>
      <c r="CN39" s="24">
        <v>1309.808</v>
      </c>
      <c r="CO39" s="24">
        <v>805</v>
      </c>
      <c r="CP39" s="24">
        <v>100</v>
      </c>
      <c r="CQ39" s="24">
        <v>100</v>
      </c>
      <c r="CR39" s="24"/>
      <c r="CS39" s="24">
        <v>100</v>
      </c>
      <c r="CT39" s="24">
        <v>415.53</v>
      </c>
      <c r="CU39" s="24">
        <v>262.40000000000003</v>
      </c>
      <c r="CV39" s="24">
        <v>642.625</v>
      </c>
      <c r="CW39" s="24">
        <v>100</v>
      </c>
      <c r="CX39" s="24">
        <v>250</v>
      </c>
      <c r="CY39" s="24">
        <v>370.75</v>
      </c>
      <c r="CZ39" s="24">
        <v>351.99931600000002</v>
      </c>
      <c r="DA39" s="24">
        <v>467</v>
      </c>
      <c r="DB39" s="24">
        <v>428.4</v>
      </c>
      <c r="DC39" s="24">
        <v>219</v>
      </c>
      <c r="DD39" s="24">
        <v>170</v>
      </c>
      <c r="DE39" s="18">
        <v>3729.2404817195275</v>
      </c>
      <c r="DF39" s="18">
        <f t="shared" si="9"/>
        <v>3777.7043160000003</v>
      </c>
      <c r="DG39" s="23">
        <f t="shared" si="10"/>
        <v>1.0129956312868638</v>
      </c>
      <c r="DH39" s="24"/>
      <c r="DI39" s="24"/>
      <c r="DJ39" s="24">
        <v>99.499999999999972</v>
      </c>
      <c r="DK39" s="24">
        <v>1551.1</v>
      </c>
      <c r="DL39" s="24">
        <v>828.08699999999988</v>
      </c>
      <c r="DM39" s="24">
        <v>113.8</v>
      </c>
      <c r="DN39" s="24">
        <v>402.90000000000003</v>
      </c>
      <c r="DO39" s="24">
        <v>66.599999999999994</v>
      </c>
      <c r="DP39" s="24">
        <v>136</v>
      </c>
      <c r="DQ39" s="24">
        <v>80</v>
      </c>
      <c r="DR39" s="24">
        <v>203</v>
      </c>
      <c r="DS39" s="24">
        <v>62.5</v>
      </c>
      <c r="DT39" s="24">
        <v>54</v>
      </c>
      <c r="DU39" s="24">
        <v>898.19999999999993</v>
      </c>
      <c r="DV39" s="24">
        <v>710.6</v>
      </c>
      <c r="DW39" s="24">
        <v>722.00000000000023</v>
      </c>
      <c r="DX39" s="24">
        <v>163</v>
      </c>
      <c r="DY39" s="24">
        <v>481</v>
      </c>
      <c r="DZ39" s="24">
        <v>0</v>
      </c>
      <c r="EA39" s="24">
        <v>64</v>
      </c>
      <c r="EB39" s="24">
        <v>34.5</v>
      </c>
      <c r="EC39" s="24">
        <v>80</v>
      </c>
      <c r="ED39" s="24">
        <v>75</v>
      </c>
      <c r="EE39" s="24">
        <v>336.80000000000018</v>
      </c>
      <c r="EF39" s="18">
        <v>2332.0783103755757</v>
      </c>
      <c r="EG39" s="18">
        <f t="shared" si="11"/>
        <v>3619.1000000000004</v>
      </c>
      <c r="EH39" s="23">
        <f t="shared" si="12"/>
        <v>1.5518775608427802</v>
      </c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>
        <v>114</v>
      </c>
      <c r="EW39" s="24">
        <v>910</v>
      </c>
      <c r="EX39" s="24">
        <v>909</v>
      </c>
      <c r="EY39" s="24">
        <v>1383.9</v>
      </c>
      <c r="EZ39" s="24">
        <v>756</v>
      </c>
      <c r="FA39" s="24">
        <v>81</v>
      </c>
      <c r="FB39" s="24">
        <v>844</v>
      </c>
      <c r="FC39" s="24">
        <v>422.8</v>
      </c>
      <c r="FD39" s="24">
        <v>728</v>
      </c>
      <c r="FE39" s="24">
        <v>417</v>
      </c>
      <c r="FF39" s="24">
        <v>172</v>
      </c>
      <c r="FG39" s="18">
        <v>6226.4648605154443</v>
      </c>
      <c r="FH39" s="18">
        <v>6452.7</v>
      </c>
      <c r="FI39" s="23">
        <v>1.0363344441111688</v>
      </c>
      <c r="FJ39" s="24"/>
      <c r="FK39" s="24"/>
      <c r="FL39" s="24">
        <v>162.86099999999999</v>
      </c>
      <c r="FM39" s="24">
        <v>573.35415599999999</v>
      </c>
      <c r="FN39" s="24">
        <v>766.22199999999998</v>
      </c>
      <c r="FO39" s="24">
        <v>596.798</v>
      </c>
      <c r="FP39" s="24">
        <v>1140.3499999999999</v>
      </c>
      <c r="FQ39" s="24">
        <v>733.1</v>
      </c>
      <c r="FR39" s="24">
        <v>468.50400000000002</v>
      </c>
      <c r="FS39" s="24">
        <v>180</v>
      </c>
      <c r="FT39" s="24">
        <v>619.44799999999998</v>
      </c>
      <c r="FU39" s="24">
        <v>545</v>
      </c>
      <c r="FV39" s="24">
        <v>301.8</v>
      </c>
      <c r="FW39" s="24">
        <v>652.29999999999995</v>
      </c>
      <c r="FX39" s="24">
        <v>623.31099999999992</v>
      </c>
      <c r="FY39" s="24">
        <v>2330.6</v>
      </c>
      <c r="FZ39" s="24">
        <v>348.6</v>
      </c>
      <c r="GA39" s="24">
        <v>332.5</v>
      </c>
      <c r="GB39" s="24">
        <v>169.1</v>
      </c>
      <c r="GC39" s="24">
        <v>78</v>
      </c>
      <c r="GD39" s="24">
        <v>265</v>
      </c>
      <c r="GE39" s="24">
        <v>431</v>
      </c>
      <c r="GF39" s="24">
        <v>85</v>
      </c>
      <c r="GG39" s="24">
        <v>353.8</v>
      </c>
      <c r="GH39" s="26">
        <v>6746.1735865600031</v>
      </c>
      <c r="GI39" s="26">
        <f t="shared" si="52"/>
        <v>5971.0110000000004</v>
      </c>
      <c r="GJ39" s="23">
        <f t="shared" si="53"/>
        <v>0.88509596193843687</v>
      </c>
    </row>
    <row r="40" spans="1:192" s="14" customFormat="1" ht="24.95" customHeight="1">
      <c r="A40" s="19">
        <f t="shared" si="14"/>
        <v>7</v>
      </c>
      <c r="B40" s="20" t="s">
        <v>45</v>
      </c>
      <c r="C40" s="21">
        <v>11247</v>
      </c>
      <c r="D40" s="21"/>
      <c r="E40" s="21"/>
      <c r="F40" s="21"/>
      <c r="G40" s="24">
        <v>9</v>
      </c>
      <c r="H40" s="24">
        <v>4</v>
      </c>
      <c r="I40" s="24">
        <v>37</v>
      </c>
      <c r="J40" s="24">
        <v>53</v>
      </c>
      <c r="K40" s="24">
        <v>38</v>
      </c>
      <c r="L40" s="24">
        <v>37</v>
      </c>
      <c r="M40" s="24">
        <v>25</v>
      </c>
      <c r="N40" s="24">
        <v>40</v>
      </c>
      <c r="O40" s="24">
        <v>35</v>
      </c>
      <c r="P40" s="24">
        <v>61</v>
      </c>
      <c r="Q40" s="24">
        <v>106</v>
      </c>
      <c r="R40" s="24">
        <v>37</v>
      </c>
      <c r="S40" s="24">
        <v>76</v>
      </c>
      <c r="T40" s="24">
        <v>53</v>
      </c>
      <c r="U40" s="24">
        <v>97</v>
      </c>
      <c r="V40" s="24">
        <v>35</v>
      </c>
      <c r="W40" s="24">
        <v>42</v>
      </c>
      <c r="X40" s="24">
        <v>76</v>
      </c>
      <c r="Y40" s="24">
        <v>103</v>
      </c>
      <c r="Z40" s="24">
        <v>41</v>
      </c>
      <c r="AA40" s="24">
        <v>13</v>
      </c>
      <c r="AB40" s="22">
        <v>528</v>
      </c>
      <c r="AC40" s="22">
        <f t="shared" si="3"/>
        <v>740</v>
      </c>
      <c r="AD40" s="23">
        <f t="shared" si="4"/>
        <v>1.4015151515151516</v>
      </c>
      <c r="AE40" s="24"/>
      <c r="AF40" s="24"/>
      <c r="AG40" s="24"/>
      <c r="AH40" s="24"/>
      <c r="AI40" s="24"/>
      <c r="AJ40" s="24"/>
      <c r="AK40" s="24">
        <v>114</v>
      </c>
      <c r="AL40" s="24">
        <v>275</v>
      </c>
      <c r="AM40" s="24">
        <v>8</v>
      </c>
      <c r="AN40" s="24">
        <v>7</v>
      </c>
      <c r="AO40" s="24">
        <v>1</v>
      </c>
      <c r="AP40" s="24"/>
      <c r="AQ40" s="24">
        <v>11</v>
      </c>
      <c r="AR40" s="24">
        <v>43</v>
      </c>
      <c r="AS40" s="24">
        <v>26</v>
      </c>
      <c r="AT40" s="24">
        <v>33</v>
      </c>
      <c r="AU40" s="24">
        <v>38</v>
      </c>
      <c r="AV40" s="24">
        <v>49</v>
      </c>
      <c r="AW40" s="24">
        <v>27</v>
      </c>
      <c r="AX40" s="24">
        <v>13</v>
      </c>
      <c r="AY40" s="24">
        <v>20</v>
      </c>
      <c r="AZ40" s="24">
        <v>27</v>
      </c>
      <c r="BA40" s="24">
        <v>21</v>
      </c>
      <c r="BB40" s="24">
        <v>4</v>
      </c>
      <c r="BC40" s="32">
        <v>285</v>
      </c>
      <c r="BD40" s="32">
        <f t="shared" si="6"/>
        <v>312</v>
      </c>
      <c r="BE40" s="23">
        <f t="shared" si="7"/>
        <v>1.0947368421052632</v>
      </c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>
        <v>173</v>
      </c>
      <c r="BS40" s="24">
        <v>262</v>
      </c>
      <c r="BT40" s="24">
        <v>101</v>
      </c>
      <c r="BU40" s="24">
        <v>62</v>
      </c>
      <c r="BV40" s="24">
        <v>210</v>
      </c>
      <c r="BW40" s="24">
        <v>216</v>
      </c>
      <c r="BX40" s="24">
        <v>187</v>
      </c>
      <c r="BY40" s="24">
        <v>148</v>
      </c>
      <c r="BZ40" s="24">
        <v>126</v>
      </c>
      <c r="CA40" s="24">
        <v>67</v>
      </c>
      <c r="CB40" s="24">
        <v>82</v>
      </c>
      <c r="CC40" s="24">
        <v>32</v>
      </c>
      <c r="CD40" s="25">
        <v>1121</v>
      </c>
      <c r="CE40" s="25">
        <v>1552</v>
      </c>
      <c r="CF40" s="23">
        <f t="shared" si="8"/>
        <v>1.384478144513827</v>
      </c>
      <c r="CG40" s="24"/>
      <c r="CH40" s="24"/>
      <c r="CI40" s="24">
        <v>31.5</v>
      </c>
      <c r="CJ40" s="24"/>
      <c r="CK40" s="24">
        <v>300</v>
      </c>
      <c r="CL40" s="24"/>
      <c r="CM40" s="24">
        <v>400</v>
      </c>
      <c r="CN40" s="24">
        <v>500</v>
      </c>
      <c r="CO40" s="24">
        <v>100</v>
      </c>
      <c r="CP40" s="24">
        <v>200</v>
      </c>
      <c r="CQ40" s="24"/>
      <c r="CR40" s="24"/>
      <c r="CS40" s="24"/>
      <c r="CT40" s="24">
        <v>100</v>
      </c>
      <c r="CU40" s="24">
        <v>200</v>
      </c>
      <c r="CV40" s="24"/>
      <c r="CW40" s="24">
        <v>150</v>
      </c>
      <c r="CX40" s="24"/>
      <c r="CY40" s="24"/>
      <c r="CZ40" s="24">
        <v>400</v>
      </c>
      <c r="DA40" s="24">
        <v>400</v>
      </c>
      <c r="DB40" s="24">
        <v>150</v>
      </c>
      <c r="DC40" s="24">
        <v>570</v>
      </c>
      <c r="DD40" s="24">
        <v>200</v>
      </c>
      <c r="DE40" s="18"/>
      <c r="DF40" s="18">
        <f t="shared" si="9"/>
        <v>2170</v>
      </c>
      <c r="DG40" s="23">
        <v>0</v>
      </c>
      <c r="DH40" s="24"/>
      <c r="DI40" s="24"/>
      <c r="DJ40" s="24"/>
      <c r="DK40" s="24">
        <v>318.80000000000007</v>
      </c>
      <c r="DL40" s="24">
        <v>111.8</v>
      </c>
      <c r="DM40" s="24"/>
      <c r="DN40" s="24">
        <v>6.8</v>
      </c>
      <c r="DO40" s="24"/>
      <c r="DP40" s="24"/>
      <c r="DQ40" s="24"/>
      <c r="DR40" s="24">
        <v>34</v>
      </c>
      <c r="DS40" s="24"/>
      <c r="DT40" s="24">
        <v>21.5</v>
      </c>
      <c r="DU40" s="24">
        <v>211</v>
      </c>
      <c r="DV40" s="24">
        <v>145</v>
      </c>
      <c r="DW40" s="24">
        <v>192.69900000000007</v>
      </c>
      <c r="DX40" s="24">
        <v>355.20000000000005</v>
      </c>
      <c r="DY40" s="24">
        <v>44</v>
      </c>
      <c r="DZ40" s="24">
        <v>120.70000000000005</v>
      </c>
      <c r="EA40" s="24">
        <v>87</v>
      </c>
      <c r="EB40" s="24">
        <v>30</v>
      </c>
      <c r="EC40" s="24">
        <v>273</v>
      </c>
      <c r="ED40" s="24">
        <v>5</v>
      </c>
      <c r="EE40" s="24">
        <v>0</v>
      </c>
      <c r="EF40" s="18">
        <v>1703.8859690628119</v>
      </c>
      <c r="EG40" s="18">
        <f t="shared" si="11"/>
        <v>1485.0990000000002</v>
      </c>
      <c r="EH40" s="23">
        <f t="shared" si="12"/>
        <v>0.87159529860842089</v>
      </c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>
        <v>82</v>
      </c>
      <c r="EW40" s="24">
        <v>184</v>
      </c>
      <c r="EX40" s="24">
        <v>250.1</v>
      </c>
      <c r="EY40" s="24">
        <v>184</v>
      </c>
      <c r="EZ40" s="24">
        <v>50</v>
      </c>
      <c r="FA40" s="24">
        <v>432</v>
      </c>
      <c r="FB40" s="24">
        <v>502</v>
      </c>
      <c r="FC40" s="24">
        <v>124</v>
      </c>
      <c r="FD40" s="24">
        <v>310</v>
      </c>
      <c r="FE40" s="24">
        <v>50</v>
      </c>
      <c r="FF40" s="24"/>
      <c r="FG40" s="18">
        <v>2132.7374459964585</v>
      </c>
      <c r="FH40" s="18">
        <v>2168.1</v>
      </c>
      <c r="FI40" s="23">
        <v>1.0165808285824978</v>
      </c>
      <c r="FJ40" s="24"/>
      <c r="FK40" s="24"/>
      <c r="FL40" s="24">
        <v>512.48192800000004</v>
      </c>
      <c r="FM40" s="24">
        <v>912.36000000000013</v>
      </c>
      <c r="FN40" s="24">
        <v>1366.1949999999999</v>
      </c>
      <c r="FO40" s="24">
        <v>1266.6640000000002</v>
      </c>
      <c r="FP40" s="24">
        <v>1328.2700000000002</v>
      </c>
      <c r="FQ40" s="24">
        <v>1435.144</v>
      </c>
      <c r="FR40" s="24">
        <v>670.65000000000009</v>
      </c>
      <c r="FS40" s="24">
        <v>447.70000000000005</v>
      </c>
      <c r="FT40" s="24">
        <v>693.25</v>
      </c>
      <c r="FU40" s="24">
        <v>2131.8940000000002</v>
      </c>
      <c r="FV40" s="24">
        <v>313.32</v>
      </c>
      <c r="FW40" s="24">
        <v>780.78</v>
      </c>
      <c r="FX40" s="24">
        <v>574.69000000000005</v>
      </c>
      <c r="FY40" s="24">
        <v>1541.5730000000001</v>
      </c>
      <c r="FZ40" s="24">
        <v>80</v>
      </c>
      <c r="GA40" s="24">
        <v>59.97</v>
      </c>
      <c r="GB40" s="24">
        <v>128</v>
      </c>
      <c r="GC40" s="24">
        <v>10</v>
      </c>
      <c r="GD40" s="24">
        <v>820.60000000000014</v>
      </c>
      <c r="GE40" s="24">
        <v>710.33499999999992</v>
      </c>
      <c r="GF40" s="24">
        <v>10</v>
      </c>
      <c r="GG40" s="24"/>
      <c r="GH40" s="26">
        <v>4612.8346828067879</v>
      </c>
      <c r="GI40" s="26">
        <f t="shared" si="52"/>
        <v>5029.268</v>
      </c>
      <c r="GJ40" s="23">
        <f t="shared" si="53"/>
        <v>1.0902770955016805</v>
      </c>
    </row>
    <row r="41" spans="1:192" s="14" customFormat="1" ht="24.95" customHeight="1">
      <c r="A41" s="19">
        <f t="shared" si="14"/>
        <v>8</v>
      </c>
      <c r="B41" s="20" t="s">
        <v>44</v>
      </c>
      <c r="C41" s="21">
        <v>10443</v>
      </c>
      <c r="D41" s="21"/>
      <c r="E41" s="21"/>
      <c r="F41" s="21"/>
      <c r="G41" s="24">
        <v>10</v>
      </c>
      <c r="H41" s="24">
        <v>31</v>
      </c>
      <c r="I41" s="24">
        <v>37</v>
      </c>
      <c r="J41" s="24">
        <v>39</v>
      </c>
      <c r="K41" s="24">
        <v>36</v>
      </c>
      <c r="L41" s="24">
        <v>69</v>
      </c>
      <c r="M41" s="24">
        <v>38</v>
      </c>
      <c r="N41" s="24">
        <v>67</v>
      </c>
      <c r="O41" s="24">
        <v>26</v>
      </c>
      <c r="P41" s="24">
        <v>167</v>
      </c>
      <c r="Q41" s="24">
        <v>14</v>
      </c>
      <c r="R41" s="24"/>
      <c r="S41" s="24">
        <v>114</v>
      </c>
      <c r="T41" s="24">
        <v>154</v>
      </c>
      <c r="U41" s="24">
        <v>66</v>
      </c>
      <c r="V41" s="24">
        <v>95</v>
      </c>
      <c r="W41" s="24">
        <v>53</v>
      </c>
      <c r="X41" s="24">
        <v>243</v>
      </c>
      <c r="Y41" s="24">
        <v>2</v>
      </c>
      <c r="Z41" s="24">
        <v>7</v>
      </c>
      <c r="AA41" s="24">
        <v>2</v>
      </c>
      <c r="AB41" s="22">
        <v>701</v>
      </c>
      <c r="AC41" s="22">
        <f t="shared" si="3"/>
        <v>917</v>
      </c>
      <c r="AD41" s="23">
        <f t="shared" si="4"/>
        <v>1.3081312410841655</v>
      </c>
      <c r="AE41" s="24"/>
      <c r="AF41" s="24"/>
      <c r="AG41" s="24"/>
      <c r="AH41" s="24"/>
      <c r="AI41" s="24"/>
      <c r="AJ41" s="24"/>
      <c r="AK41" s="24">
        <v>123</v>
      </c>
      <c r="AL41" s="24">
        <v>218</v>
      </c>
      <c r="AM41" s="24">
        <v>30</v>
      </c>
      <c r="AN41" s="24">
        <v>5</v>
      </c>
      <c r="AO41" s="24">
        <v>18</v>
      </c>
      <c r="AP41" s="24">
        <v>20</v>
      </c>
      <c r="AQ41" s="24">
        <v>19</v>
      </c>
      <c r="AR41" s="24">
        <v>53</v>
      </c>
      <c r="AS41" s="24">
        <v>85</v>
      </c>
      <c r="AT41" s="24">
        <v>48</v>
      </c>
      <c r="AU41" s="24">
        <v>48</v>
      </c>
      <c r="AV41" s="24">
        <v>39</v>
      </c>
      <c r="AW41" s="24">
        <v>28</v>
      </c>
      <c r="AX41" s="24">
        <v>10</v>
      </c>
      <c r="AY41" s="24">
        <v>37</v>
      </c>
      <c r="AZ41" s="24">
        <v>30</v>
      </c>
      <c r="BA41" s="24">
        <v>29</v>
      </c>
      <c r="BB41" s="24">
        <v>20</v>
      </c>
      <c r="BC41" s="32">
        <v>409</v>
      </c>
      <c r="BD41" s="32">
        <f t="shared" si="6"/>
        <v>446</v>
      </c>
      <c r="BE41" s="23">
        <f t="shared" si="7"/>
        <v>1.0904645476772616</v>
      </c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>
        <v>163</v>
      </c>
      <c r="BS41" s="24">
        <v>397</v>
      </c>
      <c r="BT41" s="24">
        <v>78</v>
      </c>
      <c r="BU41" s="24">
        <v>109</v>
      </c>
      <c r="BV41" s="24">
        <v>272</v>
      </c>
      <c r="BW41" s="24">
        <v>203</v>
      </c>
      <c r="BX41" s="24">
        <v>222</v>
      </c>
      <c r="BY41" s="24">
        <v>159</v>
      </c>
      <c r="BZ41" s="24">
        <v>81</v>
      </c>
      <c r="CA41" s="24">
        <v>59</v>
      </c>
      <c r="CB41" s="24">
        <v>29</v>
      </c>
      <c r="CC41" s="24">
        <v>0</v>
      </c>
      <c r="CD41" s="25">
        <v>1293</v>
      </c>
      <c r="CE41" s="25">
        <v>1735</v>
      </c>
      <c r="CF41" s="23">
        <f t="shared" si="8"/>
        <v>1.3418406805877803</v>
      </c>
      <c r="CG41" s="24"/>
      <c r="CH41" s="24"/>
      <c r="CI41" s="24">
        <v>70</v>
      </c>
      <c r="CJ41" s="24">
        <v>258.99723025000003</v>
      </c>
      <c r="CK41" s="24">
        <v>100</v>
      </c>
      <c r="CL41" s="24">
        <v>200</v>
      </c>
      <c r="CM41" s="24">
        <v>195.33568</v>
      </c>
      <c r="CN41" s="24">
        <v>400</v>
      </c>
      <c r="CO41" s="24">
        <v>348.8</v>
      </c>
      <c r="CP41" s="24"/>
      <c r="CQ41" s="24"/>
      <c r="CR41" s="24"/>
      <c r="CS41" s="24"/>
      <c r="CT41" s="24">
        <v>100</v>
      </c>
      <c r="CU41" s="24">
        <v>100</v>
      </c>
      <c r="CV41" s="24"/>
      <c r="CW41" s="24"/>
      <c r="CX41" s="24"/>
      <c r="CY41" s="24"/>
      <c r="CZ41" s="24"/>
      <c r="DA41" s="24">
        <v>50</v>
      </c>
      <c r="DB41" s="24"/>
      <c r="DC41" s="24"/>
      <c r="DD41" s="24"/>
      <c r="DE41" s="18">
        <v>250</v>
      </c>
      <c r="DF41" s="18">
        <f t="shared" si="9"/>
        <v>250</v>
      </c>
      <c r="DG41" s="23">
        <f t="shared" si="10"/>
        <v>1</v>
      </c>
      <c r="DH41" s="24"/>
      <c r="DI41" s="24"/>
      <c r="DJ41" s="24">
        <v>6.8</v>
      </c>
      <c r="DK41" s="24">
        <v>190.60000000000008</v>
      </c>
      <c r="DL41" s="24">
        <v>391.20000000000005</v>
      </c>
      <c r="DM41" s="24"/>
      <c r="DN41" s="24"/>
      <c r="DO41" s="24"/>
      <c r="DP41" s="24">
        <v>17</v>
      </c>
      <c r="DQ41" s="24">
        <v>148</v>
      </c>
      <c r="DR41" s="24">
        <v>226</v>
      </c>
      <c r="DS41" s="24">
        <v>144</v>
      </c>
      <c r="DT41" s="24">
        <v>100</v>
      </c>
      <c r="DU41" s="24">
        <v>346.40000000000003</v>
      </c>
      <c r="DV41" s="24">
        <v>7.5</v>
      </c>
      <c r="DW41" s="24">
        <v>17</v>
      </c>
      <c r="DX41" s="24">
        <v>17</v>
      </c>
      <c r="DY41" s="24">
        <v>20</v>
      </c>
      <c r="DZ41" s="24">
        <v>17.000000000000057</v>
      </c>
      <c r="EA41" s="24">
        <v>67</v>
      </c>
      <c r="EB41" s="24">
        <v>10</v>
      </c>
      <c r="EC41" s="24">
        <v>5</v>
      </c>
      <c r="ED41" s="24">
        <v>0</v>
      </c>
      <c r="EE41" s="24">
        <v>0</v>
      </c>
      <c r="EF41" s="18">
        <v>1092.6229105783284</v>
      </c>
      <c r="EG41" s="18">
        <f t="shared" si="11"/>
        <v>606.90000000000009</v>
      </c>
      <c r="EH41" s="23">
        <f t="shared" si="12"/>
        <v>0.55545238354810467</v>
      </c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>
        <v>90</v>
      </c>
      <c r="EW41" s="24">
        <v>693.5</v>
      </c>
      <c r="EX41" s="24">
        <v>493.6</v>
      </c>
      <c r="EY41" s="24">
        <v>192</v>
      </c>
      <c r="EZ41" s="24">
        <v>147</v>
      </c>
      <c r="FA41" s="24">
        <v>78</v>
      </c>
      <c r="FB41" s="24">
        <v>356</v>
      </c>
      <c r="FC41" s="24">
        <v>264</v>
      </c>
      <c r="FD41" s="24"/>
      <c r="FE41" s="24">
        <v>50</v>
      </c>
      <c r="FF41" s="24"/>
      <c r="FG41" s="18">
        <v>2065.971353531379</v>
      </c>
      <c r="FH41" s="18">
        <v>2075.5</v>
      </c>
      <c r="FI41" s="23">
        <v>1.0046121871207621</v>
      </c>
      <c r="FJ41" s="24"/>
      <c r="FK41" s="24">
        <v>116.703</v>
      </c>
      <c r="FL41" s="24">
        <v>263.84000000000003</v>
      </c>
      <c r="FM41" s="24">
        <v>625.09840000000008</v>
      </c>
      <c r="FN41" s="24">
        <v>919.98400000000004</v>
      </c>
      <c r="FO41" s="24">
        <v>447.8</v>
      </c>
      <c r="FP41" s="24">
        <v>810.5</v>
      </c>
      <c r="FQ41" s="24">
        <v>828.41</v>
      </c>
      <c r="FR41" s="24">
        <v>650.98749999999995</v>
      </c>
      <c r="FS41" s="24">
        <v>301.70000000000005</v>
      </c>
      <c r="FT41" s="24">
        <v>217.04859999999999</v>
      </c>
      <c r="FU41" s="24">
        <v>393</v>
      </c>
      <c r="FV41" s="24">
        <v>301</v>
      </c>
      <c r="FW41" s="24">
        <v>924.6</v>
      </c>
      <c r="FX41" s="24">
        <v>743.8</v>
      </c>
      <c r="FY41" s="24">
        <v>1341.0640000000001</v>
      </c>
      <c r="FZ41" s="24">
        <v>337</v>
      </c>
      <c r="GA41" s="24">
        <v>157</v>
      </c>
      <c r="GB41" s="24">
        <v>138.9</v>
      </c>
      <c r="GC41" s="24">
        <v>80.900000000000006</v>
      </c>
      <c r="GD41" s="24">
        <v>55</v>
      </c>
      <c r="GE41" s="24">
        <v>155</v>
      </c>
      <c r="GF41" s="24">
        <v>55</v>
      </c>
      <c r="GG41" s="24"/>
      <c r="GH41" s="26">
        <v>5925.8948665983553</v>
      </c>
      <c r="GI41" s="26">
        <f t="shared" si="52"/>
        <v>4289.2640000000001</v>
      </c>
      <c r="GJ41" s="23">
        <f t="shared" si="53"/>
        <v>0.72381709371468628</v>
      </c>
    </row>
    <row r="42" spans="1:192" s="14" customFormat="1" ht="24.95" customHeight="1">
      <c r="A42" s="19">
        <f t="shared" si="14"/>
        <v>9</v>
      </c>
      <c r="B42" s="20" t="s">
        <v>48</v>
      </c>
      <c r="C42" s="21">
        <v>10447</v>
      </c>
      <c r="D42" s="21"/>
      <c r="E42" s="21"/>
      <c r="F42" s="21"/>
      <c r="G42" s="24">
        <v>9</v>
      </c>
      <c r="H42" s="24">
        <v>2</v>
      </c>
      <c r="I42" s="24">
        <v>30</v>
      </c>
      <c r="J42" s="24">
        <v>25</v>
      </c>
      <c r="K42" s="24">
        <v>74</v>
      </c>
      <c r="L42" s="24">
        <v>71</v>
      </c>
      <c r="M42" s="24">
        <v>39</v>
      </c>
      <c r="N42" s="24">
        <v>38</v>
      </c>
      <c r="O42" s="24">
        <v>40</v>
      </c>
      <c r="P42" s="24">
        <v>11</v>
      </c>
      <c r="Q42" s="24">
        <v>29</v>
      </c>
      <c r="R42" s="24">
        <v>53</v>
      </c>
      <c r="S42" s="24">
        <v>105</v>
      </c>
      <c r="T42" s="24">
        <v>66</v>
      </c>
      <c r="U42" s="24">
        <v>40</v>
      </c>
      <c r="V42" s="24">
        <v>52</v>
      </c>
      <c r="W42" s="24">
        <v>131</v>
      </c>
      <c r="X42" s="24">
        <v>23</v>
      </c>
      <c r="Y42" s="24">
        <v>17</v>
      </c>
      <c r="Z42" s="24">
        <v>40</v>
      </c>
      <c r="AA42" s="24">
        <v>17</v>
      </c>
      <c r="AB42" s="22">
        <v>405</v>
      </c>
      <c r="AC42" s="22">
        <f t="shared" si="3"/>
        <v>584</v>
      </c>
      <c r="AD42" s="23">
        <f t="shared" si="4"/>
        <v>1.4419753086419753</v>
      </c>
      <c r="AE42" s="24"/>
      <c r="AF42" s="24"/>
      <c r="AG42" s="24"/>
      <c r="AH42" s="24"/>
      <c r="AI42" s="24"/>
      <c r="AJ42" s="24"/>
      <c r="AK42" s="24">
        <v>92</v>
      </c>
      <c r="AL42" s="24">
        <v>173</v>
      </c>
      <c r="AM42" s="24">
        <v>40</v>
      </c>
      <c r="AN42" s="24"/>
      <c r="AO42" s="24">
        <v>13</v>
      </c>
      <c r="AP42" s="24">
        <v>10</v>
      </c>
      <c r="AQ42" s="24">
        <v>18</v>
      </c>
      <c r="AR42" s="24">
        <v>52</v>
      </c>
      <c r="AS42" s="24">
        <v>75</v>
      </c>
      <c r="AT42" s="24">
        <v>33</v>
      </c>
      <c r="AU42" s="24">
        <v>48</v>
      </c>
      <c r="AV42" s="24">
        <v>23</v>
      </c>
      <c r="AW42" s="24">
        <v>30</v>
      </c>
      <c r="AX42" s="24">
        <v>25</v>
      </c>
      <c r="AY42" s="24">
        <v>49</v>
      </c>
      <c r="AZ42" s="24">
        <v>31</v>
      </c>
      <c r="BA42" s="24">
        <v>30</v>
      </c>
      <c r="BB42" s="24">
        <v>36</v>
      </c>
      <c r="BC42" s="32">
        <v>399</v>
      </c>
      <c r="BD42" s="32">
        <f t="shared" si="6"/>
        <v>450</v>
      </c>
      <c r="BE42" s="23">
        <f t="shared" si="7"/>
        <v>1.1278195488721805</v>
      </c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>
        <v>77</v>
      </c>
      <c r="BS42" s="24">
        <v>55</v>
      </c>
      <c r="BT42" s="24">
        <v>15</v>
      </c>
      <c r="BU42" s="24">
        <v>76</v>
      </c>
      <c r="BV42" s="24">
        <v>172</v>
      </c>
      <c r="BW42" s="24">
        <v>122</v>
      </c>
      <c r="BX42" s="24">
        <v>90</v>
      </c>
      <c r="BY42" s="24">
        <v>89</v>
      </c>
      <c r="BZ42" s="24">
        <v>85</v>
      </c>
      <c r="CA42" s="24">
        <v>39</v>
      </c>
      <c r="CB42" s="24">
        <v>85</v>
      </c>
      <c r="CC42" s="24">
        <v>82</v>
      </c>
      <c r="CD42" s="25">
        <v>478</v>
      </c>
      <c r="CE42" s="25">
        <v>820</v>
      </c>
      <c r="CF42" s="23">
        <f t="shared" si="8"/>
        <v>1.7154811715481171</v>
      </c>
      <c r="CG42" s="24"/>
      <c r="CH42" s="24"/>
      <c r="CI42" s="24"/>
      <c r="CJ42" s="24">
        <v>100</v>
      </c>
      <c r="CK42" s="24">
        <v>120</v>
      </c>
      <c r="CL42" s="24">
        <v>100</v>
      </c>
      <c r="CM42" s="24">
        <v>100</v>
      </c>
      <c r="CN42" s="24">
        <v>1175</v>
      </c>
      <c r="CO42" s="24">
        <v>300</v>
      </c>
      <c r="CP42" s="24"/>
      <c r="CQ42" s="24"/>
      <c r="CR42" s="24"/>
      <c r="CS42" s="24">
        <v>400</v>
      </c>
      <c r="CT42" s="24">
        <v>300</v>
      </c>
      <c r="CU42" s="24">
        <v>550</v>
      </c>
      <c r="CV42" s="24">
        <v>536.25</v>
      </c>
      <c r="CW42" s="24">
        <v>546.85599999999999</v>
      </c>
      <c r="CX42" s="24">
        <v>840</v>
      </c>
      <c r="CY42" s="24">
        <v>420</v>
      </c>
      <c r="CZ42" s="24">
        <v>1304.8899999999999</v>
      </c>
      <c r="DA42" s="24">
        <v>750</v>
      </c>
      <c r="DB42" s="24">
        <v>1104.9712500000001</v>
      </c>
      <c r="DC42" s="24">
        <v>183</v>
      </c>
      <c r="DD42" s="24">
        <v>309.8</v>
      </c>
      <c r="DE42" s="18">
        <v>2143.5856150699146</v>
      </c>
      <c r="DF42" s="18">
        <f t="shared" si="9"/>
        <v>7245.7672499999999</v>
      </c>
      <c r="DG42" s="23">
        <f t="shared" si="10"/>
        <v>3.3802089354680027</v>
      </c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>
        <v>100</v>
      </c>
      <c r="DS42" s="24"/>
      <c r="DT42" s="24">
        <v>15</v>
      </c>
      <c r="DU42" s="24">
        <v>0</v>
      </c>
      <c r="DV42" s="24">
        <v>31.5</v>
      </c>
      <c r="DW42" s="24">
        <v>47</v>
      </c>
      <c r="DX42" s="24">
        <v>312</v>
      </c>
      <c r="DY42" s="24">
        <v>51</v>
      </c>
      <c r="DZ42" s="24">
        <v>170</v>
      </c>
      <c r="EA42" s="24">
        <v>332.5</v>
      </c>
      <c r="EB42" s="24">
        <v>0</v>
      </c>
      <c r="EC42" s="24">
        <v>91</v>
      </c>
      <c r="ED42" s="24">
        <v>63.420000000000073</v>
      </c>
      <c r="EE42" s="24">
        <v>39</v>
      </c>
      <c r="EF42" s="18">
        <v>1104.526281840873</v>
      </c>
      <c r="EG42" s="18">
        <f t="shared" si="11"/>
        <v>1152.42</v>
      </c>
      <c r="EH42" s="23">
        <f t="shared" si="12"/>
        <v>1.043361320546673</v>
      </c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>
        <v>240</v>
      </c>
      <c r="EW42" s="24">
        <v>1345</v>
      </c>
      <c r="EX42" s="24">
        <v>1483</v>
      </c>
      <c r="EY42" s="24">
        <v>999</v>
      </c>
      <c r="EZ42" s="24">
        <v>445.1</v>
      </c>
      <c r="FA42" s="24">
        <v>985</v>
      </c>
      <c r="FB42" s="24">
        <v>518</v>
      </c>
      <c r="FC42" s="24">
        <v>290</v>
      </c>
      <c r="FD42" s="24">
        <v>228</v>
      </c>
      <c r="FE42" s="24">
        <v>220</v>
      </c>
      <c r="FF42" s="24">
        <v>300</v>
      </c>
      <c r="FG42" s="18">
        <v>6028.5285188746793</v>
      </c>
      <c r="FH42" s="18">
        <v>6653.1</v>
      </c>
      <c r="FI42" s="23">
        <v>1.1036026418668925</v>
      </c>
      <c r="FJ42" s="24"/>
      <c r="FK42" s="24">
        <v>130</v>
      </c>
      <c r="FL42" s="24">
        <v>998.65549999999985</v>
      </c>
      <c r="FM42" s="24">
        <v>2502.6109999999999</v>
      </c>
      <c r="FN42" s="24">
        <v>2826.473</v>
      </c>
      <c r="FO42" s="24">
        <v>1993.0679999999998</v>
      </c>
      <c r="FP42" s="24">
        <v>1669.4959999999996</v>
      </c>
      <c r="FQ42" s="24">
        <v>2126.3560000000002</v>
      </c>
      <c r="FR42" s="24">
        <v>1703.23685</v>
      </c>
      <c r="FS42" s="24">
        <v>657.03200000000004</v>
      </c>
      <c r="FT42" s="24">
        <v>1796.672</v>
      </c>
      <c r="FU42" s="24">
        <v>4149.4847599999994</v>
      </c>
      <c r="FV42" s="24">
        <v>424.483</v>
      </c>
      <c r="FW42" s="24">
        <v>1913.9049999999997</v>
      </c>
      <c r="FX42" s="24">
        <v>2068.739</v>
      </c>
      <c r="FY42" s="24">
        <v>2185.8009999999999</v>
      </c>
      <c r="FZ42" s="24">
        <v>767.03200000000004</v>
      </c>
      <c r="GA42" s="24">
        <v>554.70000000000005</v>
      </c>
      <c r="GB42" s="24">
        <v>360.3</v>
      </c>
      <c r="GC42" s="24">
        <v>256.39999999999998</v>
      </c>
      <c r="GD42" s="24">
        <v>2195.895</v>
      </c>
      <c r="GE42" s="24">
        <v>478.48099999999999</v>
      </c>
      <c r="GF42" s="24">
        <v>325</v>
      </c>
      <c r="GG42" s="24">
        <v>479.95000000000005</v>
      </c>
      <c r="GH42" s="26">
        <v>10920.912053534312</v>
      </c>
      <c r="GI42" s="26">
        <f t="shared" si="52"/>
        <v>12010.686</v>
      </c>
      <c r="GJ42" s="23">
        <f t="shared" si="53"/>
        <v>1.0997878145271764</v>
      </c>
    </row>
    <row r="43" spans="1:192" s="14" customFormat="1" ht="24.95" customHeight="1">
      <c r="A43" s="19">
        <f t="shared" si="14"/>
        <v>10</v>
      </c>
      <c r="B43" s="20" t="s">
        <v>66</v>
      </c>
      <c r="C43" s="21">
        <v>11978</v>
      </c>
      <c r="D43" s="21"/>
      <c r="E43" s="21"/>
      <c r="F43" s="21"/>
      <c r="G43" s="24">
        <v>2</v>
      </c>
      <c r="H43" s="24">
        <v>25</v>
      </c>
      <c r="I43" s="24">
        <v>44</v>
      </c>
      <c r="J43" s="24">
        <v>71</v>
      </c>
      <c r="K43" s="24">
        <v>27</v>
      </c>
      <c r="L43" s="24">
        <v>41</v>
      </c>
      <c r="M43" s="24">
        <v>42</v>
      </c>
      <c r="N43" s="24">
        <v>102</v>
      </c>
      <c r="O43" s="24">
        <v>41</v>
      </c>
      <c r="P43" s="24">
        <v>12</v>
      </c>
      <c r="Q43" s="24">
        <v>115</v>
      </c>
      <c r="R43" s="24">
        <v>185</v>
      </c>
      <c r="S43" s="24">
        <v>56</v>
      </c>
      <c r="T43" s="24">
        <v>129</v>
      </c>
      <c r="U43" s="24">
        <v>96</v>
      </c>
      <c r="V43" s="24">
        <v>92</v>
      </c>
      <c r="W43" s="24">
        <v>74</v>
      </c>
      <c r="X43" s="24">
        <v>132</v>
      </c>
      <c r="Y43" s="24">
        <v>57</v>
      </c>
      <c r="Z43" s="24">
        <v>86</v>
      </c>
      <c r="AA43" s="24">
        <v>57</v>
      </c>
      <c r="AB43" s="22">
        <v>691</v>
      </c>
      <c r="AC43" s="22">
        <f t="shared" si="3"/>
        <v>1091</v>
      </c>
      <c r="AD43" s="23">
        <f t="shared" si="4"/>
        <v>1.5788712011577424</v>
      </c>
      <c r="AE43" s="24"/>
      <c r="AF43" s="24"/>
      <c r="AG43" s="24"/>
      <c r="AH43" s="24"/>
      <c r="AI43" s="24"/>
      <c r="AJ43" s="24"/>
      <c r="AK43" s="24">
        <v>141</v>
      </c>
      <c r="AL43" s="24">
        <v>261</v>
      </c>
      <c r="AM43" s="24">
        <v>69</v>
      </c>
      <c r="AN43" s="24"/>
      <c r="AO43" s="24">
        <v>22</v>
      </c>
      <c r="AP43" s="24">
        <v>24</v>
      </c>
      <c r="AQ43" s="24">
        <v>22</v>
      </c>
      <c r="AR43" s="24">
        <v>71</v>
      </c>
      <c r="AS43" s="24">
        <v>101</v>
      </c>
      <c r="AT43" s="24">
        <v>69</v>
      </c>
      <c r="AU43" s="24">
        <v>62</v>
      </c>
      <c r="AV43" s="24">
        <v>51</v>
      </c>
      <c r="AW43" s="24">
        <v>64</v>
      </c>
      <c r="AX43" s="24">
        <v>55</v>
      </c>
      <c r="AY43" s="24">
        <v>53</v>
      </c>
      <c r="AZ43" s="24">
        <v>41</v>
      </c>
      <c r="BA43" s="24">
        <v>32</v>
      </c>
      <c r="BB43" s="24">
        <v>25</v>
      </c>
      <c r="BC43" s="32">
        <v>568</v>
      </c>
      <c r="BD43" s="32">
        <f t="shared" si="6"/>
        <v>646</v>
      </c>
      <c r="BE43" s="23">
        <f t="shared" si="7"/>
        <v>1.1373239436619718</v>
      </c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>
        <v>114</v>
      </c>
      <c r="BS43" s="24">
        <v>67</v>
      </c>
      <c r="BT43" s="24">
        <v>85</v>
      </c>
      <c r="BU43" s="24">
        <v>126</v>
      </c>
      <c r="BV43" s="24">
        <v>210</v>
      </c>
      <c r="BW43" s="24">
        <v>303</v>
      </c>
      <c r="BX43" s="24">
        <v>262</v>
      </c>
      <c r="BY43" s="24">
        <v>94</v>
      </c>
      <c r="BZ43" s="24">
        <v>45</v>
      </c>
      <c r="CA43" s="24">
        <v>166</v>
      </c>
      <c r="CB43" s="24">
        <v>36</v>
      </c>
      <c r="CC43" s="24">
        <v>58</v>
      </c>
      <c r="CD43" s="25">
        <v>1163</v>
      </c>
      <c r="CE43" s="25">
        <v>1472</v>
      </c>
      <c r="CF43" s="23">
        <f t="shared" si="8"/>
        <v>1.2656921754084265</v>
      </c>
      <c r="CG43" s="24"/>
      <c r="CH43" s="24"/>
      <c r="CI43" s="24"/>
      <c r="CJ43" s="24">
        <v>60</v>
      </c>
      <c r="CK43" s="24">
        <v>100</v>
      </c>
      <c r="CL43" s="24"/>
      <c r="CM43" s="24"/>
      <c r="CN43" s="24">
        <v>50</v>
      </c>
      <c r="CO43" s="24">
        <v>189</v>
      </c>
      <c r="CP43" s="24">
        <v>100</v>
      </c>
      <c r="CQ43" s="24"/>
      <c r="CR43" s="24"/>
      <c r="CS43" s="24"/>
      <c r="CT43" s="24">
        <v>100</v>
      </c>
      <c r="CU43" s="24">
        <v>100</v>
      </c>
      <c r="CV43" s="24"/>
      <c r="CW43" s="24"/>
      <c r="CX43" s="24"/>
      <c r="CY43" s="24"/>
      <c r="CZ43" s="24"/>
      <c r="DA43" s="24">
        <v>50</v>
      </c>
      <c r="DB43" s="24"/>
      <c r="DC43" s="24"/>
      <c r="DD43" s="24"/>
      <c r="DE43" s="18">
        <v>5907.9016145502665</v>
      </c>
      <c r="DF43" s="18">
        <f t="shared" si="9"/>
        <v>250</v>
      </c>
      <c r="DG43" s="23">
        <f t="shared" si="10"/>
        <v>4.2316209089245473E-2</v>
      </c>
      <c r="DH43" s="24"/>
      <c r="DI43" s="24">
        <v>6.8</v>
      </c>
      <c r="DJ43" s="24">
        <v>39</v>
      </c>
      <c r="DK43" s="24">
        <v>508</v>
      </c>
      <c r="DL43" s="24">
        <v>147.80000000000001</v>
      </c>
      <c r="DM43" s="24"/>
      <c r="DN43" s="24">
        <v>42</v>
      </c>
      <c r="DO43" s="24">
        <v>150</v>
      </c>
      <c r="DP43" s="24">
        <v>310.8</v>
      </c>
      <c r="DQ43" s="24">
        <v>196</v>
      </c>
      <c r="DR43" s="24"/>
      <c r="DS43" s="24"/>
      <c r="DT43" s="24">
        <v>65.8</v>
      </c>
      <c r="DU43" s="24">
        <v>572.29999999999995</v>
      </c>
      <c r="DV43" s="24">
        <v>468</v>
      </c>
      <c r="DW43" s="24">
        <v>292</v>
      </c>
      <c r="DX43" s="24">
        <v>660.79999999999973</v>
      </c>
      <c r="DY43" s="24">
        <v>418.66400000000021</v>
      </c>
      <c r="DZ43" s="24">
        <v>885.5</v>
      </c>
      <c r="EA43" s="24">
        <v>809.79999999999973</v>
      </c>
      <c r="EB43" s="24">
        <v>225</v>
      </c>
      <c r="EC43" s="24">
        <v>85</v>
      </c>
      <c r="ED43" s="24">
        <v>72</v>
      </c>
      <c r="EE43" s="24">
        <v>30</v>
      </c>
      <c r="EF43" s="18">
        <v>3484.7431988386325</v>
      </c>
      <c r="EG43" s="18">
        <f t="shared" si="11"/>
        <v>4584.8639999999996</v>
      </c>
      <c r="EH43" s="23">
        <f t="shared" si="12"/>
        <v>1.3156963765731737</v>
      </c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>
        <v>507</v>
      </c>
      <c r="EW43" s="24">
        <v>1512</v>
      </c>
      <c r="EX43" s="24">
        <v>1724</v>
      </c>
      <c r="EY43" s="24">
        <v>1807</v>
      </c>
      <c r="EZ43" s="24">
        <v>880</v>
      </c>
      <c r="FA43" s="24">
        <v>962</v>
      </c>
      <c r="FB43" s="24">
        <v>541</v>
      </c>
      <c r="FC43" s="24">
        <v>735</v>
      </c>
      <c r="FD43" s="24">
        <v>515</v>
      </c>
      <c r="FE43" s="24">
        <v>489</v>
      </c>
      <c r="FF43" s="24">
        <v>198</v>
      </c>
      <c r="FG43" s="18">
        <v>8962.2597403108412</v>
      </c>
      <c r="FH43" s="18">
        <v>9726</v>
      </c>
      <c r="FI43" s="23">
        <v>1.0852173761773467</v>
      </c>
      <c r="FJ43" s="24"/>
      <c r="FK43" s="24"/>
      <c r="FL43" s="24"/>
      <c r="FM43" s="24">
        <v>666.22050000000002</v>
      </c>
      <c r="FN43" s="24">
        <v>3359.9519999999993</v>
      </c>
      <c r="FO43" s="24">
        <v>1820.47487372</v>
      </c>
      <c r="FP43" s="24">
        <v>3385.23</v>
      </c>
      <c r="FQ43" s="24">
        <v>2123.96</v>
      </c>
      <c r="FR43" s="24">
        <v>2034.8449999999998</v>
      </c>
      <c r="FS43" s="24">
        <v>885.29921999999988</v>
      </c>
      <c r="FT43" s="24">
        <v>1463.9025000000001</v>
      </c>
      <c r="FU43" s="24">
        <v>1243.8830000000003</v>
      </c>
      <c r="FV43" s="24">
        <v>517.98</v>
      </c>
      <c r="FW43" s="24">
        <v>541.69900000000007</v>
      </c>
      <c r="FX43" s="24">
        <v>712.2</v>
      </c>
      <c r="FY43" s="24">
        <v>3318.3020000000001</v>
      </c>
      <c r="FZ43" s="24">
        <v>83.331999999999994</v>
      </c>
      <c r="GA43" s="24">
        <v>52.052</v>
      </c>
      <c r="GB43" s="24">
        <v>318.10000000000002</v>
      </c>
      <c r="GC43" s="24">
        <v>320</v>
      </c>
      <c r="GD43" s="24">
        <v>1046.8400000000001</v>
      </c>
      <c r="GE43" s="24">
        <v>149.6</v>
      </c>
      <c r="GF43" s="24"/>
      <c r="GG43" s="24">
        <v>276.2</v>
      </c>
      <c r="GH43" s="26">
        <v>6727.0486402300612</v>
      </c>
      <c r="GI43" s="26">
        <f t="shared" si="52"/>
        <v>7336.3050000000012</v>
      </c>
      <c r="GJ43" s="23">
        <f t="shared" si="53"/>
        <v>1.0905681514069006</v>
      </c>
    </row>
    <row r="44" spans="1:192" s="14" customFormat="1" ht="32.25" customHeight="1">
      <c r="A44" s="9"/>
      <c r="B44" s="10" t="s">
        <v>5</v>
      </c>
      <c r="C44" s="11"/>
      <c r="D44" s="11"/>
      <c r="E44" s="11"/>
      <c r="F44" s="11"/>
      <c r="G44" s="12">
        <v>1485</v>
      </c>
      <c r="H44" s="12">
        <v>1325</v>
      </c>
      <c r="I44" s="12">
        <v>1397</v>
      </c>
      <c r="J44" s="12">
        <v>1494</v>
      </c>
      <c r="K44" s="12">
        <v>1442</v>
      </c>
      <c r="L44" s="12">
        <v>1612</v>
      </c>
      <c r="M44" s="12">
        <v>1371</v>
      </c>
      <c r="N44" s="12">
        <v>1348</v>
      </c>
      <c r="O44" s="12">
        <v>1318</v>
      </c>
      <c r="P44" s="12">
        <v>1410</v>
      </c>
      <c r="Q44" s="12">
        <v>1511</v>
      </c>
      <c r="R44" s="12">
        <v>1474</v>
      </c>
      <c r="S44" s="12">
        <v>1120</v>
      </c>
      <c r="T44" s="12">
        <v>1433</v>
      </c>
      <c r="U44" s="12">
        <v>1352</v>
      </c>
      <c r="V44" s="12">
        <v>1398</v>
      </c>
      <c r="W44" s="12">
        <v>1962</v>
      </c>
      <c r="X44" s="12">
        <v>1447</v>
      </c>
      <c r="Y44" s="12">
        <v>490</v>
      </c>
      <c r="Z44" s="12">
        <v>2566</v>
      </c>
      <c r="AA44" s="12">
        <v>582</v>
      </c>
      <c r="AB44" s="12">
        <v>12525</v>
      </c>
      <c r="AC44" s="12">
        <f t="shared" si="3"/>
        <v>16745</v>
      </c>
      <c r="AD44" s="13">
        <f t="shared" si="4"/>
        <v>1.3369261477045908</v>
      </c>
      <c r="AE44" s="12"/>
      <c r="AF44" s="12"/>
      <c r="AG44" s="12"/>
      <c r="AH44" s="12"/>
      <c r="AI44" s="12">
        <f t="shared" ref="AI44:AP44" si="54">+SUM(AI45:AI63)</f>
        <v>0</v>
      </c>
      <c r="AJ44" s="12">
        <f t="shared" si="54"/>
        <v>210</v>
      </c>
      <c r="AK44" s="12">
        <f t="shared" si="54"/>
        <v>3012</v>
      </c>
      <c r="AL44" s="12">
        <f t="shared" si="54"/>
        <v>6236</v>
      </c>
      <c r="AM44" s="12">
        <f t="shared" si="54"/>
        <v>954</v>
      </c>
      <c r="AN44" s="12">
        <f t="shared" si="54"/>
        <v>68</v>
      </c>
      <c r="AO44" s="12">
        <f t="shared" si="54"/>
        <v>378</v>
      </c>
      <c r="AP44" s="12">
        <f t="shared" si="54"/>
        <v>122</v>
      </c>
      <c r="AQ44" s="12">
        <f t="shared" ref="AQ44:BB44" si="55">+SUM(AQ45:AQ63)</f>
        <v>553</v>
      </c>
      <c r="AR44" s="12">
        <f t="shared" si="55"/>
        <v>1664</v>
      </c>
      <c r="AS44" s="12">
        <f t="shared" si="55"/>
        <v>1322</v>
      </c>
      <c r="AT44" s="12">
        <f t="shared" si="55"/>
        <v>1283</v>
      </c>
      <c r="AU44" s="12">
        <f t="shared" si="55"/>
        <v>1144</v>
      </c>
      <c r="AV44" s="12">
        <f t="shared" si="55"/>
        <v>1118</v>
      </c>
      <c r="AW44" s="12">
        <f t="shared" si="55"/>
        <v>935</v>
      </c>
      <c r="AX44" s="12">
        <f t="shared" si="55"/>
        <v>695</v>
      </c>
      <c r="AY44" s="12">
        <f t="shared" si="55"/>
        <v>1127</v>
      </c>
      <c r="AZ44" s="12">
        <f t="shared" si="55"/>
        <v>1068</v>
      </c>
      <c r="BA44" s="12">
        <f t="shared" si="55"/>
        <v>883</v>
      </c>
      <c r="BB44" s="12">
        <f t="shared" si="55"/>
        <v>343</v>
      </c>
      <c r="BC44" s="12">
        <v>10622</v>
      </c>
      <c r="BD44" s="12">
        <f t="shared" si="6"/>
        <v>12135</v>
      </c>
      <c r="BE44" s="13">
        <f t="shared" si="7"/>
        <v>1.1424402184146112</v>
      </c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>
        <v>2311</v>
      </c>
      <c r="BS44" s="12">
        <v>2819</v>
      </c>
      <c r="BT44" s="12">
        <v>1625</v>
      </c>
      <c r="BU44" s="12">
        <v>1938</v>
      </c>
      <c r="BV44" s="12">
        <v>3638</v>
      </c>
      <c r="BW44" s="12">
        <v>3372</v>
      </c>
      <c r="BX44" s="12">
        <v>2814</v>
      </c>
      <c r="BY44" s="12">
        <v>1755</v>
      </c>
      <c r="BZ44" s="12">
        <v>1888</v>
      </c>
      <c r="CA44" s="12">
        <v>2874</v>
      </c>
      <c r="CB44" s="12">
        <v>1409</v>
      </c>
      <c r="CC44" s="12">
        <v>729</v>
      </c>
      <c r="CD44" s="12">
        <f t="shared" ref="CD44:CE44" si="56">+SUM(CD45:CD63)</f>
        <v>17334</v>
      </c>
      <c r="CE44" s="12">
        <f t="shared" si="56"/>
        <v>25034</v>
      </c>
      <c r="CF44" s="13">
        <f t="shared" si="8"/>
        <v>1.4442136840890736</v>
      </c>
      <c r="CG44" s="12">
        <v>0</v>
      </c>
      <c r="CH44" s="12">
        <v>0</v>
      </c>
      <c r="CI44" s="12">
        <v>2393.98848</v>
      </c>
      <c r="CJ44" s="12">
        <v>5431.1220302499996</v>
      </c>
      <c r="CK44" s="12">
        <v>11735.4690923</v>
      </c>
      <c r="CL44" s="12">
        <v>8242.5995999999996</v>
      </c>
      <c r="CM44" s="12">
        <v>5528</v>
      </c>
      <c r="CN44" s="12">
        <v>7486.5810000000001</v>
      </c>
      <c r="CO44" s="12">
        <v>3819.8530000000001</v>
      </c>
      <c r="CP44" s="12">
        <v>4074.9990783499998</v>
      </c>
      <c r="CQ44" s="12">
        <v>5150.2249999999995</v>
      </c>
      <c r="CR44" s="12">
        <v>1684.242</v>
      </c>
      <c r="CS44" s="12">
        <v>837</v>
      </c>
      <c r="CT44" s="12">
        <v>3714.2</v>
      </c>
      <c r="CU44" s="12">
        <v>2729.9873459999999</v>
      </c>
      <c r="CV44" s="12">
        <v>6885.9167520000001</v>
      </c>
      <c r="CW44" s="12">
        <v>7041.9</v>
      </c>
      <c r="CX44" s="12">
        <v>8058</v>
      </c>
      <c r="CY44" s="12">
        <v>12541</v>
      </c>
      <c r="CZ44" s="12">
        <v>12547.159079999999</v>
      </c>
      <c r="DA44" s="12">
        <v>16896.8</v>
      </c>
      <c r="DB44" s="12">
        <v>14096.94</v>
      </c>
      <c r="DC44" s="12">
        <v>15359.986203</v>
      </c>
      <c r="DD44" s="12">
        <v>8707.6</v>
      </c>
      <c r="DE44" s="12">
        <v>104879.41206031543</v>
      </c>
      <c r="DF44" s="12">
        <f t="shared" si="9"/>
        <v>109416.48938099999</v>
      </c>
      <c r="DG44" s="13">
        <f t="shared" si="10"/>
        <v>1.0432599423619511</v>
      </c>
      <c r="DH44" s="12">
        <v>0</v>
      </c>
      <c r="DI44" s="12">
        <v>17</v>
      </c>
      <c r="DJ44" s="12">
        <v>578.65000000000009</v>
      </c>
      <c r="DK44" s="12">
        <v>6558.09</v>
      </c>
      <c r="DL44" s="12">
        <v>16475.644999999997</v>
      </c>
      <c r="DM44" s="12">
        <v>0</v>
      </c>
      <c r="DN44" s="12">
        <v>630</v>
      </c>
      <c r="DO44" s="12">
        <v>2182</v>
      </c>
      <c r="DP44" s="12">
        <v>1978.2</v>
      </c>
      <c r="DQ44" s="12">
        <v>2454</v>
      </c>
      <c r="DR44" s="12">
        <v>1556</v>
      </c>
      <c r="DS44" s="12">
        <v>1787.54</v>
      </c>
      <c r="DT44" s="12">
        <v>5792.8</v>
      </c>
      <c r="DU44" s="12">
        <v>13286.400000000001</v>
      </c>
      <c r="DV44" s="12">
        <v>15415.100000000002</v>
      </c>
      <c r="DW44" s="12">
        <v>6826.5889999999999</v>
      </c>
      <c r="DX44" s="12">
        <v>4235.5</v>
      </c>
      <c r="DY44" s="12">
        <v>4214</v>
      </c>
      <c r="DZ44" s="12">
        <v>5262</v>
      </c>
      <c r="EA44" s="12">
        <v>4134.5</v>
      </c>
      <c r="EB44" s="12">
        <v>2188.6999999999971</v>
      </c>
      <c r="EC44" s="12">
        <v>5443.0000000000073</v>
      </c>
      <c r="ED44" s="12">
        <v>2546.5999999999913</v>
      </c>
      <c r="EE44" s="12">
        <v>3177</v>
      </c>
      <c r="EF44" s="12">
        <v>44119.114984431922</v>
      </c>
      <c r="EG44" s="12">
        <f t="shared" si="11"/>
        <v>72522.188999999998</v>
      </c>
      <c r="EH44" s="13">
        <f t="shared" si="12"/>
        <v>1.6437815904872644</v>
      </c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>
        <f t="shared" ref="EU44:FF44" si="57">+SUM(EU45:EU63)</f>
        <v>4258</v>
      </c>
      <c r="EV44" s="12">
        <f t="shared" si="57"/>
        <v>4693</v>
      </c>
      <c r="EW44" s="12">
        <f t="shared" si="57"/>
        <v>6708.4650000000001</v>
      </c>
      <c r="EX44" s="12">
        <f t="shared" si="57"/>
        <v>24804.333018999998</v>
      </c>
      <c r="EY44" s="12">
        <f t="shared" si="57"/>
        <v>18052.35614</v>
      </c>
      <c r="EZ44" s="12">
        <f t="shared" si="57"/>
        <v>19182.035790000002</v>
      </c>
      <c r="FA44" s="12">
        <f t="shared" si="57"/>
        <v>35169.867480999994</v>
      </c>
      <c r="FB44" s="12">
        <f t="shared" si="57"/>
        <v>40643.218121999998</v>
      </c>
      <c r="FC44" s="12">
        <f t="shared" si="57"/>
        <v>31746.107372499999</v>
      </c>
      <c r="FD44" s="12">
        <f t="shared" si="57"/>
        <v>26790.447603000001</v>
      </c>
      <c r="FE44" s="12">
        <f t="shared" si="57"/>
        <v>12155.269438999998</v>
      </c>
      <c r="FF44" s="12">
        <f t="shared" si="57"/>
        <v>3806.8</v>
      </c>
      <c r="FG44" s="12">
        <v>192188.68101941625</v>
      </c>
      <c r="FH44" s="12">
        <v>215111.66164849998</v>
      </c>
      <c r="FI44" s="13">
        <v>1.1192733125982997</v>
      </c>
      <c r="FJ44" s="12">
        <f>+SUM(FJ45:FJ63)</f>
        <v>264</v>
      </c>
      <c r="FK44" s="12">
        <f t="shared" ref="FK44:GH44" si="58">+SUM(FK45:FK63)</f>
        <v>7227.4381799999992</v>
      </c>
      <c r="FL44" s="12">
        <f t="shared" si="58"/>
        <v>14688.026816720001</v>
      </c>
      <c r="FM44" s="12">
        <f t="shared" si="58"/>
        <v>33572.355800000005</v>
      </c>
      <c r="FN44" s="12">
        <f t="shared" si="58"/>
        <v>36462.371328000001</v>
      </c>
      <c r="FO44" s="12">
        <f t="shared" si="58"/>
        <v>14694.412224000002</v>
      </c>
      <c r="FP44" s="12">
        <f t="shared" si="58"/>
        <v>19908.451047999999</v>
      </c>
      <c r="FQ44" s="12">
        <f t="shared" si="58"/>
        <v>23521.8328</v>
      </c>
      <c r="FR44" s="12">
        <f t="shared" si="58"/>
        <v>23938.0687</v>
      </c>
      <c r="FS44" s="12">
        <f t="shared" si="58"/>
        <v>13575.412999999999</v>
      </c>
      <c r="FT44" s="12">
        <f t="shared" si="58"/>
        <v>14659.349999999999</v>
      </c>
      <c r="FU44" s="12">
        <f t="shared" si="58"/>
        <v>22278.703800000003</v>
      </c>
      <c r="FV44" s="12">
        <f t="shared" si="58"/>
        <v>6177.4320000000007</v>
      </c>
      <c r="FW44" s="12">
        <f t="shared" si="58"/>
        <v>23063.958763999995</v>
      </c>
      <c r="FX44" s="12">
        <f t="shared" si="58"/>
        <v>24587.216760000003</v>
      </c>
      <c r="FY44" s="12">
        <f t="shared" si="58"/>
        <v>58394.689999000009</v>
      </c>
      <c r="FZ44" s="12">
        <f t="shared" si="58"/>
        <v>14584.541999999999</v>
      </c>
      <c r="GA44" s="12">
        <f t="shared" si="58"/>
        <v>11625.105000000001</v>
      </c>
      <c r="GB44" s="12">
        <f t="shared" si="58"/>
        <v>13507.080999999998</v>
      </c>
      <c r="GC44" s="12">
        <f t="shared" si="58"/>
        <v>11098.523000000001</v>
      </c>
      <c r="GD44" s="12">
        <f t="shared" si="58"/>
        <v>25687.000500000002</v>
      </c>
      <c r="GE44" s="12">
        <f t="shared" si="58"/>
        <v>19725.516100000001</v>
      </c>
      <c r="GF44" s="12">
        <f t="shared" si="58"/>
        <v>10855.817599999998</v>
      </c>
      <c r="GG44" s="12">
        <f t="shared" si="58"/>
        <v>15498.792998999998</v>
      </c>
      <c r="GH44" s="12">
        <f t="shared" si="58"/>
        <v>230904.89526314806</v>
      </c>
      <c r="GI44" s="12">
        <f t="shared" si="52"/>
        <v>234805.67572200004</v>
      </c>
      <c r="GJ44" s="13">
        <f t="shared" si="53"/>
        <v>1.0168934506754674</v>
      </c>
    </row>
    <row r="45" spans="1:192" s="14" customFormat="1" ht="24.95" customHeight="1">
      <c r="A45" s="19">
        <f t="shared" ref="A45:A63" si="59">+A44+1</f>
        <v>1</v>
      </c>
      <c r="B45" s="20" t="s">
        <v>41</v>
      </c>
      <c r="C45" s="21">
        <v>11349</v>
      </c>
      <c r="D45" s="21"/>
      <c r="E45" s="21"/>
      <c r="F45" s="21"/>
      <c r="G45" s="24">
        <v>67</v>
      </c>
      <c r="H45" s="24">
        <v>76</v>
      </c>
      <c r="I45" s="24">
        <v>82</v>
      </c>
      <c r="J45" s="24">
        <v>85</v>
      </c>
      <c r="K45" s="24">
        <v>80</v>
      </c>
      <c r="L45" s="24">
        <v>184</v>
      </c>
      <c r="M45" s="24">
        <v>70</v>
      </c>
      <c r="N45" s="24">
        <v>70</v>
      </c>
      <c r="O45" s="24">
        <v>69</v>
      </c>
      <c r="P45" s="24">
        <v>114</v>
      </c>
      <c r="Q45" s="24">
        <v>40</v>
      </c>
      <c r="R45" s="24">
        <v>81</v>
      </c>
      <c r="S45" s="24">
        <v>50</v>
      </c>
      <c r="T45" s="24">
        <v>39</v>
      </c>
      <c r="U45" s="24">
        <v>64</v>
      </c>
      <c r="V45" s="24">
        <v>73</v>
      </c>
      <c r="W45" s="24">
        <v>65</v>
      </c>
      <c r="X45" s="24">
        <v>23</v>
      </c>
      <c r="Y45" s="24">
        <v>75</v>
      </c>
      <c r="Z45" s="24">
        <v>163</v>
      </c>
      <c r="AA45" s="24">
        <v>6</v>
      </c>
      <c r="AB45" s="22">
        <v>634</v>
      </c>
      <c r="AC45" s="22">
        <f t="shared" si="3"/>
        <v>793</v>
      </c>
      <c r="AD45" s="23">
        <f t="shared" si="4"/>
        <v>1.250788643533123</v>
      </c>
      <c r="AE45" s="24"/>
      <c r="AF45" s="24"/>
      <c r="AG45" s="24"/>
      <c r="AH45" s="24"/>
      <c r="AI45" s="24"/>
      <c r="AJ45" s="24"/>
      <c r="AK45" s="24">
        <v>179</v>
      </c>
      <c r="AL45" s="24">
        <v>368</v>
      </c>
      <c r="AM45" s="24">
        <v>50</v>
      </c>
      <c r="AN45" s="24">
        <v>1</v>
      </c>
      <c r="AO45" s="24">
        <v>5</v>
      </c>
      <c r="AP45" s="24"/>
      <c r="AQ45" s="24">
        <v>11</v>
      </c>
      <c r="AR45" s="24">
        <v>64</v>
      </c>
      <c r="AS45" s="24">
        <v>44</v>
      </c>
      <c r="AT45" s="24">
        <v>50</v>
      </c>
      <c r="AU45" s="24">
        <v>52</v>
      </c>
      <c r="AV45" s="24">
        <v>48</v>
      </c>
      <c r="AW45" s="24">
        <v>30</v>
      </c>
      <c r="AX45" s="24">
        <v>36</v>
      </c>
      <c r="AY45" s="24">
        <v>59</v>
      </c>
      <c r="AZ45" s="24">
        <v>46</v>
      </c>
      <c r="BA45" s="24">
        <v>42</v>
      </c>
      <c r="BB45" s="24">
        <v>1</v>
      </c>
      <c r="BC45" s="32">
        <v>446</v>
      </c>
      <c r="BD45" s="32">
        <f t="shared" si="6"/>
        <v>483</v>
      </c>
      <c r="BE45" s="23">
        <f t="shared" si="7"/>
        <v>1.0829596412556053</v>
      </c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>
        <v>65</v>
      </c>
      <c r="BS45" s="24">
        <v>145</v>
      </c>
      <c r="BT45" s="24">
        <v>69</v>
      </c>
      <c r="BU45" s="24">
        <v>69</v>
      </c>
      <c r="BV45" s="24">
        <v>263</v>
      </c>
      <c r="BW45" s="24">
        <v>239</v>
      </c>
      <c r="BX45" s="24">
        <v>224</v>
      </c>
      <c r="BY45" s="24">
        <v>83</v>
      </c>
      <c r="BZ45" s="24">
        <v>61</v>
      </c>
      <c r="CA45" s="24">
        <v>150</v>
      </c>
      <c r="CB45" s="24">
        <v>51</v>
      </c>
      <c r="CC45" s="24">
        <v>91</v>
      </c>
      <c r="CD45" s="25">
        <v>958</v>
      </c>
      <c r="CE45" s="25">
        <v>1368</v>
      </c>
      <c r="CF45" s="23">
        <f t="shared" si="8"/>
        <v>1.4279749478079331</v>
      </c>
      <c r="CG45" s="24"/>
      <c r="CH45" s="24"/>
      <c r="CI45" s="24">
        <v>198.8</v>
      </c>
      <c r="CJ45" s="24">
        <v>345</v>
      </c>
      <c r="CK45" s="24">
        <v>796</v>
      </c>
      <c r="CL45" s="24">
        <v>500</v>
      </c>
      <c r="CM45" s="24">
        <v>100</v>
      </c>
      <c r="CN45" s="24"/>
      <c r="CO45" s="24">
        <v>25</v>
      </c>
      <c r="CP45" s="24"/>
      <c r="CQ45" s="24"/>
      <c r="CR45" s="24"/>
      <c r="CS45" s="24">
        <v>100</v>
      </c>
      <c r="CT45" s="24">
        <v>150</v>
      </c>
      <c r="CU45" s="24">
        <v>625</v>
      </c>
      <c r="CV45" s="24">
        <v>180</v>
      </c>
      <c r="CW45" s="24">
        <v>150</v>
      </c>
      <c r="CX45" s="24">
        <v>200</v>
      </c>
      <c r="CY45" s="24">
        <v>315</v>
      </c>
      <c r="CZ45" s="24">
        <v>437.601</v>
      </c>
      <c r="DA45" s="24">
        <v>832</v>
      </c>
      <c r="DB45" s="24">
        <v>700</v>
      </c>
      <c r="DC45" s="24">
        <v>600</v>
      </c>
      <c r="DD45" s="24">
        <v>290</v>
      </c>
      <c r="DE45" s="18">
        <v>4124.6965149721318</v>
      </c>
      <c r="DF45" s="18">
        <f t="shared" si="9"/>
        <v>4579.6010000000006</v>
      </c>
      <c r="DG45" s="23">
        <f t="shared" si="10"/>
        <v>1.1102879892803319</v>
      </c>
      <c r="DH45" s="24"/>
      <c r="DI45" s="24"/>
      <c r="DJ45" s="24"/>
      <c r="DK45" s="24">
        <v>17</v>
      </c>
      <c r="DL45" s="24"/>
      <c r="DM45" s="24"/>
      <c r="DN45" s="24"/>
      <c r="DO45" s="24"/>
      <c r="DP45" s="24"/>
      <c r="DQ45" s="24">
        <v>17</v>
      </c>
      <c r="DR45" s="24"/>
      <c r="DS45" s="24"/>
      <c r="DT45" s="24">
        <v>69</v>
      </c>
      <c r="DU45" s="24">
        <v>883.5</v>
      </c>
      <c r="DV45" s="24">
        <v>877</v>
      </c>
      <c r="DW45" s="24">
        <v>505.08899999999994</v>
      </c>
      <c r="DX45" s="24">
        <v>291</v>
      </c>
      <c r="DY45" s="24">
        <v>261</v>
      </c>
      <c r="DZ45" s="24">
        <v>353</v>
      </c>
      <c r="EA45" s="24">
        <v>217</v>
      </c>
      <c r="EB45" s="24">
        <v>184</v>
      </c>
      <c r="EC45" s="24">
        <v>238</v>
      </c>
      <c r="ED45" s="24">
        <v>87.099999999999909</v>
      </c>
      <c r="EE45" s="24">
        <v>126</v>
      </c>
      <c r="EF45" s="18">
        <v>3690.7503170145756</v>
      </c>
      <c r="EG45" s="18">
        <f t="shared" si="11"/>
        <v>4091.6889999999999</v>
      </c>
      <c r="EH45" s="23">
        <f t="shared" si="12"/>
        <v>1.1086333803554993</v>
      </c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>
        <v>80</v>
      </c>
      <c r="EV45" s="24">
        <v>80</v>
      </c>
      <c r="EW45" s="24">
        <v>412.54399999999998</v>
      </c>
      <c r="EX45" s="24">
        <v>4962.2591199999997</v>
      </c>
      <c r="EY45" s="24">
        <v>384.97881000000001</v>
      </c>
      <c r="EZ45" s="24">
        <v>2607.8780459999998</v>
      </c>
      <c r="FA45" s="24">
        <v>5811.6046249999999</v>
      </c>
      <c r="FB45" s="24">
        <v>3854.7169450000006</v>
      </c>
      <c r="FC45" s="24">
        <v>928.14967999999999</v>
      </c>
      <c r="FD45" s="24">
        <v>2113.1458000000002</v>
      </c>
      <c r="FE45" s="24">
        <v>841.58439999999996</v>
      </c>
      <c r="FF45" s="24">
        <v>150</v>
      </c>
      <c r="FG45" s="18">
        <v>18902.589248924232</v>
      </c>
      <c r="FH45" s="18">
        <v>20549.684291000001</v>
      </c>
      <c r="FI45" s="23">
        <v>1.0871359484346572</v>
      </c>
      <c r="FJ45" s="24"/>
      <c r="FK45" s="24">
        <v>54.4</v>
      </c>
      <c r="FL45" s="24">
        <v>563.87699999999995</v>
      </c>
      <c r="FM45" s="24">
        <v>2309.7806740000001</v>
      </c>
      <c r="FN45" s="24">
        <v>3252.5657999999999</v>
      </c>
      <c r="FO45" s="24">
        <v>1043.354</v>
      </c>
      <c r="FP45" s="24">
        <v>2013.92</v>
      </c>
      <c r="FQ45" s="24">
        <v>2247.096</v>
      </c>
      <c r="FR45" s="24">
        <v>1906.12</v>
      </c>
      <c r="FS45" s="24">
        <v>1322.1200000000001</v>
      </c>
      <c r="FT45" s="24">
        <v>1132.5039999999999</v>
      </c>
      <c r="FU45" s="24">
        <v>1524.69</v>
      </c>
      <c r="FV45" s="24">
        <v>351.41</v>
      </c>
      <c r="FW45" s="24">
        <v>1014.6499999999999</v>
      </c>
      <c r="FX45" s="24">
        <v>1054.1199999999999</v>
      </c>
      <c r="FY45" s="24">
        <v>5023.7499989999997</v>
      </c>
      <c r="FZ45" s="24">
        <v>414</v>
      </c>
      <c r="GA45" s="24">
        <v>256.2</v>
      </c>
      <c r="GB45" s="24">
        <v>286</v>
      </c>
      <c r="GC45" s="24">
        <v>242</v>
      </c>
      <c r="GD45" s="24">
        <v>2435.25</v>
      </c>
      <c r="GE45" s="24">
        <v>899.15</v>
      </c>
      <c r="GF45" s="24">
        <v>880.75199999999995</v>
      </c>
      <c r="GG45" s="24">
        <v>967.26</v>
      </c>
      <c r="GH45" s="26">
        <v>14691.095086463549</v>
      </c>
      <c r="GI45" s="26">
        <f t="shared" si="52"/>
        <v>13824.541999000001</v>
      </c>
      <c r="GJ45" s="23">
        <f t="shared" si="53"/>
        <v>0.94101507870151935</v>
      </c>
    </row>
    <row r="46" spans="1:192" s="14" customFormat="1" ht="24.95" customHeight="1">
      <c r="A46" s="19">
        <f t="shared" si="59"/>
        <v>2</v>
      </c>
      <c r="B46" s="20" t="s">
        <v>49</v>
      </c>
      <c r="C46" s="21">
        <v>11385</v>
      </c>
      <c r="D46" s="21"/>
      <c r="E46" s="21"/>
      <c r="F46" s="21"/>
      <c r="G46" s="24">
        <v>84</v>
      </c>
      <c r="H46" s="24">
        <v>82</v>
      </c>
      <c r="I46" s="24">
        <v>86</v>
      </c>
      <c r="J46" s="24">
        <v>85</v>
      </c>
      <c r="K46" s="24">
        <v>80</v>
      </c>
      <c r="L46" s="24">
        <v>85</v>
      </c>
      <c r="M46" s="24">
        <v>75</v>
      </c>
      <c r="N46" s="24">
        <v>75</v>
      </c>
      <c r="O46" s="24">
        <v>74</v>
      </c>
      <c r="P46" s="24">
        <v>35</v>
      </c>
      <c r="Q46" s="24">
        <v>77</v>
      </c>
      <c r="R46" s="24">
        <v>17</v>
      </c>
      <c r="S46" s="24">
        <v>37</v>
      </c>
      <c r="T46" s="24">
        <v>17</v>
      </c>
      <c r="U46" s="24"/>
      <c r="V46" s="24">
        <v>23</v>
      </c>
      <c r="W46" s="24">
        <v>113</v>
      </c>
      <c r="X46" s="24">
        <v>25</v>
      </c>
      <c r="Y46" s="24">
        <v>14</v>
      </c>
      <c r="Z46" s="24">
        <v>206</v>
      </c>
      <c r="AA46" s="24">
        <v>40</v>
      </c>
      <c r="AB46" s="22">
        <v>434</v>
      </c>
      <c r="AC46" s="22">
        <f t="shared" si="3"/>
        <v>604</v>
      </c>
      <c r="AD46" s="23">
        <f t="shared" si="4"/>
        <v>1.3917050691244239</v>
      </c>
      <c r="AE46" s="24"/>
      <c r="AF46" s="24"/>
      <c r="AG46" s="24"/>
      <c r="AH46" s="24"/>
      <c r="AI46" s="24"/>
      <c r="AJ46" s="24"/>
      <c r="AK46" s="24">
        <v>38</v>
      </c>
      <c r="AL46" s="24">
        <v>127</v>
      </c>
      <c r="AM46" s="24">
        <v>1</v>
      </c>
      <c r="AN46" s="24">
        <v>1</v>
      </c>
      <c r="AO46" s="24">
        <v>1</v>
      </c>
      <c r="AP46" s="24"/>
      <c r="AQ46" s="24">
        <v>12</v>
      </c>
      <c r="AR46" s="24">
        <v>27</v>
      </c>
      <c r="AS46" s="24">
        <v>36</v>
      </c>
      <c r="AT46" s="24">
        <v>28</v>
      </c>
      <c r="AU46" s="24">
        <v>27</v>
      </c>
      <c r="AV46" s="24">
        <v>20</v>
      </c>
      <c r="AW46" s="24">
        <v>22</v>
      </c>
      <c r="AX46" s="24">
        <v>15</v>
      </c>
      <c r="AY46" s="24">
        <v>33</v>
      </c>
      <c r="AZ46" s="24">
        <v>20</v>
      </c>
      <c r="BA46" s="24"/>
      <c r="BB46" s="24"/>
      <c r="BC46" s="32">
        <v>223</v>
      </c>
      <c r="BD46" s="32">
        <f t="shared" si="6"/>
        <v>240</v>
      </c>
      <c r="BE46" s="23">
        <f t="shared" si="7"/>
        <v>1.0762331838565022</v>
      </c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>
        <v>23</v>
      </c>
      <c r="BS46" s="24">
        <v>22</v>
      </c>
      <c r="BT46" s="24">
        <v>28</v>
      </c>
      <c r="BU46" s="24">
        <v>39</v>
      </c>
      <c r="BV46" s="24">
        <v>125</v>
      </c>
      <c r="BW46" s="24">
        <v>98</v>
      </c>
      <c r="BX46" s="24">
        <v>54</v>
      </c>
      <c r="BY46" s="24">
        <v>84</v>
      </c>
      <c r="BZ46" s="24">
        <v>48</v>
      </c>
      <c r="CA46" s="24">
        <v>148</v>
      </c>
      <c r="CB46" s="24">
        <v>121</v>
      </c>
      <c r="CC46" s="24">
        <v>12</v>
      </c>
      <c r="CD46" s="25">
        <v>488</v>
      </c>
      <c r="CE46" s="25">
        <v>669</v>
      </c>
      <c r="CF46" s="23">
        <f t="shared" si="8"/>
        <v>1.3709016393442623</v>
      </c>
      <c r="CG46" s="24"/>
      <c r="CH46" s="24"/>
      <c r="CI46" s="24">
        <v>150</v>
      </c>
      <c r="CJ46" s="24">
        <v>399.12479999999999</v>
      </c>
      <c r="CK46" s="24">
        <v>550</v>
      </c>
      <c r="CL46" s="24">
        <v>400</v>
      </c>
      <c r="CM46" s="24">
        <v>500</v>
      </c>
      <c r="CN46" s="24">
        <v>125</v>
      </c>
      <c r="CO46" s="24">
        <v>100</v>
      </c>
      <c r="CP46" s="24">
        <v>300</v>
      </c>
      <c r="CQ46" s="24"/>
      <c r="CR46" s="24"/>
      <c r="CS46" s="24"/>
      <c r="CT46" s="24">
        <v>100</v>
      </c>
      <c r="CU46" s="24">
        <v>150</v>
      </c>
      <c r="CV46" s="24">
        <v>880</v>
      </c>
      <c r="CW46" s="24">
        <v>1320</v>
      </c>
      <c r="CX46" s="24">
        <v>1063</v>
      </c>
      <c r="CY46" s="24">
        <v>920</v>
      </c>
      <c r="CZ46" s="24">
        <v>1003</v>
      </c>
      <c r="DA46" s="24">
        <v>1561</v>
      </c>
      <c r="DB46" s="24">
        <v>1130</v>
      </c>
      <c r="DC46" s="24">
        <v>1000</v>
      </c>
      <c r="DD46" s="24">
        <v>850</v>
      </c>
      <c r="DE46" s="18">
        <v>9589.0666530608341</v>
      </c>
      <c r="DF46" s="18">
        <f t="shared" si="9"/>
        <v>9977</v>
      </c>
      <c r="DG46" s="23">
        <f t="shared" si="10"/>
        <v>1.0404557983560723</v>
      </c>
      <c r="DH46" s="24"/>
      <c r="DI46" s="24"/>
      <c r="DJ46" s="24"/>
      <c r="DK46" s="24"/>
      <c r="DL46" s="24"/>
      <c r="DM46" s="24"/>
      <c r="DN46" s="24">
        <v>68</v>
      </c>
      <c r="DO46" s="24">
        <v>68</v>
      </c>
      <c r="DP46" s="24">
        <v>68</v>
      </c>
      <c r="DQ46" s="24">
        <v>81</v>
      </c>
      <c r="DR46" s="24">
        <v>17</v>
      </c>
      <c r="DS46" s="24"/>
      <c r="DT46" s="24">
        <v>0</v>
      </c>
      <c r="DU46" s="24">
        <v>957</v>
      </c>
      <c r="DV46" s="24">
        <v>1142</v>
      </c>
      <c r="DW46" s="24">
        <v>251</v>
      </c>
      <c r="DX46" s="24">
        <v>13</v>
      </c>
      <c r="DY46" s="24">
        <v>34</v>
      </c>
      <c r="DZ46" s="24">
        <v>119</v>
      </c>
      <c r="EA46" s="24">
        <v>219</v>
      </c>
      <c r="EB46" s="24">
        <v>119</v>
      </c>
      <c r="EC46" s="24">
        <v>136</v>
      </c>
      <c r="ED46" s="24">
        <v>34</v>
      </c>
      <c r="EE46" s="24">
        <v>17</v>
      </c>
      <c r="EF46" s="18">
        <v>2111.3568227904334</v>
      </c>
      <c r="EG46" s="18">
        <f t="shared" si="11"/>
        <v>3041</v>
      </c>
      <c r="EH46" s="23">
        <f t="shared" si="12"/>
        <v>1.4403060473600677</v>
      </c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>
        <v>1225</v>
      </c>
      <c r="EV46" s="24">
        <v>1055</v>
      </c>
      <c r="EW46" s="24">
        <v>990</v>
      </c>
      <c r="EX46" s="24">
        <v>1615</v>
      </c>
      <c r="EY46" s="24">
        <v>1424.7054000000001</v>
      </c>
      <c r="EZ46" s="24">
        <v>645</v>
      </c>
      <c r="FA46" s="24">
        <v>732</v>
      </c>
      <c r="FB46" s="24">
        <v>1057.44822</v>
      </c>
      <c r="FC46" s="24">
        <v>1889.0938599999999</v>
      </c>
      <c r="FD46" s="24">
        <v>3718.8136560000003</v>
      </c>
      <c r="FE46" s="24">
        <v>1497.1640029999999</v>
      </c>
      <c r="FF46" s="24">
        <v>286</v>
      </c>
      <c r="FG46" s="18">
        <v>12606.457042946979</v>
      </c>
      <c r="FH46" s="18">
        <v>13657.886439</v>
      </c>
      <c r="FI46" s="23">
        <v>1.0834040359215178</v>
      </c>
      <c r="FJ46" s="24"/>
      <c r="FK46" s="24">
        <v>938.99668000000008</v>
      </c>
      <c r="FL46" s="24">
        <v>913.69600000000003</v>
      </c>
      <c r="FM46" s="24">
        <v>1775.7</v>
      </c>
      <c r="FN46" s="24">
        <v>1752.9459999999999</v>
      </c>
      <c r="FO46" s="24">
        <v>671.9</v>
      </c>
      <c r="FP46" s="24">
        <v>952.7650000000001</v>
      </c>
      <c r="FQ46" s="24">
        <v>1161.55</v>
      </c>
      <c r="FR46" s="24">
        <v>1569.94</v>
      </c>
      <c r="FS46" s="24">
        <v>1115</v>
      </c>
      <c r="FT46" s="24">
        <v>1067.2719999999999</v>
      </c>
      <c r="FU46" s="24">
        <v>1039.0999999999999</v>
      </c>
      <c r="FV46" s="24">
        <v>416.09899999999999</v>
      </c>
      <c r="FW46" s="24">
        <v>1445.6200000000001</v>
      </c>
      <c r="FX46" s="24">
        <v>1527</v>
      </c>
      <c r="FY46" s="24">
        <v>2985.9790000000003</v>
      </c>
      <c r="FZ46" s="24">
        <v>734</v>
      </c>
      <c r="GA46" s="24">
        <v>869</v>
      </c>
      <c r="GB46" s="24">
        <v>1648</v>
      </c>
      <c r="GC46" s="24">
        <v>2123.75</v>
      </c>
      <c r="GD46" s="24">
        <v>1582</v>
      </c>
      <c r="GE46" s="24">
        <v>1421.17</v>
      </c>
      <c r="GF46" s="24">
        <v>687.69999999999993</v>
      </c>
      <c r="GG46" s="24">
        <v>321</v>
      </c>
      <c r="GH46" s="26">
        <v>15502.895545546084</v>
      </c>
      <c r="GI46" s="26">
        <f t="shared" si="52"/>
        <v>15761.318000000001</v>
      </c>
      <c r="GJ46" s="23">
        <f t="shared" si="53"/>
        <v>1.0166693024341611</v>
      </c>
    </row>
    <row r="47" spans="1:192" s="14" customFormat="1" ht="24.95" customHeight="1">
      <c r="A47" s="19">
        <f t="shared" si="59"/>
        <v>3</v>
      </c>
      <c r="B47" s="20" t="s">
        <v>50</v>
      </c>
      <c r="C47" s="21">
        <v>11386</v>
      </c>
      <c r="D47" s="21"/>
      <c r="E47" s="21"/>
      <c r="F47" s="21"/>
      <c r="G47" s="24">
        <v>92</v>
      </c>
      <c r="H47" s="24">
        <v>72</v>
      </c>
      <c r="I47" s="24">
        <v>75</v>
      </c>
      <c r="J47" s="24">
        <v>80</v>
      </c>
      <c r="K47" s="24">
        <v>80</v>
      </c>
      <c r="L47" s="24">
        <v>107</v>
      </c>
      <c r="M47" s="24">
        <v>75</v>
      </c>
      <c r="N47" s="24">
        <v>75</v>
      </c>
      <c r="O47" s="24">
        <v>75</v>
      </c>
      <c r="P47" s="24">
        <v>31</v>
      </c>
      <c r="Q47" s="24">
        <v>93</v>
      </c>
      <c r="R47" s="24">
        <v>60</v>
      </c>
      <c r="S47" s="24">
        <v>46</v>
      </c>
      <c r="T47" s="24">
        <v>69</v>
      </c>
      <c r="U47" s="24">
        <v>62</v>
      </c>
      <c r="V47" s="24">
        <v>30</v>
      </c>
      <c r="W47" s="24">
        <v>85</v>
      </c>
      <c r="X47" s="24">
        <v>40</v>
      </c>
      <c r="Y47" s="24">
        <v>1</v>
      </c>
      <c r="Z47" s="24">
        <v>440</v>
      </c>
      <c r="AA47" s="24"/>
      <c r="AB47" s="22">
        <v>605</v>
      </c>
      <c r="AC47" s="22">
        <f t="shared" si="3"/>
        <v>957</v>
      </c>
      <c r="AD47" s="23">
        <f t="shared" si="4"/>
        <v>1.5818181818181818</v>
      </c>
      <c r="AE47" s="24"/>
      <c r="AF47" s="24"/>
      <c r="AG47" s="24"/>
      <c r="AH47" s="24"/>
      <c r="AI47" s="24"/>
      <c r="AJ47" s="24"/>
      <c r="AK47" s="24">
        <v>148</v>
      </c>
      <c r="AL47" s="24">
        <v>333</v>
      </c>
      <c r="AM47" s="24">
        <v>16</v>
      </c>
      <c r="AN47" s="24"/>
      <c r="AO47" s="24">
        <v>38</v>
      </c>
      <c r="AP47" s="24">
        <v>1</v>
      </c>
      <c r="AQ47" s="24">
        <v>49</v>
      </c>
      <c r="AR47" s="24">
        <v>77</v>
      </c>
      <c r="AS47" s="24">
        <v>57</v>
      </c>
      <c r="AT47" s="24">
        <v>80</v>
      </c>
      <c r="AU47" s="24">
        <v>41</v>
      </c>
      <c r="AV47" s="24">
        <v>86</v>
      </c>
      <c r="AW47" s="24">
        <v>46</v>
      </c>
      <c r="AX47" s="24">
        <v>49</v>
      </c>
      <c r="AY47" s="24">
        <v>57</v>
      </c>
      <c r="AZ47" s="24">
        <v>53</v>
      </c>
      <c r="BA47" s="24">
        <v>54</v>
      </c>
      <c r="BB47" s="24">
        <v>31</v>
      </c>
      <c r="BC47" s="32">
        <v>609</v>
      </c>
      <c r="BD47" s="32">
        <f t="shared" si="6"/>
        <v>680</v>
      </c>
      <c r="BE47" s="23">
        <f t="shared" si="7"/>
        <v>1.1165845648604269</v>
      </c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>
        <v>181</v>
      </c>
      <c r="BS47" s="24">
        <v>83</v>
      </c>
      <c r="BT47" s="24">
        <v>26</v>
      </c>
      <c r="BU47" s="24">
        <v>34</v>
      </c>
      <c r="BV47" s="24">
        <v>250</v>
      </c>
      <c r="BW47" s="24">
        <v>175</v>
      </c>
      <c r="BX47" s="24">
        <v>135</v>
      </c>
      <c r="BY47" s="24">
        <v>38</v>
      </c>
      <c r="BZ47" s="24">
        <v>70</v>
      </c>
      <c r="CA47" s="24">
        <v>159</v>
      </c>
      <c r="CB47" s="24">
        <v>61</v>
      </c>
      <c r="CC47" s="24">
        <v>97</v>
      </c>
      <c r="CD47" s="25">
        <v>733</v>
      </c>
      <c r="CE47" s="25">
        <v>1151</v>
      </c>
      <c r="CF47" s="23">
        <f t="shared" si="8"/>
        <v>1.5702592087312415</v>
      </c>
      <c r="CG47" s="24"/>
      <c r="CH47" s="24"/>
      <c r="CI47" s="24">
        <v>435.4</v>
      </c>
      <c r="CJ47" s="24">
        <v>702</v>
      </c>
      <c r="CK47" s="24">
        <v>1576.1233</v>
      </c>
      <c r="CL47" s="24">
        <v>980</v>
      </c>
      <c r="CM47" s="24">
        <v>630</v>
      </c>
      <c r="CN47" s="24">
        <v>1260</v>
      </c>
      <c r="CO47" s="24">
        <v>570</v>
      </c>
      <c r="CP47" s="24">
        <v>100</v>
      </c>
      <c r="CQ47" s="24">
        <v>50</v>
      </c>
      <c r="CR47" s="24">
        <v>9</v>
      </c>
      <c r="CS47" s="24"/>
      <c r="CT47" s="24">
        <v>200</v>
      </c>
      <c r="CU47" s="24"/>
      <c r="CV47" s="24">
        <v>300</v>
      </c>
      <c r="CW47" s="24">
        <v>400</v>
      </c>
      <c r="CX47" s="24">
        <v>100</v>
      </c>
      <c r="CY47" s="24">
        <v>100</v>
      </c>
      <c r="CZ47" s="24">
        <v>800</v>
      </c>
      <c r="DA47" s="24">
        <v>200</v>
      </c>
      <c r="DB47" s="24">
        <v>405</v>
      </c>
      <c r="DC47" s="24">
        <v>1980</v>
      </c>
      <c r="DD47" s="24">
        <v>1250</v>
      </c>
      <c r="DE47" s="18">
        <v>5131.9997399830172</v>
      </c>
      <c r="DF47" s="18">
        <f t="shared" si="9"/>
        <v>5735</v>
      </c>
      <c r="DG47" s="23">
        <f t="shared" si="10"/>
        <v>1.1174981080608897</v>
      </c>
      <c r="DH47" s="24"/>
      <c r="DI47" s="24"/>
      <c r="DJ47" s="24"/>
      <c r="DK47" s="24"/>
      <c r="DL47" s="24"/>
      <c r="DM47" s="24"/>
      <c r="DN47" s="24">
        <v>115</v>
      </c>
      <c r="DO47" s="24">
        <v>254.5</v>
      </c>
      <c r="DP47" s="24">
        <v>131</v>
      </c>
      <c r="DQ47" s="24">
        <v>219</v>
      </c>
      <c r="DR47" s="24">
        <v>96</v>
      </c>
      <c r="DS47" s="24">
        <v>90</v>
      </c>
      <c r="DT47" s="24">
        <v>636</v>
      </c>
      <c r="DU47" s="24">
        <v>615</v>
      </c>
      <c r="DV47" s="24">
        <v>650</v>
      </c>
      <c r="DW47" s="24">
        <v>345</v>
      </c>
      <c r="DX47" s="24">
        <v>340</v>
      </c>
      <c r="DY47" s="24">
        <v>345</v>
      </c>
      <c r="DZ47" s="24">
        <v>407</v>
      </c>
      <c r="EA47" s="24">
        <v>260</v>
      </c>
      <c r="EB47" s="24">
        <v>343</v>
      </c>
      <c r="EC47" s="24">
        <v>1062</v>
      </c>
      <c r="ED47" s="24">
        <v>607</v>
      </c>
      <c r="EE47" s="24">
        <v>579</v>
      </c>
      <c r="EF47" s="18">
        <v>2760.9894278337829</v>
      </c>
      <c r="EG47" s="18">
        <f t="shared" si="11"/>
        <v>6189</v>
      </c>
      <c r="EH47" s="23">
        <f t="shared" si="12"/>
        <v>2.2415877212741688</v>
      </c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>
        <v>100</v>
      </c>
      <c r="EV47" s="24">
        <v>150</v>
      </c>
      <c r="EW47" s="24">
        <v>180</v>
      </c>
      <c r="EX47" s="24">
        <v>315</v>
      </c>
      <c r="EY47" s="24">
        <v>200</v>
      </c>
      <c r="EZ47" s="24">
        <v>50</v>
      </c>
      <c r="FA47" s="24">
        <v>540.03363000000002</v>
      </c>
      <c r="FB47" s="24">
        <v>1323.9996749999998</v>
      </c>
      <c r="FC47" s="24">
        <v>922.99206400000003</v>
      </c>
      <c r="FD47" s="24">
        <v>1246.1941400000001</v>
      </c>
      <c r="FE47" s="24">
        <v>100</v>
      </c>
      <c r="FF47" s="24">
        <v>150</v>
      </c>
      <c r="FG47" s="18">
        <v>4549.4656911826933</v>
      </c>
      <c r="FH47" s="18">
        <v>4907.5459449999998</v>
      </c>
      <c r="FI47" s="23">
        <v>1.0787081996268926</v>
      </c>
      <c r="FJ47" s="24"/>
      <c r="FK47" s="24">
        <v>65.8</v>
      </c>
      <c r="FL47" s="24">
        <v>794.02800000000002</v>
      </c>
      <c r="FM47" s="24">
        <v>2318.6820000000007</v>
      </c>
      <c r="FN47" s="24">
        <v>2023.6619999999998</v>
      </c>
      <c r="FO47" s="24">
        <v>1257.7679700000001</v>
      </c>
      <c r="FP47" s="24">
        <v>1573.429848</v>
      </c>
      <c r="FQ47" s="24">
        <v>2224.375</v>
      </c>
      <c r="FR47" s="24">
        <v>1094.5996999999998</v>
      </c>
      <c r="FS47" s="24">
        <v>482.33500000000004</v>
      </c>
      <c r="FT47" s="24">
        <v>760.53499999999997</v>
      </c>
      <c r="FU47" s="24">
        <v>901.03599999999994</v>
      </c>
      <c r="FV47" s="24">
        <v>394.95000000000005</v>
      </c>
      <c r="FW47" s="24">
        <v>1366.694</v>
      </c>
      <c r="FX47" s="24">
        <v>1503.202</v>
      </c>
      <c r="FY47" s="24">
        <v>4175.3090000000002</v>
      </c>
      <c r="FZ47" s="24">
        <v>949.94</v>
      </c>
      <c r="GA47" s="24">
        <v>628.29999999999995</v>
      </c>
      <c r="GB47" s="24">
        <v>1174.2249999999999</v>
      </c>
      <c r="GC47" s="24">
        <v>391.56</v>
      </c>
      <c r="GD47" s="24">
        <v>1567.4</v>
      </c>
      <c r="GE47" s="24">
        <v>859.67399999999998</v>
      </c>
      <c r="GF47" s="24">
        <v>699.84500000000003</v>
      </c>
      <c r="GG47" s="24">
        <v>890.80000000000007</v>
      </c>
      <c r="GH47" s="26">
        <v>14053.513116576411</v>
      </c>
      <c r="GI47" s="26">
        <f t="shared" si="52"/>
        <v>14601.898999999999</v>
      </c>
      <c r="GJ47" s="23">
        <f t="shared" si="53"/>
        <v>1.0390212667021141</v>
      </c>
    </row>
    <row r="48" spans="1:192" s="14" customFormat="1" ht="24.95" customHeight="1">
      <c r="A48" s="19">
        <f t="shared" si="59"/>
        <v>4</v>
      </c>
      <c r="B48" s="20" t="s">
        <v>51</v>
      </c>
      <c r="C48" s="21">
        <v>11387</v>
      </c>
      <c r="D48" s="21"/>
      <c r="E48" s="21"/>
      <c r="F48" s="21"/>
      <c r="G48" s="24">
        <v>36</v>
      </c>
      <c r="H48" s="24">
        <v>37</v>
      </c>
      <c r="I48" s="24">
        <v>43</v>
      </c>
      <c r="J48" s="24">
        <v>50</v>
      </c>
      <c r="K48" s="24">
        <v>53</v>
      </c>
      <c r="L48" s="24">
        <v>69</v>
      </c>
      <c r="M48" s="24">
        <v>72</v>
      </c>
      <c r="N48" s="24">
        <v>75</v>
      </c>
      <c r="O48" s="24">
        <v>65</v>
      </c>
      <c r="P48" s="24">
        <v>44</v>
      </c>
      <c r="Q48" s="24">
        <v>97</v>
      </c>
      <c r="R48" s="24">
        <v>57</v>
      </c>
      <c r="S48" s="24">
        <v>52</v>
      </c>
      <c r="T48" s="24">
        <v>41</v>
      </c>
      <c r="U48" s="24">
        <v>60</v>
      </c>
      <c r="V48" s="24">
        <v>127</v>
      </c>
      <c r="W48" s="24">
        <v>184</v>
      </c>
      <c r="X48" s="24">
        <v>52</v>
      </c>
      <c r="Y48" s="24">
        <v>26</v>
      </c>
      <c r="Z48" s="24">
        <v>42</v>
      </c>
      <c r="AA48" s="24">
        <v>22</v>
      </c>
      <c r="AB48" s="22">
        <v>477</v>
      </c>
      <c r="AC48" s="22">
        <f t="shared" si="3"/>
        <v>804</v>
      </c>
      <c r="AD48" s="23">
        <f t="shared" si="4"/>
        <v>1.6855345911949686</v>
      </c>
      <c r="AE48" s="24"/>
      <c r="AF48" s="24"/>
      <c r="AG48" s="24"/>
      <c r="AH48" s="24"/>
      <c r="AI48" s="24"/>
      <c r="AJ48" s="24">
        <v>60</v>
      </c>
      <c r="AK48" s="24">
        <v>30</v>
      </c>
      <c r="AL48" s="24">
        <v>135</v>
      </c>
      <c r="AM48" s="24">
        <v>46</v>
      </c>
      <c r="AN48" s="24"/>
      <c r="AO48" s="24">
        <v>6</v>
      </c>
      <c r="AP48" s="24"/>
      <c r="AQ48" s="24">
        <v>18</v>
      </c>
      <c r="AR48" s="24">
        <v>67</v>
      </c>
      <c r="AS48" s="24">
        <v>48</v>
      </c>
      <c r="AT48" s="24">
        <v>41</v>
      </c>
      <c r="AU48" s="24">
        <v>55</v>
      </c>
      <c r="AV48" s="24">
        <v>35</v>
      </c>
      <c r="AW48" s="24">
        <v>31</v>
      </c>
      <c r="AX48" s="24">
        <v>16</v>
      </c>
      <c r="AY48" s="24">
        <v>27</v>
      </c>
      <c r="AZ48" s="24">
        <v>24</v>
      </c>
      <c r="BA48" s="24">
        <v>27</v>
      </c>
      <c r="BB48" s="24">
        <v>13</v>
      </c>
      <c r="BC48" s="32">
        <v>338</v>
      </c>
      <c r="BD48" s="32">
        <f t="shared" si="6"/>
        <v>402</v>
      </c>
      <c r="BE48" s="23">
        <f t="shared" si="7"/>
        <v>1.1893491124260356</v>
      </c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>
        <v>50</v>
      </c>
      <c r="BS48" s="24">
        <v>134</v>
      </c>
      <c r="BT48" s="24">
        <v>54</v>
      </c>
      <c r="BU48" s="24">
        <v>182</v>
      </c>
      <c r="BV48" s="24">
        <v>85</v>
      </c>
      <c r="BW48" s="24">
        <v>202</v>
      </c>
      <c r="BX48" s="24">
        <v>167</v>
      </c>
      <c r="BY48" s="24">
        <v>76</v>
      </c>
      <c r="BZ48" s="24">
        <v>75</v>
      </c>
      <c r="CA48" s="24">
        <v>81</v>
      </c>
      <c r="CB48" s="24">
        <v>22</v>
      </c>
      <c r="CC48" s="24">
        <v>52</v>
      </c>
      <c r="CD48" s="25">
        <v>728</v>
      </c>
      <c r="CE48" s="25">
        <v>1106</v>
      </c>
      <c r="CF48" s="23">
        <f t="shared" si="8"/>
        <v>1.5192307692307692</v>
      </c>
      <c r="CG48" s="24"/>
      <c r="CH48" s="24"/>
      <c r="CI48" s="24">
        <v>30</v>
      </c>
      <c r="CJ48" s="24"/>
      <c r="CK48" s="24"/>
      <c r="CL48" s="24">
        <v>100</v>
      </c>
      <c r="CM48" s="24"/>
      <c r="CN48" s="24">
        <v>500</v>
      </c>
      <c r="CO48" s="24">
        <v>234.99700000000001</v>
      </c>
      <c r="CP48" s="24">
        <v>100</v>
      </c>
      <c r="CQ48" s="24">
        <v>300</v>
      </c>
      <c r="CR48" s="24"/>
      <c r="CS48" s="24">
        <v>400</v>
      </c>
      <c r="CT48" s="24">
        <v>121</v>
      </c>
      <c r="CU48" s="24"/>
      <c r="CV48" s="24">
        <v>100</v>
      </c>
      <c r="CW48" s="24">
        <v>236</v>
      </c>
      <c r="CX48" s="24">
        <v>100</v>
      </c>
      <c r="CY48" s="24">
        <v>756</v>
      </c>
      <c r="CZ48" s="24">
        <v>700</v>
      </c>
      <c r="DA48" s="24">
        <v>1055</v>
      </c>
      <c r="DB48" s="24">
        <v>955</v>
      </c>
      <c r="DC48" s="24">
        <v>1220</v>
      </c>
      <c r="DD48" s="24">
        <v>250</v>
      </c>
      <c r="DE48" s="18">
        <v>5686.0690621692129</v>
      </c>
      <c r="DF48" s="18">
        <f t="shared" si="9"/>
        <v>5893</v>
      </c>
      <c r="DG48" s="23">
        <f t="shared" si="10"/>
        <v>1.0363926177414109</v>
      </c>
      <c r="DH48" s="24"/>
      <c r="DI48" s="24"/>
      <c r="DJ48" s="24"/>
      <c r="DK48" s="24"/>
      <c r="DL48" s="24"/>
      <c r="DM48" s="24"/>
      <c r="DN48" s="24"/>
      <c r="DO48" s="24">
        <v>399.5</v>
      </c>
      <c r="DP48" s="24">
        <v>680</v>
      </c>
      <c r="DQ48" s="24">
        <v>580</v>
      </c>
      <c r="DR48" s="24">
        <v>278</v>
      </c>
      <c r="DS48" s="24">
        <v>537</v>
      </c>
      <c r="DT48" s="24">
        <v>200</v>
      </c>
      <c r="DU48" s="24">
        <v>179</v>
      </c>
      <c r="DV48" s="24">
        <v>321</v>
      </c>
      <c r="DW48" s="24">
        <v>136</v>
      </c>
      <c r="DX48" s="24">
        <v>170</v>
      </c>
      <c r="DY48" s="24">
        <v>170</v>
      </c>
      <c r="DZ48" s="24">
        <v>146</v>
      </c>
      <c r="EA48" s="24">
        <v>287</v>
      </c>
      <c r="EB48" s="24">
        <v>68</v>
      </c>
      <c r="EC48" s="24">
        <v>170</v>
      </c>
      <c r="ED48" s="24">
        <v>102</v>
      </c>
      <c r="EE48" s="24">
        <v>221</v>
      </c>
      <c r="EF48" s="18">
        <v>1684.133922652104</v>
      </c>
      <c r="EG48" s="18">
        <f t="shared" si="11"/>
        <v>2170</v>
      </c>
      <c r="EH48" s="23">
        <f t="shared" si="12"/>
        <v>1.2884961052163679</v>
      </c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>
        <v>406</v>
      </c>
      <c r="EV48" s="24">
        <v>480</v>
      </c>
      <c r="EW48" s="24">
        <v>548</v>
      </c>
      <c r="EX48" s="24">
        <v>771</v>
      </c>
      <c r="EY48" s="24">
        <v>1084.8767499999999</v>
      </c>
      <c r="EZ48" s="24">
        <v>2030.8802999999998</v>
      </c>
      <c r="FA48" s="24">
        <v>945.71972000000005</v>
      </c>
      <c r="FB48" s="24">
        <v>340</v>
      </c>
      <c r="FC48" s="24">
        <v>1954.48903</v>
      </c>
      <c r="FD48" s="24">
        <v>380</v>
      </c>
      <c r="FE48" s="24">
        <v>182</v>
      </c>
      <c r="FF48" s="24">
        <v>357</v>
      </c>
      <c r="FG48" s="18">
        <v>8267.6139738550683</v>
      </c>
      <c r="FH48" s="18">
        <v>8828.9657999999999</v>
      </c>
      <c r="FI48" s="23">
        <v>1.067897682199497</v>
      </c>
      <c r="FJ48" s="24">
        <v>264</v>
      </c>
      <c r="FK48" s="24">
        <v>208.47</v>
      </c>
      <c r="FL48" s="24">
        <v>412.6</v>
      </c>
      <c r="FM48" s="24">
        <v>1552</v>
      </c>
      <c r="FN48" s="24">
        <v>1366.7739999999999</v>
      </c>
      <c r="FO48" s="24">
        <v>385.9</v>
      </c>
      <c r="FP48" s="24">
        <v>372.5</v>
      </c>
      <c r="FQ48" s="24">
        <v>1169</v>
      </c>
      <c r="FR48" s="24">
        <v>1545.7</v>
      </c>
      <c r="FS48" s="24">
        <v>907</v>
      </c>
      <c r="FT48" s="24">
        <v>698.85</v>
      </c>
      <c r="FU48" s="24">
        <v>1214.4389999999999</v>
      </c>
      <c r="FV48" s="24">
        <v>377.9</v>
      </c>
      <c r="FW48" s="24">
        <v>1037.98</v>
      </c>
      <c r="FX48" s="24">
        <v>1151.998</v>
      </c>
      <c r="FY48" s="24">
        <v>1862</v>
      </c>
      <c r="FZ48" s="24">
        <v>589</v>
      </c>
      <c r="GA48" s="24">
        <v>441.5</v>
      </c>
      <c r="GB48" s="24">
        <v>659.8</v>
      </c>
      <c r="GC48" s="24">
        <v>256</v>
      </c>
      <c r="GD48" s="24">
        <v>1074</v>
      </c>
      <c r="GE48" s="24">
        <v>1190.0520000000001</v>
      </c>
      <c r="GF48" s="24">
        <v>297</v>
      </c>
      <c r="GG48" s="24">
        <v>722.3</v>
      </c>
      <c r="GH48" s="26">
        <v>8804.7902547496597</v>
      </c>
      <c r="GI48" s="26">
        <f t="shared" si="52"/>
        <v>9659.5300000000007</v>
      </c>
      <c r="GJ48" s="23">
        <f t="shared" si="53"/>
        <v>1.0970766730972676</v>
      </c>
    </row>
    <row r="49" spans="1:192" s="14" customFormat="1" ht="24.95" customHeight="1">
      <c r="A49" s="19">
        <f t="shared" si="59"/>
        <v>5</v>
      </c>
      <c r="B49" s="20" t="s">
        <v>52</v>
      </c>
      <c r="C49" s="21">
        <v>11388</v>
      </c>
      <c r="D49" s="21"/>
      <c r="E49" s="21"/>
      <c r="F49" s="21"/>
      <c r="G49" s="24">
        <v>50</v>
      </c>
      <c r="H49" s="24">
        <v>44</v>
      </c>
      <c r="I49" s="24">
        <v>48</v>
      </c>
      <c r="J49" s="24">
        <v>60</v>
      </c>
      <c r="K49" s="24">
        <v>60</v>
      </c>
      <c r="L49" s="24">
        <v>60</v>
      </c>
      <c r="M49" s="24">
        <v>60</v>
      </c>
      <c r="N49" s="24">
        <v>55</v>
      </c>
      <c r="O49" s="24">
        <v>53</v>
      </c>
      <c r="P49" s="24">
        <v>27</v>
      </c>
      <c r="Q49" s="24"/>
      <c r="R49" s="24">
        <v>53</v>
      </c>
      <c r="S49" s="24">
        <v>5</v>
      </c>
      <c r="T49" s="24">
        <v>14</v>
      </c>
      <c r="U49" s="24">
        <v>2</v>
      </c>
      <c r="V49" s="24">
        <v>37</v>
      </c>
      <c r="W49" s="24">
        <v>89</v>
      </c>
      <c r="X49" s="24">
        <v>26</v>
      </c>
      <c r="Y49" s="24">
        <v>3</v>
      </c>
      <c r="Z49" s="24">
        <v>97</v>
      </c>
      <c r="AA49" s="24">
        <v>38</v>
      </c>
      <c r="AB49" s="22">
        <v>381</v>
      </c>
      <c r="AC49" s="22">
        <f t="shared" si="3"/>
        <v>391</v>
      </c>
      <c r="AD49" s="23">
        <f t="shared" si="4"/>
        <v>1.026246719160105</v>
      </c>
      <c r="AE49" s="24"/>
      <c r="AF49" s="24"/>
      <c r="AG49" s="24"/>
      <c r="AH49" s="24"/>
      <c r="AI49" s="24"/>
      <c r="AJ49" s="24"/>
      <c r="AK49" s="24">
        <v>45</v>
      </c>
      <c r="AL49" s="24">
        <v>97</v>
      </c>
      <c r="AM49" s="24">
        <v>12</v>
      </c>
      <c r="AN49" s="24"/>
      <c r="AO49" s="24">
        <v>14</v>
      </c>
      <c r="AP49" s="24"/>
      <c r="AQ49" s="24">
        <v>18</v>
      </c>
      <c r="AR49" s="24">
        <v>27</v>
      </c>
      <c r="AS49" s="24">
        <v>12</v>
      </c>
      <c r="AT49" s="24">
        <v>19</v>
      </c>
      <c r="AU49" s="24">
        <v>22</v>
      </c>
      <c r="AV49" s="24">
        <v>15</v>
      </c>
      <c r="AW49" s="24">
        <v>20</v>
      </c>
      <c r="AX49" s="24">
        <v>8</v>
      </c>
      <c r="AY49" s="24">
        <v>29</v>
      </c>
      <c r="AZ49" s="24">
        <v>21</v>
      </c>
      <c r="BA49" s="24">
        <v>9</v>
      </c>
      <c r="BB49" s="24">
        <v>8</v>
      </c>
      <c r="BC49" s="32">
        <v>185</v>
      </c>
      <c r="BD49" s="32">
        <f t="shared" si="6"/>
        <v>208</v>
      </c>
      <c r="BE49" s="23">
        <f t="shared" si="7"/>
        <v>1.1243243243243244</v>
      </c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>
        <v>41</v>
      </c>
      <c r="BS49" s="24">
        <v>62</v>
      </c>
      <c r="BT49" s="24">
        <v>27</v>
      </c>
      <c r="BU49" s="24">
        <v>20</v>
      </c>
      <c r="BV49" s="24">
        <v>149</v>
      </c>
      <c r="BW49" s="24">
        <v>146</v>
      </c>
      <c r="BX49" s="24">
        <v>153</v>
      </c>
      <c r="BY49" s="24">
        <v>95</v>
      </c>
      <c r="BZ49" s="24">
        <v>32</v>
      </c>
      <c r="CA49" s="24">
        <v>33</v>
      </c>
      <c r="CB49" s="24">
        <v>13</v>
      </c>
      <c r="CC49" s="24">
        <v>0</v>
      </c>
      <c r="CD49" s="25">
        <v>437</v>
      </c>
      <c r="CE49" s="25">
        <v>758</v>
      </c>
      <c r="CF49" s="23">
        <f t="shared" si="8"/>
        <v>1.7345537757437071</v>
      </c>
      <c r="CG49" s="24"/>
      <c r="CH49" s="24"/>
      <c r="CI49" s="24">
        <v>30</v>
      </c>
      <c r="CJ49" s="24">
        <v>800</v>
      </c>
      <c r="CK49" s="24">
        <v>850</v>
      </c>
      <c r="CL49" s="24">
        <v>500</v>
      </c>
      <c r="CM49" s="24">
        <v>335</v>
      </c>
      <c r="CN49" s="24"/>
      <c r="CO49" s="24">
        <v>425</v>
      </c>
      <c r="CP49" s="24">
        <v>300</v>
      </c>
      <c r="CQ49" s="24">
        <v>781.42499999999995</v>
      </c>
      <c r="CR49" s="24">
        <v>225.24199999999999</v>
      </c>
      <c r="CS49" s="24"/>
      <c r="CT49" s="24">
        <v>200</v>
      </c>
      <c r="CU49" s="24"/>
      <c r="CV49" s="24">
        <v>690</v>
      </c>
      <c r="CW49" s="24">
        <v>541.9</v>
      </c>
      <c r="CX49" s="24">
        <v>200</v>
      </c>
      <c r="CY49" s="24">
        <v>100</v>
      </c>
      <c r="CZ49" s="24">
        <v>100</v>
      </c>
      <c r="DA49" s="24">
        <v>740</v>
      </c>
      <c r="DB49" s="24">
        <v>715</v>
      </c>
      <c r="DC49" s="24">
        <v>890</v>
      </c>
      <c r="DD49" s="24">
        <v>200</v>
      </c>
      <c r="DE49" s="18">
        <v>4224.0760988881239</v>
      </c>
      <c r="DF49" s="18">
        <f t="shared" si="9"/>
        <v>4376.8999999999996</v>
      </c>
      <c r="DG49" s="23">
        <f t="shared" si="10"/>
        <v>1.0361792490320196</v>
      </c>
      <c r="DH49" s="24"/>
      <c r="DI49" s="24"/>
      <c r="DJ49" s="24"/>
      <c r="DK49" s="24"/>
      <c r="DL49" s="24"/>
      <c r="DM49" s="24"/>
      <c r="DN49" s="24"/>
      <c r="DO49" s="24"/>
      <c r="DP49" s="24">
        <v>68</v>
      </c>
      <c r="DQ49" s="24">
        <v>68</v>
      </c>
      <c r="DR49" s="24"/>
      <c r="DS49" s="24">
        <v>34</v>
      </c>
      <c r="DT49" s="24">
        <v>251</v>
      </c>
      <c r="DU49" s="24">
        <v>591.9</v>
      </c>
      <c r="DV49" s="24">
        <v>485.1</v>
      </c>
      <c r="DW49" s="24">
        <v>143</v>
      </c>
      <c r="DX49" s="24">
        <v>178.5</v>
      </c>
      <c r="DY49" s="24">
        <v>136</v>
      </c>
      <c r="DZ49" s="24">
        <v>140</v>
      </c>
      <c r="EA49" s="24">
        <v>83</v>
      </c>
      <c r="EB49" s="24">
        <v>99</v>
      </c>
      <c r="EC49" s="24">
        <v>266</v>
      </c>
      <c r="ED49" s="24">
        <v>95</v>
      </c>
      <c r="EE49" s="24">
        <v>112</v>
      </c>
      <c r="EF49" s="18">
        <v>1882.0402660961893</v>
      </c>
      <c r="EG49" s="18">
        <f t="shared" si="11"/>
        <v>2580.5</v>
      </c>
      <c r="EH49" s="23">
        <f t="shared" si="12"/>
        <v>1.3711183796043782</v>
      </c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>
        <v>100</v>
      </c>
      <c r="EV49" s="24"/>
      <c r="EW49" s="24">
        <v>135</v>
      </c>
      <c r="EX49" s="24">
        <v>250</v>
      </c>
      <c r="EY49" s="24">
        <v>370</v>
      </c>
      <c r="EZ49" s="24">
        <v>214.50369000000001</v>
      </c>
      <c r="FA49" s="24">
        <v>90</v>
      </c>
      <c r="FB49" s="24">
        <v>84</v>
      </c>
      <c r="FC49" s="24">
        <v>1861.81935</v>
      </c>
      <c r="FD49" s="24">
        <v>50</v>
      </c>
      <c r="FE49" s="24"/>
      <c r="FF49" s="24"/>
      <c r="FG49" s="18">
        <v>3005.443552873106</v>
      </c>
      <c r="FH49" s="18">
        <v>3241.9966039999999</v>
      </c>
      <c r="FI49" s="23">
        <v>1.0787081996268926</v>
      </c>
      <c r="FJ49" s="24"/>
      <c r="FK49" s="24">
        <v>290</v>
      </c>
      <c r="FL49" s="24">
        <v>257.5</v>
      </c>
      <c r="FM49" s="24">
        <v>944.05</v>
      </c>
      <c r="FN49" s="24">
        <v>1086.7550000000001</v>
      </c>
      <c r="FO49" s="24">
        <v>301.45</v>
      </c>
      <c r="FP49" s="24">
        <v>643.4</v>
      </c>
      <c r="FQ49" s="24">
        <v>857.09799999999996</v>
      </c>
      <c r="FR49" s="24">
        <v>847.58</v>
      </c>
      <c r="FS49" s="24">
        <v>631.5</v>
      </c>
      <c r="FT49" s="24">
        <v>663.66000000000008</v>
      </c>
      <c r="FU49" s="24">
        <v>1234.6000000000001</v>
      </c>
      <c r="FV49" s="24">
        <v>370</v>
      </c>
      <c r="FW49" s="24">
        <v>689.1</v>
      </c>
      <c r="FX49" s="24">
        <v>769.5</v>
      </c>
      <c r="FY49" s="24">
        <v>1070.4000000000001</v>
      </c>
      <c r="FZ49" s="24">
        <v>431.1</v>
      </c>
      <c r="GA49" s="24">
        <v>299.55</v>
      </c>
      <c r="GB49" s="24">
        <v>691.50000000000011</v>
      </c>
      <c r="GC49" s="24">
        <v>632</v>
      </c>
      <c r="GD49" s="24">
        <v>673.2</v>
      </c>
      <c r="GE49" s="24">
        <v>1097.1999999999998</v>
      </c>
      <c r="GF49" s="24">
        <v>453</v>
      </c>
      <c r="GG49" s="24">
        <v>578.6</v>
      </c>
      <c r="GH49" s="26">
        <v>6971.3733195487921</v>
      </c>
      <c r="GI49" s="26">
        <f t="shared" si="52"/>
        <v>7755.1500000000005</v>
      </c>
      <c r="GJ49" s="23">
        <f t="shared" si="53"/>
        <v>1.112427873895862</v>
      </c>
    </row>
    <row r="50" spans="1:192" s="14" customFormat="1" ht="24.95" customHeight="1">
      <c r="A50" s="19">
        <f t="shared" si="59"/>
        <v>6</v>
      </c>
      <c r="B50" s="20" t="s">
        <v>53</v>
      </c>
      <c r="C50" s="21">
        <v>11487</v>
      </c>
      <c r="D50" s="21"/>
      <c r="E50" s="21"/>
      <c r="F50" s="21"/>
      <c r="G50" s="24">
        <v>128</v>
      </c>
      <c r="H50" s="24">
        <v>99</v>
      </c>
      <c r="I50" s="24">
        <v>102</v>
      </c>
      <c r="J50" s="24">
        <v>92</v>
      </c>
      <c r="K50" s="24">
        <v>81</v>
      </c>
      <c r="L50" s="24">
        <v>81</v>
      </c>
      <c r="M50" s="24">
        <v>75</v>
      </c>
      <c r="N50" s="24">
        <v>72</v>
      </c>
      <c r="O50" s="24">
        <v>69</v>
      </c>
      <c r="P50" s="24">
        <v>33</v>
      </c>
      <c r="Q50" s="24">
        <v>51</v>
      </c>
      <c r="R50" s="24">
        <v>100</v>
      </c>
      <c r="S50" s="24">
        <v>42</v>
      </c>
      <c r="T50" s="24">
        <v>28</v>
      </c>
      <c r="U50" s="24">
        <v>114</v>
      </c>
      <c r="V50" s="24">
        <v>33</v>
      </c>
      <c r="W50" s="24">
        <v>20</v>
      </c>
      <c r="X50" s="24">
        <v>72</v>
      </c>
      <c r="Y50" s="24">
        <v>93</v>
      </c>
      <c r="Z50" s="24">
        <v>187</v>
      </c>
      <c r="AA50" s="24">
        <v>68</v>
      </c>
      <c r="AB50" s="22">
        <v>649</v>
      </c>
      <c r="AC50" s="22">
        <f t="shared" si="3"/>
        <v>841</v>
      </c>
      <c r="AD50" s="23">
        <f t="shared" si="4"/>
        <v>1.2958397534668722</v>
      </c>
      <c r="AE50" s="24"/>
      <c r="AF50" s="24"/>
      <c r="AG50" s="24"/>
      <c r="AH50" s="24"/>
      <c r="AI50" s="24"/>
      <c r="AJ50" s="24"/>
      <c r="AK50" s="24">
        <v>217</v>
      </c>
      <c r="AL50" s="24">
        <v>346</v>
      </c>
      <c r="AM50" s="24">
        <v>121</v>
      </c>
      <c r="AN50" s="24"/>
      <c r="AO50" s="24">
        <v>7</v>
      </c>
      <c r="AP50" s="24"/>
      <c r="AQ50" s="24">
        <v>40</v>
      </c>
      <c r="AR50" s="24">
        <v>146</v>
      </c>
      <c r="AS50" s="24">
        <v>96</v>
      </c>
      <c r="AT50" s="24">
        <v>86</v>
      </c>
      <c r="AU50" s="24">
        <v>74</v>
      </c>
      <c r="AV50" s="24">
        <v>66</v>
      </c>
      <c r="AW50" s="24">
        <v>77</v>
      </c>
      <c r="AX50" s="24">
        <v>48</v>
      </c>
      <c r="AY50" s="24">
        <v>88</v>
      </c>
      <c r="AZ50" s="24">
        <v>91</v>
      </c>
      <c r="BA50" s="24">
        <v>73</v>
      </c>
      <c r="BB50" s="24">
        <v>44</v>
      </c>
      <c r="BC50" s="32">
        <v>785</v>
      </c>
      <c r="BD50" s="32">
        <f t="shared" si="6"/>
        <v>929</v>
      </c>
      <c r="BE50" s="23">
        <f t="shared" si="7"/>
        <v>1.1834394904458598</v>
      </c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>
        <v>68</v>
      </c>
      <c r="BS50" s="24">
        <v>204</v>
      </c>
      <c r="BT50" s="24">
        <v>113</v>
      </c>
      <c r="BU50" s="24">
        <v>171</v>
      </c>
      <c r="BV50" s="24">
        <v>332</v>
      </c>
      <c r="BW50" s="24">
        <v>373</v>
      </c>
      <c r="BX50" s="24">
        <v>198</v>
      </c>
      <c r="BY50" s="24">
        <v>126</v>
      </c>
      <c r="BZ50" s="24">
        <v>100</v>
      </c>
      <c r="CA50" s="24">
        <v>448</v>
      </c>
      <c r="CB50" s="24">
        <v>217</v>
      </c>
      <c r="CC50" s="24">
        <v>23</v>
      </c>
      <c r="CD50" s="25">
        <v>1202</v>
      </c>
      <c r="CE50" s="25">
        <v>2133</v>
      </c>
      <c r="CF50" s="23">
        <f t="shared" si="8"/>
        <v>1.7745424292845258</v>
      </c>
      <c r="CG50" s="24"/>
      <c r="CH50" s="24"/>
      <c r="CI50" s="24">
        <v>200</v>
      </c>
      <c r="CJ50" s="24">
        <v>300</v>
      </c>
      <c r="CK50" s="24">
        <v>721.3</v>
      </c>
      <c r="CL50" s="24">
        <v>770</v>
      </c>
      <c r="CM50" s="24">
        <v>700</v>
      </c>
      <c r="CN50" s="24">
        <v>200</v>
      </c>
      <c r="CO50" s="24">
        <v>300</v>
      </c>
      <c r="CP50" s="24">
        <v>550</v>
      </c>
      <c r="CQ50" s="24">
        <v>50</v>
      </c>
      <c r="CR50" s="24">
        <v>1400</v>
      </c>
      <c r="CS50" s="24"/>
      <c r="CT50" s="24">
        <v>400</v>
      </c>
      <c r="CU50" s="24">
        <v>269.987346</v>
      </c>
      <c r="CV50" s="24">
        <v>699.99875199999997</v>
      </c>
      <c r="CW50" s="24"/>
      <c r="CX50" s="24">
        <v>640</v>
      </c>
      <c r="CY50" s="24">
        <v>300</v>
      </c>
      <c r="CZ50" s="24">
        <v>677</v>
      </c>
      <c r="DA50" s="24">
        <v>1000</v>
      </c>
      <c r="DB50" s="24">
        <v>800</v>
      </c>
      <c r="DC50" s="24">
        <v>450</v>
      </c>
      <c r="DD50" s="24">
        <v>161</v>
      </c>
      <c r="DE50" s="18">
        <v>5089.712623052812</v>
      </c>
      <c r="DF50" s="18">
        <f t="shared" si="9"/>
        <v>5397.9860979999994</v>
      </c>
      <c r="DG50" s="23">
        <f t="shared" si="10"/>
        <v>1.0605679530020862</v>
      </c>
      <c r="DH50" s="24"/>
      <c r="DI50" s="24"/>
      <c r="DJ50" s="24"/>
      <c r="DK50" s="24"/>
      <c r="DL50" s="24"/>
      <c r="DM50" s="24"/>
      <c r="DN50" s="24">
        <v>238</v>
      </c>
      <c r="DO50" s="24">
        <v>256</v>
      </c>
      <c r="DP50" s="24">
        <v>114.2</v>
      </c>
      <c r="DQ50" s="24">
        <v>391</v>
      </c>
      <c r="DR50" s="24">
        <v>306</v>
      </c>
      <c r="DS50" s="24">
        <v>299</v>
      </c>
      <c r="DT50" s="24">
        <v>364</v>
      </c>
      <c r="DU50" s="24">
        <v>625</v>
      </c>
      <c r="DV50" s="24">
        <v>1174</v>
      </c>
      <c r="DW50" s="24">
        <v>832.5</v>
      </c>
      <c r="DX50" s="24">
        <v>391</v>
      </c>
      <c r="DY50" s="24">
        <v>460</v>
      </c>
      <c r="DZ50" s="24">
        <v>654</v>
      </c>
      <c r="EA50" s="24">
        <v>510</v>
      </c>
      <c r="EB50" s="24">
        <v>68</v>
      </c>
      <c r="EC50" s="24">
        <v>403</v>
      </c>
      <c r="ED50" s="24">
        <v>306</v>
      </c>
      <c r="EE50" s="24">
        <v>476</v>
      </c>
      <c r="EF50" s="18">
        <v>2782.8614808393168</v>
      </c>
      <c r="EG50" s="18">
        <f t="shared" si="11"/>
        <v>6263.5</v>
      </c>
      <c r="EH50" s="23">
        <f t="shared" si="12"/>
        <v>2.2507408446757888</v>
      </c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>
        <v>150</v>
      </c>
      <c r="EV50" s="24">
        <v>340</v>
      </c>
      <c r="EW50" s="24">
        <v>570</v>
      </c>
      <c r="EX50" s="24">
        <v>425</v>
      </c>
      <c r="EY50" s="24">
        <v>470</v>
      </c>
      <c r="EZ50" s="24">
        <v>667.76074999999992</v>
      </c>
      <c r="FA50" s="24">
        <v>500</v>
      </c>
      <c r="FB50" s="24">
        <v>1630.58</v>
      </c>
      <c r="FC50" s="24">
        <v>332.70915000000002</v>
      </c>
      <c r="FD50" s="24">
        <v>2473.1860280000001</v>
      </c>
      <c r="FE50" s="24">
        <v>336.5</v>
      </c>
      <c r="FF50" s="24">
        <v>380</v>
      </c>
      <c r="FG50" s="18">
        <v>6316.6368999111928</v>
      </c>
      <c r="FH50" s="18">
        <v>6891.6080179999999</v>
      </c>
      <c r="FI50" s="23">
        <v>1.091024880359498</v>
      </c>
      <c r="FJ50" s="24"/>
      <c r="FK50" s="24">
        <v>11.5</v>
      </c>
      <c r="FL50" s="24">
        <v>387.36293871999999</v>
      </c>
      <c r="FM50" s="24">
        <v>491.47449999999998</v>
      </c>
      <c r="FN50" s="24">
        <v>1232.1420000000001</v>
      </c>
      <c r="FO50" s="24">
        <v>371.565</v>
      </c>
      <c r="FP50" s="24">
        <v>537.79999999999995</v>
      </c>
      <c r="FQ50" s="24">
        <v>629.20000000000005</v>
      </c>
      <c r="FR50" s="24">
        <v>953.29</v>
      </c>
      <c r="FS50" s="24">
        <v>407</v>
      </c>
      <c r="FT50" s="24">
        <v>370.9</v>
      </c>
      <c r="FU50" s="24">
        <v>730.39850000000001</v>
      </c>
      <c r="FV50" s="24">
        <v>149.1</v>
      </c>
      <c r="FW50" s="24">
        <v>799.1</v>
      </c>
      <c r="FX50" s="24">
        <v>986.6</v>
      </c>
      <c r="FY50" s="24">
        <v>2781.1880000000001</v>
      </c>
      <c r="FZ50" s="24">
        <v>383.6</v>
      </c>
      <c r="GA50" s="24">
        <v>133</v>
      </c>
      <c r="GB50" s="24">
        <v>248.6</v>
      </c>
      <c r="GC50" s="24">
        <v>183</v>
      </c>
      <c r="GD50" s="24">
        <v>1233.9994999999999</v>
      </c>
      <c r="GE50" s="24">
        <v>701.91000000000008</v>
      </c>
      <c r="GF50" s="24">
        <v>298.39999999999998</v>
      </c>
      <c r="GG50" s="24">
        <v>256.37</v>
      </c>
      <c r="GH50" s="26">
        <v>6945.4359835772348</v>
      </c>
      <c r="GI50" s="26">
        <f t="shared" si="52"/>
        <v>8154.8675000000003</v>
      </c>
      <c r="GJ50" s="23">
        <f t="shared" si="53"/>
        <v>1.1741332753310973</v>
      </c>
    </row>
    <row r="51" spans="1:192" s="14" customFormat="1" ht="24.95" customHeight="1">
      <c r="A51" s="19">
        <f t="shared" si="59"/>
        <v>7</v>
      </c>
      <c r="B51" s="20" t="s">
        <v>48</v>
      </c>
      <c r="C51" s="21">
        <v>11488</v>
      </c>
      <c r="D51" s="21"/>
      <c r="E51" s="21"/>
      <c r="F51" s="21"/>
      <c r="G51" s="24">
        <v>92</v>
      </c>
      <c r="H51" s="24">
        <v>73</v>
      </c>
      <c r="I51" s="24">
        <v>76</v>
      </c>
      <c r="J51" s="24">
        <v>76</v>
      </c>
      <c r="K51" s="24">
        <v>92</v>
      </c>
      <c r="L51" s="24">
        <v>92</v>
      </c>
      <c r="M51" s="24">
        <v>75</v>
      </c>
      <c r="N51" s="24">
        <v>75</v>
      </c>
      <c r="O51" s="24">
        <v>75</v>
      </c>
      <c r="P51" s="24">
        <v>67</v>
      </c>
      <c r="Q51" s="24">
        <v>128</v>
      </c>
      <c r="R51" s="24">
        <v>87</v>
      </c>
      <c r="S51" s="24">
        <v>74</v>
      </c>
      <c r="T51" s="24">
        <v>73</v>
      </c>
      <c r="U51" s="24">
        <v>49</v>
      </c>
      <c r="V51" s="24">
        <v>75</v>
      </c>
      <c r="W51" s="24">
        <v>34</v>
      </c>
      <c r="X51" s="24">
        <v>24</v>
      </c>
      <c r="Y51" s="24">
        <v>46</v>
      </c>
      <c r="Z51" s="24">
        <v>60</v>
      </c>
      <c r="AA51" s="24">
        <v>39</v>
      </c>
      <c r="AB51" s="22">
        <v>642</v>
      </c>
      <c r="AC51" s="22">
        <f t="shared" si="3"/>
        <v>756</v>
      </c>
      <c r="AD51" s="23">
        <f t="shared" si="4"/>
        <v>1.1775700934579438</v>
      </c>
      <c r="AE51" s="24"/>
      <c r="AF51" s="24"/>
      <c r="AG51" s="24"/>
      <c r="AH51" s="24"/>
      <c r="AI51" s="24"/>
      <c r="AJ51" s="24"/>
      <c r="AK51" s="24">
        <v>113</v>
      </c>
      <c r="AL51" s="24">
        <v>240</v>
      </c>
      <c r="AM51" s="24">
        <v>41</v>
      </c>
      <c r="AN51" s="24">
        <v>13</v>
      </c>
      <c r="AO51" s="24">
        <v>13</v>
      </c>
      <c r="AP51" s="24">
        <v>8</v>
      </c>
      <c r="AQ51" s="24">
        <v>31</v>
      </c>
      <c r="AR51" s="24">
        <v>70</v>
      </c>
      <c r="AS51" s="24">
        <v>73</v>
      </c>
      <c r="AT51" s="24">
        <v>44</v>
      </c>
      <c r="AU51" s="24">
        <v>50</v>
      </c>
      <c r="AV51" s="24">
        <v>51</v>
      </c>
      <c r="AW51" s="24">
        <v>41</v>
      </c>
      <c r="AX51" s="24">
        <v>21</v>
      </c>
      <c r="AY51" s="24">
        <v>54</v>
      </c>
      <c r="AZ51" s="24">
        <v>45</v>
      </c>
      <c r="BA51" s="24">
        <v>53</v>
      </c>
      <c r="BB51" s="24">
        <v>20</v>
      </c>
      <c r="BC51" s="32">
        <v>492</v>
      </c>
      <c r="BD51" s="32">
        <f t="shared" si="6"/>
        <v>553</v>
      </c>
      <c r="BE51" s="23">
        <f t="shared" si="7"/>
        <v>1.1239837398373984</v>
      </c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>
        <v>46</v>
      </c>
      <c r="BS51" s="24">
        <v>26</v>
      </c>
      <c r="BT51" s="24">
        <v>14</v>
      </c>
      <c r="BU51" s="24">
        <v>14</v>
      </c>
      <c r="BV51" s="24">
        <v>230</v>
      </c>
      <c r="BW51" s="24">
        <v>95</v>
      </c>
      <c r="BX51" s="24">
        <v>94</v>
      </c>
      <c r="BY51" s="24">
        <v>65</v>
      </c>
      <c r="BZ51" s="24">
        <v>90</v>
      </c>
      <c r="CA51" s="24">
        <v>124</v>
      </c>
      <c r="CB51" s="24">
        <v>91</v>
      </c>
      <c r="CC51" s="24">
        <v>39</v>
      </c>
      <c r="CD51" s="25">
        <v>472</v>
      </c>
      <c r="CE51" s="25">
        <v>798</v>
      </c>
      <c r="CF51" s="23">
        <f t="shared" si="8"/>
        <v>1.6906779661016949</v>
      </c>
      <c r="CG51" s="24"/>
      <c r="CH51" s="24"/>
      <c r="CI51" s="24">
        <v>50</v>
      </c>
      <c r="CJ51" s="24">
        <v>380</v>
      </c>
      <c r="CK51" s="24">
        <v>665</v>
      </c>
      <c r="CL51" s="24">
        <v>1300</v>
      </c>
      <c r="CM51" s="24">
        <v>200</v>
      </c>
      <c r="CN51" s="24">
        <v>460</v>
      </c>
      <c r="CO51" s="24">
        <v>175</v>
      </c>
      <c r="CP51" s="24">
        <v>225</v>
      </c>
      <c r="CQ51" s="24"/>
      <c r="CR51" s="24"/>
      <c r="CS51" s="24"/>
      <c r="CT51" s="24">
        <v>344</v>
      </c>
      <c r="CU51" s="24">
        <v>65</v>
      </c>
      <c r="CV51" s="24">
        <v>100</v>
      </c>
      <c r="CW51" s="24">
        <v>40</v>
      </c>
      <c r="CX51" s="24">
        <v>320</v>
      </c>
      <c r="CY51" s="24">
        <v>300</v>
      </c>
      <c r="CZ51" s="24">
        <v>510</v>
      </c>
      <c r="DA51" s="24">
        <v>544</v>
      </c>
      <c r="DB51" s="24">
        <v>700</v>
      </c>
      <c r="DC51" s="24">
        <v>865</v>
      </c>
      <c r="DD51" s="24">
        <v>645</v>
      </c>
      <c r="DE51" s="18">
        <v>4099.5128591736075</v>
      </c>
      <c r="DF51" s="18">
        <f t="shared" si="9"/>
        <v>4433</v>
      </c>
      <c r="DG51" s="23">
        <f t="shared" si="10"/>
        <v>1.0813479923791769</v>
      </c>
      <c r="DH51" s="24"/>
      <c r="DI51" s="24"/>
      <c r="DJ51" s="24"/>
      <c r="DK51" s="24"/>
      <c r="DL51" s="24"/>
      <c r="DM51" s="24"/>
      <c r="DN51" s="24"/>
      <c r="DO51" s="24">
        <v>391</v>
      </c>
      <c r="DP51" s="24">
        <v>148</v>
      </c>
      <c r="DQ51" s="24">
        <v>310</v>
      </c>
      <c r="DR51" s="24">
        <v>170</v>
      </c>
      <c r="DS51" s="24">
        <v>270</v>
      </c>
      <c r="DT51" s="24">
        <v>473</v>
      </c>
      <c r="DU51" s="24">
        <v>498</v>
      </c>
      <c r="DV51" s="24">
        <v>849</v>
      </c>
      <c r="DW51" s="24">
        <v>238</v>
      </c>
      <c r="DX51" s="24">
        <v>238</v>
      </c>
      <c r="DY51" s="24">
        <v>119</v>
      </c>
      <c r="DZ51" s="24">
        <v>340</v>
      </c>
      <c r="EA51" s="24">
        <v>238</v>
      </c>
      <c r="EB51" s="24">
        <v>0</v>
      </c>
      <c r="EC51" s="24">
        <v>187</v>
      </c>
      <c r="ED51" s="24">
        <v>85</v>
      </c>
      <c r="EE51" s="24">
        <v>68</v>
      </c>
      <c r="EF51" s="18">
        <v>1503.8049893176346</v>
      </c>
      <c r="EG51" s="18">
        <f t="shared" si="11"/>
        <v>3333</v>
      </c>
      <c r="EH51" s="23">
        <f t="shared" si="12"/>
        <v>2.2163778040877355</v>
      </c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>
        <v>275</v>
      </c>
      <c r="EV51" s="24">
        <v>290</v>
      </c>
      <c r="EW51" s="24">
        <v>590</v>
      </c>
      <c r="EX51" s="24">
        <v>1037.9947999999999</v>
      </c>
      <c r="EY51" s="24">
        <v>340</v>
      </c>
      <c r="EZ51" s="24">
        <v>1128.4040300000001</v>
      </c>
      <c r="FA51" s="24">
        <v>286</v>
      </c>
      <c r="FB51" s="24">
        <v>2540.154</v>
      </c>
      <c r="FC51" s="24">
        <v>1271.8335</v>
      </c>
      <c r="FD51" s="24">
        <v>250</v>
      </c>
      <c r="FE51" s="24">
        <v>199.8</v>
      </c>
      <c r="FF51" s="24">
        <v>350</v>
      </c>
      <c r="FG51" s="18">
        <v>6368.8567792256217</v>
      </c>
      <c r="FH51" s="18">
        <v>7438.1328299999996</v>
      </c>
      <c r="FI51" s="23">
        <v>1.1678913638413437</v>
      </c>
      <c r="FJ51" s="24"/>
      <c r="FK51" s="24">
        <v>33</v>
      </c>
      <c r="FL51" s="24">
        <v>516.22856000000002</v>
      </c>
      <c r="FM51" s="24">
        <v>644.81098999999995</v>
      </c>
      <c r="FN51" s="24">
        <v>899.82369999999992</v>
      </c>
      <c r="FO51" s="24">
        <v>400.48400000000004</v>
      </c>
      <c r="FP51" s="24">
        <v>739.13599999999997</v>
      </c>
      <c r="FQ51" s="24">
        <v>1225.4276000000002</v>
      </c>
      <c r="FR51" s="24">
        <v>946.51199999999994</v>
      </c>
      <c r="FS51" s="24">
        <v>467.04399999999998</v>
      </c>
      <c r="FT51" s="24">
        <v>656.24700000000007</v>
      </c>
      <c r="FU51" s="24">
        <v>1313.3696</v>
      </c>
      <c r="FV51" s="24">
        <v>150</v>
      </c>
      <c r="FW51" s="24">
        <v>962</v>
      </c>
      <c r="FX51" s="24">
        <v>991.96</v>
      </c>
      <c r="FY51" s="24">
        <v>925.63300000000004</v>
      </c>
      <c r="FZ51" s="24">
        <v>198</v>
      </c>
      <c r="GA51" s="24">
        <v>338</v>
      </c>
      <c r="GB51" s="24">
        <v>194</v>
      </c>
      <c r="GC51" s="24">
        <v>125.66</v>
      </c>
      <c r="GD51" s="24">
        <v>852.20600000000002</v>
      </c>
      <c r="GE51" s="24">
        <v>170.5</v>
      </c>
      <c r="GF51" s="24">
        <v>34</v>
      </c>
      <c r="GG51" s="24">
        <v>216.91999900000002</v>
      </c>
      <c r="GH51" s="26">
        <v>4693.4014275164318</v>
      </c>
      <c r="GI51" s="26">
        <f t="shared" si="52"/>
        <v>5158.8789989999996</v>
      </c>
      <c r="GJ51" s="23">
        <f t="shared" si="53"/>
        <v>1.099177020903128</v>
      </c>
    </row>
    <row r="52" spans="1:192" s="14" customFormat="1" ht="24.95" customHeight="1">
      <c r="A52" s="19">
        <f t="shared" si="59"/>
        <v>8</v>
      </c>
      <c r="B52" s="20" t="s">
        <v>54</v>
      </c>
      <c r="C52" s="21">
        <v>11489</v>
      </c>
      <c r="D52" s="21"/>
      <c r="E52" s="21"/>
      <c r="F52" s="21"/>
      <c r="G52" s="24">
        <v>71</v>
      </c>
      <c r="H52" s="24">
        <v>67</v>
      </c>
      <c r="I52" s="24">
        <v>71</v>
      </c>
      <c r="J52" s="24">
        <v>75</v>
      </c>
      <c r="K52" s="24">
        <v>75</v>
      </c>
      <c r="L52" s="24">
        <v>65</v>
      </c>
      <c r="M52" s="24">
        <v>65</v>
      </c>
      <c r="N52" s="24">
        <v>66</v>
      </c>
      <c r="O52" s="24">
        <v>65</v>
      </c>
      <c r="P52" s="24">
        <v>21</v>
      </c>
      <c r="Q52" s="24">
        <v>99</v>
      </c>
      <c r="R52" s="24">
        <v>23</v>
      </c>
      <c r="S52" s="24">
        <v>21</v>
      </c>
      <c r="T52" s="24">
        <v>68</v>
      </c>
      <c r="U52" s="24">
        <v>29</v>
      </c>
      <c r="V52" s="24">
        <v>66</v>
      </c>
      <c r="W52" s="24">
        <v>43</v>
      </c>
      <c r="X52" s="24">
        <v>28</v>
      </c>
      <c r="Y52" s="24">
        <v>15</v>
      </c>
      <c r="Z52" s="24">
        <v>84</v>
      </c>
      <c r="AA52" s="24">
        <v>8</v>
      </c>
      <c r="AB52" s="22">
        <v>446</v>
      </c>
      <c r="AC52" s="22">
        <f t="shared" si="3"/>
        <v>505</v>
      </c>
      <c r="AD52" s="23">
        <f t="shared" si="4"/>
        <v>1.1322869955156951</v>
      </c>
      <c r="AE52" s="24"/>
      <c r="AF52" s="24"/>
      <c r="AG52" s="24"/>
      <c r="AH52" s="24"/>
      <c r="AI52" s="24"/>
      <c r="AJ52" s="24"/>
      <c r="AK52" s="24">
        <v>188</v>
      </c>
      <c r="AL52" s="24">
        <v>379</v>
      </c>
      <c r="AM52" s="24">
        <v>37</v>
      </c>
      <c r="AN52" s="24">
        <v>3</v>
      </c>
      <c r="AO52" s="24">
        <v>76</v>
      </c>
      <c r="AP52" s="24">
        <v>5</v>
      </c>
      <c r="AQ52" s="24">
        <v>21</v>
      </c>
      <c r="AR52" s="24">
        <v>124</v>
      </c>
      <c r="AS52" s="24">
        <v>121</v>
      </c>
      <c r="AT52" s="24">
        <v>81</v>
      </c>
      <c r="AU52" s="24">
        <v>58</v>
      </c>
      <c r="AV52" s="24">
        <v>69</v>
      </c>
      <c r="AW52" s="24">
        <v>64</v>
      </c>
      <c r="AX52" s="24">
        <v>69</v>
      </c>
      <c r="AY52" s="24">
        <v>79</v>
      </c>
      <c r="AZ52" s="24">
        <v>85</v>
      </c>
      <c r="BA52" s="24">
        <v>52</v>
      </c>
      <c r="BB52" s="24">
        <v>27</v>
      </c>
      <c r="BC52" s="32">
        <v>740</v>
      </c>
      <c r="BD52" s="32">
        <f t="shared" si="6"/>
        <v>850</v>
      </c>
      <c r="BE52" s="23">
        <f t="shared" si="7"/>
        <v>1.1486486486486487</v>
      </c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>
        <v>131</v>
      </c>
      <c r="BS52" s="24">
        <v>258</v>
      </c>
      <c r="BT52" s="24">
        <v>178</v>
      </c>
      <c r="BU52" s="24">
        <v>318</v>
      </c>
      <c r="BV52" s="24">
        <v>287</v>
      </c>
      <c r="BW52" s="24">
        <v>294</v>
      </c>
      <c r="BX52" s="24">
        <v>237</v>
      </c>
      <c r="BY52" s="24">
        <v>188</v>
      </c>
      <c r="BZ52" s="24">
        <v>257</v>
      </c>
      <c r="CA52" s="24">
        <v>377</v>
      </c>
      <c r="CB52" s="24">
        <v>117</v>
      </c>
      <c r="CC52" s="24">
        <v>65</v>
      </c>
      <c r="CD52" s="25">
        <v>1504</v>
      </c>
      <c r="CE52" s="25">
        <v>2525</v>
      </c>
      <c r="CF52" s="23">
        <f t="shared" si="8"/>
        <v>1.6788563829787233</v>
      </c>
      <c r="CG52" s="24"/>
      <c r="CH52" s="24"/>
      <c r="CI52" s="24">
        <v>150.65600000000001</v>
      </c>
      <c r="CJ52" s="24">
        <v>340</v>
      </c>
      <c r="CK52" s="24">
        <v>450</v>
      </c>
      <c r="CL52" s="24">
        <v>449.09999999999997</v>
      </c>
      <c r="CM52" s="24">
        <v>250</v>
      </c>
      <c r="CN52" s="24"/>
      <c r="CO52" s="24">
        <v>200</v>
      </c>
      <c r="CP52" s="24">
        <v>125</v>
      </c>
      <c r="CQ52" s="24">
        <v>162.9</v>
      </c>
      <c r="CR52" s="24"/>
      <c r="CS52" s="24">
        <v>100</v>
      </c>
      <c r="CT52" s="24">
        <v>330</v>
      </c>
      <c r="CU52" s="24"/>
      <c r="CV52" s="24">
        <v>50</v>
      </c>
      <c r="CW52" s="24">
        <v>160</v>
      </c>
      <c r="CX52" s="24">
        <v>330</v>
      </c>
      <c r="CY52" s="24">
        <v>100</v>
      </c>
      <c r="CZ52" s="24">
        <v>1300</v>
      </c>
      <c r="DA52" s="24">
        <v>660</v>
      </c>
      <c r="DB52" s="24">
        <v>740</v>
      </c>
      <c r="DC52" s="24">
        <v>320</v>
      </c>
      <c r="DD52" s="24">
        <v>575</v>
      </c>
      <c r="DE52" s="18">
        <v>4272.788358073688</v>
      </c>
      <c r="DF52" s="18">
        <f t="shared" si="9"/>
        <v>4665</v>
      </c>
      <c r="DG52" s="23">
        <f t="shared" si="10"/>
        <v>1.0917929017441748</v>
      </c>
      <c r="DH52" s="24"/>
      <c r="DI52" s="24"/>
      <c r="DJ52" s="24"/>
      <c r="DK52" s="24"/>
      <c r="DL52" s="24"/>
      <c r="DM52" s="24"/>
      <c r="DN52" s="24">
        <v>51</v>
      </c>
      <c r="DO52" s="24">
        <v>257</v>
      </c>
      <c r="DP52" s="24">
        <v>135</v>
      </c>
      <c r="DQ52" s="24">
        <v>108</v>
      </c>
      <c r="DR52" s="24">
        <v>119</v>
      </c>
      <c r="DS52" s="24">
        <v>71</v>
      </c>
      <c r="DT52" s="24">
        <v>54</v>
      </c>
      <c r="DU52" s="24">
        <v>785</v>
      </c>
      <c r="DV52" s="24">
        <v>773</v>
      </c>
      <c r="DW52" s="24">
        <v>610</v>
      </c>
      <c r="DX52" s="24">
        <v>195</v>
      </c>
      <c r="DY52" s="24">
        <v>128</v>
      </c>
      <c r="DZ52" s="24">
        <v>234</v>
      </c>
      <c r="EA52" s="24">
        <v>292</v>
      </c>
      <c r="EB52" s="24">
        <v>197</v>
      </c>
      <c r="EC52" s="24">
        <v>415</v>
      </c>
      <c r="ED52" s="24">
        <v>398</v>
      </c>
      <c r="EE52" s="24">
        <v>619</v>
      </c>
      <c r="EF52" s="18">
        <v>2371.7361799930613</v>
      </c>
      <c r="EG52" s="18">
        <f t="shared" si="11"/>
        <v>4700</v>
      </c>
      <c r="EH52" s="23">
        <f t="shared" si="12"/>
        <v>1.9816706595139726</v>
      </c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>
        <v>100</v>
      </c>
      <c r="EV52" s="24">
        <v>210</v>
      </c>
      <c r="EW52" s="24">
        <v>50</v>
      </c>
      <c r="EX52" s="24">
        <v>3405.2958600000002</v>
      </c>
      <c r="EY52" s="24">
        <v>1754.9464499999999</v>
      </c>
      <c r="EZ52" s="24">
        <v>664.13129500000002</v>
      </c>
      <c r="FA52" s="24">
        <v>1400.0189</v>
      </c>
      <c r="FB52" s="24">
        <v>1904.6624999999999</v>
      </c>
      <c r="FC52" s="24">
        <v>525</v>
      </c>
      <c r="FD52" s="24">
        <v>300</v>
      </c>
      <c r="FE52" s="24">
        <v>287</v>
      </c>
      <c r="FF52" s="24"/>
      <c r="FG52" s="18">
        <v>11879.411002375151</v>
      </c>
      <c r="FH52" s="18">
        <v>12854.418055</v>
      </c>
      <c r="FI52" s="23">
        <v>1.0820753699345791</v>
      </c>
      <c r="FJ52" s="24"/>
      <c r="FK52" s="24">
        <v>190</v>
      </c>
      <c r="FL52" s="24">
        <v>1350.7519</v>
      </c>
      <c r="FM52" s="24">
        <v>2420.4349099999999</v>
      </c>
      <c r="FN52" s="24">
        <v>3753.4539680000007</v>
      </c>
      <c r="FO52" s="24">
        <v>2310.19</v>
      </c>
      <c r="FP52" s="24">
        <v>2629.5212000000001</v>
      </c>
      <c r="FQ52" s="24">
        <v>2154.4928000000004</v>
      </c>
      <c r="FR52" s="24">
        <v>2329.1799999999998</v>
      </c>
      <c r="FS52" s="24">
        <v>1749.538</v>
      </c>
      <c r="FT52" s="24">
        <v>1872.992</v>
      </c>
      <c r="FU52" s="24">
        <v>2708.08</v>
      </c>
      <c r="FV52" s="24">
        <v>1051.1680000000001</v>
      </c>
      <c r="FW52" s="24">
        <v>2887.4590920000001</v>
      </c>
      <c r="FX52" s="24">
        <v>2613.7143999999998</v>
      </c>
      <c r="FY52" s="24">
        <v>4207.93</v>
      </c>
      <c r="FZ52" s="24">
        <v>1427.7399999999998</v>
      </c>
      <c r="GA52" s="24">
        <v>1024.1799999999998</v>
      </c>
      <c r="GB52" s="24">
        <v>1249.33</v>
      </c>
      <c r="GC52" s="24">
        <v>1265.95</v>
      </c>
      <c r="GD52" s="24">
        <v>1386.3600000000001</v>
      </c>
      <c r="GE52" s="24">
        <v>2256.6000000000004</v>
      </c>
      <c r="GF52" s="24">
        <v>2029.9600000000003</v>
      </c>
      <c r="GG52" s="24">
        <v>1986.8400000000001</v>
      </c>
      <c r="GH52" s="26">
        <v>22895.296880650418</v>
      </c>
      <c r="GI52" s="26">
        <f t="shared" si="52"/>
        <v>23387.231492000003</v>
      </c>
      <c r="GJ52" s="23">
        <f t="shared" si="53"/>
        <v>1.0214862735309336</v>
      </c>
    </row>
    <row r="53" spans="1:192" s="14" customFormat="1" ht="24.95" customHeight="1">
      <c r="A53" s="19">
        <f t="shared" si="59"/>
        <v>9</v>
      </c>
      <c r="B53" s="20" t="s">
        <v>55</v>
      </c>
      <c r="C53" s="21">
        <v>11490</v>
      </c>
      <c r="D53" s="21"/>
      <c r="E53" s="21"/>
      <c r="F53" s="21"/>
      <c r="G53" s="24">
        <v>90</v>
      </c>
      <c r="H53" s="24">
        <v>79</v>
      </c>
      <c r="I53" s="24">
        <v>82</v>
      </c>
      <c r="J53" s="24">
        <v>85</v>
      </c>
      <c r="K53" s="24">
        <v>80</v>
      </c>
      <c r="L53" s="24">
        <v>80</v>
      </c>
      <c r="M53" s="24">
        <v>80</v>
      </c>
      <c r="N53" s="24">
        <v>75</v>
      </c>
      <c r="O53" s="24">
        <v>76</v>
      </c>
      <c r="P53" s="24">
        <v>114</v>
      </c>
      <c r="Q53" s="24">
        <v>181</v>
      </c>
      <c r="R53" s="24">
        <v>65</v>
      </c>
      <c r="S53" s="24">
        <v>49</v>
      </c>
      <c r="T53" s="24">
        <v>63</v>
      </c>
      <c r="U53" s="24">
        <v>77</v>
      </c>
      <c r="V53" s="24">
        <v>73</v>
      </c>
      <c r="W53" s="24">
        <v>73</v>
      </c>
      <c r="X53" s="24">
        <v>64</v>
      </c>
      <c r="Y53" s="24"/>
      <c r="Z53" s="24">
        <v>110</v>
      </c>
      <c r="AA53" s="24">
        <v>41</v>
      </c>
      <c r="AB53" s="22">
        <v>725</v>
      </c>
      <c r="AC53" s="22">
        <f t="shared" si="3"/>
        <v>910</v>
      </c>
      <c r="AD53" s="23">
        <f t="shared" si="4"/>
        <v>1.2551724137931035</v>
      </c>
      <c r="AE53" s="24"/>
      <c r="AF53" s="24"/>
      <c r="AG53" s="24"/>
      <c r="AH53" s="24"/>
      <c r="AI53" s="24"/>
      <c r="AJ53" s="24"/>
      <c r="AK53" s="24">
        <v>342</v>
      </c>
      <c r="AL53" s="24">
        <v>585</v>
      </c>
      <c r="AM53" s="24">
        <v>261</v>
      </c>
      <c r="AN53" s="24">
        <v>23</v>
      </c>
      <c r="AO53" s="24">
        <v>59</v>
      </c>
      <c r="AP53" s="24"/>
      <c r="AQ53" s="24">
        <v>60</v>
      </c>
      <c r="AR53" s="24">
        <v>194</v>
      </c>
      <c r="AS53" s="24">
        <v>155</v>
      </c>
      <c r="AT53" s="24">
        <v>105</v>
      </c>
      <c r="AU53" s="24">
        <v>88</v>
      </c>
      <c r="AV53" s="24">
        <v>105</v>
      </c>
      <c r="AW53" s="24">
        <v>109</v>
      </c>
      <c r="AX53" s="24">
        <v>84</v>
      </c>
      <c r="AY53" s="24">
        <v>83</v>
      </c>
      <c r="AZ53" s="24">
        <v>87</v>
      </c>
      <c r="BA53" s="24">
        <v>103</v>
      </c>
      <c r="BB53" s="24">
        <v>30</v>
      </c>
      <c r="BC53" s="32">
        <v>1048</v>
      </c>
      <c r="BD53" s="32">
        <f t="shared" si="6"/>
        <v>1203</v>
      </c>
      <c r="BE53" s="23">
        <f t="shared" si="7"/>
        <v>1.1479007633587786</v>
      </c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>
        <v>94</v>
      </c>
      <c r="BS53" s="24">
        <v>202</v>
      </c>
      <c r="BT53" s="24">
        <v>124</v>
      </c>
      <c r="BU53" s="24">
        <v>148</v>
      </c>
      <c r="BV53" s="24">
        <v>285</v>
      </c>
      <c r="BW53" s="24">
        <v>167</v>
      </c>
      <c r="BX53" s="24">
        <v>45</v>
      </c>
      <c r="BY53" s="24">
        <v>60</v>
      </c>
      <c r="BZ53" s="24">
        <v>108</v>
      </c>
      <c r="CA53" s="24">
        <v>53</v>
      </c>
      <c r="CB53" s="24">
        <v>37</v>
      </c>
      <c r="CC53" s="24">
        <v>17</v>
      </c>
      <c r="CD53" s="25">
        <v>1262</v>
      </c>
      <c r="CE53" s="25">
        <v>1286</v>
      </c>
      <c r="CF53" s="23">
        <f t="shared" si="8"/>
        <v>1.0190174326465926</v>
      </c>
      <c r="CG53" s="24"/>
      <c r="CH53" s="24"/>
      <c r="CI53" s="24">
        <v>100</v>
      </c>
      <c r="CJ53" s="24">
        <v>400</v>
      </c>
      <c r="CK53" s="24">
        <v>1550.5519999999999</v>
      </c>
      <c r="CL53" s="24">
        <v>700</v>
      </c>
      <c r="CM53" s="24">
        <v>300</v>
      </c>
      <c r="CN53" s="24">
        <v>1141.5810000000001</v>
      </c>
      <c r="CO53" s="24">
        <v>725</v>
      </c>
      <c r="CP53" s="24">
        <v>199.99907834999999</v>
      </c>
      <c r="CQ53" s="24">
        <v>100</v>
      </c>
      <c r="CR53" s="24"/>
      <c r="CS53" s="24"/>
      <c r="CT53" s="24">
        <v>200</v>
      </c>
      <c r="CU53" s="24">
        <v>60</v>
      </c>
      <c r="CV53" s="24">
        <v>70</v>
      </c>
      <c r="CW53" s="24"/>
      <c r="CX53" s="24"/>
      <c r="CY53" s="24">
        <v>50</v>
      </c>
      <c r="CZ53" s="24">
        <v>515</v>
      </c>
      <c r="DA53" s="24">
        <v>990</v>
      </c>
      <c r="DB53" s="24">
        <v>610</v>
      </c>
      <c r="DC53" s="24">
        <v>640</v>
      </c>
      <c r="DD53" s="24">
        <v>180</v>
      </c>
      <c r="DE53" s="18">
        <v>3205.976236052687</v>
      </c>
      <c r="DF53" s="18">
        <f t="shared" si="9"/>
        <v>3315</v>
      </c>
      <c r="DG53" s="23">
        <f t="shared" si="10"/>
        <v>1.0340064167417369</v>
      </c>
      <c r="DH53" s="24"/>
      <c r="DI53" s="24"/>
      <c r="DJ53" s="24"/>
      <c r="DK53" s="24"/>
      <c r="DL53" s="24"/>
      <c r="DM53" s="24"/>
      <c r="DN53" s="24"/>
      <c r="DO53" s="24"/>
      <c r="DP53" s="24">
        <v>17</v>
      </c>
      <c r="DQ53" s="24"/>
      <c r="DR53" s="24">
        <v>17</v>
      </c>
      <c r="DS53" s="24">
        <v>34</v>
      </c>
      <c r="DT53" s="24">
        <v>102</v>
      </c>
      <c r="DU53" s="24">
        <v>359</v>
      </c>
      <c r="DV53" s="24">
        <v>200</v>
      </c>
      <c r="DW53" s="24">
        <v>51</v>
      </c>
      <c r="DX53" s="24">
        <v>136</v>
      </c>
      <c r="DY53" s="24">
        <v>289</v>
      </c>
      <c r="DZ53" s="24">
        <v>153</v>
      </c>
      <c r="EA53" s="24">
        <v>158</v>
      </c>
      <c r="EB53" s="24">
        <v>102</v>
      </c>
      <c r="EC53" s="24">
        <v>187</v>
      </c>
      <c r="ED53" s="24">
        <v>17</v>
      </c>
      <c r="EE53" s="24">
        <v>0</v>
      </c>
      <c r="EF53" s="18">
        <v>1426.1479880466754</v>
      </c>
      <c r="EG53" s="18">
        <f t="shared" si="11"/>
        <v>1754</v>
      </c>
      <c r="EH53" s="23">
        <f t="shared" si="12"/>
        <v>1.229886389562115</v>
      </c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>
        <v>200</v>
      </c>
      <c r="EV53" s="24">
        <v>135</v>
      </c>
      <c r="EW53" s="24">
        <v>250</v>
      </c>
      <c r="EX53" s="24">
        <v>991.70901400000002</v>
      </c>
      <c r="EY53" s="24">
        <v>1471.5070000000001</v>
      </c>
      <c r="EZ53" s="24">
        <v>283.80105000000003</v>
      </c>
      <c r="FA53" s="24">
        <v>2416.7723000000001</v>
      </c>
      <c r="FB53" s="24">
        <v>4906.7298499999997</v>
      </c>
      <c r="FC53" s="24">
        <v>1557.5233599999999</v>
      </c>
      <c r="FD53" s="24">
        <v>1456.81062</v>
      </c>
      <c r="FE53" s="24">
        <v>689.76575000000003</v>
      </c>
      <c r="FF53" s="24">
        <v>185</v>
      </c>
      <c r="FG53" s="18">
        <v>12241.949080070743</v>
      </c>
      <c r="FH53" s="18">
        <v>15037.464644</v>
      </c>
      <c r="FI53" s="23">
        <v>1.2283554314467957</v>
      </c>
      <c r="FJ53" s="24"/>
      <c r="FK53" s="24">
        <v>235.99799999999999</v>
      </c>
      <c r="FL53" s="24">
        <v>914.73999000000003</v>
      </c>
      <c r="FM53" s="24">
        <v>1096</v>
      </c>
      <c r="FN53" s="24">
        <v>1593.7620000000002</v>
      </c>
      <c r="FO53" s="24">
        <v>858.48749999999995</v>
      </c>
      <c r="FP53" s="24">
        <v>727.5</v>
      </c>
      <c r="FQ53" s="24">
        <v>1187.3399999999997</v>
      </c>
      <c r="FR53" s="24">
        <v>1172.72</v>
      </c>
      <c r="FS53" s="24">
        <v>390</v>
      </c>
      <c r="FT53" s="24">
        <v>628.4</v>
      </c>
      <c r="FU53" s="24">
        <v>801.90480000000002</v>
      </c>
      <c r="FV53" s="24">
        <v>271.05</v>
      </c>
      <c r="FW53" s="24">
        <v>1409.73</v>
      </c>
      <c r="FX53" s="24">
        <v>1728.5</v>
      </c>
      <c r="FY53" s="24">
        <v>4014.75</v>
      </c>
      <c r="FZ53" s="24">
        <v>866.75</v>
      </c>
      <c r="GA53" s="24">
        <v>519.20000000000005</v>
      </c>
      <c r="GB53" s="24">
        <v>407.1</v>
      </c>
      <c r="GC53" s="24">
        <v>397.39</v>
      </c>
      <c r="GD53" s="24">
        <v>1875.0800000000002</v>
      </c>
      <c r="GE53" s="24">
        <v>1359.5776000000001</v>
      </c>
      <c r="GF53" s="24">
        <v>274.46000000000004</v>
      </c>
      <c r="GG53" s="24">
        <v>380.15000000000003</v>
      </c>
      <c r="GH53" s="26">
        <v>12938.812595109132</v>
      </c>
      <c r="GI53" s="26">
        <f t="shared" si="52"/>
        <v>13503.737599999999</v>
      </c>
      <c r="GJ53" s="23">
        <f t="shared" si="53"/>
        <v>1.0436612711358388</v>
      </c>
    </row>
    <row r="54" spans="1:192" s="14" customFormat="1" ht="24.95" customHeight="1">
      <c r="A54" s="19">
        <f t="shared" si="59"/>
        <v>10</v>
      </c>
      <c r="B54" s="20" t="s">
        <v>56</v>
      </c>
      <c r="C54" s="21">
        <v>11579</v>
      </c>
      <c r="D54" s="21"/>
      <c r="E54" s="21"/>
      <c r="F54" s="21"/>
      <c r="G54" s="24">
        <v>105</v>
      </c>
      <c r="H54" s="24">
        <v>97</v>
      </c>
      <c r="I54" s="24">
        <v>100</v>
      </c>
      <c r="J54" s="24">
        <v>100</v>
      </c>
      <c r="K54" s="24">
        <v>80</v>
      </c>
      <c r="L54" s="24">
        <v>80</v>
      </c>
      <c r="M54" s="24">
        <v>80</v>
      </c>
      <c r="N54" s="24">
        <v>81</v>
      </c>
      <c r="O54" s="24">
        <v>75</v>
      </c>
      <c r="P54" s="24">
        <v>54</v>
      </c>
      <c r="Q54" s="24">
        <v>118</v>
      </c>
      <c r="R54" s="24">
        <v>103</v>
      </c>
      <c r="S54" s="24">
        <v>26</v>
      </c>
      <c r="T54" s="24">
        <v>81</v>
      </c>
      <c r="U54" s="24">
        <v>61</v>
      </c>
      <c r="V54" s="24">
        <v>51</v>
      </c>
      <c r="W54" s="24">
        <v>238</v>
      </c>
      <c r="X54" s="24">
        <v>237</v>
      </c>
      <c r="Y54" s="24">
        <v>1</v>
      </c>
      <c r="Z54" s="24">
        <v>177</v>
      </c>
      <c r="AA54" s="24">
        <v>52</v>
      </c>
      <c r="AB54" s="22">
        <v>888</v>
      </c>
      <c r="AC54" s="22">
        <f t="shared" si="3"/>
        <v>1199</v>
      </c>
      <c r="AD54" s="23">
        <f t="shared" si="4"/>
        <v>1.3502252252252251</v>
      </c>
      <c r="AE54" s="24"/>
      <c r="AF54" s="24"/>
      <c r="AG54" s="24"/>
      <c r="AH54" s="24"/>
      <c r="AI54" s="24"/>
      <c r="AJ54" s="24">
        <v>80</v>
      </c>
      <c r="AK54" s="24">
        <v>304</v>
      </c>
      <c r="AL54" s="24">
        <v>754</v>
      </c>
      <c r="AM54" s="24">
        <v>40</v>
      </c>
      <c r="AN54" s="24">
        <v>10</v>
      </c>
      <c r="AO54" s="24">
        <v>5</v>
      </c>
      <c r="AP54" s="24"/>
      <c r="AQ54" s="24">
        <v>35</v>
      </c>
      <c r="AR54" s="24">
        <v>166</v>
      </c>
      <c r="AS54" s="24">
        <v>153</v>
      </c>
      <c r="AT54" s="24">
        <v>180</v>
      </c>
      <c r="AU54" s="24">
        <v>124</v>
      </c>
      <c r="AV54" s="24">
        <v>63</v>
      </c>
      <c r="AW54" s="24">
        <v>59</v>
      </c>
      <c r="AX54" s="24">
        <v>38</v>
      </c>
      <c r="AY54" s="24">
        <v>144</v>
      </c>
      <c r="AZ54" s="24">
        <v>100</v>
      </c>
      <c r="BA54" s="24">
        <v>84</v>
      </c>
      <c r="BB54" s="24">
        <v>11</v>
      </c>
      <c r="BC54" s="32">
        <v>1038</v>
      </c>
      <c r="BD54" s="32">
        <f t="shared" si="6"/>
        <v>1157</v>
      </c>
      <c r="BE54" s="23">
        <f t="shared" si="7"/>
        <v>1.1146435452793835</v>
      </c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>
        <v>541</v>
      </c>
      <c r="BS54" s="24">
        <v>39</v>
      </c>
      <c r="BT54" s="24">
        <v>28</v>
      </c>
      <c r="BU54" s="24">
        <v>24</v>
      </c>
      <c r="BV54" s="24">
        <v>87</v>
      </c>
      <c r="BW54" s="24">
        <v>57</v>
      </c>
      <c r="BX54" s="24">
        <v>42</v>
      </c>
      <c r="BY54" s="24">
        <v>49</v>
      </c>
      <c r="BZ54" s="24">
        <v>91</v>
      </c>
      <c r="CA54" s="24">
        <v>202</v>
      </c>
      <c r="CB54" s="24">
        <v>59</v>
      </c>
      <c r="CC54" s="24">
        <v>19</v>
      </c>
      <c r="CD54" s="25">
        <v>632</v>
      </c>
      <c r="CE54" s="25">
        <v>1160</v>
      </c>
      <c r="CF54" s="23">
        <f t="shared" si="8"/>
        <v>1.8354430379746836</v>
      </c>
      <c r="CG54" s="24"/>
      <c r="CH54" s="24"/>
      <c r="CI54" s="24">
        <v>119.93248</v>
      </c>
      <c r="CJ54" s="24">
        <v>245</v>
      </c>
      <c r="CK54" s="24">
        <v>1352.4803830000001</v>
      </c>
      <c r="CL54" s="24">
        <v>425.19960000000003</v>
      </c>
      <c r="CM54" s="24">
        <v>166</v>
      </c>
      <c r="CN54" s="24">
        <v>300</v>
      </c>
      <c r="CO54" s="24">
        <v>100</v>
      </c>
      <c r="CP54" s="24">
        <v>150</v>
      </c>
      <c r="CQ54" s="24">
        <v>2150</v>
      </c>
      <c r="CR54" s="24"/>
      <c r="CS54" s="24">
        <v>99</v>
      </c>
      <c r="CT54" s="24">
        <v>663</v>
      </c>
      <c r="CU54" s="24">
        <v>300</v>
      </c>
      <c r="CV54" s="24">
        <v>321.91800000000001</v>
      </c>
      <c r="CW54" s="24">
        <v>125</v>
      </c>
      <c r="CX54" s="24">
        <v>265</v>
      </c>
      <c r="CY54" s="24">
        <v>450</v>
      </c>
      <c r="CZ54" s="24">
        <v>600</v>
      </c>
      <c r="DA54" s="24">
        <v>1350</v>
      </c>
      <c r="DB54" s="24">
        <v>1000</v>
      </c>
      <c r="DC54" s="24">
        <v>635</v>
      </c>
      <c r="DD54" s="24">
        <v>350</v>
      </c>
      <c r="DE54" s="18">
        <v>5749.6799673987844</v>
      </c>
      <c r="DF54" s="18">
        <f t="shared" si="9"/>
        <v>6158.9179999999997</v>
      </c>
      <c r="DG54" s="23">
        <f t="shared" si="10"/>
        <v>1.0711757932479082</v>
      </c>
      <c r="DH54" s="24"/>
      <c r="DI54" s="24"/>
      <c r="DJ54" s="24"/>
      <c r="DK54" s="24"/>
      <c r="DL54" s="24"/>
      <c r="DM54" s="24"/>
      <c r="DN54" s="24"/>
      <c r="DO54" s="24"/>
      <c r="DP54" s="24"/>
      <c r="DQ54" s="24">
        <v>51</v>
      </c>
      <c r="DR54" s="24">
        <v>104</v>
      </c>
      <c r="DS54" s="24">
        <v>85</v>
      </c>
      <c r="DT54" s="24">
        <v>100</v>
      </c>
      <c r="DU54" s="24">
        <v>299</v>
      </c>
      <c r="DV54" s="24">
        <v>450</v>
      </c>
      <c r="DW54" s="24">
        <v>189</v>
      </c>
      <c r="DX54" s="24">
        <v>68</v>
      </c>
      <c r="DY54" s="24">
        <v>119</v>
      </c>
      <c r="DZ54" s="24">
        <v>102</v>
      </c>
      <c r="EA54" s="24">
        <v>68</v>
      </c>
      <c r="EB54" s="24">
        <v>34</v>
      </c>
      <c r="EC54" s="24">
        <v>119</v>
      </c>
      <c r="ED54" s="24">
        <v>34</v>
      </c>
      <c r="EE54" s="24">
        <v>34</v>
      </c>
      <c r="EF54" s="18">
        <v>1415.8448164318302</v>
      </c>
      <c r="EG54" s="18">
        <f t="shared" si="11"/>
        <v>1616</v>
      </c>
      <c r="EH54" s="23">
        <f t="shared" si="12"/>
        <v>1.1413680237023398</v>
      </c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>
        <v>311</v>
      </c>
      <c r="EV54" s="24">
        <v>383</v>
      </c>
      <c r="EW54" s="24">
        <v>503.94055000000003</v>
      </c>
      <c r="EX54" s="24">
        <v>100</v>
      </c>
      <c r="EY54" s="24">
        <v>1537.0918650000001</v>
      </c>
      <c r="EZ54" s="24">
        <v>1077.8071500000001</v>
      </c>
      <c r="FA54" s="24">
        <v>5594.0000099999997</v>
      </c>
      <c r="FB54" s="24">
        <v>7807.4309500000008</v>
      </c>
      <c r="FC54" s="24">
        <v>5079.9337400000004</v>
      </c>
      <c r="FD54" s="24">
        <v>2759.9664029999999</v>
      </c>
      <c r="FE54" s="24">
        <v>2325.9126319999996</v>
      </c>
      <c r="FF54" s="24">
        <v>340</v>
      </c>
      <c r="FG54" s="18">
        <v>23007.688870466372</v>
      </c>
      <c r="FH54" s="18">
        <v>25456.774195000002</v>
      </c>
      <c r="FI54" s="23">
        <v>1.1064463857418281</v>
      </c>
      <c r="FJ54" s="24"/>
      <c r="FK54" s="24">
        <v>192.5</v>
      </c>
      <c r="FL54" s="24">
        <v>458.73399999999998</v>
      </c>
      <c r="FM54" s="24">
        <v>1034.8500000000001</v>
      </c>
      <c r="FN54" s="24">
        <v>905.70236000000023</v>
      </c>
      <c r="FO54" s="24">
        <v>409.15100000000001</v>
      </c>
      <c r="FP54" s="24">
        <v>750.02600000000007</v>
      </c>
      <c r="FQ54" s="24">
        <v>877.43200000000002</v>
      </c>
      <c r="FR54" s="24">
        <v>832.80500000000006</v>
      </c>
      <c r="FS54" s="24">
        <v>419.01949999999994</v>
      </c>
      <c r="FT54" s="24">
        <v>338.34700000000004</v>
      </c>
      <c r="FU54" s="24">
        <v>271.64400000000001</v>
      </c>
      <c r="FV54" s="24">
        <v>211.8</v>
      </c>
      <c r="FW54" s="24">
        <v>853.31399999999996</v>
      </c>
      <c r="FX54" s="24">
        <v>897.52700000000004</v>
      </c>
      <c r="FY54" s="24">
        <v>3826.2120000000009</v>
      </c>
      <c r="FZ54" s="24">
        <v>587.31999999999994</v>
      </c>
      <c r="GA54" s="24">
        <v>374.80500000000006</v>
      </c>
      <c r="GB54" s="24">
        <v>216.03600000000003</v>
      </c>
      <c r="GC54" s="24">
        <v>318.66499999999996</v>
      </c>
      <c r="GD54" s="24">
        <v>2093.8890000000001</v>
      </c>
      <c r="GE54" s="24">
        <v>581.01</v>
      </c>
      <c r="GF54" s="24">
        <v>259.45999999999998</v>
      </c>
      <c r="GG54" s="24">
        <v>805.83</v>
      </c>
      <c r="GH54" s="26">
        <v>10793.607848742444</v>
      </c>
      <c r="GI54" s="26">
        <f t="shared" si="52"/>
        <v>11025.868</v>
      </c>
      <c r="GJ54" s="23">
        <f t="shared" si="53"/>
        <v>1.0215183055112214</v>
      </c>
    </row>
    <row r="55" spans="1:192" s="14" customFormat="1" ht="24.95" customHeight="1">
      <c r="A55" s="19">
        <f t="shared" si="59"/>
        <v>11</v>
      </c>
      <c r="B55" s="20" t="s">
        <v>44</v>
      </c>
      <c r="C55" s="21">
        <v>11580</v>
      </c>
      <c r="D55" s="21"/>
      <c r="E55" s="21"/>
      <c r="F55" s="21"/>
      <c r="G55" s="24">
        <v>71</v>
      </c>
      <c r="H55" s="24">
        <v>77</v>
      </c>
      <c r="I55" s="24">
        <v>68</v>
      </c>
      <c r="J55" s="24">
        <v>77</v>
      </c>
      <c r="K55" s="24">
        <v>75</v>
      </c>
      <c r="L55" s="24">
        <v>97</v>
      </c>
      <c r="M55" s="24">
        <v>77</v>
      </c>
      <c r="N55" s="24">
        <v>70</v>
      </c>
      <c r="O55" s="24">
        <v>76</v>
      </c>
      <c r="P55" s="24">
        <v>171</v>
      </c>
      <c r="Q55" s="24">
        <v>176</v>
      </c>
      <c r="R55" s="24">
        <v>194</v>
      </c>
      <c r="S55" s="24">
        <v>118</v>
      </c>
      <c r="T55" s="24">
        <v>72</v>
      </c>
      <c r="U55" s="24">
        <v>132</v>
      </c>
      <c r="V55" s="24">
        <v>170</v>
      </c>
      <c r="W55" s="24">
        <v>160</v>
      </c>
      <c r="X55" s="24">
        <v>50</v>
      </c>
      <c r="Y55" s="24">
        <v>5</v>
      </c>
      <c r="Z55" s="24">
        <v>62</v>
      </c>
      <c r="AA55" s="24">
        <v>30</v>
      </c>
      <c r="AB55" s="22">
        <v>837</v>
      </c>
      <c r="AC55" s="22">
        <f t="shared" si="3"/>
        <v>1340</v>
      </c>
      <c r="AD55" s="23">
        <f t="shared" si="4"/>
        <v>1.6009557945041817</v>
      </c>
      <c r="AE55" s="24"/>
      <c r="AF55" s="24"/>
      <c r="AG55" s="24"/>
      <c r="AH55" s="24"/>
      <c r="AI55" s="24"/>
      <c r="AJ55" s="24"/>
      <c r="AK55" s="24">
        <v>156</v>
      </c>
      <c r="AL55" s="24">
        <v>271</v>
      </c>
      <c r="AM55" s="24">
        <v>40</v>
      </c>
      <c r="AN55" s="24">
        <v>1</v>
      </c>
      <c r="AO55" s="24">
        <v>11</v>
      </c>
      <c r="AP55" s="24">
        <v>78</v>
      </c>
      <c r="AQ55" s="24">
        <v>20</v>
      </c>
      <c r="AR55" s="24">
        <v>48</v>
      </c>
      <c r="AS55" s="24">
        <v>39</v>
      </c>
      <c r="AT55" s="24">
        <v>46</v>
      </c>
      <c r="AU55" s="24">
        <v>48</v>
      </c>
      <c r="AV55" s="24">
        <v>46</v>
      </c>
      <c r="AW55" s="24">
        <v>24</v>
      </c>
      <c r="AX55" s="24">
        <v>15</v>
      </c>
      <c r="AY55" s="24">
        <v>29</v>
      </c>
      <c r="AZ55" s="24">
        <v>42</v>
      </c>
      <c r="BA55" s="24">
        <v>52</v>
      </c>
      <c r="BB55" s="24">
        <v>11</v>
      </c>
      <c r="BC55" s="32">
        <v>372</v>
      </c>
      <c r="BD55" s="32">
        <f t="shared" si="6"/>
        <v>420</v>
      </c>
      <c r="BE55" s="23">
        <f t="shared" si="7"/>
        <v>1.1290322580645162</v>
      </c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>
        <v>118</v>
      </c>
      <c r="BS55" s="24">
        <v>395</v>
      </c>
      <c r="BT55" s="24">
        <v>152</v>
      </c>
      <c r="BU55" s="24">
        <v>107</v>
      </c>
      <c r="BV55" s="24">
        <v>188</v>
      </c>
      <c r="BW55" s="24">
        <v>63</v>
      </c>
      <c r="BX55" s="24">
        <v>60</v>
      </c>
      <c r="BY55" s="24">
        <v>81</v>
      </c>
      <c r="BZ55" s="24">
        <v>70</v>
      </c>
      <c r="CA55" s="24">
        <v>71</v>
      </c>
      <c r="CB55" s="24">
        <v>38</v>
      </c>
      <c r="CC55" s="24">
        <v>6</v>
      </c>
      <c r="CD55" s="25">
        <v>1127</v>
      </c>
      <c r="CE55" s="25">
        <v>1305</v>
      </c>
      <c r="CF55" s="23">
        <f t="shared" si="8"/>
        <v>1.1579414374445431</v>
      </c>
      <c r="CG55" s="24"/>
      <c r="CH55" s="24"/>
      <c r="CI55" s="24">
        <v>70</v>
      </c>
      <c r="CJ55" s="24">
        <v>100</v>
      </c>
      <c r="CK55" s="24">
        <v>550</v>
      </c>
      <c r="CL55" s="24">
        <v>200</v>
      </c>
      <c r="CM55" s="24"/>
      <c r="CN55" s="24">
        <v>200</v>
      </c>
      <c r="CO55" s="24">
        <v>50</v>
      </c>
      <c r="CP55" s="24">
        <v>100</v>
      </c>
      <c r="CQ55" s="24">
        <v>100</v>
      </c>
      <c r="CR55" s="24"/>
      <c r="CS55" s="24"/>
      <c r="CT55" s="24">
        <v>200</v>
      </c>
      <c r="CU55" s="24">
        <v>170</v>
      </c>
      <c r="CV55" s="24">
        <v>600</v>
      </c>
      <c r="CW55" s="24">
        <v>900</v>
      </c>
      <c r="CX55" s="24">
        <v>550</v>
      </c>
      <c r="CY55" s="24">
        <v>400</v>
      </c>
      <c r="CZ55" s="24">
        <v>699.56</v>
      </c>
      <c r="DA55" s="24">
        <v>520</v>
      </c>
      <c r="DB55" s="24">
        <v>755</v>
      </c>
      <c r="DC55" s="24">
        <v>525</v>
      </c>
      <c r="DD55" s="24">
        <v>300</v>
      </c>
      <c r="DE55" s="18">
        <v>5311.8039391683133</v>
      </c>
      <c r="DF55" s="18">
        <f t="shared" si="9"/>
        <v>5619.5599999999995</v>
      </c>
      <c r="DG55" s="23">
        <f t="shared" si="10"/>
        <v>1.0579381438690436</v>
      </c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>
        <v>27</v>
      </c>
      <c r="DS55" s="24">
        <v>17</v>
      </c>
      <c r="DT55" s="24">
        <v>1024</v>
      </c>
      <c r="DU55" s="24">
        <v>869</v>
      </c>
      <c r="DV55" s="24">
        <v>630</v>
      </c>
      <c r="DW55" s="24">
        <v>134</v>
      </c>
      <c r="DX55" s="24">
        <v>102</v>
      </c>
      <c r="DY55" s="24">
        <v>17</v>
      </c>
      <c r="DZ55" s="24">
        <v>17</v>
      </c>
      <c r="EA55" s="24">
        <v>0</v>
      </c>
      <c r="EB55" s="24">
        <v>0</v>
      </c>
      <c r="EC55" s="24">
        <v>10</v>
      </c>
      <c r="ED55" s="24">
        <v>17</v>
      </c>
      <c r="EE55" s="24">
        <v>34</v>
      </c>
      <c r="EF55" s="18">
        <v>2498.7282173655717</v>
      </c>
      <c r="EG55" s="18">
        <f t="shared" si="11"/>
        <v>2854</v>
      </c>
      <c r="EH55" s="23">
        <f t="shared" si="12"/>
        <v>1.1421810424060421</v>
      </c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>
        <v>140</v>
      </c>
      <c r="EV55" s="24">
        <v>250</v>
      </c>
      <c r="EW55" s="24">
        <v>653.58474999999999</v>
      </c>
      <c r="EX55" s="24">
        <v>4215.9404649999997</v>
      </c>
      <c r="EY55" s="24">
        <v>850.5</v>
      </c>
      <c r="EZ55" s="24">
        <v>3259.2070300000005</v>
      </c>
      <c r="FA55" s="24">
        <v>6713.2994600000002</v>
      </c>
      <c r="FB55" s="24">
        <v>1557.6433</v>
      </c>
      <c r="FC55" s="24">
        <v>707.21733999999992</v>
      </c>
      <c r="FD55" s="24">
        <v>2123.1747</v>
      </c>
      <c r="FE55" s="24">
        <v>206.06617</v>
      </c>
      <c r="FF55" s="24">
        <v>130</v>
      </c>
      <c r="FG55" s="18">
        <v>19223.377237445548</v>
      </c>
      <c r="FH55" s="18">
        <v>21165.316374999999</v>
      </c>
      <c r="FI55" s="23">
        <v>1.1010196654608491</v>
      </c>
      <c r="FJ55" s="24"/>
      <c r="FK55" s="24">
        <v>271.65499999999997</v>
      </c>
      <c r="FL55" s="24">
        <v>575.24795999999992</v>
      </c>
      <c r="FM55" s="24">
        <v>652.4</v>
      </c>
      <c r="FN55" s="24">
        <v>704.59699999999998</v>
      </c>
      <c r="FO55" s="24">
        <v>620.89800000000002</v>
      </c>
      <c r="FP55" s="24">
        <v>463.82099999999997</v>
      </c>
      <c r="FQ55" s="24">
        <v>730.35</v>
      </c>
      <c r="FR55" s="24">
        <v>1091</v>
      </c>
      <c r="FS55" s="24">
        <v>573.99250000000006</v>
      </c>
      <c r="FT55" s="24">
        <v>528.27199999999993</v>
      </c>
      <c r="FU55" s="24">
        <v>1155.75</v>
      </c>
      <c r="FV55" s="24">
        <v>385.92</v>
      </c>
      <c r="FW55" s="24">
        <v>910.8</v>
      </c>
      <c r="FX55" s="24">
        <v>745</v>
      </c>
      <c r="FY55" s="24">
        <v>1863.9</v>
      </c>
      <c r="FZ55" s="24">
        <v>630.1</v>
      </c>
      <c r="GA55" s="24">
        <v>538.99</v>
      </c>
      <c r="GB55" s="24">
        <v>333.9</v>
      </c>
      <c r="GC55" s="24">
        <v>309</v>
      </c>
      <c r="GD55" s="24">
        <v>533</v>
      </c>
      <c r="GE55" s="24">
        <v>276</v>
      </c>
      <c r="GF55" s="24">
        <v>188</v>
      </c>
      <c r="GG55" s="24">
        <v>505</v>
      </c>
      <c r="GH55" s="26">
        <v>8641.0695463134743</v>
      </c>
      <c r="GI55" s="26">
        <f t="shared" si="52"/>
        <v>7219.61</v>
      </c>
      <c r="GJ55" s="23">
        <f t="shared" si="53"/>
        <v>0.83549958269692326</v>
      </c>
    </row>
    <row r="56" spans="1:192" s="14" customFormat="1" ht="24.95" customHeight="1">
      <c r="A56" s="19">
        <f t="shared" si="59"/>
        <v>12</v>
      </c>
      <c r="B56" s="20" t="s">
        <v>40</v>
      </c>
      <c r="C56" s="21">
        <v>11581</v>
      </c>
      <c r="D56" s="21"/>
      <c r="E56" s="21"/>
      <c r="F56" s="21"/>
      <c r="G56" s="24">
        <v>73</v>
      </c>
      <c r="H56" s="24">
        <v>55</v>
      </c>
      <c r="I56" s="24">
        <v>59</v>
      </c>
      <c r="J56" s="24">
        <v>66</v>
      </c>
      <c r="K56" s="24">
        <v>68</v>
      </c>
      <c r="L56" s="24">
        <v>68</v>
      </c>
      <c r="M56" s="24">
        <v>68</v>
      </c>
      <c r="N56" s="24">
        <v>69</v>
      </c>
      <c r="O56" s="24">
        <v>68</v>
      </c>
      <c r="P56" s="24">
        <v>115</v>
      </c>
      <c r="Q56" s="24">
        <v>77</v>
      </c>
      <c r="R56" s="24">
        <v>41</v>
      </c>
      <c r="S56" s="24">
        <v>101</v>
      </c>
      <c r="T56" s="24">
        <v>125</v>
      </c>
      <c r="U56" s="24">
        <v>126</v>
      </c>
      <c r="V56" s="24">
        <v>102</v>
      </c>
      <c r="W56" s="24">
        <v>80</v>
      </c>
      <c r="X56" s="24"/>
      <c r="Y56" s="24">
        <v>40</v>
      </c>
      <c r="Z56" s="24">
        <v>119</v>
      </c>
      <c r="AA56" s="24"/>
      <c r="AB56" s="22">
        <v>736</v>
      </c>
      <c r="AC56" s="22">
        <f t="shared" si="3"/>
        <v>926</v>
      </c>
      <c r="AD56" s="23">
        <f t="shared" si="4"/>
        <v>1.2581521739130435</v>
      </c>
      <c r="AE56" s="24"/>
      <c r="AF56" s="24"/>
      <c r="AG56" s="24"/>
      <c r="AH56" s="24"/>
      <c r="AI56" s="24"/>
      <c r="AJ56" s="24">
        <v>44</v>
      </c>
      <c r="AK56" s="24">
        <v>105</v>
      </c>
      <c r="AL56" s="24">
        <v>318</v>
      </c>
      <c r="AM56" s="24">
        <v>42</v>
      </c>
      <c r="AN56" s="24">
        <v>5</v>
      </c>
      <c r="AO56" s="24">
        <v>17</v>
      </c>
      <c r="AP56" s="24">
        <v>9</v>
      </c>
      <c r="AQ56" s="24">
        <v>12</v>
      </c>
      <c r="AR56" s="24">
        <v>67</v>
      </c>
      <c r="AS56" s="24">
        <v>47</v>
      </c>
      <c r="AT56" s="24">
        <v>34</v>
      </c>
      <c r="AU56" s="24">
        <v>46</v>
      </c>
      <c r="AV56" s="24">
        <v>62</v>
      </c>
      <c r="AW56" s="24">
        <v>63</v>
      </c>
      <c r="AX56" s="24">
        <v>35</v>
      </c>
      <c r="AY56" s="24">
        <v>32</v>
      </c>
      <c r="AZ56" s="24">
        <v>17</v>
      </c>
      <c r="BA56" s="24">
        <v>21</v>
      </c>
      <c r="BB56" s="24">
        <v>18</v>
      </c>
      <c r="BC56" s="32">
        <v>343</v>
      </c>
      <c r="BD56" s="32">
        <f t="shared" si="6"/>
        <v>454</v>
      </c>
      <c r="BE56" s="23">
        <f t="shared" si="7"/>
        <v>1.3236151603498543</v>
      </c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>
        <v>90</v>
      </c>
      <c r="BS56" s="24">
        <v>365</v>
      </c>
      <c r="BT56" s="24">
        <v>137</v>
      </c>
      <c r="BU56" s="24">
        <v>135</v>
      </c>
      <c r="BV56" s="24">
        <v>108</v>
      </c>
      <c r="BW56" s="24">
        <v>86</v>
      </c>
      <c r="BX56" s="24">
        <v>478</v>
      </c>
      <c r="BY56" s="24">
        <v>158</v>
      </c>
      <c r="BZ56" s="24">
        <v>82</v>
      </c>
      <c r="CA56" s="24">
        <v>30</v>
      </c>
      <c r="CB56" s="24">
        <v>67</v>
      </c>
      <c r="CC56" s="24">
        <v>50</v>
      </c>
      <c r="CD56" s="25">
        <v>1433</v>
      </c>
      <c r="CE56" s="25">
        <v>1669</v>
      </c>
      <c r="CF56" s="23">
        <f t="shared" si="8"/>
        <v>1.1646894626657363</v>
      </c>
      <c r="CG56" s="24"/>
      <c r="CH56" s="24"/>
      <c r="CI56" s="24">
        <v>250</v>
      </c>
      <c r="CJ56" s="24">
        <v>250</v>
      </c>
      <c r="CK56" s="24">
        <v>377</v>
      </c>
      <c r="CL56" s="24">
        <v>300</v>
      </c>
      <c r="CM56" s="24">
        <v>200</v>
      </c>
      <c r="CN56" s="24">
        <v>800</v>
      </c>
      <c r="CO56" s="24"/>
      <c r="CP56" s="24">
        <v>200</v>
      </c>
      <c r="CQ56" s="24">
        <v>100</v>
      </c>
      <c r="CR56" s="24">
        <v>50</v>
      </c>
      <c r="CS56" s="24"/>
      <c r="CT56" s="24">
        <v>100</v>
      </c>
      <c r="CU56" s="24">
        <v>90</v>
      </c>
      <c r="CV56" s="24">
        <v>100</v>
      </c>
      <c r="CW56" s="24">
        <v>300</v>
      </c>
      <c r="CX56" s="24">
        <v>300</v>
      </c>
      <c r="CY56" s="24">
        <v>2765</v>
      </c>
      <c r="CZ56" s="24">
        <v>241</v>
      </c>
      <c r="DA56" s="24">
        <v>1130</v>
      </c>
      <c r="DB56" s="24">
        <v>710</v>
      </c>
      <c r="DC56" s="24">
        <v>441.156203</v>
      </c>
      <c r="DD56" s="24">
        <v>1534</v>
      </c>
      <c r="DE56" s="18">
        <v>7575.8390026814859</v>
      </c>
      <c r="DF56" s="18">
        <f t="shared" si="9"/>
        <v>7711.1562030000005</v>
      </c>
      <c r="DG56" s="23">
        <f t="shared" si="10"/>
        <v>1.0178616784584016</v>
      </c>
      <c r="DH56" s="24"/>
      <c r="DI56" s="24"/>
      <c r="DJ56" s="24"/>
      <c r="DK56" s="24"/>
      <c r="DL56" s="24"/>
      <c r="DM56" s="24"/>
      <c r="DN56" s="24"/>
      <c r="DO56" s="24">
        <v>136</v>
      </c>
      <c r="DP56" s="24">
        <v>44</v>
      </c>
      <c r="DQ56" s="24">
        <v>168</v>
      </c>
      <c r="DR56" s="24">
        <v>114</v>
      </c>
      <c r="DS56" s="24">
        <v>68</v>
      </c>
      <c r="DT56" s="24">
        <v>1251</v>
      </c>
      <c r="DU56" s="24">
        <v>1196</v>
      </c>
      <c r="DV56" s="24">
        <v>3395</v>
      </c>
      <c r="DW56" s="24">
        <v>319</v>
      </c>
      <c r="DX56" s="24">
        <v>287</v>
      </c>
      <c r="DY56" s="24">
        <v>119</v>
      </c>
      <c r="DZ56" s="24">
        <v>204</v>
      </c>
      <c r="EA56" s="24">
        <v>0</v>
      </c>
      <c r="EB56" s="24">
        <v>34</v>
      </c>
      <c r="EC56" s="24">
        <v>170</v>
      </c>
      <c r="ED56" s="24">
        <v>119</v>
      </c>
      <c r="EE56" s="24">
        <v>85</v>
      </c>
      <c r="EF56" s="18">
        <v>3594.841698130856</v>
      </c>
      <c r="EG56" s="18">
        <f t="shared" si="11"/>
        <v>7179</v>
      </c>
      <c r="EH56" s="23">
        <f t="shared" si="12"/>
        <v>1.9970281316511749</v>
      </c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>
        <v>500</v>
      </c>
      <c r="EV56" s="24">
        <v>280</v>
      </c>
      <c r="EW56" s="24">
        <v>550</v>
      </c>
      <c r="EX56" s="24">
        <v>2582</v>
      </c>
      <c r="EY56" s="24">
        <v>1773</v>
      </c>
      <c r="EZ56" s="24">
        <v>150</v>
      </c>
      <c r="FA56" s="24">
        <v>1196.5210790000001</v>
      </c>
      <c r="FB56" s="24">
        <v>80</v>
      </c>
      <c r="FC56" s="24">
        <v>531.22824500000002</v>
      </c>
      <c r="FD56" s="24"/>
      <c r="FE56" s="24">
        <v>469.03190000000001</v>
      </c>
      <c r="FF56" s="24">
        <v>388.8</v>
      </c>
      <c r="FG56" s="18">
        <v>7413.2941853653792</v>
      </c>
      <c r="FH56" s="18">
        <v>7816.7812240000003</v>
      </c>
      <c r="FI56" s="23">
        <v>1.0544274958669719</v>
      </c>
      <c r="FJ56" s="24"/>
      <c r="FK56" s="24">
        <v>235.9</v>
      </c>
      <c r="FL56" s="24">
        <v>831.55099999999993</v>
      </c>
      <c r="FM56" s="24">
        <v>814.35</v>
      </c>
      <c r="FN56" s="24">
        <v>673.15000000000009</v>
      </c>
      <c r="FO56" s="24">
        <v>847.04</v>
      </c>
      <c r="FP56" s="24">
        <v>956.86899999999991</v>
      </c>
      <c r="FQ56" s="24">
        <v>1490.2750000000001</v>
      </c>
      <c r="FR56" s="24">
        <v>1294.83</v>
      </c>
      <c r="FS56" s="24">
        <v>777.29</v>
      </c>
      <c r="FT56" s="24">
        <v>503.5</v>
      </c>
      <c r="FU56" s="24">
        <v>828</v>
      </c>
      <c r="FV56" s="24">
        <v>318.95</v>
      </c>
      <c r="FW56" s="24">
        <v>1182.1100000000001</v>
      </c>
      <c r="FX56" s="24">
        <v>1382.79936</v>
      </c>
      <c r="FY56" s="24">
        <v>3229.42</v>
      </c>
      <c r="FZ56" s="24">
        <v>923</v>
      </c>
      <c r="GA56" s="24">
        <v>651.20000000000005</v>
      </c>
      <c r="GB56" s="24">
        <v>1045.595</v>
      </c>
      <c r="GC56" s="24">
        <v>683.25</v>
      </c>
      <c r="GD56" s="24">
        <v>1588.6399999999999</v>
      </c>
      <c r="GE56" s="24">
        <v>1457.6399999999999</v>
      </c>
      <c r="GF56" s="24">
        <v>827.59999999999991</v>
      </c>
      <c r="GG56" s="24">
        <v>1170.1399999999999</v>
      </c>
      <c r="GH56" s="26">
        <v>14244.018056417744</v>
      </c>
      <c r="GI56" s="26">
        <f t="shared" si="52"/>
        <v>14460.344359999999</v>
      </c>
      <c r="GJ56" s="23">
        <f t="shared" si="53"/>
        <v>1.0151871685872222</v>
      </c>
    </row>
    <row r="57" spans="1:192" s="14" customFormat="1" ht="24.95" customHeight="1">
      <c r="A57" s="19">
        <f t="shared" si="59"/>
        <v>13</v>
      </c>
      <c r="B57" s="20" t="s">
        <v>45</v>
      </c>
      <c r="C57" s="21">
        <v>11582</v>
      </c>
      <c r="D57" s="21"/>
      <c r="E57" s="21"/>
      <c r="F57" s="21"/>
      <c r="G57" s="24">
        <v>49</v>
      </c>
      <c r="H57" s="24">
        <v>47</v>
      </c>
      <c r="I57" s="24">
        <v>49</v>
      </c>
      <c r="J57" s="24">
        <v>65</v>
      </c>
      <c r="K57" s="24">
        <v>65</v>
      </c>
      <c r="L57" s="24">
        <v>52</v>
      </c>
      <c r="M57" s="24">
        <v>52</v>
      </c>
      <c r="N57" s="24">
        <v>52</v>
      </c>
      <c r="O57" s="24">
        <v>55</v>
      </c>
      <c r="P57" s="24">
        <v>142</v>
      </c>
      <c r="Q57" s="24">
        <v>165</v>
      </c>
      <c r="R57" s="24">
        <v>85</v>
      </c>
      <c r="S57" s="24">
        <v>75</v>
      </c>
      <c r="T57" s="24">
        <v>73</v>
      </c>
      <c r="U57" s="24">
        <v>62</v>
      </c>
      <c r="V57" s="24">
        <v>67</v>
      </c>
      <c r="W57" s="24">
        <v>113</v>
      </c>
      <c r="X57" s="24">
        <v>93</v>
      </c>
      <c r="Y57" s="24"/>
      <c r="Z57" s="24">
        <v>31</v>
      </c>
      <c r="AA57" s="24">
        <v>57</v>
      </c>
      <c r="AB57" s="22">
        <v>764</v>
      </c>
      <c r="AC57" s="22">
        <f t="shared" si="3"/>
        <v>963</v>
      </c>
      <c r="AD57" s="23">
        <f t="shared" si="4"/>
        <v>1.2604712041884816</v>
      </c>
      <c r="AE57" s="24"/>
      <c r="AF57" s="24"/>
      <c r="AG57" s="24"/>
      <c r="AH57" s="24"/>
      <c r="AI57" s="24"/>
      <c r="AJ57" s="24"/>
      <c r="AK57" s="24">
        <v>202</v>
      </c>
      <c r="AL57" s="24">
        <v>476</v>
      </c>
      <c r="AM57" s="24">
        <v>17</v>
      </c>
      <c r="AN57" s="24"/>
      <c r="AO57" s="24">
        <v>2</v>
      </c>
      <c r="AP57" s="24"/>
      <c r="AQ57" s="24">
        <v>56</v>
      </c>
      <c r="AR57" s="24">
        <v>116</v>
      </c>
      <c r="AS57" s="24">
        <v>40</v>
      </c>
      <c r="AT57" s="24">
        <v>84</v>
      </c>
      <c r="AU57" s="24">
        <v>82</v>
      </c>
      <c r="AV57" s="24">
        <v>110</v>
      </c>
      <c r="AW57" s="24">
        <v>61</v>
      </c>
      <c r="AX57" s="24">
        <v>29</v>
      </c>
      <c r="AY57" s="24">
        <v>60</v>
      </c>
      <c r="AZ57" s="24">
        <v>120</v>
      </c>
      <c r="BA57" s="24">
        <v>24</v>
      </c>
      <c r="BB57" s="24">
        <v>6</v>
      </c>
      <c r="BC57" s="32">
        <v>719</v>
      </c>
      <c r="BD57" s="32">
        <f t="shared" si="6"/>
        <v>788</v>
      </c>
      <c r="BE57" s="23">
        <f t="shared" si="7"/>
        <v>1.0959666203059806</v>
      </c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>
        <v>300</v>
      </c>
      <c r="BS57" s="24">
        <v>207</v>
      </c>
      <c r="BT57" s="24">
        <v>242</v>
      </c>
      <c r="BU57" s="24">
        <v>99</v>
      </c>
      <c r="BV57" s="24">
        <v>120</v>
      </c>
      <c r="BW57" s="24">
        <v>124</v>
      </c>
      <c r="BX57" s="24">
        <v>49</v>
      </c>
      <c r="BY57" s="24">
        <v>30</v>
      </c>
      <c r="BZ57" s="24">
        <v>50</v>
      </c>
      <c r="CA57" s="24">
        <v>39</v>
      </c>
      <c r="CB57" s="24">
        <v>28</v>
      </c>
      <c r="CC57" s="24">
        <v>4</v>
      </c>
      <c r="CD57" s="25">
        <v>1013</v>
      </c>
      <c r="CE57" s="25">
        <v>1260</v>
      </c>
      <c r="CF57" s="23">
        <f t="shared" si="8"/>
        <v>1.2438302073050345</v>
      </c>
      <c r="CG57" s="24"/>
      <c r="CH57" s="24"/>
      <c r="CI57" s="24">
        <v>50</v>
      </c>
      <c r="CJ57" s="24">
        <v>349.99723025000003</v>
      </c>
      <c r="CK57" s="24">
        <v>385</v>
      </c>
      <c r="CL57" s="24">
        <v>200</v>
      </c>
      <c r="CM57" s="24">
        <v>375</v>
      </c>
      <c r="CN57" s="24">
        <v>1150</v>
      </c>
      <c r="CO57" s="24">
        <v>100</v>
      </c>
      <c r="CP57" s="24"/>
      <c r="CQ57" s="24">
        <v>260</v>
      </c>
      <c r="CR57" s="24"/>
      <c r="CS57" s="24"/>
      <c r="CT57" s="24">
        <v>196.2</v>
      </c>
      <c r="CU57" s="24">
        <v>200</v>
      </c>
      <c r="CV57" s="24">
        <v>570</v>
      </c>
      <c r="CW57" s="24">
        <v>930</v>
      </c>
      <c r="CX57" s="24">
        <v>470</v>
      </c>
      <c r="CY57" s="24">
        <v>1528</v>
      </c>
      <c r="CZ57" s="24">
        <v>1080</v>
      </c>
      <c r="DA57" s="24">
        <v>1270</v>
      </c>
      <c r="DB57" s="24">
        <v>780</v>
      </c>
      <c r="DC57" s="24">
        <v>956</v>
      </c>
      <c r="DD57" s="24">
        <v>540</v>
      </c>
      <c r="DE57" s="18">
        <v>8140.5480327970345</v>
      </c>
      <c r="DF57" s="18">
        <f t="shared" si="9"/>
        <v>8520.2000000000007</v>
      </c>
      <c r="DG57" s="23">
        <f t="shared" si="10"/>
        <v>1.0466371509231818</v>
      </c>
      <c r="DH57" s="24"/>
      <c r="DI57" s="24"/>
      <c r="DJ57" s="24"/>
      <c r="DK57" s="24"/>
      <c r="DL57" s="24"/>
      <c r="DM57" s="24"/>
      <c r="DN57" s="24">
        <v>129</v>
      </c>
      <c r="DO57" s="24">
        <v>205</v>
      </c>
      <c r="DP57" s="24">
        <v>389</v>
      </c>
      <c r="DQ57" s="24">
        <v>168</v>
      </c>
      <c r="DR57" s="24">
        <v>162</v>
      </c>
      <c r="DS57" s="24">
        <v>173.54</v>
      </c>
      <c r="DT57" s="24">
        <v>441</v>
      </c>
      <c r="DU57" s="24">
        <v>1230</v>
      </c>
      <c r="DV57" s="24">
        <v>1341</v>
      </c>
      <c r="DW57" s="24">
        <v>349</v>
      </c>
      <c r="DX57" s="24">
        <v>195</v>
      </c>
      <c r="DY57" s="24">
        <v>221</v>
      </c>
      <c r="DZ57" s="24">
        <v>258</v>
      </c>
      <c r="EA57" s="24">
        <v>119</v>
      </c>
      <c r="EB57" s="24">
        <v>51</v>
      </c>
      <c r="EC57" s="24">
        <v>52</v>
      </c>
      <c r="ED57" s="24">
        <v>51</v>
      </c>
      <c r="EE57" s="24">
        <v>57</v>
      </c>
      <c r="EF57" s="18">
        <v>2418.3303807556372</v>
      </c>
      <c r="EG57" s="18">
        <f t="shared" si="11"/>
        <v>4365</v>
      </c>
      <c r="EH57" s="23">
        <f t="shared" si="12"/>
        <v>1.8049642988135071</v>
      </c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>
        <v>190</v>
      </c>
      <c r="EV57" s="24">
        <v>300</v>
      </c>
      <c r="EW57" s="24">
        <v>295</v>
      </c>
      <c r="EX57" s="24">
        <v>635</v>
      </c>
      <c r="EY57" s="24">
        <v>670</v>
      </c>
      <c r="EZ57" s="24">
        <v>886</v>
      </c>
      <c r="FA57" s="24">
        <v>661</v>
      </c>
      <c r="FB57" s="24">
        <v>743</v>
      </c>
      <c r="FC57" s="24">
        <v>1516.6251200000002</v>
      </c>
      <c r="FD57" s="24">
        <v>445.72720000000004</v>
      </c>
      <c r="FE57" s="24">
        <v>1012.78245</v>
      </c>
      <c r="FF57" s="24">
        <v>535</v>
      </c>
      <c r="FG57" s="18">
        <v>6893.2318314346048</v>
      </c>
      <c r="FH57" s="18">
        <v>8427.1375700000008</v>
      </c>
      <c r="FI57" s="23">
        <v>1.2225234514194721</v>
      </c>
      <c r="FJ57" s="24"/>
      <c r="FK57" s="24">
        <v>258.15000000000003</v>
      </c>
      <c r="FL57" s="24">
        <v>269.34999999999997</v>
      </c>
      <c r="FM57" s="24">
        <v>797.98700000000008</v>
      </c>
      <c r="FN57" s="24">
        <v>543.84199999999998</v>
      </c>
      <c r="FO57" s="24">
        <v>213.63</v>
      </c>
      <c r="FP57" s="24">
        <v>226.4</v>
      </c>
      <c r="FQ57" s="24">
        <v>489.22300000000001</v>
      </c>
      <c r="FR57" s="24">
        <v>559.54999999999995</v>
      </c>
      <c r="FS57" s="24">
        <v>221.59</v>
      </c>
      <c r="FT57" s="24">
        <v>214.352</v>
      </c>
      <c r="FU57" s="24">
        <v>376.50599999999997</v>
      </c>
      <c r="FV57" s="24">
        <v>281.62</v>
      </c>
      <c r="FW57" s="24">
        <v>534.56500000000005</v>
      </c>
      <c r="FX57" s="24">
        <v>393.3</v>
      </c>
      <c r="FY57" s="24">
        <v>2564.5</v>
      </c>
      <c r="FZ57" s="24">
        <v>189.5</v>
      </c>
      <c r="GA57" s="24">
        <v>225.85000000000002</v>
      </c>
      <c r="GB57" s="24">
        <v>170</v>
      </c>
      <c r="GC57" s="24">
        <v>121.8</v>
      </c>
      <c r="GD57" s="24">
        <v>520.74</v>
      </c>
      <c r="GE57" s="24">
        <v>370.51400000000001</v>
      </c>
      <c r="GF57" s="24">
        <v>66.025000000000006</v>
      </c>
      <c r="GG57" s="24">
        <v>59</v>
      </c>
      <c r="GH57" s="26">
        <v>5258.234149003978</v>
      </c>
      <c r="GI57" s="26">
        <f t="shared" si="52"/>
        <v>5497.4139999999998</v>
      </c>
      <c r="GJ57" s="23">
        <f t="shared" si="53"/>
        <v>1.0454867250522359</v>
      </c>
    </row>
    <row r="58" spans="1:192" s="14" customFormat="1" ht="24.95" customHeight="1">
      <c r="A58" s="19">
        <f t="shared" si="59"/>
        <v>14</v>
      </c>
      <c r="B58" s="20" t="s">
        <v>93</v>
      </c>
      <c r="C58" s="21">
        <v>11633</v>
      </c>
      <c r="D58" s="21"/>
      <c r="E58" s="21"/>
      <c r="F58" s="21"/>
      <c r="G58" s="24">
        <v>78</v>
      </c>
      <c r="H58" s="24">
        <v>60</v>
      </c>
      <c r="I58" s="24">
        <v>67</v>
      </c>
      <c r="J58" s="24">
        <v>86</v>
      </c>
      <c r="K58" s="24">
        <v>80</v>
      </c>
      <c r="L58" s="24">
        <v>112</v>
      </c>
      <c r="M58" s="24">
        <v>79</v>
      </c>
      <c r="N58" s="24">
        <v>79</v>
      </c>
      <c r="O58" s="24">
        <v>78</v>
      </c>
      <c r="P58" s="24">
        <v>64</v>
      </c>
      <c r="Q58" s="24">
        <v>82</v>
      </c>
      <c r="R58" s="24">
        <v>251</v>
      </c>
      <c r="S58" s="24">
        <v>153</v>
      </c>
      <c r="T58" s="24">
        <v>137</v>
      </c>
      <c r="U58" s="24">
        <v>122</v>
      </c>
      <c r="V58" s="24">
        <v>98</v>
      </c>
      <c r="W58" s="24">
        <v>205</v>
      </c>
      <c r="X58" s="24">
        <v>334</v>
      </c>
      <c r="Y58" s="24">
        <v>3</v>
      </c>
      <c r="Z58" s="24">
        <v>173</v>
      </c>
      <c r="AA58" s="24">
        <v>31</v>
      </c>
      <c r="AB58" s="22">
        <v>1132</v>
      </c>
      <c r="AC58" s="22">
        <f t="shared" si="3"/>
        <v>1653</v>
      </c>
      <c r="AD58" s="23">
        <f t="shared" si="4"/>
        <v>1.4602473498233215</v>
      </c>
      <c r="AE58" s="24"/>
      <c r="AF58" s="24"/>
      <c r="AG58" s="24"/>
      <c r="AH58" s="24"/>
      <c r="AI58" s="24"/>
      <c r="AJ58" s="24">
        <v>7</v>
      </c>
      <c r="AK58" s="24">
        <v>43</v>
      </c>
      <c r="AL58" s="24">
        <v>71</v>
      </c>
      <c r="AM58" s="24">
        <v>31</v>
      </c>
      <c r="AN58" s="24"/>
      <c r="AO58" s="24">
        <v>1</v>
      </c>
      <c r="AP58" s="24"/>
      <c r="AQ58" s="24">
        <v>9</v>
      </c>
      <c r="AR58" s="24">
        <v>16</v>
      </c>
      <c r="AS58" s="24">
        <v>17</v>
      </c>
      <c r="AT58" s="24">
        <v>18</v>
      </c>
      <c r="AU58" s="24">
        <v>21</v>
      </c>
      <c r="AV58" s="24">
        <v>5</v>
      </c>
      <c r="AW58" s="24">
        <v>15</v>
      </c>
      <c r="AX58" s="24">
        <v>7</v>
      </c>
      <c r="AY58" s="24">
        <v>16</v>
      </c>
      <c r="AZ58" s="24">
        <v>10</v>
      </c>
      <c r="BA58" s="24">
        <v>17</v>
      </c>
      <c r="BB58" s="24">
        <v>8</v>
      </c>
      <c r="BC58" s="32">
        <v>144</v>
      </c>
      <c r="BD58" s="32">
        <f t="shared" si="6"/>
        <v>159</v>
      </c>
      <c r="BE58" s="23">
        <f t="shared" si="7"/>
        <v>1.1041666666666667</v>
      </c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>
        <v>0</v>
      </c>
      <c r="BS58" s="24">
        <v>2</v>
      </c>
      <c r="BT58" s="24">
        <v>79</v>
      </c>
      <c r="BU58" s="24">
        <v>53</v>
      </c>
      <c r="BV58" s="24">
        <v>130</v>
      </c>
      <c r="BW58" s="24">
        <v>116</v>
      </c>
      <c r="BX58" s="24">
        <v>177</v>
      </c>
      <c r="BY58" s="24">
        <v>24</v>
      </c>
      <c r="BZ58" s="24">
        <v>45</v>
      </c>
      <c r="CA58" s="24">
        <v>52</v>
      </c>
      <c r="CB58" s="24">
        <v>15</v>
      </c>
      <c r="CC58" s="24">
        <v>23</v>
      </c>
      <c r="CD58" s="25">
        <v>421</v>
      </c>
      <c r="CE58" s="25">
        <v>678</v>
      </c>
      <c r="CF58" s="23">
        <f t="shared" si="8"/>
        <v>1.6104513064133017</v>
      </c>
      <c r="CG58" s="24"/>
      <c r="CH58" s="24"/>
      <c r="CI58" s="24">
        <v>100</v>
      </c>
      <c r="CJ58" s="24"/>
      <c r="CK58" s="24">
        <v>200</v>
      </c>
      <c r="CL58" s="24">
        <v>300</v>
      </c>
      <c r="CM58" s="24">
        <v>200</v>
      </c>
      <c r="CN58" s="24"/>
      <c r="CO58" s="24"/>
      <c r="CP58" s="24"/>
      <c r="CQ58" s="24">
        <v>445.9</v>
      </c>
      <c r="CR58" s="24"/>
      <c r="CS58" s="24"/>
      <c r="CT58" s="24">
        <v>310</v>
      </c>
      <c r="CU58" s="24">
        <v>400</v>
      </c>
      <c r="CV58" s="24">
        <v>684</v>
      </c>
      <c r="CW58" s="24">
        <v>270</v>
      </c>
      <c r="CX58" s="24">
        <v>1260</v>
      </c>
      <c r="CY58" s="24">
        <v>2337</v>
      </c>
      <c r="CZ58" s="24">
        <v>850</v>
      </c>
      <c r="DA58" s="24">
        <v>1000</v>
      </c>
      <c r="DB58" s="24">
        <v>800</v>
      </c>
      <c r="DC58" s="24">
        <v>600</v>
      </c>
      <c r="DD58" s="24">
        <v>360</v>
      </c>
      <c r="DE58" s="18">
        <v>8498.1500344523738</v>
      </c>
      <c r="DF58" s="18">
        <f t="shared" si="9"/>
        <v>8871</v>
      </c>
      <c r="DG58" s="23">
        <f t="shared" si="10"/>
        <v>1.0438742507529351</v>
      </c>
      <c r="DH58" s="24"/>
      <c r="DI58" s="24"/>
      <c r="DJ58" s="24"/>
      <c r="DK58" s="24"/>
      <c r="DL58" s="24"/>
      <c r="DM58" s="24"/>
      <c r="DN58" s="24">
        <v>29</v>
      </c>
      <c r="DO58" s="24">
        <v>215</v>
      </c>
      <c r="DP58" s="24">
        <v>184</v>
      </c>
      <c r="DQ58" s="24">
        <v>293</v>
      </c>
      <c r="DR58" s="24">
        <v>146</v>
      </c>
      <c r="DS58" s="24">
        <v>109</v>
      </c>
      <c r="DT58" s="24">
        <v>0</v>
      </c>
      <c r="DU58" s="24">
        <v>808</v>
      </c>
      <c r="DV58" s="24">
        <v>159</v>
      </c>
      <c r="DW58" s="24">
        <v>104</v>
      </c>
      <c r="DX58" s="24">
        <v>83</v>
      </c>
      <c r="DY58" s="24">
        <v>122</v>
      </c>
      <c r="DZ58" s="24">
        <v>85</v>
      </c>
      <c r="EA58" s="24">
        <v>27</v>
      </c>
      <c r="EB58" s="24">
        <v>0</v>
      </c>
      <c r="EC58" s="24">
        <v>34</v>
      </c>
      <c r="ED58" s="24">
        <v>34</v>
      </c>
      <c r="EE58" s="24">
        <v>0</v>
      </c>
      <c r="EF58" s="18">
        <v>2153.053778056038</v>
      </c>
      <c r="EG58" s="18">
        <f t="shared" si="11"/>
        <v>1456</v>
      </c>
      <c r="EH58" s="23">
        <f t="shared" si="12"/>
        <v>0.67624878432651225</v>
      </c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>
        <v>215</v>
      </c>
      <c r="EV58" s="24">
        <v>290</v>
      </c>
      <c r="EW58" s="24">
        <v>437.39569999999998</v>
      </c>
      <c r="EX58" s="24">
        <v>420</v>
      </c>
      <c r="EY58" s="24">
        <v>350</v>
      </c>
      <c r="EZ58" s="24">
        <v>740.27475000000004</v>
      </c>
      <c r="FA58" s="24">
        <v>380</v>
      </c>
      <c r="FB58" s="24">
        <v>563.70031399999993</v>
      </c>
      <c r="FC58" s="24">
        <v>920.04296999999997</v>
      </c>
      <c r="FD58" s="24">
        <v>45</v>
      </c>
      <c r="FE58" s="24">
        <v>180</v>
      </c>
      <c r="FF58" s="24"/>
      <c r="FG58" s="18">
        <v>3573.0969302541789</v>
      </c>
      <c r="FH58" s="18">
        <v>3842.71342</v>
      </c>
      <c r="FI58" s="23">
        <v>1.0754573679384178</v>
      </c>
      <c r="FJ58" s="24"/>
      <c r="FK58" s="24">
        <v>269</v>
      </c>
      <c r="FL58" s="24">
        <v>715.1</v>
      </c>
      <c r="FM58" s="24">
        <v>1127.752</v>
      </c>
      <c r="FN58" s="24">
        <v>1330.67</v>
      </c>
      <c r="FO58" s="24">
        <v>489.20000000000005</v>
      </c>
      <c r="FP58" s="24">
        <v>393.61</v>
      </c>
      <c r="FQ58" s="24">
        <v>995.94799999999998</v>
      </c>
      <c r="FR58" s="24">
        <v>959.1</v>
      </c>
      <c r="FS58" s="24">
        <v>518.19000000000005</v>
      </c>
      <c r="FT58" s="24">
        <v>462</v>
      </c>
      <c r="FU58" s="24">
        <v>822.65599999999995</v>
      </c>
      <c r="FV58" s="24">
        <v>216</v>
      </c>
      <c r="FW58" s="24">
        <v>1114.42</v>
      </c>
      <c r="FX58" s="24">
        <v>1122.2809999999999</v>
      </c>
      <c r="FY58" s="24">
        <v>1949</v>
      </c>
      <c r="FZ58" s="24">
        <v>668.5</v>
      </c>
      <c r="GA58" s="24">
        <v>505.5</v>
      </c>
      <c r="GB58" s="24">
        <v>704</v>
      </c>
      <c r="GC58" s="24">
        <v>662</v>
      </c>
      <c r="GD58" s="24">
        <v>859</v>
      </c>
      <c r="GE58" s="24">
        <v>684.5</v>
      </c>
      <c r="GF58" s="24">
        <v>441</v>
      </c>
      <c r="GG58" s="24">
        <v>557.19900000000007</v>
      </c>
      <c r="GH58" s="26">
        <v>9594.6738045343754</v>
      </c>
      <c r="GI58" s="26">
        <f t="shared" si="52"/>
        <v>9483.4000000000015</v>
      </c>
      <c r="GJ58" s="23">
        <f t="shared" si="53"/>
        <v>0.98840254428641583</v>
      </c>
    </row>
    <row r="59" spans="1:192" s="14" customFormat="1" ht="24.95" customHeight="1">
      <c r="A59" s="19">
        <f t="shared" si="59"/>
        <v>15</v>
      </c>
      <c r="B59" s="20" t="s">
        <v>42</v>
      </c>
      <c r="C59" s="21">
        <v>11634</v>
      </c>
      <c r="D59" s="21"/>
      <c r="E59" s="21"/>
      <c r="F59" s="21"/>
      <c r="G59" s="24">
        <v>64</v>
      </c>
      <c r="H59" s="24">
        <v>71</v>
      </c>
      <c r="I59" s="24">
        <v>74</v>
      </c>
      <c r="J59" s="24">
        <v>75</v>
      </c>
      <c r="K59" s="24">
        <v>75</v>
      </c>
      <c r="L59" s="24">
        <v>75</v>
      </c>
      <c r="M59" s="24">
        <v>70</v>
      </c>
      <c r="N59" s="24">
        <v>70</v>
      </c>
      <c r="O59" s="24">
        <v>68</v>
      </c>
      <c r="P59" s="24">
        <v>30</v>
      </c>
      <c r="Q59" s="24">
        <v>3</v>
      </c>
      <c r="R59" s="24">
        <v>20</v>
      </c>
      <c r="S59" s="24">
        <v>90</v>
      </c>
      <c r="T59" s="24">
        <v>239</v>
      </c>
      <c r="U59" s="24">
        <v>203</v>
      </c>
      <c r="V59" s="24">
        <v>116</v>
      </c>
      <c r="W59" s="24">
        <v>87</v>
      </c>
      <c r="X59" s="24">
        <v>80</v>
      </c>
      <c r="Y59" s="24">
        <v>8</v>
      </c>
      <c r="Z59" s="24">
        <v>97</v>
      </c>
      <c r="AA59" s="24">
        <v>30</v>
      </c>
      <c r="AB59" s="22">
        <v>708</v>
      </c>
      <c r="AC59" s="22">
        <f t="shared" si="3"/>
        <v>1003</v>
      </c>
      <c r="AD59" s="23">
        <f t="shared" si="4"/>
        <v>1.4166666666666667</v>
      </c>
      <c r="AE59" s="24"/>
      <c r="AF59" s="24"/>
      <c r="AG59" s="24"/>
      <c r="AH59" s="24"/>
      <c r="AI59" s="24"/>
      <c r="AJ59" s="24"/>
      <c r="AK59" s="24">
        <v>75</v>
      </c>
      <c r="AL59" s="24">
        <v>144</v>
      </c>
      <c r="AM59" s="24">
        <v>24</v>
      </c>
      <c r="AN59" s="24">
        <v>1</v>
      </c>
      <c r="AO59" s="24">
        <v>22</v>
      </c>
      <c r="AP59" s="24"/>
      <c r="AQ59" s="24">
        <v>16</v>
      </c>
      <c r="AR59" s="24">
        <v>39</v>
      </c>
      <c r="AS59" s="24">
        <v>42</v>
      </c>
      <c r="AT59" s="24">
        <v>33</v>
      </c>
      <c r="AU59" s="24">
        <v>29</v>
      </c>
      <c r="AV59" s="24">
        <v>26</v>
      </c>
      <c r="AW59" s="24">
        <v>9</v>
      </c>
      <c r="AX59" s="24">
        <v>17</v>
      </c>
      <c r="AY59" s="24">
        <v>23</v>
      </c>
      <c r="AZ59" s="24">
        <v>58</v>
      </c>
      <c r="BA59" s="24">
        <v>32</v>
      </c>
      <c r="BB59" s="24">
        <v>13</v>
      </c>
      <c r="BC59" s="32">
        <v>298</v>
      </c>
      <c r="BD59" s="32">
        <f t="shared" si="6"/>
        <v>337</v>
      </c>
      <c r="BE59" s="23">
        <f t="shared" si="7"/>
        <v>1.1308724832214765</v>
      </c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>
        <v>108</v>
      </c>
      <c r="BS59" s="24">
        <v>236</v>
      </c>
      <c r="BT59" s="24">
        <v>111</v>
      </c>
      <c r="BU59" s="24">
        <v>229</v>
      </c>
      <c r="BV59" s="24">
        <v>292</v>
      </c>
      <c r="BW59" s="24">
        <v>149</v>
      </c>
      <c r="BX59" s="24">
        <v>54</v>
      </c>
      <c r="BY59" s="24">
        <v>67</v>
      </c>
      <c r="BZ59" s="24">
        <v>129</v>
      </c>
      <c r="CA59" s="24">
        <v>303</v>
      </c>
      <c r="CB59" s="24">
        <v>150</v>
      </c>
      <c r="CC59" s="24">
        <v>85</v>
      </c>
      <c r="CD59" s="25">
        <v>1005</v>
      </c>
      <c r="CE59" s="25">
        <v>1678</v>
      </c>
      <c r="CF59" s="23">
        <f t="shared" si="8"/>
        <v>1.6696517412935323</v>
      </c>
      <c r="CG59" s="24"/>
      <c r="CH59" s="24"/>
      <c r="CI59" s="24">
        <v>65</v>
      </c>
      <c r="CJ59" s="24">
        <v>150</v>
      </c>
      <c r="CK59" s="24">
        <v>200</v>
      </c>
      <c r="CL59" s="24">
        <v>200</v>
      </c>
      <c r="CM59" s="24">
        <v>100</v>
      </c>
      <c r="CN59" s="24">
        <v>200</v>
      </c>
      <c r="CO59" s="24">
        <v>360</v>
      </c>
      <c r="CP59" s="24"/>
      <c r="CQ59" s="24">
        <v>300</v>
      </c>
      <c r="CR59" s="24"/>
      <c r="CS59" s="24">
        <v>138</v>
      </c>
      <c r="CT59" s="24">
        <v>100</v>
      </c>
      <c r="CU59" s="24">
        <v>100</v>
      </c>
      <c r="CV59" s="24">
        <v>390</v>
      </c>
      <c r="CW59" s="24">
        <v>849</v>
      </c>
      <c r="CX59" s="24">
        <v>100</v>
      </c>
      <c r="CY59" s="24"/>
      <c r="CZ59" s="24">
        <v>459.99808000000002</v>
      </c>
      <c r="DA59" s="24">
        <v>649.79999999999995</v>
      </c>
      <c r="DB59" s="24">
        <v>445</v>
      </c>
      <c r="DC59" s="24">
        <v>585.82999999999993</v>
      </c>
      <c r="DD59" s="24">
        <v>400</v>
      </c>
      <c r="DE59" s="18">
        <v>4194.8408530275838</v>
      </c>
      <c r="DF59" s="18">
        <f t="shared" si="9"/>
        <v>4217.6280799999995</v>
      </c>
      <c r="DG59" s="23">
        <f t="shared" si="10"/>
        <v>1.0054322029776097</v>
      </c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>
        <v>200</v>
      </c>
      <c r="DU59" s="24">
        <v>235</v>
      </c>
      <c r="DV59" s="24">
        <v>48</v>
      </c>
      <c r="DW59" s="24">
        <v>151</v>
      </c>
      <c r="DX59" s="24">
        <v>0</v>
      </c>
      <c r="DY59" s="24">
        <v>95</v>
      </c>
      <c r="DZ59" s="24">
        <v>83</v>
      </c>
      <c r="EA59" s="24">
        <v>119</v>
      </c>
      <c r="EB59" s="24">
        <v>85</v>
      </c>
      <c r="EC59" s="24">
        <v>200</v>
      </c>
      <c r="ED59" s="24">
        <v>34</v>
      </c>
      <c r="EE59" s="24">
        <v>68</v>
      </c>
      <c r="EF59" s="18">
        <v>877.98092025166864</v>
      </c>
      <c r="EG59" s="18">
        <f t="shared" si="11"/>
        <v>1318</v>
      </c>
      <c r="EH59" s="23">
        <f t="shared" si="12"/>
        <v>1.501171574004367</v>
      </c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>
        <v>66</v>
      </c>
      <c r="EV59" s="24">
        <v>30</v>
      </c>
      <c r="EW59" s="24">
        <v>150</v>
      </c>
      <c r="EX59" s="24">
        <v>276.26476000000002</v>
      </c>
      <c r="EY59" s="24">
        <v>200</v>
      </c>
      <c r="EZ59" s="24">
        <v>471.36149999999998</v>
      </c>
      <c r="FA59" s="24">
        <v>801.01181799999995</v>
      </c>
      <c r="FB59" s="24">
        <v>689.44978199999991</v>
      </c>
      <c r="FC59" s="24">
        <v>1953.13534</v>
      </c>
      <c r="FD59" s="24">
        <v>1155.4361100000001</v>
      </c>
      <c r="FE59" s="24">
        <v>589.26743999999997</v>
      </c>
      <c r="FF59" s="24">
        <v>50</v>
      </c>
      <c r="FG59" s="18">
        <v>4326.7096788680446</v>
      </c>
      <c r="FH59" s="18">
        <v>4343.5014499999997</v>
      </c>
      <c r="FI59" s="23">
        <v>1.0038809562873994</v>
      </c>
      <c r="FJ59" s="24"/>
      <c r="FK59" s="24"/>
      <c r="FL59" s="24">
        <v>302.065</v>
      </c>
      <c r="FM59" s="24">
        <v>771.32400000000007</v>
      </c>
      <c r="FN59" s="24">
        <v>835.03600000000006</v>
      </c>
      <c r="FO59" s="24">
        <v>455.25</v>
      </c>
      <c r="FP59" s="24">
        <v>874.37499999999989</v>
      </c>
      <c r="FQ59" s="24">
        <v>1108.0650000000001</v>
      </c>
      <c r="FR59" s="24">
        <v>674.01</v>
      </c>
      <c r="FS59" s="24">
        <v>309</v>
      </c>
      <c r="FT59" s="24">
        <v>386.9</v>
      </c>
      <c r="FU59" s="24">
        <v>632.70299999999997</v>
      </c>
      <c r="FV59" s="24">
        <v>444.47499999999997</v>
      </c>
      <c r="FW59" s="24">
        <v>929.29</v>
      </c>
      <c r="FX59" s="24">
        <v>880.58999999999992</v>
      </c>
      <c r="FY59" s="24">
        <v>2474.4059999999999</v>
      </c>
      <c r="FZ59" s="24">
        <v>605</v>
      </c>
      <c r="GA59" s="24">
        <v>564.5</v>
      </c>
      <c r="GB59" s="24">
        <v>412.72</v>
      </c>
      <c r="GC59" s="24">
        <v>910.5</v>
      </c>
      <c r="GD59" s="24">
        <v>2006.39</v>
      </c>
      <c r="GE59" s="24">
        <v>1171.6999999999998</v>
      </c>
      <c r="GF59" s="24">
        <v>438</v>
      </c>
      <c r="GG59" s="24">
        <v>1019.3799999999999</v>
      </c>
      <c r="GH59" s="26">
        <v>12295.469874964941</v>
      </c>
      <c r="GI59" s="26">
        <f t="shared" si="52"/>
        <v>11856.950999999999</v>
      </c>
      <c r="GJ59" s="23">
        <f t="shared" si="53"/>
        <v>0.96433492339663895</v>
      </c>
    </row>
    <row r="60" spans="1:192" s="14" customFormat="1" ht="24.95" customHeight="1">
      <c r="A60" s="19">
        <f t="shared" si="59"/>
        <v>16</v>
      </c>
      <c r="B60" s="20" t="s">
        <v>57</v>
      </c>
      <c r="C60" s="21">
        <v>11782</v>
      </c>
      <c r="D60" s="21"/>
      <c r="E60" s="21"/>
      <c r="F60" s="21"/>
      <c r="G60" s="24">
        <v>95</v>
      </c>
      <c r="H60" s="24">
        <v>84</v>
      </c>
      <c r="I60" s="24">
        <v>86</v>
      </c>
      <c r="J60" s="24">
        <v>95</v>
      </c>
      <c r="K60" s="24">
        <v>80</v>
      </c>
      <c r="L60" s="24">
        <v>70</v>
      </c>
      <c r="M60" s="24">
        <v>65</v>
      </c>
      <c r="N60" s="24">
        <v>68</v>
      </c>
      <c r="O60" s="24">
        <v>66</v>
      </c>
      <c r="P60" s="24">
        <v>65</v>
      </c>
      <c r="Q60" s="24">
        <v>81</v>
      </c>
      <c r="R60" s="24">
        <v>77</v>
      </c>
      <c r="S60" s="24">
        <v>38</v>
      </c>
      <c r="T60" s="24">
        <v>16</v>
      </c>
      <c r="U60" s="24">
        <v>49</v>
      </c>
      <c r="V60" s="24">
        <v>115</v>
      </c>
      <c r="W60" s="24">
        <v>158</v>
      </c>
      <c r="X60" s="24"/>
      <c r="Y60" s="24">
        <v>68</v>
      </c>
      <c r="Z60" s="24">
        <v>193</v>
      </c>
      <c r="AA60" s="24">
        <v>49</v>
      </c>
      <c r="AB60" s="22">
        <v>722</v>
      </c>
      <c r="AC60" s="22">
        <f t="shared" si="3"/>
        <v>909</v>
      </c>
      <c r="AD60" s="23">
        <f t="shared" si="4"/>
        <v>1.2590027700831026</v>
      </c>
      <c r="AE60" s="24"/>
      <c r="AF60" s="24"/>
      <c r="AG60" s="24"/>
      <c r="AH60" s="24"/>
      <c r="AI60" s="24"/>
      <c r="AJ60" s="24">
        <v>19</v>
      </c>
      <c r="AK60" s="24">
        <v>129</v>
      </c>
      <c r="AL60" s="24">
        <v>266</v>
      </c>
      <c r="AM60" s="24">
        <v>19</v>
      </c>
      <c r="AN60" s="24"/>
      <c r="AO60" s="24">
        <v>6</v>
      </c>
      <c r="AP60" s="24">
        <v>2</v>
      </c>
      <c r="AQ60" s="24">
        <v>23</v>
      </c>
      <c r="AR60" s="24">
        <v>62</v>
      </c>
      <c r="AS60" s="24">
        <v>93</v>
      </c>
      <c r="AT60" s="24">
        <v>84</v>
      </c>
      <c r="AU60" s="24">
        <v>32</v>
      </c>
      <c r="AV60" s="24">
        <v>53</v>
      </c>
      <c r="AW60" s="24">
        <v>42</v>
      </c>
      <c r="AX60" s="24">
        <v>67</v>
      </c>
      <c r="AY60" s="24">
        <v>42</v>
      </c>
      <c r="AZ60" s="24">
        <v>22</v>
      </c>
      <c r="BA60" s="24">
        <v>36</v>
      </c>
      <c r="BB60" s="24">
        <v>11</v>
      </c>
      <c r="BC60" s="32">
        <v>484</v>
      </c>
      <c r="BD60" s="32">
        <f t="shared" si="6"/>
        <v>567</v>
      </c>
      <c r="BE60" s="23">
        <f t="shared" si="7"/>
        <v>1.1714876033057851</v>
      </c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>
        <v>189</v>
      </c>
      <c r="BS60" s="24">
        <v>166</v>
      </c>
      <c r="BT60" s="24">
        <v>60</v>
      </c>
      <c r="BU60" s="24">
        <v>47</v>
      </c>
      <c r="BV60" s="24">
        <v>232</v>
      </c>
      <c r="BW60" s="24">
        <v>237</v>
      </c>
      <c r="BX60" s="24">
        <v>66</v>
      </c>
      <c r="BY60" s="24">
        <v>53</v>
      </c>
      <c r="BZ60" s="24">
        <v>57</v>
      </c>
      <c r="CA60" s="24">
        <v>216</v>
      </c>
      <c r="CB60" s="24">
        <v>74</v>
      </c>
      <c r="CC60" s="24">
        <v>74</v>
      </c>
      <c r="CD60" s="25">
        <v>1000</v>
      </c>
      <c r="CE60" s="25">
        <v>1323</v>
      </c>
      <c r="CF60" s="23">
        <f t="shared" si="8"/>
        <v>1.323</v>
      </c>
      <c r="CG60" s="24"/>
      <c r="CH60" s="24"/>
      <c r="CI60" s="24">
        <v>294.20000000000005</v>
      </c>
      <c r="CJ60" s="24">
        <v>200</v>
      </c>
      <c r="CK60" s="24">
        <v>1099.9899599999999</v>
      </c>
      <c r="CL60" s="24">
        <v>100</v>
      </c>
      <c r="CM60" s="24">
        <v>300</v>
      </c>
      <c r="CN60" s="24">
        <v>350</v>
      </c>
      <c r="CO60" s="24">
        <v>304.85599999999999</v>
      </c>
      <c r="CP60" s="24"/>
      <c r="CQ60" s="24">
        <v>100</v>
      </c>
      <c r="CR60" s="24"/>
      <c r="CS60" s="24"/>
      <c r="CT60" s="24">
        <v>100</v>
      </c>
      <c r="CU60" s="24">
        <v>200</v>
      </c>
      <c r="CV60" s="24">
        <v>700</v>
      </c>
      <c r="CW60" s="24">
        <v>100</v>
      </c>
      <c r="CX60" s="24">
        <v>980</v>
      </c>
      <c r="CY60" s="24">
        <v>650</v>
      </c>
      <c r="CZ60" s="24">
        <v>969</v>
      </c>
      <c r="DA60" s="24">
        <v>1640</v>
      </c>
      <c r="DB60" s="24">
        <v>490</v>
      </c>
      <c r="DC60" s="24">
        <v>882</v>
      </c>
      <c r="DD60" s="24">
        <v>592.6</v>
      </c>
      <c r="DE60" s="18">
        <v>7202.6251821338101</v>
      </c>
      <c r="DF60" s="18">
        <f t="shared" si="9"/>
        <v>7303.6</v>
      </c>
      <c r="DG60" s="23">
        <f t="shared" si="10"/>
        <v>1.0140191687492859</v>
      </c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>
        <v>400</v>
      </c>
      <c r="DU60" s="24">
        <v>454</v>
      </c>
      <c r="DV60" s="24">
        <v>665</v>
      </c>
      <c r="DW60" s="24">
        <v>552</v>
      </c>
      <c r="DX60" s="24">
        <v>264</v>
      </c>
      <c r="DY60" s="24">
        <v>295</v>
      </c>
      <c r="DZ60" s="24">
        <v>442</v>
      </c>
      <c r="EA60" s="24">
        <v>459</v>
      </c>
      <c r="EB60" s="24">
        <v>119</v>
      </c>
      <c r="EC60" s="24">
        <v>238</v>
      </c>
      <c r="ED60" s="24">
        <v>111.5</v>
      </c>
      <c r="EE60" s="24">
        <v>68</v>
      </c>
      <c r="EF60" s="18">
        <v>2077.5531869430747</v>
      </c>
      <c r="EG60" s="18">
        <f t="shared" si="11"/>
        <v>4067.5</v>
      </c>
      <c r="EH60" s="23">
        <f t="shared" si="12"/>
        <v>1.9578319465240483</v>
      </c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>
        <v>150</v>
      </c>
      <c r="EV60" s="24">
        <v>290</v>
      </c>
      <c r="EW60" s="24">
        <v>113</v>
      </c>
      <c r="EX60" s="24">
        <v>466</v>
      </c>
      <c r="EY60" s="24">
        <v>355</v>
      </c>
      <c r="EZ60" s="24">
        <v>788.13669499999992</v>
      </c>
      <c r="FA60" s="24">
        <v>1026.7267999999999</v>
      </c>
      <c r="FB60" s="24">
        <v>5921.6938</v>
      </c>
      <c r="FC60" s="24">
        <v>3226.6905500000003</v>
      </c>
      <c r="FD60" s="24">
        <v>3458.3309099999997</v>
      </c>
      <c r="FE60" s="24">
        <v>541.78245000000004</v>
      </c>
      <c r="FF60" s="24">
        <v>50</v>
      </c>
      <c r="FG60" s="18">
        <v>13899.617812261235</v>
      </c>
      <c r="FH60" s="18">
        <v>15705.696094999999</v>
      </c>
      <c r="FI60" s="23">
        <v>1.1299372620983559</v>
      </c>
      <c r="FJ60" s="24"/>
      <c r="FK60" s="24">
        <v>81.988</v>
      </c>
      <c r="FL60" s="24">
        <v>159.40049999999999</v>
      </c>
      <c r="FM60" s="24">
        <v>619.76800000000003</v>
      </c>
      <c r="FN60" s="24">
        <v>762.38900000000001</v>
      </c>
      <c r="FO60" s="24">
        <v>581.13600000000008</v>
      </c>
      <c r="FP60" s="24">
        <v>753.4</v>
      </c>
      <c r="FQ60" s="24">
        <v>696.5</v>
      </c>
      <c r="FR60" s="24">
        <v>686.19999999999993</v>
      </c>
      <c r="FS60" s="24">
        <v>176.3</v>
      </c>
      <c r="FT60" s="24">
        <v>343.322</v>
      </c>
      <c r="FU60" s="24">
        <v>673.59640000000002</v>
      </c>
      <c r="FV60" s="24">
        <v>333.1</v>
      </c>
      <c r="FW60" s="24">
        <v>970.18799999999999</v>
      </c>
      <c r="FX60" s="24">
        <v>869.7</v>
      </c>
      <c r="FY60" s="24">
        <v>2503.77</v>
      </c>
      <c r="FZ60" s="24">
        <v>195</v>
      </c>
      <c r="GA60" s="24">
        <v>170</v>
      </c>
      <c r="GB60" s="24">
        <v>116.5</v>
      </c>
      <c r="GC60" s="24">
        <v>75</v>
      </c>
      <c r="GD60" s="24">
        <v>1062</v>
      </c>
      <c r="GE60" s="24">
        <v>581.9</v>
      </c>
      <c r="GF60" s="24">
        <v>60</v>
      </c>
      <c r="GG60" s="24">
        <v>1169.8900000000001</v>
      </c>
      <c r="GH60" s="26">
        <v>8402.7568939189005</v>
      </c>
      <c r="GI60" s="26">
        <f t="shared" si="52"/>
        <v>8107.0479999999998</v>
      </c>
      <c r="GJ60" s="23">
        <f t="shared" si="53"/>
        <v>0.96480811028426805</v>
      </c>
    </row>
    <row r="61" spans="1:192" s="14" customFormat="1" ht="24.95" customHeight="1">
      <c r="A61" s="19">
        <f t="shared" si="59"/>
        <v>17</v>
      </c>
      <c r="B61" s="20" t="s">
        <v>58</v>
      </c>
      <c r="C61" s="21">
        <v>11799</v>
      </c>
      <c r="D61" s="21"/>
      <c r="E61" s="21"/>
      <c r="F61" s="21"/>
      <c r="G61" s="24">
        <v>99</v>
      </c>
      <c r="H61" s="24">
        <v>76</v>
      </c>
      <c r="I61" s="24">
        <v>95</v>
      </c>
      <c r="J61" s="24">
        <v>97</v>
      </c>
      <c r="K61" s="24">
        <v>93</v>
      </c>
      <c r="L61" s="24">
        <v>100</v>
      </c>
      <c r="M61" s="24">
        <v>98</v>
      </c>
      <c r="N61" s="24">
        <v>96</v>
      </c>
      <c r="O61" s="24">
        <v>88</v>
      </c>
      <c r="P61" s="24">
        <v>242</v>
      </c>
      <c r="Q61" s="24"/>
      <c r="R61" s="24">
        <v>21</v>
      </c>
      <c r="S61" s="24">
        <v>52</v>
      </c>
      <c r="T61" s="24">
        <v>56</v>
      </c>
      <c r="U61" s="24">
        <v>39</v>
      </c>
      <c r="V61" s="24">
        <v>61</v>
      </c>
      <c r="W61" s="24">
        <v>87</v>
      </c>
      <c r="X61" s="24">
        <v>114</v>
      </c>
      <c r="Y61" s="24">
        <v>28</v>
      </c>
      <c r="Z61" s="24">
        <v>72</v>
      </c>
      <c r="AA61" s="24"/>
      <c r="AB61" s="22">
        <v>587</v>
      </c>
      <c r="AC61" s="22">
        <f t="shared" si="3"/>
        <v>772</v>
      </c>
      <c r="AD61" s="23">
        <f t="shared" si="4"/>
        <v>1.3151618398637137</v>
      </c>
      <c r="AE61" s="24"/>
      <c r="AF61" s="24"/>
      <c r="AG61" s="24"/>
      <c r="AH61" s="24"/>
      <c r="AI61" s="24"/>
      <c r="AJ61" s="24"/>
      <c r="AK61" s="24">
        <v>280</v>
      </c>
      <c r="AL61" s="24">
        <v>549</v>
      </c>
      <c r="AM61" s="24">
        <v>27</v>
      </c>
      <c r="AN61" s="24">
        <v>3</v>
      </c>
      <c r="AO61" s="24">
        <v>38</v>
      </c>
      <c r="AP61" s="24">
        <v>19</v>
      </c>
      <c r="AQ61" s="24">
        <v>64</v>
      </c>
      <c r="AR61" s="24">
        <v>165</v>
      </c>
      <c r="AS61" s="24">
        <v>108</v>
      </c>
      <c r="AT61" s="24">
        <v>129</v>
      </c>
      <c r="AU61" s="24">
        <v>126</v>
      </c>
      <c r="AV61" s="24">
        <v>114</v>
      </c>
      <c r="AW61" s="24">
        <v>97</v>
      </c>
      <c r="AX61" s="24">
        <v>59</v>
      </c>
      <c r="AY61" s="24">
        <v>133</v>
      </c>
      <c r="AZ61" s="24">
        <v>73</v>
      </c>
      <c r="BA61" s="24">
        <v>104</v>
      </c>
      <c r="BB61" s="24">
        <v>48</v>
      </c>
      <c r="BC61" s="32">
        <v>1055</v>
      </c>
      <c r="BD61" s="32">
        <f t="shared" si="6"/>
        <v>1220</v>
      </c>
      <c r="BE61" s="23">
        <f t="shared" si="7"/>
        <v>1.1563981042654028</v>
      </c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>
        <v>80</v>
      </c>
      <c r="BS61" s="24">
        <v>47</v>
      </c>
      <c r="BT61" s="24">
        <v>99</v>
      </c>
      <c r="BU61" s="24">
        <v>116</v>
      </c>
      <c r="BV61" s="24">
        <v>138</v>
      </c>
      <c r="BW61" s="24">
        <v>277</v>
      </c>
      <c r="BX61" s="24">
        <v>127</v>
      </c>
      <c r="BY61" s="24">
        <v>117</v>
      </c>
      <c r="BZ61" s="24">
        <v>147</v>
      </c>
      <c r="CA61" s="24">
        <v>83</v>
      </c>
      <c r="CB61" s="24">
        <v>82</v>
      </c>
      <c r="CC61" s="24">
        <v>20</v>
      </c>
      <c r="CD61" s="25">
        <v>1129</v>
      </c>
      <c r="CE61" s="25">
        <v>1231</v>
      </c>
      <c r="CF61" s="23">
        <f t="shared" si="8"/>
        <v>1.0903454384410982</v>
      </c>
      <c r="CG61" s="24"/>
      <c r="CH61" s="24"/>
      <c r="CI61" s="24"/>
      <c r="CJ61" s="24">
        <v>300</v>
      </c>
      <c r="CK61" s="24">
        <v>260.02344930000004</v>
      </c>
      <c r="CL61" s="24">
        <v>300</v>
      </c>
      <c r="CM61" s="24">
        <v>272</v>
      </c>
      <c r="CN61" s="24"/>
      <c r="CO61" s="24"/>
      <c r="CP61" s="24">
        <v>875</v>
      </c>
      <c r="CQ61" s="24">
        <v>100</v>
      </c>
      <c r="CR61" s="24"/>
      <c r="CS61" s="24"/>
      <c r="CT61" s="24"/>
      <c r="CU61" s="24">
        <v>100</v>
      </c>
      <c r="CV61" s="24">
        <v>100</v>
      </c>
      <c r="CW61" s="24">
        <v>100</v>
      </c>
      <c r="CX61" s="24">
        <v>200</v>
      </c>
      <c r="CY61" s="24">
        <v>200</v>
      </c>
      <c r="CZ61" s="24">
        <v>550</v>
      </c>
      <c r="DA61" s="24">
        <v>400</v>
      </c>
      <c r="DB61" s="24">
        <v>586.94000000000005</v>
      </c>
      <c r="DC61" s="24">
        <v>350</v>
      </c>
      <c r="DD61" s="24"/>
      <c r="DE61" s="18">
        <v>2568.1550665865284</v>
      </c>
      <c r="DF61" s="18">
        <f t="shared" si="9"/>
        <v>2586.94</v>
      </c>
      <c r="DG61" s="23">
        <f t="shared" si="10"/>
        <v>1.0073145635393581</v>
      </c>
      <c r="DH61" s="24"/>
      <c r="DI61" s="24">
        <v>17</v>
      </c>
      <c r="DJ61" s="24">
        <v>578.65000000000009</v>
      </c>
      <c r="DK61" s="24">
        <v>6541.09</v>
      </c>
      <c r="DL61" s="24">
        <v>16475.644999999997</v>
      </c>
      <c r="DM61" s="24"/>
      <c r="DN61" s="24"/>
      <c r="DO61" s="24"/>
      <c r="DP61" s="24"/>
      <c r="DQ61" s="24"/>
      <c r="DR61" s="24"/>
      <c r="DS61" s="24"/>
      <c r="DT61" s="24">
        <v>0</v>
      </c>
      <c r="DU61" s="24">
        <v>280</v>
      </c>
      <c r="DV61" s="24">
        <v>450</v>
      </c>
      <c r="DW61" s="24">
        <v>440</v>
      </c>
      <c r="DX61" s="24">
        <v>579</v>
      </c>
      <c r="DY61" s="24">
        <v>707</v>
      </c>
      <c r="DZ61" s="24">
        <v>846</v>
      </c>
      <c r="EA61" s="24">
        <v>537</v>
      </c>
      <c r="EB61" s="24">
        <v>255</v>
      </c>
      <c r="EC61" s="24">
        <v>748</v>
      </c>
      <c r="ED61" s="24">
        <v>221</v>
      </c>
      <c r="EE61" s="24">
        <v>272</v>
      </c>
      <c r="EF61" s="18">
        <v>2982.0288488048354</v>
      </c>
      <c r="EG61" s="18">
        <f t="shared" si="11"/>
        <v>5335</v>
      </c>
      <c r="EH61" s="23">
        <f t="shared" si="12"/>
        <v>1.7890504319360323</v>
      </c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>
        <v>40</v>
      </c>
      <c r="EW61" s="24">
        <v>100</v>
      </c>
      <c r="EX61" s="24">
        <v>105</v>
      </c>
      <c r="EY61" s="24">
        <v>150</v>
      </c>
      <c r="EZ61" s="24">
        <v>150</v>
      </c>
      <c r="FA61" s="24">
        <v>1617.6224629999999</v>
      </c>
      <c r="FB61" s="24">
        <v>1303.575</v>
      </c>
      <c r="FC61" s="24">
        <v>1532.3585400000002</v>
      </c>
      <c r="FD61" s="24">
        <v>681.80811700000004</v>
      </c>
      <c r="FE61" s="24">
        <v>523.24690399999997</v>
      </c>
      <c r="FF61" s="24"/>
      <c r="FG61" s="18">
        <v>4224.4003369735719</v>
      </c>
      <c r="FH61" s="18">
        <v>4506.8952820000004</v>
      </c>
      <c r="FI61" s="23">
        <v>1.0668722001922792</v>
      </c>
      <c r="FJ61" s="24"/>
      <c r="FK61" s="24">
        <v>1004.188</v>
      </c>
      <c r="FL61" s="24">
        <v>1801.0759999999998</v>
      </c>
      <c r="FM61" s="24">
        <v>2207.4717309999996</v>
      </c>
      <c r="FN61" s="24">
        <v>3092.3230000000003</v>
      </c>
      <c r="FO61" s="24">
        <v>1929.891754</v>
      </c>
      <c r="FP61" s="24">
        <v>2567.3160000000003</v>
      </c>
      <c r="FQ61" s="24">
        <v>3065.0904</v>
      </c>
      <c r="FR61" s="24">
        <v>3205.1830000000004</v>
      </c>
      <c r="FS61" s="24">
        <v>1872.2189999999996</v>
      </c>
      <c r="FT61" s="24">
        <v>2568.6970000000001</v>
      </c>
      <c r="FU61" s="24">
        <v>3846.2905000000001</v>
      </c>
      <c r="FV61" s="24">
        <v>116</v>
      </c>
      <c r="FW61" s="24">
        <v>1573.7559920000001</v>
      </c>
      <c r="FX61" s="24">
        <v>1458.65</v>
      </c>
      <c r="FY61" s="24">
        <v>4605.6859999999997</v>
      </c>
      <c r="FZ61" s="24">
        <v>574.69200000000012</v>
      </c>
      <c r="GA61" s="24">
        <v>236.34</v>
      </c>
      <c r="GB61" s="24">
        <v>162</v>
      </c>
      <c r="GC61" s="24">
        <v>184.798</v>
      </c>
      <c r="GD61" s="24">
        <v>987.89</v>
      </c>
      <c r="GE61" s="24">
        <v>1161.5839999999998</v>
      </c>
      <c r="GF61" s="24">
        <v>401.4</v>
      </c>
      <c r="GG61" s="24">
        <v>484.28</v>
      </c>
      <c r="GH61" s="26">
        <v>12154.680489038234</v>
      </c>
      <c r="GI61" s="26">
        <f t="shared" si="52"/>
        <v>11947.075992000002</v>
      </c>
      <c r="GJ61" s="23">
        <f t="shared" si="53"/>
        <v>0.98291978985169859</v>
      </c>
    </row>
    <row r="62" spans="1:192" s="14" customFormat="1" ht="24.95" customHeight="1">
      <c r="A62" s="19">
        <f t="shared" si="59"/>
        <v>18</v>
      </c>
      <c r="B62" s="20" t="s">
        <v>59</v>
      </c>
      <c r="C62" s="21">
        <v>11800</v>
      </c>
      <c r="D62" s="21"/>
      <c r="E62" s="21"/>
      <c r="F62" s="21"/>
      <c r="G62" s="24">
        <v>67</v>
      </c>
      <c r="H62" s="24">
        <v>63</v>
      </c>
      <c r="I62" s="24">
        <v>64</v>
      </c>
      <c r="J62" s="24">
        <v>75</v>
      </c>
      <c r="K62" s="24">
        <v>75</v>
      </c>
      <c r="L62" s="24">
        <v>75</v>
      </c>
      <c r="M62" s="24">
        <v>75</v>
      </c>
      <c r="N62" s="24">
        <v>70</v>
      </c>
      <c r="O62" s="24">
        <v>69</v>
      </c>
      <c r="P62" s="24">
        <v>28</v>
      </c>
      <c r="Q62" s="24">
        <v>22</v>
      </c>
      <c r="R62" s="24">
        <v>67</v>
      </c>
      <c r="S62" s="24">
        <v>46</v>
      </c>
      <c r="T62" s="24">
        <v>125</v>
      </c>
      <c r="U62" s="24">
        <v>82</v>
      </c>
      <c r="V62" s="24">
        <v>56</v>
      </c>
      <c r="W62" s="24">
        <v>69</v>
      </c>
      <c r="X62" s="24">
        <v>80</v>
      </c>
      <c r="Y62" s="24">
        <v>14</v>
      </c>
      <c r="Z62" s="24">
        <v>123</v>
      </c>
      <c r="AA62" s="24">
        <v>71</v>
      </c>
      <c r="AB62" s="22">
        <v>617</v>
      </c>
      <c r="AC62" s="22">
        <f t="shared" si="3"/>
        <v>783</v>
      </c>
      <c r="AD62" s="23">
        <f t="shared" si="4"/>
        <v>1.2690437601296596</v>
      </c>
      <c r="AE62" s="24"/>
      <c r="AF62" s="24"/>
      <c r="AG62" s="24"/>
      <c r="AH62" s="24"/>
      <c r="AI62" s="24"/>
      <c r="AJ62" s="24"/>
      <c r="AK62" s="24">
        <v>272</v>
      </c>
      <c r="AL62" s="24">
        <v>500</v>
      </c>
      <c r="AM62" s="24">
        <v>53</v>
      </c>
      <c r="AN62" s="24">
        <v>6</v>
      </c>
      <c r="AO62" s="24">
        <v>12</v>
      </c>
      <c r="AP62" s="24"/>
      <c r="AQ62" s="24">
        <v>34</v>
      </c>
      <c r="AR62" s="24">
        <v>115</v>
      </c>
      <c r="AS62" s="24">
        <v>91</v>
      </c>
      <c r="AT62" s="24">
        <v>68</v>
      </c>
      <c r="AU62" s="24">
        <v>87</v>
      </c>
      <c r="AV62" s="24">
        <v>86</v>
      </c>
      <c r="AW62" s="24">
        <v>69</v>
      </c>
      <c r="AX62" s="24">
        <v>82</v>
      </c>
      <c r="AY62" s="24">
        <v>86</v>
      </c>
      <c r="AZ62" s="24">
        <v>63</v>
      </c>
      <c r="BA62" s="24">
        <v>37</v>
      </c>
      <c r="BB62" s="24">
        <v>14</v>
      </c>
      <c r="BC62" s="32">
        <v>759</v>
      </c>
      <c r="BD62" s="32">
        <f t="shared" si="6"/>
        <v>832</v>
      </c>
      <c r="BE62" s="23">
        <f t="shared" si="7"/>
        <v>1.0961791831357048</v>
      </c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>
        <v>62</v>
      </c>
      <c r="BS62" s="24">
        <v>96</v>
      </c>
      <c r="BT62" s="24">
        <v>40</v>
      </c>
      <c r="BU62" s="24">
        <v>62</v>
      </c>
      <c r="BV62" s="24">
        <v>257</v>
      </c>
      <c r="BW62" s="24">
        <v>246</v>
      </c>
      <c r="BX62" s="24">
        <v>245</v>
      </c>
      <c r="BY62" s="24">
        <v>237</v>
      </c>
      <c r="BZ62" s="24">
        <v>206</v>
      </c>
      <c r="CA62" s="24">
        <v>211</v>
      </c>
      <c r="CB62" s="24">
        <v>97</v>
      </c>
      <c r="CC62" s="24">
        <v>25</v>
      </c>
      <c r="CD62" s="25">
        <v>932</v>
      </c>
      <c r="CE62" s="25">
        <v>1662</v>
      </c>
      <c r="CF62" s="23">
        <f t="shared" si="8"/>
        <v>1.7832618025751072</v>
      </c>
      <c r="CG62" s="24"/>
      <c r="CH62" s="24"/>
      <c r="CI62" s="24"/>
      <c r="CJ62" s="24"/>
      <c r="CK62" s="24"/>
      <c r="CL62" s="24"/>
      <c r="CM62" s="24"/>
      <c r="CN62" s="24"/>
      <c r="CO62" s="24"/>
      <c r="CP62" s="24">
        <v>650</v>
      </c>
      <c r="CQ62" s="24">
        <v>50</v>
      </c>
      <c r="CR62" s="24"/>
      <c r="CS62" s="24"/>
      <c r="CT62" s="24"/>
      <c r="CU62" s="24"/>
      <c r="CV62" s="24">
        <v>250</v>
      </c>
      <c r="CW62" s="24">
        <v>100</v>
      </c>
      <c r="CX62" s="24">
        <v>200</v>
      </c>
      <c r="CY62" s="24">
        <v>150</v>
      </c>
      <c r="CZ62" s="24">
        <v>515</v>
      </c>
      <c r="DA62" s="24">
        <v>490</v>
      </c>
      <c r="DB62" s="24">
        <v>1025</v>
      </c>
      <c r="DC62" s="24">
        <v>950</v>
      </c>
      <c r="DD62" s="24">
        <v>100</v>
      </c>
      <c r="DE62" s="18">
        <v>4028.8089878387209</v>
      </c>
      <c r="DF62" s="18">
        <f t="shared" si="9"/>
        <v>3780</v>
      </c>
      <c r="DG62" s="23">
        <f t="shared" si="10"/>
        <v>0.93824254547937846</v>
      </c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>
        <v>93.8</v>
      </c>
      <c r="DU62" s="24">
        <v>1681</v>
      </c>
      <c r="DV62" s="24">
        <v>1126.0000000000002</v>
      </c>
      <c r="DW62" s="24">
        <v>497</v>
      </c>
      <c r="DX62" s="24">
        <v>266</v>
      </c>
      <c r="DY62" s="24">
        <v>199</v>
      </c>
      <c r="DZ62" s="24">
        <v>435</v>
      </c>
      <c r="EA62" s="24">
        <v>355.5</v>
      </c>
      <c r="EB62" s="24">
        <v>249</v>
      </c>
      <c r="EC62" s="24">
        <v>360</v>
      </c>
      <c r="ED62" s="24">
        <v>129</v>
      </c>
      <c r="EE62" s="24">
        <v>150</v>
      </c>
      <c r="EF62" s="18">
        <v>3530.7269633697601</v>
      </c>
      <c r="EG62" s="18">
        <f t="shared" si="11"/>
        <v>5541.3</v>
      </c>
      <c r="EH62" s="23">
        <f t="shared" si="12"/>
        <v>1.5694501606862654</v>
      </c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>
        <v>50</v>
      </c>
      <c r="EV62" s="24">
        <v>50</v>
      </c>
      <c r="EW62" s="24">
        <v>80</v>
      </c>
      <c r="EX62" s="24">
        <v>1669.8690000000001</v>
      </c>
      <c r="EY62" s="24">
        <v>4345.549865</v>
      </c>
      <c r="EZ62" s="24">
        <v>3058.8895040000002</v>
      </c>
      <c r="FA62" s="24">
        <v>3737.5366759999997</v>
      </c>
      <c r="FB62" s="24">
        <v>3263.9482659999999</v>
      </c>
      <c r="FC62" s="24">
        <v>2884.0392140000004</v>
      </c>
      <c r="FD62" s="24">
        <v>2022.0419590000001</v>
      </c>
      <c r="FE62" s="24">
        <v>696.86652000000004</v>
      </c>
      <c r="FF62" s="24">
        <v>200</v>
      </c>
      <c r="FG62" s="18">
        <v>17455.628043234541</v>
      </c>
      <c r="FH62" s="18">
        <v>21860.852298999998</v>
      </c>
      <c r="FI62" s="23">
        <v>1.2523669870172809</v>
      </c>
      <c r="FJ62" s="24"/>
      <c r="FK62" s="24">
        <v>226</v>
      </c>
      <c r="FL62" s="24">
        <v>1092.9129679999999</v>
      </c>
      <c r="FM62" s="24">
        <v>2963.1949950000003</v>
      </c>
      <c r="FN62" s="24">
        <v>2595.2779999999998</v>
      </c>
      <c r="FO62" s="24">
        <v>1514.117</v>
      </c>
      <c r="FP62" s="24">
        <v>2303.6619999999998</v>
      </c>
      <c r="FQ62" s="24">
        <v>1213.3699999999999</v>
      </c>
      <c r="FR62" s="24">
        <v>2269.7489999999998</v>
      </c>
      <c r="FS62" s="24">
        <v>1236.2749999999999</v>
      </c>
      <c r="FT62" s="24">
        <v>1026.8000000000002</v>
      </c>
      <c r="FU62" s="24">
        <v>1731.4</v>
      </c>
      <c r="FV62" s="24">
        <v>337.89</v>
      </c>
      <c r="FW62" s="24">
        <v>2005.2026799999999</v>
      </c>
      <c r="FX62" s="24">
        <v>2487.4</v>
      </c>
      <c r="FY62" s="24">
        <v>3858.8</v>
      </c>
      <c r="FZ62" s="24">
        <v>938.8</v>
      </c>
      <c r="GA62" s="24">
        <v>929.3</v>
      </c>
      <c r="GB62" s="24">
        <v>1039</v>
      </c>
      <c r="GC62" s="24">
        <v>456.3</v>
      </c>
      <c r="GD62" s="24">
        <v>1936.9</v>
      </c>
      <c r="GE62" s="24">
        <v>1941.961</v>
      </c>
      <c r="GF62" s="24">
        <v>833.46</v>
      </c>
      <c r="GG62" s="24">
        <v>1205.3</v>
      </c>
      <c r="GH62" s="26">
        <v>17421.690708304559</v>
      </c>
      <c r="GI62" s="26">
        <f t="shared" si="52"/>
        <v>17970.313679999996</v>
      </c>
      <c r="GJ62" s="23">
        <f t="shared" si="53"/>
        <v>1.0314907996520637</v>
      </c>
    </row>
    <row r="63" spans="1:192" s="14" customFormat="1" ht="24.95" customHeight="1">
      <c r="A63" s="19">
        <f t="shared" si="59"/>
        <v>19</v>
      </c>
      <c r="B63" s="20" t="s">
        <v>60</v>
      </c>
      <c r="C63" s="21">
        <v>11801</v>
      </c>
      <c r="D63" s="21"/>
      <c r="E63" s="21"/>
      <c r="F63" s="21"/>
      <c r="G63" s="24">
        <v>74</v>
      </c>
      <c r="H63" s="24">
        <v>66</v>
      </c>
      <c r="I63" s="24">
        <v>70</v>
      </c>
      <c r="J63" s="24">
        <v>70</v>
      </c>
      <c r="K63" s="24">
        <v>70</v>
      </c>
      <c r="L63" s="24">
        <v>60</v>
      </c>
      <c r="M63" s="24">
        <v>60</v>
      </c>
      <c r="N63" s="24">
        <v>55</v>
      </c>
      <c r="O63" s="24">
        <v>54</v>
      </c>
      <c r="P63" s="24">
        <v>13</v>
      </c>
      <c r="Q63" s="24">
        <v>21</v>
      </c>
      <c r="R63" s="24">
        <v>72</v>
      </c>
      <c r="S63" s="24">
        <v>45</v>
      </c>
      <c r="T63" s="24">
        <v>97</v>
      </c>
      <c r="U63" s="24">
        <v>19</v>
      </c>
      <c r="V63" s="24">
        <v>25</v>
      </c>
      <c r="W63" s="24">
        <v>59</v>
      </c>
      <c r="X63" s="24">
        <v>105</v>
      </c>
      <c r="Y63" s="24">
        <v>50</v>
      </c>
      <c r="Z63" s="24">
        <v>130</v>
      </c>
      <c r="AA63" s="24"/>
      <c r="AB63" s="22">
        <v>541</v>
      </c>
      <c r="AC63" s="22">
        <f t="shared" si="3"/>
        <v>636</v>
      </c>
      <c r="AD63" s="23">
        <f t="shared" si="4"/>
        <v>1.1756007393715342</v>
      </c>
      <c r="AE63" s="24"/>
      <c r="AF63" s="24"/>
      <c r="AG63" s="24"/>
      <c r="AH63" s="24"/>
      <c r="AI63" s="24"/>
      <c r="AJ63" s="24"/>
      <c r="AK63" s="24">
        <v>146</v>
      </c>
      <c r="AL63" s="24">
        <v>277</v>
      </c>
      <c r="AM63" s="24">
        <v>76</v>
      </c>
      <c r="AN63" s="24">
        <v>1</v>
      </c>
      <c r="AO63" s="24">
        <v>45</v>
      </c>
      <c r="AP63" s="24"/>
      <c r="AQ63" s="24">
        <v>24</v>
      </c>
      <c r="AR63" s="24">
        <v>74</v>
      </c>
      <c r="AS63" s="24">
        <v>50</v>
      </c>
      <c r="AT63" s="24">
        <v>73</v>
      </c>
      <c r="AU63" s="24">
        <v>82</v>
      </c>
      <c r="AV63" s="24">
        <v>58</v>
      </c>
      <c r="AW63" s="24">
        <v>56</v>
      </c>
      <c r="AX63" s="24"/>
      <c r="AY63" s="24">
        <v>53</v>
      </c>
      <c r="AZ63" s="24">
        <v>91</v>
      </c>
      <c r="BA63" s="24">
        <v>63</v>
      </c>
      <c r="BB63" s="24">
        <v>29</v>
      </c>
      <c r="BC63" s="32">
        <v>544</v>
      </c>
      <c r="BD63" s="32">
        <f t="shared" si="6"/>
        <v>653</v>
      </c>
      <c r="BE63" s="23">
        <f t="shared" si="7"/>
        <v>1.2003676470588236</v>
      </c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>
        <v>124</v>
      </c>
      <c r="BS63" s="24">
        <v>130</v>
      </c>
      <c r="BT63" s="24">
        <v>44</v>
      </c>
      <c r="BU63" s="24">
        <v>71</v>
      </c>
      <c r="BV63" s="24">
        <v>80</v>
      </c>
      <c r="BW63" s="24">
        <v>228</v>
      </c>
      <c r="BX63" s="24">
        <v>209</v>
      </c>
      <c r="BY63" s="24">
        <v>124</v>
      </c>
      <c r="BZ63" s="24">
        <v>170</v>
      </c>
      <c r="CA63" s="24">
        <v>94</v>
      </c>
      <c r="CB63" s="24">
        <v>69</v>
      </c>
      <c r="CC63" s="24">
        <v>27</v>
      </c>
      <c r="CD63" s="25">
        <v>858</v>
      </c>
      <c r="CE63" s="25">
        <v>1274</v>
      </c>
      <c r="CF63" s="23">
        <f t="shared" si="8"/>
        <v>1.4848484848484849</v>
      </c>
      <c r="CG63" s="24"/>
      <c r="CH63" s="24"/>
      <c r="CI63" s="24">
        <v>100</v>
      </c>
      <c r="CJ63" s="24">
        <v>170</v>
      </c>
      <c r="CK63" s="24">
        <v>152</v>
      </c>
      <c r="CL63" s="24">
        <v>518.29999999999995</v>
      </c>
      <c r="CM63" s="24">
        <v>900</v>
      </c>
      <c r="CN63" s="24">
        <v>800</v>
      </c>
      <c r="CO63" s="24">
        <v>150</v>
      </c>
      <c r="CP63" s="24">
        <v>200</v>
      </c>
      <c r="CQ63" s="24">
        <v>100</v>
      </c>
      <c r="CR63" s="24"/>
      <c r="CS63" s="24"/>
      <c r="CT63" s="24"/>
      <c r="CU63" s="24"/>
      <c r="CV63" s="24">
        <v>100</v>
      </c>
      <c r="CW63" s="24">
        <v>520</v>
      </c>
      <c r="CX63" s="24">
        <v>780</v>
      </c>
      <c r="CY63" s="24">
        <v>1120</v>
      </c>
      <c r="CZ63" s="24">
        <v>540</v>
      </c>
      <c r="DA63" s="24">
        <v>865</v>
      </c>
      <c r="DB63" s="24">
        <v>750</v>
      </c>
      <c r="DC63" s="24">
        <v>1470</v>
      </c>
      <c r="DD63" s="24">
        <v>130</v>
      </c>
      <c r="DE63" s="18">
        <v>6185.0628488046759</v>
      </c>
      <c r="DF63" s="18">
        <f t="shared" si="9"/>
        <v>6275</v>
      </c>
      <c r="DG63" s="23">
        <f t="shared" si="10"/>
        <v>1.0145410246255955</v>
      </c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>
        <v>134</v>
      </c>
      <c r="DU63" s="24">
        <v>741</v>
      </c>
      <c r="DV63" s="24">
        <v>680</v>
      </c>
      <c r="DW63" s="24">
        <v>980</v>
      </c>
      <c r="DX63" s="24">
        <v>439</v>
      </c>
      <c r="DY63" s="24">
        <v>378</v>
      </c>
      <c r="DZ63" s="24">
        <v>244</v>
      </c>
      <c r="EA63" s="24">
        <v>186</v>
      </c>
      <c r="EB63" s="24">
        <v>181.69999999999982</v>
      </c>
      <c r="EC63" s="24">
        <v>448</v>
      </c>
      <c r="ED63" s="24">
        <v>65</v>
      </c>
      <c r="EE63" s="24">
        <v>191</v>
      </c>
      <c r="EF63" s="18">
        <v>2356.20477973887</v>
      </c>
      <c r="EG63" s="18">
        <f t="shared" si="11"/>
        <v>4667.7</v>
      </c>
      <c r="EH63" s="23">
        <f t="shared" si="12"/>
        <v>1.9810247564803365</v>
      </c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>
        <v>40</v>
      </c>
      <c r="EW63" s="24">
        <v>100</v>
      </c>
      <c r="EX63" s="24">
        <v>561</v>
      </c>
      <c r="EY63" s="24">
        <v>320.2</v>
      </c>
      <c r="EZ63" s="24">
        <v>308</v>
      </c>
      <c r="FA63" s="24">
        <v>720</v>
      </c>
      <c r="FB63" s="24">
        <v>1070.4855200000002</v>
      </c>
      <c r="FC63" s="24">
        <v>2151.2263195</v>
      </c>
      <c r="FD63" s="24">
        <v>2110.81196</v>
      </c>
      <c r="FE63" s="24">
        <v>1476.49882</v>
      </c>
      <c r="FF63" s="24">
        <v>255</v>
      </c>
      <c r="FG63" s="18">
        <v>8033.2128217479476</v>
      </c>
      <c r="FH63" s="18">
        <v>8578.2911124999991</v>
      </c>
      <c r="FI63" s="23">
        <v>1.0678530872823868</v>
      </c>
      <c r="FJ63" s="24"/>
      <c r="FK63" s="24">
        <v>2659.8924999999999</v>
      </c>
      <c r="FL63" s="24">
        <v>2371.8049999999998</v>
      </c>
      <c r="FM63" s="24">
        <v>9030.3250000000007</v>
      </c>
      <c r="FN63" s="24">
        <v>8057.4994999999972</v>
      </c>
      <c r="FO63" s="24">
        <v>33</v>
      </c>
      <c r="FP63" s="24">
        <v>429</v>
      </c>
      <c r="FQ63" s="24"/>
      <c r="FR63" s="24"/>
      <c r="FS63" s="24"/>
      <c r="FT63" s="24">
        <v>435.8</v>
      </c>
      <c r="FU63" s="24">
        <v>472.54</v>
      </c>
      <c r="FV63" s="24"/>
      <c r="FW63" s="24">
        <v>1377.98</v>
      </c>
      <c r="FX63" s="24">
        <v>2023.375</v>
      </c>
      <c r="FY63" s="24">
        <v>4472.0570000000016</v>
      </c>
      <c r="FZ63" s="24">
        <v>3278.5</v>
      </c>
      <c r="GA63" s="24">
        <v>2919.69</v>
      </c>
      <c r="GB63" s="24">
        <v>2748.7750000000001</v>
      </c>
      <c r="GC63" s="24">
        <v>1759.9</v>
      </c>
      <c r="GD63" s="24">
        <v>1419.0559999999998</v>
      </c>
      <c r="GE63" s="24">
        <v>1542.8734999999999</v>
      </c>
      <c r="GF63" s="24">
        <v>1685.7556</v>
      </c>
      <c r="GG63" s="24">
        <v>2202.5340000000001</v>
      </c>
      <c r="GH63" s="26">
        <v>24602.079682171701</v>
      </c>
      <c r="GI63" s="26">
        <f t="shared" si="52"/>
        <v>25430.496100000008</v>
      </c>
      <c r="GJ63" s="23">
        <f t="shared" si="53"/>
        <v>1.0336726174587847</v>
      </c>
    </row>
    <row r="64" spans="1:192" s="14" customFormat="1" ht="32.25" customHeight="1">
      <c r="A64" s="9"/>
      <c r="B64" s="10" t="s">
        <v>94</v>
      </c>
      <c r="C64" s="11"/>
      <c r="D64" s="11"/>
      <c r="E64" s="11"/>
      <c r="F64" s="11"/>
      <c r="G64" s="12">
        <v>972</v>
      </c>
      <c r="H64" s="12">
        <v>762</v>
      </c>
      <c r="I64" s="12">
        <v>879</v>
      </c>
      <c r="J64" s="12">
        <v>877</v>
      </c>
      <c r="K64" s="12">
        <v>826</v>
      </c>
      <c r="L64" s="12">
        <v>906</v>
      </c>
      <c r="M64" s="12">
        <v>821</v>
      </c>
      <c r="N64" s="12">
        <v>790</v>
      </c>
      <c r="O64" s="12">
        <v>762</v>
      </c>
      <c r="P64" s="12">
        <v>273</v>
      </c>
      <c r="Q64" s="12">
        <v>408</v>
      </c>
      <c r="R64" s="12">
        <v>577</v>
      </c>
      <c r="S64" s="12">
        <v>472</v>
      </c>
      <c r="T64" s="12">
        <v>423</v>
      </c>
      <c r="U64" s="12">
        <v>403</v>
      </c>
      <c r="V64" s="12">
        <v>402</v>
      </c>
      <c r="W64" s="12">
        <v>385</v>
      </c>
      <c r="X64" s="12">
        <v>346</v>
      </c>
      <c r="Y64" s="12">
        <v>199</v>
      </c>
      <c r="Z64" s="12">
        <v>310</v>
      </c>
      <c r="AA64" s="12">
        <v>199</v>
      </c>
      <c r="AB64" s="12">
        <v>3228</v>
      </c>
      <c r="AC64" s="12">
        <f t="shared" si="3"/>
        <v>4397</v>
      </c>
      <c r="AD64" s="13">
        <f t="shared" si="4"/>
        <v>1.3621437422552665</v>
      </c>
      <c r="AE64" s="12"/>
      <c r="AF64" s="12"/>
      <c r="AG64" s="12"/>
      <c r="AH64" s="12"/>
      <c r="AI64" s="12">
        <f>+SUM(AI65:AI68)</f>
        <v>0</v>
      </c>
      <c r="AJ64" s="12">
        <f t="shared" ref="AJ64:BB64" si="60">+SUM(AJ65:AJ68)</f>
        <v>39</v>
      </c>
      <c r="AK64" s="12">
        <f t="shared" si="60"/>
        <v>606</v>
      </c>
      <c r="AL64" s="12">
        <f t="shared" si="60"/>
        <v>1296</v>
      </c>
      <c r="AM64" s="12">
        <f t="shared" si="60"/>
        <v>142</v>
      </c>
      <c r="AN64" s="12">
        <f t="shared" si="60"/>
        <v>13</v>
      </c>
      <c r="AO64" s="12">
        <f t="shared" si="60"/>
        <v>19</v>
      </c>
      <c r="AP64" s="12">
        <f t="shared" si="60"/>
        <v>1</v>
      </c>
      <c r="AQ64" s="12">
        <f t="shared" si="60"/>
        <v>116</v>
      </c>
      <c r="AR64" s="12">
        <f t="shared" si="60"/>
        <v>352</v>
      </c>
      <c r="AS64" s="12">
        <f t="shared" si="60"/>
        <v>321</v>
      </c>
      <c r="AT64" s="12">
        <f t="shared" si="60"/>
        <v>266</v>
      </c>
      <c r="AU64" s="12">
        <f t="shared" si="60"/>
        <v>315</v>
      </c>
      <c r="AV64" s="12">
        <f t="shared" si="60"/>
        <v>187</v>
      </c>
      <c r="AW64" s="12">
        <f t="shared" si="60"/>
        <v>206</v>
      </c>
      <c r="AX64" s="12">
        <f t="shared" si="60"/>
        <v>155</v>
      </c>
      <c r="AY64" s="12">
        <f t="shared" si="60"/>
        <v>265</v>
      </c>
      <c r="AZ64" s="12">
        <f t="shared" si="60"/>
        <v>302</v>
      </c>
      <c r="BA64" s="12">
        <f t="shared" si="60"/>
        <v>214</v>
      </c>
      <c r="BB64" s="12">
        <f t="shared" si="60"/>
        <v>69</v>
      </c>
      <c r="BC64" s="12">
        <v>2497</v>
      </c>
      <c r="BD64" s="12">
        <f t="shared" si="6"/>
        <v>2768</v>
      </c>
      <c r="BE64" s="13">
        <f t="shared" si="7"/>
        <v>1.1085302362835403</v>
      </c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>
        <v>881</v>
      </c>
      <c r="BS64" s="12">
        <v>1934</v>
      </c>
      <c r="BT64" s="12">
        <v>934</v>
      </c>
      <c r="BU64" s="12">
        <v>752</v>
      </c>
      <c r="BV64" s="12">
        <v>852</v>
      </c>
      <c r="BW64" s="12">
        <v>632</v>
      </c>
      <c r="BX64" s="12">
        <v>940</v>
      </c>
      <c r="BY64" s="12">
        <v>626</v>
      </c>
      <c r="BZ64" s="12">
        <v>657</v>
      </c>
      <c r="CA64" s="12">
        <v>2412</v>
      </c>
      <c r="CB64" s="12">
        <v>1853</v>
      </c>
      <c r="CC64" s="12">
        <v>1700</v>
      </c>
      <c r="CD64" s="12">
        <f t="shared" ref="CD64:CE64" si="61">+SUM(CD65:CD68)</f>
        <v>8168</v>
      </c>
      <c r="CE64" s="12">
        <f t="shared" si="61"/>
        <v>10620</v>
      </c>
      <c r="CF64" s="13">
        <f t="shared" si="8"/>
        <v>1.3001958863858962</v>
      </c>
      <c r="CG64" s="12">
        <v>0</v>
      </c>
      <c r="CH64" s="12">
        <v>2121.9992000000002</v>
      </c>
      <c r="CI64" s="12">
        <v>20338.717228000001</v>
      </c>
      <c r="CJ64" s="12">
        <v>44391.015565900001</v>
      </c>
      <c r="CK64" s="12">
        <v>34840.074695999996</v>
      </c>
      <c r="CL64" s="12">
        <v>17813.48</v>
      </c>
      <c r="CM64" s="12">
        <v>24916.257000000001</v>
      </c>
      <c r="CN64" s="12">
        <v>30245.265800000001</v>
      </c>
      <c r="CO64" s="12">
        <v>18696.650000000001</v>
      </c>
      <c r="CP64" s="12">
        <v>11030</v>
      </c>
      <c r="CQ64" s="12">
        <v>4830</v>
      </c>
      <c r="CR64" s="12">
        <v>1250</v>
      </c>
      <c r="CS64" s="12">
        <v>3101</v>
      </c>
      <c r="CT64" s="12">
        <v>3946</v>
      </c>
      <c r="CU64" s="12">
        <v>4458</v>
      </c>
      <c r="CV64" s="12">
        <v>5097.52577673</v>
      </c>
      <c r="CW64" s="12">
        <v>4453.8888889999998</v>
      </c>
      <c r="CX64" s="12">
        <v>5587.8523999999998</v>
      </c>
      <c r="CY64" s="12">
        <v>4346.6211900199996</v>
      </c>
      <c r="CZ64" s="12">
        <v>4795.7726920099994</v>
      </c>
      <c r="DA64" s="12">
        <v>8441.369999999999</v>
      </c>
      <c r="DB64" s="12">
        <v>13320.804942999999</v>
      </c>
      <c r="DC64" s="12">
        <v>11807.999999989999</v>
      </c>
      <c r="DD64" s="12">
        <v>7253.8888889999998</v>
      </c>
      <c r="DE64" s="12">
        <v>73431.858069517388</v>
      </c>
      <c r="DF64" s="12">
        <f t="shared" si="9"/>
        <v>76610.724779749988</v>
      </c>
      <c r="DG64" s="13">
        <f t="shared" si="10"/>
        <v>1.0432900214403289</v>
      </c>
      <c r="DH64" s="12">
        <v>0</v>
      </c>
      <c r="DI64" s="12">
        <v>0</v>
      </c>
      <c r="DJ64" s="12">
        <v>103</v>
      </c>
      <c r="DK64" s="12">
        <v>470</v>
      </c>
      <c r="DL64" s="12">
        <v>2263</v>
      </c>
      <c r="DM64" s="12">
        <v>2241.5</v>
      </c>
      <c r="DN64" s="12">
        <v>4603.5</v>
      </c>
      <c r="DO64" s="12">
        <v>6940.5</v>
      </c>
      <c r="DP64" s="12">
        <v>4294.3999999999996</v>
      </c>
      <c r="DQ64" s="12">
        <v>2174</v>
      </c>
      <c r="DR64" s="12">
        <v>0</v>
      </c>
      <c r="DS64" s="12">
        <v>0</v>
      </c>
      <c r="DT64" s="12">
        <v>749</v>
      </c>
      <c r="DU64" s="12">
        <v>6809</v>
      </c>
      <c r="DV64" s="12">
        <v>4007</v>
      </c>
      <c r="DW64" s="12">
        <v>4759</v>
      </c>
      <c r="DX64" s="12">
        <v>2647</v>
      </c>
      <c r="DY64" s="12">
        <v>1719.4465501699997</v>
      </c>
      <c r="DZ64" s="12">
        <v>3187</v>
      </c>
      <c r="EA64" s="12">
        <v>2302.7999999999993</v>
      </c>
      <c r="EB64" s="12">
        <v>1314.5</v>
      </c>
      <c r="EC64" s="12">
        <v>4876</v>
      </c>
      <c r="ED64" s="12">
        <v>3897</v>
      </c>
      <c r="EE64" s="12">
        <v>1955.5</v>
      </c>
      <c r="EF64" s="12">
        <v>36544.471186333772</v>
      </c>
      <c r="EG64" s="12">
        <f t="shared" si="11"/>
        <v>38223.246550169999</v>
      </c>
      <c r="EH64" s="13">
        <f t="shared" si="12"/>
        <v>1.0459378753977981</v>
      </c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>
        <f>+SUM(EU65:EU68)</f>
        <v>60</v>
      </c>
      <c r="EV64" s="12">
        <f t="shared" ref="EV64:FF64" si="62">+SUM(EV65:EV68)</f>
        <v>5390</v>
      </c>
      <c r="EW64" s="12">
        <f t="shared" si="62"/>
        <v>17470</v>
      </c>
      <c r="EX64" s="12">
        <f t="shared" si="62"/>
        <v>21115</v>
      </c>
      <c r="EY64" s="12">
        <f t="shared" si="62"/>
        <v>19374.5</v>
      </c>
      <c r="EZ64" s="12">
        <f t="shared" si="62"/>
        <v>7102.3</v>
      </c>
      <c r="FA64" s="12">
        <f t="shared" si="62"/>
        <v>11506</v>
      </c>
      <c r="FB64" s="12">
        <f t="shared" si="62"/>
        <v>7774</v>
      </c>
      <c r="FC64" s="12">
        <f t="shared" si="62"/>
        <v>13678</v>
      </c>
      <c r="FD64" s="12">
        <f t="shared" si="62"/>
        <v>25560</v>
      </c>
      <c r="FE64" s="12">
        <f t="shared" si="62"/>
        <v>22189</v>
      </c>
      <c r="FF64" s="12">
        <f t="shared" si="62"/>
        <v>13712.3</v>
      </c>
      <c r="FG64" s="12">
        <v>144963.30431866826</v>
      </c>
      <c r="FH64" s="12">
        <v>132561.29999999999</v>
      </c>
      <c r="FI64" s="13">
        <v>0.91444728459413882</v>
      </c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>
        <v>0</v>
      </c>
      <c r="GH64" s="12">
        <v>0</v>
      </c>
      <c r="GI64" s="12">
        <v>0</v>
      </c>
      <c r="GJ64" s="13"/>
    </row>
    <row r="65" spans="1:192" s="14" customFormat="1" ht="24.95" customHeight="1">
      <c r="A65" s="19">
        <f t="shared" si="14"/>
        <v>1</v>
      </c>
      <c r="B65" s="20" t="s">
        <v>43</v>
      </c>
      <c r="C65" s="21">
        <v>12129</v>
      </c>
      <c r="D65" s="21"/>
      <c r="E65" s="21"/>
      <c r="F65" s="21"/>
      <c r="G65" s="24">
        <v>157</v>
      </c>
      <c r="H65" s="24">
        <v>199</v>
      </c>
      <c r="I65" s="24">
        <v>234</v>
      </c>
      <c r="J65" s="24">
        <v>273</v>
      </c>
      <c r="K65" s="24">
        <v>221</v>
      </c>
      <c r="L65" s="24">
        <v>262</v>
      </c>
      <c r="M65" s="24">
        <v>232</v>
      </c>
      <c r="N65" s="24">
        <v>204</v>
      </c>
      <c r="O65" s="24">
        <v>191</v>
      </c>
      <c r="P65" s="24">
        <v>4</v>
      </c>
      <c r="Q65" s="24">
        <v>70</v>
      </c>
      <c r="R65" s="24">
        <v>22</v>
      </c>
      <c r="S65" s="24">
        <v>32</v>
      </c>
      <c r="T65" s="24">
        <v>20</v>
      </c>
      <c r="U65" s="24">
        <v>8</v>
      </c>
      <c r="V65" s="24">
        <v>5</v>
      </c>
      <c r="W65" s="24">
        <v>99</v>
      </c>
      <c r="X65" s="24">
        <v>3</v>
      </c>
      <c r="Y65" s="24">
        <v>23</v>
      </c>
      <c r="Z65" s="24">
        <v>61</v>
      </c>
      <c r="AA65" s="24">
        <v>23</v>
      </c>
      <c r="AB65" s="22">
        <v>344</v>
      </c>
      <c r="AC65" s="22">
        <f t="shared" si="3"/>
        <v>370</v>
      </c>
      <c r="AD65" s="23">
        <f t="shared" si="4"/>
        <v>1.0755813953488371</v>
      </c>
      <c r="AE65" s="24"/>
      <c r="AF65" s="24"/>
      <c r="AG65" s="24"/>
      <c r="AH65" s="24"/>
      <c r="AI65" s="24"/>
      <c r="AJ65" s="24"/>
      <c r="AK65" s="24">
        <v>156</v>
      </c>
      <c r="AL65" s="24">
        <v>296</v>
      </c>
      <c r="AM65" s="24">
        <v>10</v>
      </c>
      <c r="AN65" s="24">
        <v>9</v>
      </c>
      <c r="AO65" s="24"/>
      <c r="AP65" s="24"/>
      <c r="AQ65" s="24">
        <v>27</v>
      </c>
      <c r="AR65" s="24">
        <v>60</v>
      </c>
      <c r="AS65" s="24">
        <v>96</v>
      </c>
      <c r="AT65" s="24">
        <v>62</v>
      </c>
      <c r="AU65" s="24">
        <v>54</v>
      </c>
      <c r="AV65" s="24">
        <v>45</v>
      </c>
      <c r="AW65" s="24">
        <v>37</v>
      </c>
      <c r="AX65" s="24">
        <v>37</v>
      </c>
      <c r="AY65" s="24">
        <v>69</v>
      </c>
      <c r="AZ65" s="24">
        <v>57</v>
      </c>
      <c r="BA65" s="24">
        <v>15</v>
      </c>
      <c r="BB65" s="24">
        <v>19</v>
      </c>
      <c r="BC65" s="32">
        <v>523</v>
      </c>
      <c r="BD65" s="32">
        <f t="shared" si="6"/>
        <v>578</v>
      </c>
      <c r="BE65" s="23">
        <f t="shared" si="7"/>
        <v>1.1051625239005736</v>
      </c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>
        <v>80</v>
      </c>
      <c r="BS65" s="24">
        <v>271</v>
      </c>
      <c r="BT65" s="24">
        <v>43</v>
      </c>
      <c r="BU65" s="24">
        <v>119</v>
      </c>
      <c r="BV65" s="24">
        <v>48</v>
      </c>
      <c r="BW65" s="24">
        <v>0</v>
      </c>
      <c r="BX65" s="24">
        <v>95</v>
      </c>
      <c r="BY65" s="24">
        <v>113</v>
      </c>
      <c r="BZ65" s="24">
        <v>56</v>
      </c>
      <c r="CA65" s="24">
        <v>295</v>
      </c>
      <c r="CB65" s="24">
        <v>172</v>
      </c>
      <c r="CC65" s="24">
        <v>206</v>
      </c>
      <c r="CD65" s="25">
        <v>1688</v>
      </c>
      <c r="CE65" s="25">
        <v>1135</v>
      </c>
      <c r="CF65" s="23">
        <f t="shared" si="8"/>
        <v>0.67239336492891</v>
      </c>
      <c r="CG65" s="24"/>
      <c r="CH65" s="24">
        <v>579.99919999999997</v>
      </c>
      <c r="CI65" s="24">
        <v>3232.0340000000001</v>
      </c>
      <c r="CJ65" s="24">
        <v>12320.8017999</v>
      </c>
      <c r="CK65" s="24">
        <v>11006.751364</v>
      </c>
      <c r="CL65" s="24">
        <v>3730</v>
      </c>
      <c r="CM65" s="24">
        <v>9250</v>
      </c>
      <c r="CN65" s="24">
        <v>9080</v>
      </c>
      <c r="CO65" s="24">
        <v>6240</v>
      </c>
      <c r="CP65" s="24">
        <v>2320</v>
      </c>
      <c r="CQ65" s="24">
        <v>1350</v>
      </c>
      <c r="CR65" s="24"/>
      <c r="CS65" s="24">
        <v>100</v>
      </c>
      <c r="CT65" s="24">
        <v>650</v>
      </c>
      <c r="CU65" s="24">
        <v>1170</v>
      </c>
      <c r="CV65" s="24">
        <v>900</v>
      </c>
      <c r="CW65" s="24">
        <v>600</v>
      </c>
      <c r="CX65" s="24">
        <v>1300</v>
      </c>
      <c r="CY65" s="24">
        <v>1350</v>
      </c>
      <c r="CZ65" s="24">
        <v>1700</v>
      </c>
      <c r="DA65" s="24">
        <v>1340</v>
      </c>
      <c r="DB65" s="24">
        <v>1700</v>
      </c>
      <c r="DC65" s="24">
        <v>970</v>
      </c>
      <c r="DD65" s="24">
        <v>850</v>
      </c>
      <c r="DE65" s="18">
        <v>11882.77781521768</v>
      </c>
      <c r="DF65" s="18">
        <f t="shared" si="9"/>
        <v>12630</v>
      </c>
      <c r="DG65" s="23">
        <f t="shared" si="10"/>
        <v>1.0628827868703723</v>
      </c>
      <c r="DH65" s="24"/>
      <c r="DI65" s="24"/>
      <c r="DJ65" s="24">
        <v>8</v>
      </c>
      <c r="DK65" s="24">
        <v>90</v>
      </c>
      <c r="DL65" s="24">
        <v>1107</v>
      </c>
      <c r="DM65" s="24">
        <v>952</v>
      </c>
      <c r="DN65" s="24">
        <v>731.5</v>
      </c>
      <c r="DO65" s="24">
        <v>1348</v>
      </c>
      <c r="DP65" s="24">
        <v>1217.7</v>
      </c>
      <c r="DQ65" s="24">
        <v>423</v>
      </c>
      <c r="DR65" s="24"/>
      <c r="DS65" s="24"/>
      <c r="DT65" s="24">
        <v>15</v>
      </c>
      <c r="DU65" s="24">
        <v>536</v>
      </c>
      <c r="DV65" s="24">
        <v>323</v>
      </c>
      <c r="DW65" s="24">
        <v>249</v>
      </c>
      <c r="DX65" s="24">
        <v>383</v>
      </c>
      <c r="DY65" s="24">
        <v>93</v>
      </c>
      <c r="DZ65" s="24">
        <v>297</v>
      </c>
      <c r="EA65" s="24">
        <v>734</v>
      </c>
      <c r="EB65" s="24">
        <v>495</v>
      </c>
      <c r="EC65" s="24">
        <v>434</v>
      </c>
      <c r="ED65" s="24">
        <v>239</v>
      </c>
      <c r="EE65" s="24">
        <v>157</v>
      </c>
      <c r="EF65" s="18">
        <v>3613.5172231650072</v>
      </c>
      <c r="EG65" s="18">
        <f t="shared" si="11"/>
        <v>3955</v>
      </c>
      <c r="EH65" s="23">
        <f t="shared" si="12"/>
        <v>1.0945014941802034</v>
      </c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>
        <v>924</v>
      </c>
      <c r="EW65" s="24">
        <v>3844</v>
      </c>
      <c r="EX65" s="24">
        <v>4170</v>
      </c>
      <c r="EY65" s="24">
        <v>4281</v>
      </c>
      <c r="EZ65" s="24">
        <v>2128</v>
      </c>
      <c r="FA65" s="24">
        <v>1605</v>
      </c>
      <c r="FB65" s="24">
        <v>757</v>
      </c>
      <c r="FC65" s="24">
        <v>3216</v>
      </c>
      <c r="FD65" s="24">
        <v>4154</v>
      </c>
      <c r="FE65" s="24">
        <v>2739</v>
      </c>
      <c r="FF65" s="24">
        <v>507</v>
      </c>
      <c r="FG65" s="18">
        <v>30287.635732490504</v>
      </c>
      <c r="FH65" s="18">
        <v>26493</v>
      </c>
      <c r="FI65" s="23">
        <v>0.87471337261165361</v>
      </c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3"/>
    </row>
    <row r="66" spans="1:192" s="14" customFormat="1" ht="24.95" customHeight="1">
      <c r="A66" s="19">
        <f t="shared" si="14"/>
        <v>2</v>
      </c>
      <c r="B66" s="20" t="s">
        <v>41</v>
      </c>
      <c r="C66" s="21">
        <v>10820</v>
      </c>
      <c r="D66" s="21"/>
      <c r="E66" s="21"/>
      <c r="F66" s="21"/>
      <c r="G66" s="24">
        <v>402</v>
      </c>
      <c r="H66" s="24">
        <v>236</v>
      </c>
      <c r="I66" s="24">
        <v>243</v>
      </c>
      <c r="J66" s="24">
        <v>219</v>
      </c>
      <c r="K66" s="24">
        <v>198</v>
      </c>
      <c r="L66" s="24">
        <v>214</v>
      </c>
      <c r="M66" s="24">
        <v>205</v>
      </c>
      <c r="N66" s="24">
        <v>174</v>
      </c>
      <c r="O66" s="24">
        <v>190</v>
      </c>
      <c r="P66" s="24">
        <v>88</v>
      </c>
      <c r="Q66" s="24">
        <v>80</v>
      </c>
      <c r="R66" s="24">
        <v>80</v>
      </c>
      <c r="S66" s="24">
        <v>177</v>
      </c>
      <c r="T66" s="24">
        <v>149</v>
      </c>
      <c r="U66" s="24">
        <v>127</v>
      </c>
      <c r="V66" s="24">
        <v>109</v>
      </c>
      <c r="W66" s="24">
        <v>73</v>
      </c>
      <c r="X66" s="24">
        <v>128</v>
      </c>
      <c r="Y66" s="24">
        <v>50</v>
      </c>
      <c r="Z66" s="24">
        <v>131</v>
      </c>
      <c r="AA66" s="24">
        <v>50</v>
      </c>
      <c r="AB66" s="22">
        <v>1074</v>
      </c>
      <c r="AC66" s="22">
        <f t="shared" ref="AC66:AC105" si="63">+P66+Q66+R66+S66+T66+U66+V66+W66+X66+Y66+Z66+AA66</f>
        <v>1242</v>
      </c>
      <c r="AD66" s="23">
        <f t="shared" ref="AD66:AD105" si="64">+AC66/AB66</f>
        <v>1.1564245810055866</v>
      </c>
      <c r="AE66" s="24"/>
      <c r="AF66" s="24"/>
      <c r="AG66" s="24"/>
      <c r="AH66" s="24"/>
      <c r="AI66" s="24"/>
      <c r="AJ66" s="24"/>
      <c r="AK66" s="24">
        <v>319</v>
      </c>
      <c r="AL66" s="24">
        <v>744</v>
      </c>
      <c r="AM66" s="24">
        <v>48</v>
      </c>
      <c r="AN66" s="24">
        <v>4</v>
      </c>
      <c r="AO66" s="24">
        <v>18</v>
      </c>
      <c r="AP66" s="24">
        <v>1</v>
      </c>
      <c r="AQ66" s="24">
        <v>48</v>
      </c>
      <c r="AR66" s="24">
        <v>226</v>
      </c>
      <c r="AS66" s="24">
        <v>135</v>
      </c>
      <c r="AT66" s="24">
        <v>131</v>
      </c>
      <c r="AU66" s="24">
        <v>161</v>
      </c>
      <c r="AV66" s="24">
        <v>96</v>
      </c>
      <c r="AW66" s="24">
        <v>108</v>
      </c>
      <c r="AX66" s="24">
        <v>72</v>
      </c>
      <c r="AY66" s="24">
        <v>133</v>
      </c>
      <c r="AZ66" s="24">
        <v>168</v>
      </c>
      <c r="BA66" s="24">
        <v>150</v>
      </c>
      <c r="BB66" s="24">
        <v>30</v>
      </c>
      <c r="BC66" s="32">
        <v>1317</v>
      </c>
      <c r="BD66" s="32">
        <f t="shared" ref="BD66:BD105" si="65">+AQ66+AR66+AS66+AT66+AU66+AV66+AW66+AX66+AY66+AZ66+BA66+BB66</f>
        <v>1458</v>
      </c>
      <c r="BE66" s="23">
        <f t="shared" ref="BE66:BE105" si="66">+BD66/BC66</f>
        <v>1.1070615034168565</v>
      </c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>
        <v>455</v>
      </c>
      <c r="BS66" s="24">
        <v>1070</v>
      </c>
      <c r="BT66" s="24">
        <v>617</v>
      </c>
      <c r="BU66" s="24">
        <v>423</v>
      </c>
      <c r="BV66" s="24">
        <v>639</v>
      </c>
      <c r="BW66" s="24">
        <v>498</v>
      </c>
      <c r="BX66" s="24">
        <v>538</v>
      </c>
      <c r="BY66" s="24">
        <v>395</v>
      </c>
      <c r="BZ66" s="24">
        <v>416</v>
      </c>
      <c r="CA66" s="24">
        <v>1140</v>
      </c>
      <c r="CB66" s="24">
        <v>969</v>
      </c>
      <c r="CC66" s="24">
        <v>617</v>
      </c>
      <c r="CD66" s="25">
        <v>4305</v>
      </c>
      <c r="CE66" s="25">
        <v>6492</v>
      </c>
      <c r="CF66" s="23">
        <f t="shared" si="8"/>
        <v>1.5080139372822299</v>
      </c>
      <c r="CG66" s="24"/>
      <c r="CH66" s="24">
        <v>570</v>
      </c>
      <c r="CI66" s="24">
        <v>5352.4023999999999</v>
      </c>
      <c r="CJ66" s="24">
        <v>9820.1447499999995</v>
      </c>
      <c r="CK66" s="24">
        <v>9599.5401920000004</v>
      </c>
      <c r="CL66" s="24">
        <v>4370</v>
      </c>
      <c r="CM66" s="24">
        <v>3798.5</v>
      </c>
      <c r="CN66" s="24">
        <v>5773</v>
      </c>
      <c r="CO66" s="24">
        <v>4445</v>
      </c>
      <c r="CP66" s="24">
        <v>1270</v>
      </c>
      <c r="CQ66" s="24">
        <v>1250</v>
      </c>
      <c r="CR66" s="24">
        <v>350</v>
      </c>
      <c r="CS66" s="24">
        <v>700</v>
      </c>
      <c r="CT66" s="24">
        <v>650</v>
      </c>
      <c r="CU66" s="24">
        <v>700</v>
      </c>
      <c r="CV66" s="24">
        <v>869.58577672999991</v>
      </c>
      <c r="CW66" s="24">
        <v>740</v>
      </c>
      <c r="CX66" s="24">
        <v>800</v>
      </c>
      <c r="CY66" s="24">
        <v>834.30119002000004</v>
      </c>
      <c r="CZ66" s="24">
        <v>619.93935900999998</v>
      </c>
      <c r="DA66" s="24">
        <v>2450</v>
      </c>
      <c r="DB66" s="24">
        <v>3798.1721429999998</v>
      </c>
      <c r="DC66" s="24">
        <v>5330</v>
      </c>
      <c r="DD66" s="24">
        <v>2900</v>
      </c>
      <c r="DE66" s="18">
        <v>19331.227726821249</v>
      </c>
      <c r="DF66" s="18">
        <f t="shared" ref="DF66:DF105" si="67">+CS66+CT66+CU66+CV66+CW66+CX66+CY66+CZ66+DA66+DB66+DC66+DD66</f>
        <v>20391.998468760001</v>
      </c>
      <c r="DG66" s="23">
        <f t="shared" ref="DG66:DG105" si="68">+DF66/DE66</f>
        <v>1.0548734284717456</v>
      </c>
      <c r="DH66" s="24"/>
      <c r="DI66" s="24"/>
      <c r="DJ66" s="24">
        <v>35</v>
      </c>
      <c r="DK66" s="24">
        <v>140</v>
      </c>
      <c r="DL66" s="24">
        <v>821</v>
      </c>
      <c r="DM66" s="24">
        <v>933</v>
      </c>
      <c r="DN66" s="24">
        <v>3252</v>
      </c>
      <c r="DO66" s="24">
        <v>3816</v>
      </c>
      <c r="DP66" s="24">
        <v>1743.2</v>
      </c>
      <c r="DQ66" s="24">
        <v>894</v>
      </c>
      <c r="DR66" s="24"/>
      <c r="DS66" s="24"/>
      <c r="DT66" s="24">
        <v>551</v>
      </c>
      <c r="DU66" s="24">
        <v>3206</v>
      </c>
      <c r="DV66" s="24">
        <v>2351</v>
      </c>
      <c r="DW66" s="24">
        <v>2740</v>
      </c>
      <c r="DX66" s="24">
        <v>1378</v>
      </c>
      <c r="DY66" s="24">
        <v>1068.4465501699997</v>
      </c>
      <c r="DZ66" s="24">
        <v>2200</v>
      </c>
      <c r="EA66" s="24">
        <v>474</v>
      </c>
      <c r="EB66" s="24">
        <v>156</v>
      </c>
      <c r="EC66" s="24">
        <v>2467</v>
      </c>
      <c r="ED66" s="24">
        <v>1613</v>
      </c>
      <c r="EE66" s="24">
        <v>394</v>
      </c>
      <c r="EF66" s="18">
        <v>19861.684490986721</v>
      </c>
      <c r="EG66" s="18">
        <f t="shared" ref="EG66:EG91" si="69">+DT66+DU66+DV66+DW66+DX66+DY66+DZ66+EA66+EB66+EC66+ED66+EE66</f>
        <v>18598.44655017</v>
      </c>
      <c r="EH66" s="23">
        <f t="shared" ref="EH66:EH89" si="70">+EG66/EF66</f>
        <v>0.93639824752074874</v>
      </c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>
        <v>60</v>
      </c>
      <c r="EV66" s="24">
        <v>2906</v>
      </c>
      <c r="EW66" s="24">
        <v>8367</v>
      </c>
      <c r="EX66" s="24">
        <v>12435</v>
      </c>
      <c r="EY66" s="24">
        <v>10754</v>
      </c>
      <c r="EZ66" s="24">
        <v>2527.3000000000002</v>
      </c>
      <c r="FA66" s="24">
        <v>4947</v>
      </c>
      <c r="FB66" s="24">
        <v>2779</v>
      </c>
      <c r="FC66" s="24">
        <v>4935</v>
      </c>
      <c r="FD66" s="24">
        <v>10196</v>
      </c>
      <c r="FE66" s="24">
        <v>8135</v>
      </c>
      <c r="FF66" s="24">
        <v>5047.3</v>
      </c>
      <c r="FG66" s="18">
        <v>75286.527103743225</v>
      </c>
      <c r="FH66" s="18">
        <v>66737.3</v>
      </c>
      <c r="FI66" s="23">
        <v>0.88644412974498654</v>
      </c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3"/>
    </row>
    <row r="67" spans="1:192" s="14" customFormat="1" ht="24.95" customHeight="1">
      <c r="A67" s="19">
        <f t="shared" si="14"/>
        <v>3</v>
      </c>
      <c r="B67" s="20" t="s">
        <v>93</v>
      </c>
      <c r="C67" s="21">
        <v>10819</v>
      </c>
      <c r="D67" s="21"/>
      <c r="E67" s="21"/>
      <c r="F67" s="21"/>
      <c r="G67" s="24">
        <v>257</v>
      </c>
      <c r="H67" s="24">
        <v>62</v>
      </c>
      <c r="I67" s="24">
        <v>211</v>
      </c>
      <c r="J67" s="24">
        <v>232</v>
      </c>
      <c r="K67" s="24">
        <v>229</v>
      </c>
      <c r="L67" s="24">
        <v>240</v>
      </c>
      <c r="M67" s="24">
        <v>263</v>
      </c>
      <c r="N67" s="24">
        <v>210</v>
      </c>
      <c r="O67" s="24">
        <v>191</v>
      </c>
      <c r="P67" s="24">
        <v>135</v>
      </c>
      <c r="Q67" s="24">
        <v>106</v>
      </c>
      <c r="R67" s="24">
        <v>409</v>
      </c>
      <c r="S67" s="24">
        <v>162</v>
      </c>
      <c r="T67" s="24">
        <v>161</v>
      </c>
      <c r="U67" s="24">
        <v>188</v>
      </c>
      <c r="V67" s="24">
        <v>164</v>
      </c>
      <c r="W67" s="24">
        <v>132</v>
      </c>
      <c r="X67" s="24">
        <v>205</v>
      </c>
      <c r="Y67" s="24">
        <v>95</v>
      </c>
      <c r="Z67" s="24">
        <v>59</v>
      </c>
      <c r="AA67" s="24">
        <v>95</v>
      </c>
      <c r="AB67" s="22">
        <v>1085</v>
      </c>
      <c r="AC67" s="22">
        <f t="shared" si="63"/>
        <v>1911</v>
      </c>
      <c r="AD67" s="23">
        <f t="shared" si="64"/>
        <v>1.7612903225806451</v>
      </c>
      <c r="AE67" s="24"/>
      <c r="AF67" s="24"/>
      <c r="AG67" s="24"/>
      <c r="AH67" s="24"/>
      <c r="AI67" s="24"/>
      <c r="AJ67" s="24">
        <v>39</v>
      </c>
      <c r="AK67" s="24">
        <v>131</v>
      </c>
      <c r="AL67" s="24">
        <v>256</v>
      </c>
      <c r="AM67" s="24">
        <v>84</v>
      </c>
      <c r="AN67" s="24"/>
      <c r="AO67" s="24">
        <v>1</v>
      </c>
      <c r="AP67" s="24"/>
      <c r="AQ67" s="24">
        <v>41</v>
      </c>
      <c r="AR67" s="24">
        <v>66</v>
      </c>
      <c r="AS67" s="24">
        <v>90</v>
      </c>
      <c r="AT67" s="24">
        <v>73</v>
      </c>
      <c r="AU67" s="24">
        <v>100</v>
      </c>
      <c r="AV67" s="24">
        <v>46</v>
      </c>
      <c r="AW67" s="24">
        <v>61</v>
      </c>
      <c r="AX67" s="24">
        <v>46</v>
      </c>
      <c r="AY67" s="24">
        <v>63</v>
      </c>
      <c r="AZ67" s="24">
        <v>77</v>
      </c>
      <c r="BA67" s="24">
        <v>49</v>
      </c>
      <c r="BB67" s="24">
        <v>20</v>
      </c>
      <c r="BC67" s="32">
        <v>657</v>
      </c>
      <c r="BD67" s="32">
        <f t="shared" si="65"/>
        <v>732</v>
      </c>
      <c r="BE67" s="23">
        <f t="shared" si="66"/>
        <v>1.1141552511415524</v>
      </c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>
        <v>190</v>
      </c>
      <c r="BS67" s="24">
        <v>404</v>
      </c>
      <c r="BT67" s="24">
        <v>269</v>
      </c>
      <c r="BU67" s="24">
        <v>175</v>
      </c>
      <c r="BV67" s="24">
        <v>157</v>
      </c>
      <c r="BW67" s="24">
        <v>134</v>
      </c>
      <c r="BX67" s="24">
        <v>179</v>
      </c>
      <c r="BY67" s="24">
        <v>95</v>
      </c>
      <c r="BZ67" s="24">
        <v>185</v>
      </c>
      <c r="CA67" s="24">
        <v>717</v>
      </c>
      <c r="CB67" s="24">
        <v>412</v>
      </c>
      <c r="CC67" s="24">
        <v>413</v>
      </c>
      <c r="CD67" s="25">
        <v>1260</v>
      </c>
      <c r="CE67" s="25">
        <v>2355</v>
      </c>
      <c r="CF67" s="23">
        <f t="shared" si="8"/>
        <v>1.8690476190476191</v>
      </c>
      <c r="CG67" s="24"/>
      <c r="CH67" s="24">
        <v>400</v>
      </c>
      <c r="CI67" s="24">
        <v>4613.113848</v>
      </c>
      <c r="CJ67" s="24">
        <v>7470.920016</v>
      </c>
      <c r="CK67" s="24">
        <v>5551.3141400000004</v>
      </c>
      <c r="CL67" s="24">
        <v>3406</v>
      </c>
      <c r="CM67" s="24">
        <v>2786.2</v>
      </c>
      <c r="CN67" s="24">
        <v>3251.2669999999998</v>
      </c>
      <c r="CO67" s="24">
        <v>700</v>
      </c>
      <c r="CP67" s="24">
        <v>2070</v>
      </c>
      <c r="CQ67" s="24">
        <v>1400</v>
      </c>
      <c r="CR67" s="24">
        <v>500</v>
      </c>
      <c r="CS67" s="24">
        <v>850</v>
      </c>
      <c r="CT67" s="24">
        <v>956</v>
      </c>
      <c r="CU67" s="24">
        <v>988</v>
      </c>
      <c r="CV67" s="24">
        <v>1067.94</v>
      </c>
      <c r="CW67" s="24">
        <v>1403.8888889999998</v>
      </c>
      <c r="CX67" s="24">
        <v>1287.8524</v>
      </c>
      <c r="CY67" s="24">
        <v>1082.3200000000002</v>
      </c>
      <c r="CZ67" s="24">
        <v>775.83333300000004</v>
      </c>
      <c r="DA67" s="24">
        <v>1955</v>
      </c>
      <c r="DB67" s="24">
        <v>3579.9999999999995</v>
      </c>
      <c r="DC67" s="24">
        <v>2603</v>
      </c>
      <c r="DD67" s="24">
        <v>1703.8888890000001</v>
      </c>
      <c r="DE67" s="18">
        <v>17432.629098674995</v>
      </c>
      <c r="DF67" s="18">
        <f t="shared" si="67"/>
        <v>18253.723511000004</v>
      </c>
      <c r="DG67" s="23">
        <f t="shared" si="68"/>
        <v>1.0471010085556984</v>
      </c>
      <c r="DH67" s="24"/>
      <c r="DI67" s="24"/>
      <c r="DJ67" s="24">
        <v>20</v>
      </c>
      <c r="DK67" s="24">
        <v>190</v>
      </c>
      <c r="DL67" s="24">
        <v>295</v>
      </c>
      <c r="DM67" s="24">
        <v>281</v>
      </c>
      <c r="DN67" s="24">
        <v>306</v>
      </c>
      <c r="DO67" s="24">
        <v>585.5</v>
      </c>
      <c r="DP67" s="24">
        <v>285</v>
      </c>
      <c r="DQ67" s="24">
        <v>215</v>
      </c>
      <c r="DR67" s="24"/>
      <c r="DS67" s="24"/>
      <c r="DT67" s="24">
        <v>133</v>
      </c>
      <c r="DU67" s="24">
        <v>1871</v>
      </c>
      <c r="DV67" s="24">
        <v>712</v>
      </c>
      <c r="DW67" s="24">
        <v>1295</v>
      </c>
      <c r="DX67" s="24">
        <v>736</v>
      </c>
      <c r="DY67" s="24">
        <v>558</v>
      </c>
      <c r="DZ67" s="24">
        <v>576</v>
      </c>
      <c r="EA67" s="24">
        <v>917.80000000000018</v>
      </c>
      <c r="EB67" s="24">
        <v>312.5</v>
      </c>
      <c r="EC67" s="24">
        <v>1298.9999999999991</v>
      </c>
      <c r="ED67" s="24">
        <v>994</v>
      </c>
      <c r="EE67" s="24">
        <v>859</v>
      </c>
      <c r="EF67" s="18">
        <v>9284.464329966384</v>
      </c>
      <c r="EG67" s="18">
        <f t="shared" si="69"/>
        <v>10263.299999999999</v>
      </c>
      <c r="EH67" s="23">
        <f t="shared" si="70"/>
        <v>1.1054272637867046</v>
      </c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>
        <v>800</v>
      </c>
      <c r="EW67" s="24">
        <v>1715</v>
      </c>
      <c r="EX67" s="24">
        <v>1440</v>
      </c>
      <c r="EY67" s="24">
        <v>1510</v>
      </c>
      <c r="EZ67" s="24">
        <v>1300</v>
      </c>
      <c r="FA67" s="24">
        <v>1922</v>
      </c>
      <c r="FB67" s="24">
        <v>2280</v>
      </c>
      <c r="FC67" s="24">
        <v>2625</v>
      </c>
      <c r="FD67" s="24">
        <v>4077</v>
      </c>
      <c r="FE67" s="24">
        <v>2598</v>
      </c>
      <c r="FF67" s="24">
        <v>1367</v>
      </c>
      <c r="FG67" s="18">
        <v>32278.377650331902</v>
      </c>
      <c r="FH67" s="18">
        <v>20207</v>
      </c>
      <c r="FI67" s="23">
        <v>0.62602278896728325</v>
      </c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3"/>
    </row>
    <row r="68" spans="1:192" s="14" customFormat="1" ht="24.95" customHeight="1">
      <c r="A68" s="19">
        <f t="shared" si="14"/>
        <v>4</v>
      </c>
      <c r="B68" s="20" t="s">
        <v>79</v>
      </c>
      <c r="C68" s="21">
        <v>10818</v>
      </c>
      <c r="D68" s="21"/>
      <c r="E68" s="21"/>
      <c r="F68" s="21"/>
      <c r="G68" s="24">
        <v>156</v>
      </c>
      <c r="H68" s="24">
        <v>265</v>
      </c>
      <c r="I68" s="24">
        <v>191</v>
      </c>
      <c r="J68" s="24">
        <v>153</v>
      </c>
      <c r="K68" s="24">
        <v>178</v>
      </c>
      <c r="L68" s="24">
        <v>190</v>
      </c>
      <c r="M68" s="24">
        <v>121</v>
      </c>
      <c r="N68" s="24">
        <v>202</v>
      </c>
      <c r="O68" s="24">
        <v>190</v>
      </c>
      <c r="P68" s="24">
        <v>46</v>
      </c>
      <c r="Q68" s="24">
        <v>152</v>
      </c>
      <c r="R68" s="24">
        <v>66</v>
      </c>
      <c r="S68" s="24">
        <v>101</v>
      </c>
      <c r="T68" s="24">
        <v>93</v>
      </c>
      <c r="U68" s="24">
        <v>80</v>
      </c>
      <c r="V68" s="24">
        <v>124</v>
      </c>
      <c r="W68" s="24">
        <v>81</v>
      </c>
      <c r="X68" s="24">
        <v>10</v>
      </c>
      <c r="Y68" s="24">
        <v>31</v>
      </c>
      <c r="Z68" s="24">
        <v>59</v>
      </c>
      <c r="AA68" s="24">
        <v>31</v>
      </c>
      <c r="AB68" s="22">
        <v>725</v>
      </c>
      <c r="AC68" s="22">
        <f t="shared" si="63"/>
        <v>874</v>
      </c>
      <c r="AD68" s="23">
        <f t="shared" si="64"/>
        <v>1.2055172413793103</v>
      </c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32"/>
      <c r="BD68" s="32">
        <f t="shared" si="65"/>
        <v>0</v>
      </c>
      <c r="BE68" s="23">
        <v>0</v>
      </c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>
        <v>156</v>
      </c>
      <c r="BS68" s="24">
        <v>189</v>
      </c>
      <c r="BT68" s="24">
        <v>5</v>
      </c>
      <c r="BU68" s="24">
        <v>35</v>
      </c>
      <c r="BV68" s="24">
        <v>8</v>
      </c>
      <c r="BW68" s="24">
        <v>0</v>
      </c>
      <c r="BX68" s="24">
        <v>128</v>
      </c>
      <c r="BY68" s="24">
        <v>23</v>
      </c>
      <c r="BZ68" s="24">
        <v>0</v>
      </c>
      <c r="CA68" s="24">
        <v>260</v>
      </c>
      <c r="CB68" s="24">
        <v>300</v>
      </c>
      <c r="CC68" s="24">
        <v>464</v>
      </c>
      <c r="CD68" s="25">
        <v>915</v>
      </c>
      <c r="CE68" s="25">
        <v>638</v>
      </c>
      <c r="CF68" s="23">
        <f t="shared" ref="CF68:CF105" si="71">+CE68/CD68</f>
        <v>0.69726775956284148</v>
      </c>
      <c r="CG68" s="24"/>
      <c r="CH68" s="24">
        <v>572</v>
      </c>
      <c r="CI68" s="24">
        <v>7141.16698</v>
      </c>
      <c r="CJ68" s="24">
        <v>14779.148999999999</v>
      </c>
      <c r="CK68" s="24">
        <v>8682.4689999999991</v>
      </c>
      <c r="CL68" s="24">
        <v>6307.48</v>
      </c>
      <c r="CM68" s="24">
        <v>9081.5570000000007</v>
      </c>
      <c r="CN68" s="24">
        <v>12140.998799999999</v>
      </c>
      <c r="CO68" s="24">
        <v>7311.65</v>
      </c>
      <c r="CP68" s="24">
        <v>5370</v>
      </c>
      <c r="CQ68" s="24">
        <v>830</v>
      </c>
      <c r="CR68" s="24">
        <v>400</v>
      </c>
      <c r="CS68" s="24">
        <v>1451</v>
      </c>
      <c r="CT68" s="24">
        <v>1690</v>
      </c>
      <c r="CU68" s="24">
        <v>1600</v>
      </c>
      <c r="CV68" s="24">
        <v>2260</v>
      </c>
      <c r="CW68" s="24">
        <v>1710</v>
      </c>
      <c r="CX68" s="24">
        <v>2200</v>
      </c>
      <c r="CY68" s="24">
        <v>1080</v>
      </c>
      <c r="CZ68" s="24">
        <v>1700</v>
      </c>
      <c r="DA68" s="24">
        <v>2696.37</v>
      </c>
      <c r="DB68" s="24">
        <v>4242.6327999999994</v>
      </c>
      <c r="DC68" s="24">
        <v>2904.9999999900001</v>
      </c>
      <c r="DD68" s="24">
        <v>1800</v>
      </c>
      <c r="DE68" s="18">
        <v>24785.223428803463</v>
      </c>
      <c r="DF68" s="18">
        <f t="shared" si="67"/>
        <v>25335.002799989998</v>
      </c>
      <c r="DG68" s="23">
        <f t="shared" si="68"/>
        <v>1.022181739566149</v>
      </c>
      <c r="DH68" s="24"/>
      <c r="DI68" s="24"/>
      <c r="DJ68" s="24">
        <v>40</v>
      </c>
      <c r="DK68" s="24">
        <v>50</v>
      </c>
      <c r="DL68" s="24">
        <v>40</v>
      </c>
      <c r="DM68" s="24">
        <v>75.5</v>
      </c>
      <c r="DN68" s="24">
        <v>314</v>
      </c>
      <c r="DO68" s="24">
        <v>1191</v>
      </c>
      <c r="DP68" s="24">
        <v>1048.5</v>
      </c>
      <c r="DQ68" s="24">
        <v>642</v>
      </c>
      <c r="DR68" s="24"/>
      <c r="DS68" s="24"/>
      <c r="DT68" s="24">
        <v>50</v>
      </c>
      <c r="DU68" s="24">
        <v>1196</v>
      </c>
      <c r="DV68" s="24">
        <v>621</v>
      </c>
      <c r="DW68" s="24">
        <v>475</v>
      </c>
      <c r="DX68" s="24">
        <v>150</v>
      </c>
      <c r="DY68" s="24">
        <v>0</v>
      </c>
      <c r="DZ68" s="24">
        <v>114</v>
      </c>
      <c r="EA68" s="24">
        <v>177</v>
      </c>
      <c r="EB68" s="24">
        <v>351</v>
      </c>
      <c r="EC68" s="24">
        <v>676</v>
      </c>
      <c r="ED68" s="24">
        <v>1051</v>
      </c>
      <c r="EE68" s="24">
        <v>545.5</v>
      </c>
      <c r="EF68" s="18">
        <v>3784.8051422156591</v>
      </c>
      <c r="EG68" s="18">
        <f t="shared" si="69"/>
        <v>5406.5</v>
      </c>
      <c r="EH68" s="23">
        <f t="shared" si="70"/>
        <v>1.428475125362725</v>
      </c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>
        <v>760</v>
      </c>
      <c r="EW68" s="24">
        <v>3544</v>
      </c>
      <c r="EX68" s="24">
        <v>3070</v>
      </c>
      <c r="EY68" s="24">
        <v>2829.5</v>
      </c>
      <c r="EZ68" s="24">
        <v>1147</v>
      </c>
      <c r="FA68" s="24">
        <v>3032</v>
      </c>
      <c r="FB68" s="24">
        <v>1958</v>
      </c>
      <c r="FC68" s="24">
        <v>2902</v>
      </c>
      <c r="FD68" s="24">
        <v>7133</v>
      </c>
      <c r="FE68" s="24">
        <v>8717</v>
      </c>
      <c r="FF68" s="24">
        <v>6791</v>
      </c>
      <c r="FG68" s="18">
        <v>7110.7638321026307</v>
      </c>
      <c r="FH68" s="18">
        <v>19124</v>
      </c>
      <c r="FI68" s="23">
        <v>2.6894438419768321</v>
      </c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3"/>
    </row>
    <row r="69" spans="1:192" s="14" customFormat="1" ht="32.25" customHeight="1">
      <c r="A69" s="9"/>
      <c r="B69" s="10" t="s">
        <v>6</v>
      </c>
      <c r="C69" s="11"/>
      <c r="D69" s="11"/>
      <c r="E69" s="11"/>
      <c r="F69" s="11"/>
      <c r="G69" s="12">
        <v>382</v>
      </c>
      <c r="H69" s="12">
        <v>308</v>
      </c>
      <c r="I69" s="12">
        <v>318</v>
      </c>
      <c r="J69" s="12">
        <v>319</v>
      </c>
      <c r="K69" s="12">
        <v>303</v>
      </c>
      <c r="L69" s="12">
        <v>312</v>
      </c>
      <c r="M69" s="12">
        <v>289</v>
      </c>
      <c r="N69" s="12">
        <v>282</v>
      </c>
      <c r="O69" s="12">
        <v>275</v>
      </c>
      <c r="P69" s="12">
        <v>300</v>
      </c>
      <c r="Q69" s="12">
        <v>263</v>
      </c>
      <c r="R69" s="12">
        <v>265</v>
      </c>
      <c r="S69" s="12">
        <v>193</v>
      </c>
      <c r="T69" s="12">
        <v>194</v>
      </c>
      <c r="U69" s="12">
        <v>68</v>
      </c>
      <c r="V69" s="12">
        <v>95</v>
      </c>
      <c r="W69" s="12">
        <v>266</v>
      </c>
      <c r="X69" s="12">
        <v>215</v>
      </c>
      <c r="Y69" s="12">
        <v>107</v>
      </c>
      <c r="Z69" s="12">
        <v>250</v>
      </c>
      <c r="AA69" s="12">
        <v>105</v>
      </c>
      <c r="AB69" s="12">
        <v>1754</v>
      </c>
      <c r="AC69" s="12">
        <f t="shared" si="63"/>
        <v>2321</v>
      </c>
      <c r="AD69" s="13">
        <f t="shared" si="64"/>
        <v>1.3232611174458382</v>
      </c>
      <c r="AE69" s="12"/>
      <c r="AF69" s="12"/>
      <c r="AG69" s="12"/>
      <c r="AH69" s="12"/>
      <c r="AI69" s="12"/>
      <c r="AJ69" s="12">
        <v>104</v>
      </c>
      <c r="AK69" s="12">
        <v>259</v>
      </c>
      <c r="AL69" s="12">
        <v>754</v>
      </c>
      <c r="AM69" s="12">
        <v>38</v>
      </c>
      <c r="AN69" s="12">
        <v>17</v>
      </c>
      <c r="AO69" s="12">
        <v>5</v>
      </c>
      <c r="AP69" s="12"/>
      <c r="AQ69" s="12">
        <v>71</v>
      </c>
      <c r="AR69" s="12">
        <v>205</v>
      </c>
      <c r="AS69" s="12">
        <v>256</v>
      </c>
      <c r="AT69" s="12">
        <v>173</v>
      </c>
      <c r="AU69" s="12">
        <v>181</v>
      </c>
      <c r="AV69" s="12">
        <v>103</v>
      </c>
      <c r="AW69" s="12">
        <v>36</v>
      </c>
      <c r="AX69" s="12">
        <v>98</v>
      </c>
      <c r="AY69" s="12">
        <v>112</v>
      </c>
      <c r="AZ69" s="12">
        <v>97</v>
      </c>
      <c r="BA69" s="12">
        <v>117</v>
      </c>
      <c r="BB69" s="12">
        <v>62</v>
      </c>
      <c r="BC69" s="12">
        <v>1394</v>
      </c>
      <c r="BD69" s="12">
        <f t="shared" si="65"/>
        <v>1511</v>
      </c>
      <c r="BE69" s="13">
        <f t="shared" si="66"/>
        <v>1.0839311334289814</v>
      </c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>
        <v>721</v>
      </c>
      <c r="BS69" s="12">
        <v>572</v>
      </c>
      <c r="BT69" s="12">
        <v>200</v>
      </c>
      <c r="BU69" s="12">
        <v>191</v>
      </c>
      <c r="BV69" s="12">
        <v>503</v>
      </c>
      <c r="BW69" s="12">
        <v>708</v>
      </c>
      <c r="BX69" s="12">
        <v>332</v>
      </c>
      <c r="BY69" s="12">
        <v>64</v>
      </c>
      <c r="BZ69" s="12">
        <v>256</v>
      </c>
      <c r="CA69" s="12">
        <v>52</v>
      </c>
      <c r="CB69" s="12">
        <v>2</v>
      </c>
      <c r="CC69" s="12">
        <v>5</v>
      </c>
      <c r="CD69" s="12">
        <f t="shared" ref="CD69:CE69" si="72">+SUM(CD70)</f>
        <v>2275</v>
      </c>
      <c r="CE69" s="12">
        <f t="shared" si="72"/>
        <v>3599</v>
      </c>
      <c r="CF69" s="13">
        <f t="shared" si="71"/>
        <v>1.581978021978022</v>
      </c>
      <c r="CG69" s="12">
        <v>0</v>
      </c>
      <c r="CH69" s="12">
        <v>0</v>
      </c>
      <c r="CI69" s="12">
        <v>262.892</v>
      </c>
      <c r="CJ69" s="12">
        <v>450</v>
      </c>
      <c r="CK69" s="12">
        <v>737.65459999999996</v>
      </c>
      <c r="CL69" s="12">
        <v>1415.9</v>
      </c>
      <c r="CM69" s="12">
        <v>180</v>
      </c>
      <c r="CN69" s="12">
        <v>564.5</v>
      </c>
      <c r="CO69" s="12">
        <v>643.327</v>
      </c>
      <c r="CP69" s="12">
        <v>827.41569299999992</v>
      </c>
      <c r="CQ69" s="12">
        <v>96.4</v>
      </c>
      <c r="CR69" s="12">
        <v>0</v>
      </c>
      <c r="CS69" s="12">
        <v>100</v>
      </c>
      <c r="CT69" s="12">
        <v>1032.74</v>
      </c>
      <c r="CU69" s="12">
        <v>846.37</v>
      </c>
      <c r="CV69" s="12">
        <v>880</v>
      </c>
      <c r="CW69" s="12">
        <v>550</v>
      </c>
      <c r="CX69" s="12">
        <v>308.75</v>
      </c>
      <c r="CY69" s="12">
        <v>1187.76</v>
      </c>
      <c r="CZ69" s="12">
        <v>1150</v>
      </c>
      <c r="DA69" s="12">
        <v>2415.37</v>
      </c>
      <c r="DB69" s="12">
        <v>3960</v>
      </c>
      <c r="DC69" s="12">
        <v>896.37</v>
      </c>
      <c r="DD69" s="12">
        <v>3250</v>
      </c>
      <c r="DE69" s="12">
        <v>15423.252176179456</v>
      </c>
      <c r="DF69" s="12">
        <f t="shared" si="67"/>
        <v>16577.36</v>
      </c>
      <c r="DG69" s="13">
        <f t="shared" si="68"/>
        <v>1.0748290834278786</v>
      </c>
      <c r="DH69" s="12">
        <v>339</v>
      </c>
      <c r="DI69" s="12">
        <v>1650</v>
      </c>
      <c r="DJ69" s="12">
        <v>1975</v>
      </c>
      <c r="DK69" s="12">
        <v>1087</v>
      </c>
      <c r="DL69" s="12">
        <v>776.5</v>
      </c>
      <c r="DM69" s="12">
        <v>371.5</v>
      </c>
      <c r="DN69" s="12">
        <v>398.85</v>
      </c>
      <c r="DO69" s="12">
        <v>107</v>
      </c>
      <c r="DP69" s="12">
        <v>84.5</v>
      </c>
      <c r="DQ69" s="12">
        <v>8.5</v>
      </c>
      <c r="DR69" s="12">
        <v>0</v>
      </c>
      <c r="DS69" s="12">
        <v>175</v>
      </c>
      <c r="DT69" s="12">
        <v>58</v>
      </c>
      <c r="DU69" s="12">
        <v>2168.3999999999996</v>
      </c>
      <c r="DV69" s="12">
        <v>5466.7179999999989</v>
      </c>
      <c r="DW69" s="12">
        <v>2817.84</v>
      </c>
      <c r="DX69" s="12">
        <v>6708.0760000000009</v>
      </c>
      <c r="DY69" s="12">
        <v>4351.4000000000015</v>
      </c>
      <c r="DZ69" s="12">
        <v>3745.3899999999994</v>
      </c>
      <c r="EA69" s="12">
        <v>6342.5</v>
      </c>
      <c r="EB69" s="12">
        <v>22700.807000000001</v>
      </c>
      <c r="EC69" s="12">
        <v>16513.41446855</v>
      </c>
      <c r="ED69" s="12">
        <v>1484.9100000000035</v>
      </c>
      <c r="EE69" s="12">
        <v>248</v>
      </c>
      <c r="EF69" s="12">
        <v>13704.176694875167</v>
      </c>
      <c r="EG69" s="12">
        <f t="shared" si="69"/>
        <v>72605.455468550004</v>
      </c>
      <c r="EH69" s="13">
        <f t="shared" si="70"/>
        <v>5.2980530742646978</v>
      </c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>
        <v>327</v>
      </c>
      <c r="EV69" s="12">
        <v>1475</v>
      </c>
      <c r="EW69" s="12">
        <v>856</v>
      </c>
      <c r="EX69" s="12">
        <v>620</v>
      </c>
      <c r="EY69" s="12">
        <v>1907.0150000000001</v>
      </c>
      <c r="EZ69" s="12">
        <v>963.17000000000007</v>
      </c>
      <c r="FA69" s="12">
        <v>2391.0800000000004</v>
      </c>
      <c r="FB69" s="12">
        <v>4750.4999999999991</v>
      </c>
      <c r="FC69" s="12">
        <v>2743.19</v>
      </c>
      <c r="FD69" s="12">
        <v>12589.281499999999</v>
      </c>
      <c r="FE69" s="12">
        <v>2213.6929999999998</v>
      </c>
      <c r="FF69" s="12"/>
      <c r="FG69" s="12">
        <v>16498.106261090903</v>
      </c>
      <c r="FH69" s="12">
        <v>19276.076000000001</v>
      </c>
      <c r="FI69" s="13">
        <v>1.1683811278062051</v>
      </c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>
        <v>0</v>
      </c>
      <c r="GH69" s="12">
        <v>0</v>
      </c>
      <c r="GI69" s="12">
        <v>0</v>
      </c>
      <c r="GJ69" s="13"/>
    </row>
    <row r="70" spans="1:192" s="14" customFormat="1" ht="24.95" customHeight="1">
      <c r="A70" s="19">
        <f>+A69+1</f>
        <v>1</v>
      </c>
      <c r="B70" s="20" t="s">
        <v>56</v>
      </c>
      <c r="C70" s="21">
        <v>11291</v>
      </c>
      <c r="D70" s="21"/>
      <c r="E70" s="21"/>
      <c r="F70" s="21"/>
      <c r="G70" s="24">
        <v>382</v>
      </c>
      <c r="H70" s="24">
        <v>308</v>
      </c>
      <c r="I70" s="24">
        <v>318</v>
      </c>
      <c r="J70" s="24">
        <v>319</v>
      </c>
      <c r="K70" s="24">
        <v>303</v>
      </c>
      <c r="L70" s="24">
        <v>312</v>
      </c>
      <c r="M70" s="24">
        <v>289</v>
      </c>
      <c r="N70" s="24">
        <v>282</v>
      </c>
      <c r="O70" s="24">
        <v>275</v>
      </c>
      <c r="P70" s="24">
        <v>300</v>
      </c>
      <c r="Q70" s="24">
        <v>263</v>
      </c>
      <c r="R70" s="24">
        <v>265</v>
      </c>
      <c r="S70" s="24">
        <v>193</v>
      </c>
      <c r="T70" s="24">
        <v>194</v>
      </c>
      <c r="U70" s="24">
        <v>68</v>
      </c>
      <c r="V70" s="24">
        <v>95</v>
      </c>
      <c r="W70" s="24">
        <v>266</v>
      </c>
      <c r="X70" s="24">
        <v>215</v>
      </c>
      <c r="Y70" s="24">
        <v>107</v>
      </c>
      <c r="Z70" s="24">
        <v>250</v>
      </c>
      <c r="AA70" s="24">
        <v>105</v>
      </c>
      <c r="AB70" s="22">
        <v>1754</v>
      </c>
      <c r="AC70" s="22">
        <f t="shared" si="63"/>
        <v>2321</v>
      </c>
      <c r="AD70" s="23">
        <f t="shared" si="64"/>
        <v>1.3232611174458382</v>
      </c>
      <c r="AE70" s="24"/>
      <c r="AF70" s="24"/>
      <c r="AG70" s="24"/>
      <c r="AH70" s="24"/>
      <c r="AI70" s="24"/>
      <c r="AJ70" s="12">
        <v>104</v>
      </c>
      <c r="AK70" s="12">
        <v>259</v>
      </c>
      <c r="AL70" s="12">
        <v>754</v>
      </c>
      <c r="AM70" s="12">
        <v>38</v>
      </c>
      <c r="AN70" s="12">
        <v>17</v>
      </c>
      <c r="AO70" s="12">
        <v>5</v>
      </c>
      <c r="AP70" s="12"/>
      <c r="AQ70" s="24">
        <v>71</v>
      </c>
      <c r="AR70" s="24">
        <v>205</v>
      </c>
      <c r="AS70" s="24">
        <v>256</v>
      </c>
      <c r="AT70" s="24">
        <v>173</v>
      </c>
      <c r="AU70" s="24">
        <v>181</v>
      </c>
      <c r="AV70" s="24">
        <v>103</v>
      </c>
      <c r="AW70" s="24">
        <v>36</v>
      </c>
      <c r="AX70" s="24">
        <v>98</v>
      </c>
      <c r="AY70" s="24">
        <v>112</v>
      </c>
      <c r="AZ70" s="24">
        <v>97</v>
      </c>
      <c r="BA70" s="24">
        <v>117</v>
      </c>
      <c r="BB70" s="24">
        <v>62</v>
      </c>
      <c r="BC70" s="32">
        <v>1394</v>
      </c>
      <c r="BD70" s="32">
        <f t="shared" si="65"/>
        <v>1511</v>
      </c>
      <c r="BE70" s="23">
        <f t="shared" si="66"/>
        <v>1.0839311334289814</v>
      </c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>
        <v>721</v>
      </c>
      <c r="BS70" s="24">
        <v>572</v>
      </c>
      <c r="BT70" s="24">
        <v>200</v>
      </c>
      <c r="BU70" s="24">
        <v>191</v>
      </c>
      <c r="BV70" s="24">
        <v>503</v>
      </c>
      <c r="BW70" s="24">
        <v>708</v>
      </c>
      <c r="BX70" s="24">
        <v>332</v>
      </c>
      <c r="BY70" s="24">
        <v>64</v>
      </c>
      <c r="BZ70" s="24">
        <v>256</v>
      </c>
      <c r="CA70" s="24">
        <v>52</v>
      </c>
      <c r="CB70" s="24">
        <v>2</v>
      </c>
      <c r="CC70" s="24">
        <v>5</v>
      </c>
      <c r="CD70" s="24">
        <v>2275</v>
      </c>
      <c r="CE70" s="24">
        <v>3599</v>
      </c>
      <c r="CF70" s="23">
        <f t="shared" si="71"/>
        <v>1.581978021978022</v>
      </c>
      <c r="CG70" s="24"/>
      <c r="CH70" s="24"/>
      <c r="CI70" s="24">
        <v>262.892</v>
      </c>
      <c r="CJ70" s="24">
        <v>450</v>
      </c>
      <c r="CK70" s="24">
        <v>737.65459999999996</v>
      </c>
      <c r="CL70" s="24">
        <v>1415.9</v>
      </c>
      <c r="CM70" s="24">
        <v>180</v>
      </c>
      <c r="CN70" s="24">
        <v>564.5</v>
      </c>
      <c r="CO70" s="24">
        <v>643.327</v>
      </c>
      <c r="CP70" s="24">
        <v>827.41569299999992</v>
      </c>
      <c r="CQ70" s="24">
        <v>96.4</v>
      </c>
      <c r="CR70" s="24"/>
      <c r="CS70" s="24">
        <v>100</v>
      </c>
      <c r="CT70" s="24">
        <v>1032.74</v>
      </c>
      <c r="CU70" s="24">
        <v>846.37</v>
      </c>
      <c r="CV70" s="24">
        <v>880</v>
      </c>
      <c r="CW70" s="24">
        <v>550</v>
      </c>
      <c r="CX70" s="24">
        <v>308.75</v>
      </c>
      <c r="CY70" s="24">
        <v>1187.76</v>
      </c>
      <c r="CZ70" s="24">
        <v>1150</v>
      </c>
      <c r="DA70" s="24">
        <v>2415.37</v>
      </c>
      <c r="DB70" s="24">
        <v>3960</v>
      </c>
      <c r="DC70" s="24">
        <v>896.37</v>
      </c>
      <c r="DD70" s="24">
        <v>3250</v>
      </c>
      <c r="DE70" s="18">
        <v>15423.252176179456</v>
      </c>
      <c r="DF70" s="18">
        <f t="shared" si="67"/>
        <v>16577.36</v>
      </c>
      <c r="DG70" s="23">
        <f t="shared" si="68"/>
        <v>1.0748290834278786</v>
      </c>
      <c r="DH70" s="24">
        <v>339</v>
      </c>
      <c r="DI70" s="24">
        <v>1650</v>
      </c>
      <c r="DJ70" s="24">
        <v>1975</v>
      </c>
      <c r="DK70" s="24">
        <v>1087</v>
      </c>
      <c r="DL70" s="24">
        <v>776.5</v>
      </c>
      <c r="DM70" s="24">
        <v>371.5</v>
      </c>
      <c r="DN70" s="24">
        <v>398.85</v>
      </c>
      <c r="DO70" s="24">
        <v>107</v>
      </c>
      <c r="DP70" s="24">
        <v>84.5</v>
      </c>
      <c r="DQ70" s="24">
        <v>8.5</v>
      </c>
      <c r="DR70" s="24"/>
      <c r="DS70" s="24">
        <v>175</v>
      </c>
      <c r="DT70" s="24">
        <v>58</v>
      </c>
      <c r="DU70" s="24">
        <v>2168.3999999999996</v>
      </c>
      <c r="DV70" s="24">
        <v>5466.7179999999989</v>
      </c>
      <c r="DW70" s="24">
        <v>2817.84</v>
      </c>
      <c r="DX70" s="24">
        <v>6708.0760000000009</v>
      </c>
      <c r="DY70" s="24">
        <v>4351.4000000000015</v>
      </c>
      <c r="DZ70" s="24">
        <v>3745.3899999999994</v>
      </c>
      <c r="EA70" s="24">
        <v>6342.5</v>
      </c>
      <c r="EB70" s="24">
        <v>22700.807000000001</v>
      </c>
      <c r="EC70" s="24">
        <v>16513.41446855</v>
      </c>
      <c r="ED70" s="24">
        <v>1484.9100000000035</v>
      </c>
      <c r="EE70" s="24">
        <v>248</v>
      </c>
      <c r="EF70" s="18">
        <v>13704.176694875167</v>
      </c>
      <c r="EG70" s="18">
        <f t="shared" si="69"/>
        <v>72605.455468550004</v>
      </c>
      <c r="EH70" s="23">
        <f t="shared" si="70"/>
        <v>5.2980530742646978</v>
      </c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>
        <v>327</v>
      </c>
      <c r="EV70" s="24">
        <v>1475</v>
      </c>
      <c r="EW70" s="24">
        <v>856</v>
      </c>
      <c r="EX70" s="24">
        <v>620</v>
      </c>
      <c r="EY70" s="24">
        <v>1907.0150000000001</v>
      </c>
      <c r="EZ70" s="24">
        <v>963.17000000000007</v>
      </c>
      <c r="FA70" s="24">
        <v>2391.0800000000004</v>
      </c>
      <c r="FB70" s="24">
        <v>4750.4999999999991</v>
      </c>
      <c r="FC70" s="24">
        <v>2743.19</v>
      </c>
      <c r="FD70" s="24">
        <v>12589.281499999999</v>
      </c>
      <c r="FE70" s="24">
        <v>2213.6929999999998</v>
      </c>
      <c r="FF70" s="24"/>
      <c r="FG70" s="18">
        <v>16498.106261090903</v>
      </c>
      <c r="FH70" s="18">
        <v>19276.076000000001</v>
      </c>
      <c r="FI70" s="23">
        <v>1.1683811278062051</v>
      </c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3"/>
    </row>
    <row r="71" spans="1:192" s="14" customFormat="1" ht="32.25" customHeight="1">
      <c r="A71" s="9"/>
      <c r="B71" s="10" t="s">
        <v>3</v>
      </c>
      <c r="C71" s="11"/>
      <c r="D71" s="11"/>
      <c r="E71" s="11"/>
      <c r="F71" s="11"/>
      <c r="G71" s="12">
        <v>475</v>
      </c>
      <c r="H71" s="12">
        <v>435</v>
      </c>
      <c r="I71" s="12">
        <v>410</v>
      </c>
      <c r="J71" s="12">
        <v>404</v>
      </c>
      <c r="K71" s="12">
        <v>482</v>
      </c>
      <c r="L71" s="12">
        <v>485</v>
      </c>
      <c r="M71" s="12">
        <v>366</v>
      </c>
      <c r="N71" s="12">
        <v>358</v>
      </c>
      <c r="O71" s="12">
        <v>360</v>
      </c>
      <c r="P71" s="12">
        <v>223</v>
      </c>
      <c r="Q71" s="12">
        <v>56</v>
      </c>
      <c r="R71" s="12">
        <v>429</v>
      </c>
      <c r="S71" s="12">
        <v>303</v>
      </c>
      <c r="T71" s="12">
        <v>246</v>
      </c>
      <c r="U71" s="12">
        <v>153</v>
      </c>
      <c r="V71" s="12">
        <v>199</v>
      </c>
      <c r="W71" s="12">
        <v>201</v>
      </c>
      <c r="X71" s="12">
        <v>108</v>
      </c>
      <c r="Y71" s="12">
        <v>61</v>
      </c>
      <c r="Z71" s="12">
        <v>174</v>
      </c>
      <c r="AA71" s="12">
        <v>24</v>
      </c>
      <c r="AB71" s="12">
        <v>1398</v>
      </c>
      <c r="AC71" s="12">
        <f t="shared" si="63"/>
        <v>2177</v>
      </c>
      <c r="AD71" s="13">
        <f t="shared" si="64"/>
        <v>1.5572246065808297</v>
      </c>
      <c r="AE71" s="12"/>
      <c r="AF71" s="12"/>
      <c r="AG71" s="12"/>
      <c r="AH71" s="12"/>
      <c r="AI71" s="12"/>
      <c r="AJ71" s="12"/>
      <c r="AK71" s="12">
        <v>305</v>
      </c>
      <c r="AL71" s="12">
        <v>440</v>
      </c>
      <c r="AM71" s="12">
        <v>125</v>
      </c>
      <c r="AN71" s="12">
        <v>10</v>
      </c>
      <c r="AO71" s="12">
        <v>17</v>
      </c>
      <c r="AP71" s="12">
        <v>4</v>
      </c>
      <c r="AQ71" s="12">
        <v>55</v>
      </c>
      <c r="AR71" s="12">
        <v>148</v>
      </c>
      <c r="AS71" s="12">
        <v>160</v>
      </c>
      <c r="AT71" s="12">
        <v>110</v>
      </c>
      <c r="AU71" s="12">
        <v>108</v>
      </c>
      <c r="AV71" s="12">
        <v>82</v>
      </c>
      <c r="AW71" s="12">
        <v>90</v>
      </c>
      <c r="AX71" s="12">
        <v>39</v>
      </c>
      <c r="AY71" s="12">
        <v>87</v>
      </c>
      <c r="AZ71" s="12">
        <v>81</v>
      </c>
      <c r="BA71" s="12">
        <v>101</v>
      </c>
      <c r="BB71" s="12">
        <v>59</v>
      </c>
      <c r="BC71" s="12">
        <v>957</v>
      </c>
      <c r="BD71" s="12">
        <f t="shared" si="65"/>
        <v>1120</v>
      </c>
      <c r="BE71" s="13">
        <f t="shared" si="66"/>
        <v>1.1703239289446186</v>
      </c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>
        <v>860</v>
      </c>
      <c r="BS71" s="12">
        <v>723</v>
      </c>
      <c r="BT71" s="12">
        <v>177</v>
      </c>
      <c r="BU71" s="12">
        <v>183</v>
      </c>
      <c r="BV71" s="12">
        <v>393</v>
      </c>
      <c r="BW71" s="12">
        <v>265</v>
      </c>
      <c r="BX71" s="12">
        <v>333</v>
      </c>
      <c r="BY71" s="12">
        <v>308</v>
      </c>
      <c r="BZ71" s="12">
        <v>419</v>
      </c>
      <c r="CA71" s="12">
        <v>453</v>
      </c>
      <c r="CB71" s="12">
        <v>611</v>
      </c>
      <c r="CC71" s="12">
        <v>125</v>
      </c>
      <c r="CD71" s="12">
        <v>3249</v>
      </c>
      <c r="CE71" s="12">
        <v>4114</v>
      </c>
      <c r="CF71" s="13">
        <f t="shared" si="71"/>
        <v>1.2662357648507232</v>
      </c>
      <c r="CG71" s="12">
        <v>0</v>
      </c>
      <c r="CH71" s="12">
        <v>0</v>
      </c>
      <c r="CI71" s="12">
        <v>198.5</v>
      </c>
      <c r="CJ71" s="12">
        <v>20</v>
      </c>
      <c r="CK71" s="12">
        <v>1670</v>
      </c>
      <c r="CL71" s="12">
        <v>70</v>
      </c>
      <c r="CM71" s="12">
        <v>50</v>
      </c>
      <c r="CN71" s="12">
        <v>800</v>
      </c>
      <c r="CO71" s="12">
        <v>950</v>
      </c>
      <c r="CP71" s="12">
        <v>1000</v>
      </c>
      <c r="CQ71" s="12">
        <v>100</v>
      </c>
      <c r="CR71" s="12">
        <v>100</v>
      </c>
      <c r="CS71" s="12">
        <v>196.37</v>
      </c>
      <c r="CT71" s="12">
        <v>1085.3699999999999</v>
      </c>
      <c r="CU71" s="12">
        <v>700</v>
      </c>
      <c r="CV71" s="12">
        <v>746.37</v>
      </c>
      <c r="CW71" s="12">
        <v>1202</v>
      </c>
      <c r="CX71" s="12">
        <v>942.74</v>
      </c>
      <c r="CY71" s="12">
        <v>900</v>
      </c>
      <c r="CZ71" s="12">
        <v>1085.71</v>
      </c>
      <c r="DA71" s="12">
        <v>1315.9659999999999</v>
      </c>
      <c r="DB71" s="12">
        <v>4236.3359</v>
      </c>
      <c r="DC71" s="12">
        <v>3925.7356999999993</v>
      </c>
      <c r="DD71" s="12">
        <v>2436.15</v>
      </c>
      <c r="DE71" s="12">
        <v>16205.097812855625</v>
      </c>
      <c r="DF71" s="12">
        <f t="shared" si="67"/>
        <v>18772.747599999999</v>
      </c>
      <c r="DG71" s="13">
        <f t="shared" si="68"/>
        <v>1.1584470403571052</v>
      </c>
      <c r="DH71" s="12">
        <v>0</v>
      </c>
      <c r="DI71" s="12">
        <v>15</v>
      </c>
      <c r="DJ71" s="12">
        <v>133.5</v>
      </c>
      <c r="DK71" s="12">
        <v>811.72500000000002</v>
      </c>
      <c r="DL71" s="12">
        <v>2548.7750000000001</v>
      </c>
      <c r="DM71" s="12">
        <v>51.5</v>
      </c>
      <c r="DN71" s="12">
        <v>277</v>
      </c>
      <c r="DO71" s="12">
        <v>1496</v>
      </c>
      <c r="DP71" s="12">
        <v>1219</v>
      </c>
      <c r="DQ71" s="12">
        <v>1398</v>
      </c>
      <c r="DR71" s="12">
        <v>369</v>
      </c>
      <c r="DS71" s="12">
        <v>269.5</v>
      </c>
      <c r="DT71" s="12">
        <v>1124.23477</v>
      </c>
      <c r="DU71" s="12">
        <v>3251.4098599999988</v>
      </c>
      <c r="DV71" s="12">
        <v>2065</v>
      </c>
      <c r="DW71" s="12">
        <v>1957.8320000000003</v>
      </c>
      <c r="DX71" s="12">
        <v>1553.5</v>
      </c>
      <c r="DY71" s="12">
        <v>1119.5</v>
      </c>
      <c r="DZ71" s="12">
        <v>1646.375</v>
      </c>
      <c r="EA71" s="12">
        <v>1122</v>
      </c>
      <c r="EB71" s="12">
        <v>1763.3040000000001</v>
      </c>
      <c r="EC71" s="12">
        <v>2327.0284999999985</v>
      </c>
      <c r="ED71" s="12">
        <v>634</v>
      </c>
      <c r="EE71" s="12">
        <v>186.79999999999927</v>
      </c>
      <c r="EF71" s="12">
        <v>16445.012033850198</v>
      </c>
      <c r="EG71" s="12">
        <f t="shared" si="69"/>
        <v>18750.984129999997</v>
      </c>
      <c r="EH71" s="13">
        <f t="shared" si="70"/>
        <v>1.1402231929902644</v>
      </c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>
        <v>7737.5162699999946</v>
      </c>
      <c r="EV71" s="12">
        <v>6551.4332799999984</v>
      </c>
      <c r="EW71" s="12">
        <v>19908.631162329999</v>
      </c>
      <c r="EX71" s="12">
        <v>24328.858199999981</v>
      </c>
      <c r="EY71" s="12">
        <v>23047.847439999998</v>
      </c>
      <c r="EZ71" s="12">
        <v>19288.645239999991</v>
      </c>
      <c r="FA71" s="12">
        <v>31001.591130000019</v>
      </c>
      <c r="FB71" s="12">
        <v>31843.057559000037</v>
      </c>
      <c r="FC71" s="12">
        <v>28947.032325000007</v>
      </c>
      <c r="FD71" s="12">
        <v>44152.552910000013</v>
      </c>
      <c r="FE71" s="12">
        <v>2194.9775199999995</v>
      </c>
      <c r="FF71" s="12">
        <v>1046.10597663</v>
      </c>
      <c r="FG71" s="12">
        <v>49371.411384005281</v>
      </c>
      <c r="FH71" s="12">
        <v>100042.37519000001</v>
      </c>
      <c r="FI71" s="13">
        <v>2.0263219621550146</v>
      </c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>
        <v>0</v>
      </c>
      <c r="GH71" s="12">
        <v>0</v>
      </c>
      <c r="GI71" s="12">
        <v>0</v>
      </c>
      <c r="GJ71" s="13"/>
    </row>
    <row r="72" spans="1:192" s="14" customFormat="1" ht="24.95" customHeight="1">
      <c r="A72" s="19">
        <f>+A71+1</f>
        <v>1</v>
      </c>
      <c r="B72" s="20" t="s">
        <v>58</v>
      </c>
      <c r="C72" s="21">
        <v>12008</v>
      </c>
      <c r="D72" s="21"/>
      <c r="E72" s="21"/>
      <c r="F72" s="21"/>
      <c r="G72" s="24">
        <v>475</v>
      </c>
      <c r="H72" s="24">
        <v>435</v>
      </c>
      <c r="I72" s="24">
        <v>410</v>
      </c>
      <c r="J72" s="24">
        <v>404</v>
      </c>
      <c r="K72" s="24">
        <v>482</v>
      </c>
      <c r="L72" s="24">
        <v>485</v>
      </c>
      <c r="M72" s="24">
        <v>366</v>
      </c>
      <c r="N72" s="24">
        <v>358</v>
      </c>
      <c r="O72" s="24">
        <v>360</v>
      </c>
      <c r="P72" s="24">
        <v>223</v>
      </c>
      <c r="Q72" s="24">
        <v>56</v>
      </c>
      <c r="R72" s="24">
        <v>429</v>
      </c>
      <c r="S72" s="24">
        <v>303</v>
      </c>
      <c r="T72" s="24">
        <v>246</v>
      </c>
      <c r="U72" s="24">
        <v>153</v>
      </c>
      <c r="V72" s="24">
        <v>199</v>
      </c>
      <c r="W72" s="24">
        <v>201</v>
      </c>
      <c r="X72" s="24">
        <v>108</v>
      </c>
      <c r="Y72" s="24">
        <v>61</v>
      </c>
      <c r="Z72" s="24">
        <v>174</v>
      </c>
      <c r="AA72" s="24">
        <v>24</v>
      </c>
      <c r="AB72" s="22">
        <v>1398</v>
      </c>
      <c r="AC72" s="22">
        <f t="shared" si="63"/>
        <v>2177</v>
      </c>
      <c r="AD72" s="23">
        <f t="shared" si="64"/>
        <v>1.5572246065808297</v>
      </c>
      <c r="AE72" s="24"/>
      <c r="AF72" s="24"/>
      <c r="AG72" s="24"/>
      <c r="AH72" s="24"/>
      <c r="AI72" s="24"/>
      <c r="AJ72" s="24"/>
      <c r="AK72" s="24">
        <v>305</v>
      </c>
      <c r="AL72" s="24">
        <v>440</v>
      </c>
      <c r="AM72" s="24">
        <v>125</v>
      </c>
      <c r="AN72" s="24">
        <v>10</v>
      </c>
      <c r="AO72" s="24">
        <v>17</v>
      </c>
      <c r="AP72" s="24">
        <v>4</v>
      </c>
      <c r="AQ72" s="24">
        <v>55</v>
      </c>
      <c r="AR72" s="24">
        <v>148</v>
      </c>
      <c r="AS72" s="24">
        <v>160</v>
      </c>
      <c r="AT72" s="24">
        <v>110</v>
      </c>
      <c r="AU72" s="24">
        <v>108</v>
      </c>
      <c r="AV72" s="24">
        <v>82</v>
      </c>
      <c r="AW72" s="24">
        <v>90</v>
      </c>
      <c r="AX72" s="24">
        <v>39</v>
      </c>
      <c r="AY72" s="24">
        <v>87</v>
      </c>
      <c r="AZ72" s="24">
        <v>81</v>
      </c>
      <c r="BA72" s="24">
        <v>101</v>
      </c>
      <c r="BB72" s="24">
        <v>59</v>
      </c>
      <c r="BC72" s="32">
        <v>1346</v>
      </c>
      <c r="BD72" s="32">
        <f t="shared" si="65"/>
        <v>1120</v>
      </c>
      <c r="BE72" s="23">
        <f t="shared" si="66"/>
        <v>0.83209509658246661</v>
      </c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>
        <v>860</v>
      </c>
      <c r="BS72" s="24">
        <v>723</v>
      </c>
      <c r="BT72" s="24">
        <v>177</v>
      </c>
      <c r="BU72" s="24">
        <v>183</v>
      </c>
      <c r="BV72" s="24">
        <v>393</v>
      </c>
      <c r="BW72" s="24">
        <v>265</v>
      </c>
      <c r="BX72" s="24">
        <v>333</v>
      </c>
      <c r="BY72" s="24">
        <v>308</v>
      </c>
      <c r="BZ72" s="24">
        <v>419</v>
      </c>
      <c r="CA72" s="24">
        <v>453</v>
      </c>
      <c r="CB72" s="24">
        <v>611</v>
      </c>
      <c r="CC72" s="24">
        <v>125</v>
      </c>
      <c r="CD72" s="24">
        <v>2246</v>
      </c>
      <c r="CE72" s="24">
        <v>3661</v>
      </c>
      <c r="CF72" s="23">
        <f t="shared" si="71"/>
        <v>1.6300089047195014</v>
      </c>
      <c r="CG72" s="24"/>
      <c r="CH72" s="24"/>
      <c r="CI72" s="24">
        <v>198.5</v>
      </c>
      <c r="CJ72" s="24">
        <v>20</v>
      </c>
      <c r="CK72" s="24">
        <v>1670</v>
      </c>
      <c r="CL72" s="24">
        <v>70</v>
      </c>
      <c r="CM72" s="24">
        <v>50</v>
      </c>
      <c r="CN72" s="24">
        <v>800</v>
      </c>
      <c r="CO72" s="24">
        <v>950</v>
      </c>
      <c r="CP72" s="24">
        <v>1000</v>
      </c>
      <c r="CQ72" s="24">
        <v>100</v>
      </c>
      <c r="CR72" s="24">
        <v>100</v>
      </c>
      <c r="CS72" s="24">
        <v>196.37</v>
      </c>
      <c r="CT72" s="24">
        <v>1085.3699999999999</v>
      </c>
      <c r="CU72" s="24">
        <v>700</v>
      </c>
      <c r="CV72" s="24">
        <v>746.37</v>
      </c>
      <c r="CW72" s="24">
        <v>1202</v>
      </c>
      <c r="CX72" s="24">
        <v>942.74</v>
      </c>
      <c r="CY72" s="24">
        <v>900</v>
      </c>
      <c r="CZ72" s="24">
        <v>1085.71</v>
      </c>
      <c r="DA72" s="24">
        <v>1315.9659999999999</v>
      </c>
      <c r="DB72" s="24">
        <v>4236.3359</v>
      </c>
      <c r="DC72" s="24">
        <v>3925.7356999999993</v>
      </c>
      <c r="DD72" s="24">
        <v>2436.15</v>
      </c>
      <c r="DE72" s="18">
        <v>16205.097812855625</v>
      </c>
      <c r="DF72" s="18">
        <f t="shared" si="67"/>
        <v>18772.747599999999</v>
      </c>
      <c r="DG72" s="23">
        <f t="shared" si="68"/>
        <v>1.1584470403571052</v>
      </c>
      <c r="DH72" s="24"/>
      <c r="DI72" s="24">
        <v>15</v>
      </c>
      <c r="DJ72" s="24">
        <v>133.5</v>
      </c>
      <c r="DK72" s="24">
        <v>811.72500000000002</v>
      </c>
      <c r="DL72" s="24">
        <v>2548.7750000000001</v>
      </c>
      <c r="DM72" s="24">
        <v>51.5</v>
      </c>
      <c r="DN72" s="24">
        <v>277</v>
      </c>
      <c r="DO72" s="24">
        <v>1496</v>
      </c>
      <c r="DP72" s="24">
        <v>1219</v>
      </c>
      <c r="DQ72" s="24">
        <v>1398</v>
      </c>
      <c r="DR72" s="24">
        <v>369</v>
      </c>
      <c r="DS72" s="24">
        <v>269.5</v>
      </c>
      <c r="DT72" s="24">
        <v>1124.23477</v>
      </c>
      <c r="DU72" s="24">
        <v>3251.4098599999988</v>
      </c>
      <c r="DV72" s="24">
        <v>2065</v>
      </c>
      <c r="DW72" s="24">
        <v>1957.8320000000003</v>
      </c>
      <c r="DX72" s="24">
        <v>1553.5</v>
      </c>
      <c r="DY72" s="24">
        <v>1119.5</v>
      </c>
      <c r="DZ72" s="24">
        <v>1646.375</v>
      </c>
      <c r="EA72" s="24">
        <v>1122</v>
      </c>
      <c r="EB72" s="24">
        <v>1763.3040000000001</v>
      </c>
      <c r="EC72" s="24">
        <v>2327.0284999999985</v>
      </c>
      <c r="ED72" s="24">
        <v>634</v>
      </c>
      <c r="EE72" s="24">
        <v>186.79999999999927</v>
      </c>
      <c r="EF72" s="18">
        <v>16445.012033850198</v>
      </c>
      <c r="EG72" s="18">
        <f t="shared" si="69"/>
        <v>18750.984129999997</v>
      </c>
      <c r="EH72" s="23">
        <f t="shared" si="70"/>
        <v>1.1402231929902644</v>
      </c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>
        <v>7737.5162699999946</v>
      </c>
      <c r="EV72" s="24">
        <v>6551.4332799999984</v>
      </c>
      <c r="EW72" s="24">
        <v>19908.631162329999</v>
      </c>
      <c r="EX72" s="24">
        <v>24328.858199999981</v>
      </c>
      <c r="EY72" s="24">
        <v>23047.847439999998</v>
      </c>
      <c r="EZ72" s="24">
        <v>19288.645239999991</v>
      </c>
      <c r="FA72" s="24">
        <v>31001.591130000019</v>
      </c>
      <c r="FB72" s="24">
        <v>31843.057559000037</v>
      </c>
      <c r="FC72" s="24">
        <v>28947.032325000007</v>
      </c>
      <c r="FD72" s="24">
        <v>44152.552910000013</v>
      </c>
      <c r="FE72" s="24">
        <v>2194.9775199999995</v>
      </c>
      <c r="FF72" s="24">
        <v>1046.10597663</v>
      </c>
      <c r="FG72" s="18">
        <v>49371.411384005281</v>
      </c>
      <c r="FH72" s="18">
        <v>100042.37519000001</v>
      </c>
      <c r="FI72" s="23">
        <v>2.0263219621550146</v>
      </c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3"/>
    </row>
    <row r="73" spans="1:192" s="14" customFormat="1" ht="32.25" customHeight="1">
      <c r="A73" s="9"/>
      <c r="B73" s="10" t="s">
        <v>61</v>
      </c>
      <c r="C73" s="11"/>
      <c r="D73" s="11"/>
      <c r="E73" s="11"/>
      <c r="F73" s="11"/>
      <c r="G73" s="12">
        <v>293</v>
      </c>
      <c r="H73" s="12">
        <v>265</v>
      </c>
      <c r="I73" s="12">
        <v>276</v>
      </c>
      <c r="J73" s="12">
        <v>267</v>
      </c>
      <c r="K73" s="12">
        <v>255</v>
      </c>
      <c r="L73" s="12">
        <v>245</v>
      </c>
      <c r="M73" s="12">
        <v>242</v>
      </c>
      <c r="N73" s="12">
        <v>243</v>
      </c>
      <c r="O73" s="12">
        <v>265</v>
      </c>
      <c r="P73" s="12">
        <v>113</v>
      </c>
      <c r="Q73" s="12">
        <v>99</v>
      </c>
      <c r="R73" s="12">
        <v>173</v>
      </c>
      <c r="S73" s="12">
        <v>39</v>
      </c>
      <c r="T73" s="12">
        <v>18</v>
      </c>
      <c r="U73" s="12">
        <v>18</v>
      </c>
      <c r="V73" s="12">
        <v>95</v>
      </c>
      <c r="W73" s="12">
        <v>146</v>
      </c>
      <c r="X73" s="12">
        <v>38</v>
      </c>
      <c r="Y73" s="12">
        <v>24</v>
      </c>
      <c r="Z73" s="12">
        <v>155</v>
      </c>
      <c r="AA73" s="12">
        <v>243</v>
      </c>
      <c r="AB73" s="12">
        <v>779</v>
      </c>
      <c r="AC73" s="12">
        <f t="shared" si="63"/>
        <v>1161</v>
      </c>
      <c r="AD73" s="13">
        <f t="shared" si="64"/>
        <v>1.490372272143774</v>
      </c>
      <c r="AE73" s="12"/>
      <c r="AF73" s="12"/>
      <c r="AG73" s="12"/>
      <c r="AH73" s="12"/>
      <c r="AI73" s="12">
        <f t="shared" ref="AI73:BB73" si="73">+SUM(AI74:AI78)</f>
        <v>0</v>
      </c>
      <c r="AJ73" s="12">
        <f t="shared" si="73"/>
        <v>0</v>
      </c>
      <c r="AK73" s="12">
        <f t="shared" si="73"/>
        <v>379</v>
      </c>
      <c r="AL73" s="12">
        <f t="shared" si="73"/>
        <v>694</v>
      </c>
      <c r="AM73" s="12">
        <f t="shared" si="73"/>
        <v>32</v>
      </c>
      <c r="AN73" s="12">
        <f t="shared" si="73"/>
        <v>8</v>
      </c>
      <c r="AO73" s="12">
        <f t="shared" si="73"/>
        <v>14</v>
      </c>
      <c r="AP73" s="12">
        <f t="shared" si="73"/>
        <v>2</v>
      </c>
      <c r="AQ73" s="12">
        <f t="shared" si="73"/>
        <v>94</v>
      </c>
      <c r="AR73" s="12">
        <f t="shared" si="73"/>
        <v>189</v>
      </c>
      <c r="AS73" s="12">
        <f t="shared" si="73"/>
        <v>219</v>
      </c>
      <c r="AT73" s="12">
        <f t="shared" si="73"/>
        <v>183</v>
      </c>
      <c r="AU73" s="12">
        <f t="shared" si="73"/>
        <v>164</v>
      </c>
      <c r="AV73" s="12">
        <f t="shared" si="73"/>
        <v>180</v>
      </c>
      <c r="AW73" s="12">
        <f t="shared" si="73"/>
        <v>68</v>
      </c>
      <c r="AX73" s="12">
        <f t="shared" si="73"/>
        <v>101</v>
      </c>
      <c r="AY73" s="12">
        <f t="shared" si="73"/>
        <v>123</v>
      </c>
      <c r="AZ73" s="12">
        <f t="shared" si="73"/>
        <v>92</v>
      </c>
      <c r="BA73" s="12">
        <f t="shared" si="73"/>
        <v>83</v>
      </c>
      <c r="BB73" s="12">
        <f t="shared" si="73"/>
        <v>18</v>
      </c>
      <c r="BC73" s="12">
        <v>1346</v>
      </c>
      <c r="BD73" s="12">
        <f t="shared" si="65"/>
        <v>1514</v>
      </c>
      <c r="BE73" s="13">
        <f t="shared" si="66"/>
        <v>1.12481426448737</v>
      </c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>
        <v>678</v>
      </c>
      <c r="BS73" s="12">
        <v>628</v>
      </c>
      <c r="BT73" s="12">
        <v>141</v>
      </c>
      <c r="BU73" s="12">
        <v>146</v>
      </c>
      <c r="BV73" s="12">
        <v>174</v>
      </c>
      <c r="BW73" s="12">
        <v>74</v>
      </c>
      <c r="BX73" s="12">
        <v>116</v>
      </c>
      <c r="BY73" s="12">
        <v>139</v>
      </c>
      <c r="BZ73" s="12">
        <v>107</v>
      </c>
      <c r="CA73" s="12">
        <v>141</v>
      </c>
      <c r="CB73" s="12">
        <v>1084</v>
      </c>
      <c r="CC73" s="12">
        <v>658</v>
      </c>
      <c r="CD73" s="12">
        <f>+SUM(CD74:CD78)</f>
        <v>3118</v>
      </c>
      <c r="CE73" s="12">
        <f>+SUM(CE74:CE78)</f>
        <v>2344</v>
      </c>
      <c r="CF73" s="13">
        <f t="shared" si="71"/>
        <v>0.75176395125080175</v>
      </c>
      <c r="CG73" s="12">
        <v>0</v>
      </c>
      <c r="CH73" s="12">
        <v>0</v>
      </c>
      <c r="CI73" s="12">
        <v>339.88</v>
      </c>
      <c r="CJ73" s="12">
        <v>330</v>
      </c>
      <c r="CK73" s="12">
        <v>1335.0140000000001</v>
      </c>
      <c r="CL73" s="12">
        <v>1634</v>
      </c>
      <c r="CM73" s="12">
        <v>1042.833333</v>
      </c>
      <c r="CN73" s="12">
        <v>1341.0692000000001</v>
      </c>
      <c r="CO73" s="12">
        <v>2083.3692040000001</v>
      </c>
      <c r="CP73" s="12">
        <v>1291.8702745999999</v>
      </c>
      <c r="CQ73" s="12">
        <v>766.37</v>
      </c>
      <c r="CR73" s="12">
        <v>0</v>
      </c>
      <c r="CS73" s="12">
        <v>2917.6068660000001</v>
      </c>
      <c r="CT73" s="12">
        <v>3425.1880000000001</v>
      </c>
      <c r="CU73" s="12">
        <v>2089.7339999999999</v>
      </c>
      <c r="CV73" s="12">
        <v>2058.1140000000005</v>
      </c>
      <c r="CW73" s="12">
        <v>2385.4990000000003</v>
      </c>
      <c r="CX73" s="12">
        <v>1084.672</v>
      </c>
      <c r="CY73" s="12">
        <v>1614.3020000000001</v>
      </c>
      <c r="CZ73" s="12">
        <v>893.86400000000003</v>
      </c>
      <c r="DA73" s="12">
        <v>1182.1660000000002</v>
      </c>
      <c r="DB73" s="12">
        <v>593.38099999999997</v>
      </c>
      <c r="DC73" s="12">
        <v>676.86400000000003</v>
      </c>
      <c r="DD73" s="12">
        <v>220</v>
      </c>
      <c r="DE73" s="12">
        <v>18894.939453587802</v>
      </c>
      <c r="DF73" s="12">
        <f t="shared" si="67"/>
        <v>19141.390866000005</v>
      </c>
      <c r="DG73" s="13">
        <f t="shared" si="68"/>
        <v>1.0130432496498636</v>
      </c>
      <c r="DH73" s="12">
        <v>0</v>
      </c>
      <c r="DI73" s="12">
        <v>118</v>
      </c>
      <c r="DJ73" s="12">
        <v>367</v>
      </c>
      <c r="DK73" s="12">
        <v>965.8</v>
      </c>
      <c r="DL73" s="12">
        <v>756</v>
      </c>
      <c r="DM73" s="12">
        <v>342.5</v>
      </c>
      <c r="DN73" s="12">
        <v>259</v>
      </c>
      <c r="DO73" s="12">
        <v>371</v>
      </c>
      <c r="DP73" s="12">
        <v>394.5</v>
      </c>
      <c r="DQ73" s="12">
        <v>1660.7280599999999</v>
      </c>
      <c r="DR73" s="12">
        <v>1582.5</v>
      </c>
      <c r="DS73" s="12">
        <v>433.6</v>
      </c>
      <c r="DT73" s="12">
        <v>731.5</v>
      </c>
      <c r="DU73" s="12">
        <v>643.5</v>
      </c>
      <c r="DV73" s="12">
        <v>411.29999999999995</v>
      </c>
      <c r="DW73" s="12">
        <v>2781.7</v>
      </c>
      <c r="DX73" s="12">
        <v>2513.3999999999996</v>
      </c>
      <c r="DY73" s="12">
        <v>3837.5</v>
      </c>
      <c r="DZ73" s="12">
        <v>2519.3999999999996</v>
      </c>
      <c r="EA73" s="12">
        <v>767.5</v>
      </c>
      <c r="EB73" s="12">
        <v>350.70000000000073</v>
      </c>
      <c r="EC73" s="12">
        <v>0</v>
      </c>
      <c r="ED73" s="12">
        <v>49.5</v>
      </c>
      <c r="EE73" s="12">
        <v>0</v>
      </c>
      <c r="EF73" s="12">
        <v>14617.788474533509</v>
      </c>
      <c r="EG73" s="12">
        <f t="shared" si="69"/>
        <v>14606</v>
      </c>
      <c r="EH73" s="13">
        <f t="shared" si="70"/>
        <v>0.99919355280355537</v>
      </c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>
        <f t="shared" ref="EU73:FF73" si="74">+SUM(EU74:EU78)</f>
        <v>125</v>
      </c>
      <c r="EV73" s="12">
        <f t="shared" si="74"/>
        <v>1583</v>
      </c>
      <c r="EW73" s="12">
        <f t="shared" si="74"/>
        <v>1655</v>
      </c>
      <c r="EX73" s="12">
        <f t="shared" si="74"/>
        <v>2885.6111110000002</v>
      </c>
      <c r="EY73" s="12">
        <f t="shared" si="74"/>
        <v>6259.96</v>
      </c>
      <c r="EZ73" s="12">
        <f t="shared" si="74"/>
        <v>6809.3</v>
      </c>
      <c r="FA73" s="12">
        <f t="shared" si="74"/>
        <v>5285</v>
      </c>
      <c r="FB73" s="12">
        <f t="shared" si="74"/>
        <v>2479.6999999999998</v>
      </c>
      <c r="FC73" s="12">
        <f t="shared" si="74"/>
        <v>2421.1000000000004</v>
      </c>
      <c r="FD73" s="12">
        <f t="shared" si="74"/>
        <v>1690.03</v>
      </c>
      <c r="FE73" s="12">
        <f t="shared" si="74"/>
        <v>650</v>
      </c>
      <c r="FF73" s="12">
        <f t="shared" si="74"/>
        <v>700</v>
      </c>
      <c r="FG73" s="12">
        <v>21932.631183239675</v>
      </c>
      <c r="FH73" s="12">
        <v>26850.211111000001</v>
      </c>
      <c r="FI73" s="13">
        <v>1.2242129494940948</v>
      </c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>
        <v>0</v>
      </c>
      <c r="GH73" s="12">
        <v>0</v>
      </c>
      <c r="GI73" s="12">
        <v>0</v>
      </c>
      <c r="GJ73" s="13"/>
    </row>
    <row r="74" spans="1:192" s="14" customFormat="1" ht="24.95" customHeight="1">
      <c r="A74" s="19">
        <v>1</v>
      </c>
      <c r="B74" s="20" t="s">
        <v>62</v>
      </c>
      <c r="C74" s="21">
        <v>10502</v>
      </c>
      <c r="D74" s="21"/>
      <c r="E74" s="21"/>
      <c r="F74" s="21"/>
      <c r="G74" s="24">
        <v>75</v>
      </c>
      <c r="H74" s="24">
        <v>5</v>
      </c>
      <c r="I74" s="24">
        <v>34</v>
      </c>
      <c r="J74" s="24">
        <v>12</v>
      </c>
      <c r="K74" s="24">
        <v>36</v>
      </c>
      <c r="L74" s="24">
        <v>61</v>
      </c>
      <c r="M74" s="24">
        <v>65</v>
      </c>
      <c r="N74" s="24">
        <v>24</v>
      </c>
      <c r="O74" s="24">
        <v>16</v>
      </c>
      <c r="P74" s="24">
        <v>33</v>
      </c>
      <c r="Q74" s="24">
        <v>38</v>
      </c>
      <c r="R74" s="24">
        <v>64</v>
      </c>
      <c r="S74" s="24">
        <v>28</v>
      </c>
      <c r="T74" s="24"/>
      <c r="U74" s="24">
        <v>6</v>
      </c>
      <c r="V74" s="24">
        <v>30</v>
      </c>
      <c r="W74" s="24">
        <v>90</v>
      </c>
      <c r="X74" s="24">
        <v>35</v>
      </c>
      <c r="Y74" s="24">
        <v>7</v>
      </c>
      <c r="Z74" s="24">
        <v>99</v>
      </c>
      <c r="AA74" s="24">
        <v>78</v>
      </c>
      <c r="AB74" s="22">
        <v>379</v>
      </c>
      <c r="AC74" s="22">
        <f t="shared" si="63"/>
        <v>508</v>
      </c>
      <c r="AD74" s="23">
        <f t="shared" si="64"/>
        <v>1.3403693931398417</v>
      </c>
      <c r="AE74" s="24"/>
      <c r="AF74" s="24"/>
      <c r="AG74" s="24"/>
      <c r="AH74" s="24"/>
      <c r="AI74" s="24"/>
      <c r="AJ74" s="24"/>
      <c r="AK74" s="24">
        <v>247</v>
      </c>
      <c r="AL74" s="24">
        <v>437</v>
      </c>
      <c r="AM74" s="24">
        <v>21</v>
      </c>
      <c r="AN74" s="24">
        <v>1</v>
      </c>
      <c r="AO74" s="24">
        <v>14</v>
      </c>
      <c r="AP74" s="24">
        <v>1</v>
      </c>
      <c r="AQ74" s="24">
        <v>28</v>
      </c>
      <c r="AR74" s="24">
        <v>64</v>
      </c>
      <c r="AS74" s="24">
        <v>83</v>
      </c>
      <c r="AT74" s="24">
        <v>61</v>
      </c>
      <c r="AU74" s="24">
        <v>56</v>
      </c>
      <c r="AV74" s="24">
        <v>57</v>
      </c>
      <c r="AW74" s="24">
        <v>50</v>
      </c>
      <c r="AX74" s="24">
        <v>28</v>
      </c>
      <c r="AY74" s="24">
        <v>46</v>
      </c>
      <c r="AZ74" s="24">
        <v>48</v>
      </c>
      <c r="BA74" s="24">
        <v>17</v>
      </c>
      <c r="BB74" s="24">
        <v>10</v>
      </c>
      <c r="BC74" s="32">
        <v>860</v>
      </c>
      <c r="BD74" s="32">
        <f t="shared" si="65"/>
        <v>548</v>
      </c>
      <c r="BE74" s="23">
        <f t="shared" si="66"/>
        <v>0.63720930232558137</v>
      </c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>
        <v>306</v>
      </c>
      <c r="BS74" s="24">
        <v>405</v>
      </c>
      <c r="BT74" s="24">
        <v>84</v>
      </c>
      <c r="BU74" s="24">
        <v>75</v>
      </c>
      <c r="BV74" s="24">
        <v>127</v>
      </c>
      <c r="BW74" s="24">
        <v>36</v>
      </c>
      <c r="BX74" s="24">
        <v>90</v>
      </c>
      <c r="BY74" s="24">
        <v>90</v>
      </c>
      <c r="BZ74" s="24">
        <v>64</v>
      </c>
      <c r="CA74" s="24">
        <v>64</v>
      </c>
      <c r="CB74" s="24">
        <v>428</v>
      </c>
      <c r="CC74" s="24">
        <v>253</v>
      </c>
      <c r="CD74" s="24">
        <v>1918</v>
      </c>
      <c r="CE74" s="24">
        <v>1339</v>
      </c>
      <c r="CF74" s="23">
        <f t="shared" si="71"/>
        <v>0.69812304483837329</v>
      </c>
      <c r="CG74" s="24"/>
      <c r="CH74" s="24"/>
      <c r="CI74" s="24">
        <v>70</v>
      </c>
      <c r="CJ74" s="24">
        <v>50</v>
      </c>
      <c r="CK74" s="24">
        <v>605.024</v>
      </c>
      <c r="CL74" s="24">
        <v>226</v>
      </c>
      <c r="CM74" s="24">
        <v>455.83333299999998</v>
      </c>
      <c r="CN74" s="24">
        <v>957.18000000000006</v>
      </c>
      <c r="CO74" s="24">
        <v>1903.3692040000001</v>
      </c>
      <c r="CP74" s="24">
        <v>245.86847079999998</v>
      </c>
      <c r="CQ74" s="24">
        <v>186.37</v>
      </c>
      <c r="CR74" s="24"/>
      <c r="CS74" s="24">
        <v>426.34519999999998</v>
      </c>
      <c r="CT74" s="24">
        <v>364.71040000000005</v>
      </c>
      <c r="CU74" s="24">
        <v>98</v>
      </c>
      <c r="CV74" s="24">
        <v>293.86400000000003</v>
      </c>
      <c r="CW74" s="24"/>
      <c r="CX74" s="24">
        <v>371.37</v>
      </c>
      <c r="CY74" s="24">
        <v>100</v>
      </c>
      <c r="CZ74" s="24"/>
      <c r="DA74" s="24">
        <v>96.37</v>
      </c>
      <c r="DB74" s="24">
        <v>200</v>
      </c>
      <c r="DC74" s="24">
        <v>100</v>
      </c>
      <c r="DD74" s="24"/>
      <c r="DE74" s="18">
        <v>2017.0084035083921</v>
      </c>
      <c r="DF74" s="18">
        <f t="shared" si="67"/>
        <v>2050.6596</v>
      </c>
      <c r="DG74" s="23">
        <f t="shared" si="68"/>
        <v>1.0166837165542171</v>
      </c>
      <c r="DH74" s="24"/>
      <c r="DI74" s="24">
        <v>22</v>
      </c>
      <c r="DJ74" s="24">
        <v>55</v>
      </c>
      <c r="DK74" s="24">
        <v>388.7</v>
      </c>
      <c r="DL74" s="24">
        <v>237</v>
      </c>
      <c r="DM74" s="24">
        <v>83</v>
      </c>
      <c r="DN74" s="24">
        <v>59.5</v>
      </c>
      <c r="DO74" s="24">
        <v>35</v>
      </c>
      <c r="DP74" s="24">
        <v>53.3</v>
      </c>
      <c r="DQ74" s="24">
        <v>346.61528800000002</v>
      </c>
      <c r="DR74" s="24">
        <v>218.3</v>
      </c>
      <c r="DS74" s="24">
        <v>79.7</v>
      </c>
      <c r="DT74" s="24"/>
      <c r="DU74" s="24">
        <v>0</v>
      </c>
      <c r="DV74" s="24">
        <v>0</v>
      </c>
      <c r="DW74" s="24">
        <v>0</v>
      </c>
      <c r="DX74" s="24">
        <v>0</v>
      </c>
      <c r="DY74" s="24">
        <v>0</v>
      </c>
      <c r="DZ74" s="24">
        <v>0</v>
      </c>
      <c r="EA74" s="24">
        <v>0</v>
      </c>
      <c r="EB74" s="24">
        <v>0</v>
      </c>
      <c r="EC74" s="24">
        <v>0</v>
      </c>
      <c r="ED74" s="24">
        <v>0</v>
      </c>
      <c r="EE74" s="24">
        <v>0</v>
      </c>
      <c r="EF74" s="18">
        <v>8239.3517804160201</v>
      </c>
      <c r="EG74" s="18">
        <f t="shared" si="69"/>
        <v>0</v>
      </c>
      <c r="EH74" s="23">
        <f t="shared" si="70"/>
        <v>0</v>
      </c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>
        <v>620</v>
      </c>
      <c r="EW74" s="24">
        <v>443</v>
      </c>
      <c r="EX74" s="24">
        <v>1013.6111109999999</v>
      </c>
      <c r="EY74" s="24">
        <v>2039</v>
      </c>
      <c r="EZ74" s="24">
        <v>2488.3000000000002</v>
      </c>
      <c r="FA74" s="24">
        <v>2068</v>
      </c>
      <c r="FB74" s="24">
        <v>1162.1999999999998</v>
      </c>
      <c r="FC74" s="24">
        <v>730</v>
      </c>
      <c r="FD74" s="24">
        <v>800.03</v>
      </c>
      <c r="FE74" s="24">
        <v>50</v>
      </c>
      <c r="FF74" s="24">
        <v>150</v>
      </c>
      <c r="FG74" s="18">
        <v>5984.2341906984147</v>
      </c>
      <c r="FH74" s="18">
        <v>6350.7111109999996</v>
      </c>
      <c r="FI74" s="23">
        <v>1.0612404041391323</v>
      </c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3"/>
    </row>
    <row r="75" spans="1:192" s="14" customFormat="1" ht="24.95" customHeight="1">
      <c r="A75" s="19">
        <v>2</v>
      </c>
      <c r="B75" s="20" t="s">
        <v>63</v>
      </c>
      <c r="C75" s="21">
        <v>10508</v>
      </c>
      <c r="D75" s="21"/>
      <c r="E75" s="21"/>
      <c r="F75" s="21"/>
      <c r="G75" s="24">
        <v>11</v>
      </c>
      <c r="H75" s="24"/>
      <c r="I75" s="24">
        <v>44</v>
      </c>
      <c r="J75" s="24">
        <v>44</v>
      </c>
      <c r="K75" s="24">
        <v>57</v>
      </c>
      <c r="L75" s="24">
        <v>11</v>
      </c>
      <c r="M75" s="24">
        <v>14</v>
      </c>
      <c r="N75" s="24">
        <v>17</v>
      </c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2"/>
      <c r="AC75" s="22">
        <f t="shared" si="63"/>
        <v>0</v>
      </c>
      <c r="AD75" s="23">
        <v>0</v>
      </c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32"/>
      <c r="BD75" s="32">
        <f t="shared" si="65"/>
        <v>0</v>
      </c>
      <c r="BE75" s="23">
        <v>0</v>
      </c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>
        <v>0</v>
      </c>
      <c r="BT75" s="24">
        <v>0</v>
      </c>
      <c r="BU75" s="24">
        <v>0</v>
      </c>
      <c r="BV75" s="24">
        <v>0</v>
      </c>
      <c r="BW75" s="24">
        <v>0</v>
      </c>
      <c r="BX75" s="24">
        <v>0</v>
      </c>
      <c r="BY75" s="24">
        <v>0</v>
      </c>
      <c r="BZ75" s="24">
        <v>0</v>
      </c>
      <c r="CA75" s="24">
        <v>0</v>
      </c>
      <c r="CB75" s="24">
        <v>0</v>
      </c>
      <c r="CC75" s="24">
        <v>0</v>
      </c>
      <c r="CD75" s="24"/>
      <c r="CE75" s="24"/>
      <c r="CF75" s="23"/>
      <c r="CG75" s="24"/>
      <c r="CH75" s="24"/>
      <c r="CI75" s="24"/>
      <c r="CJ75" s="24">
        <v>170</v>
      </c>
      <c r="CK75" s="24">
        <v>220</v>
      </c>
      <c r="CL75" s="24">
        <v>200</v>
      </c>
      <c r="CM75" s="24"/>
      <c r="CN75" s="24">
        <v>109</v>
      </c>
      <c r="CO75" s="24">
        <v>80</v>
      </c>
      <c r="CP75" s="24">
        <v>716.00180380000006</v>
      </c>
      <c r="CQ75" s="24">
        <v>100</v>
      </c>
      <c r="CR75" s="24"/>
      <c r="CS75" s="24">
        <v>412.74</v>
      </c>
      <c r="CT75" s="24">
        <v>913.87900000000002</v>
      </c>
      <c r="CU75" s="24">
        <v>670.23400000000004</v>
      </c>
      <c r="CV75" s="24">
        <v>973.39800000000014</v>
      </c>
      <c r="CW75" s="24">
        <v>656.89800000000014</v>
      </c>
      <c r="CX75" s="24">
        <v>296.93200000000002</v>
      </c>
      <c r="CY75" s="24">
        <v>368.30200000000002</v>
      </c>
      <c r="CZ75" s="24">
        <v>293.86400000000003</v>
      </c>
      <c r="DA75" s="24">
        <v>390.79600000000005</v>
      </c>
      <c r="DB75" s="24">
        <v>296.44900000000001</v>
      </c>
      <c r="DC75" s="24">
        <v>126.932</v>
      </c>
      <c r="DD75" s="24"/>
      <c r="DE75" s="18">
        <v>5373.3573993010259</v>
      </c>
      <c r="DF75" s="18">
        <f t="shared" si="67"/>
        <v>5400.4239999999991</v>
      </c>
      <c r="DG75" s="23">
        <f t="shared" si="68"/>
        <v>1.005037186006368</v>
      </c>
      <c r="DH75" s="24"/>
      <c r="DI75" s="24"/>
      <c r="DJ75" s="24">
        <v>47</v>
      </c>
      <c r="DK75" s="24">
        <v>50</v>
      </c>
      <c r="DL75" s="24">
        <v>20</v>
      </c>
      <c r="DM75" s="24">
        <v>35</v>
      </c>
      <c r="DN75" s="24"/>
      <c r="DO75" s="24">
        <v>50</v>
      </c>
      <c r="DP75" s="24">
        <v>131.9</v>
      </c>
      <c r="DQ75" s="24">
        <v>296.24911099999997</v>
      </c>
      <c r="DR75" s="24">
        <v>350.90000000000003</v>
      </c>
      <c r="DS75" s="24">
        <v>37</v>
      </c>
      <c r="DT75" s="24"/>
      <c r="DU75" s="24">
        <v>0</v>
      </c>
      <c r="DV75" s="24">
        <v>0</v>
      </c>
      <c r="DW75" s="24">
        <v>0</v>
      </c>
      <c r="DX75" s="24">
        <v>0</v>
      </c>
      <c r="DY75" s="24">
        <v>0</v>
      </c>
      <c r="DZ75" s="24">
        <v>0</v>
      </c>
      <c r="EA75" s="24">
        <v>0</v>
      </c>
      <c r="EB75" s="24">
        <v>0</v>
      </c>
      <c r="EC75" s="24">
        <v>0</v>
      </c>
      <c r="ED75" s="24">
        <v>0</v>
      </c>
      <c r="EE75" s="24">
        <v>0</v>
      </c>
      <c r="EF75" s="18">
        <v>0</v>
      </c>
      <c r="EG75" s="18">
        <f t="shared" si="69"/>
        <v>0</v>
      </c>
      <c r="EH75" s="23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18">
        <v>4617.3960385768078</v>
      </c>
      <c r="FH75" s="18">
        <v>5889</v>
      </c>
      <c r="FI75" s="23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3"/>
    </row>
    <row r="76" spans="1:192" s="14" customFormat="1" ht="24.95" customHeight="1">
      <c r="A76" s="19">
        <f>+A75+1</f>
        <v>3</v>
      </c>
      <c r="B76" s="20" t="s">
        <v>64</v>
      </c>
      <c r="C76" s="21">
        <v>10510</v>
      </c>
      <c r="D76" s="21"/>
      <c r="E76" s="21"/>
      <c r="F76" s="21"/>
      <c r="G76" s="24">
        <v>96</v>
      </c>
      <c r="H76" s="24">
        <v>242</v>
      </c>
      <c r="I76" s="24">
        <v>124</v>
      </c>
      <c r="J76" s="24">
        <v>35</v>
      </c>
      <c r="K76" s="24">
        <v>66</v>
      </c>
      <c r="L76" s="24">
        <v>42</v>
      </c>
      <c r="M76" s="24">
        <v>40</v>
      </c>
      <c r="N76" s="24">
        <v>80</v>
      </c>
      <c r="O76" s="24">
        <v>7</v>
      </c>
      <c r="P76" s="24">
        <v>22</v>
      </c>
      <c r="Q76" s="24">
        <v>18</v>
      </c>
      <c r="R76" s="24">
        <v>9</v>
      </c>
      <c r="S76" s="24"/>
      <c r="T76" s="24">
        <v>2</v>
      </c>
      <c r="U76" s="24"/>
      <c r="V76" s="24">
        <v>28</v>
      </c>
      <c r="W76" s="24">
        <v>27</v>
      </c>
      <c r="X76" s="24"/>
      <c r="Y76" s="24"/>
      <c r="Z76" s="24"/>
      <c r="AA76" s="24">
        <v>37</v>
      </c>
      <c r="AB76" s="22">
        <v>67</v>
      </c>
      <c r="AC76" s="22">
        <f t="shared" si="63"/>
        <v>143</v>
      </c>
      <c r="AD76" s="23">
        <f t="shared" si="64"/>
        <v>2.1343283582089554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32"/>
      <c r="BD76" s="32">
        <f t="shared" si="65"/>
        <v>0</v>
      </c>
      <c r="BE76" s="23">
        <v>0</v>
      </c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>
        <v>0</v>
      </c>
      <c r="BT76" s="24">
        <v>0</v>
      </c>
      <c r="BU76" s="24">
        <v>0</v>
      </c>
      <c r="BV76" s="24">
        <v>0</v>
      </c>
      <c r="BW76" s="24">
        <v>0</v>
      </c>
      <c r="BX76" s="24">
        <v>0</v>
      </c>
      <c r="BY76" s="24">
        <v>0</v>
      </c>
      <c r="BZ76" s="24">
        <v>0</v>
      </c>
      <c r="CA76" s="24">
        <v>0</v>
      </c>
      <c r="CB76" s="24">
        <v>0</v>
      </c>
      <c r="CC76" s="24">
        <v>0</v>
      </c>
      <c r="CD76" s="24"/>
      <c r="CE76" s="24"/>
      <c r="CF76" s="23"/>
      <c r="CG76" s="24"/>
      <c r="CH76" s="24"/>
      <c r="CI76" s="24"/>
      <c r="CJ76" s="24">
        <v>40</v>
      </c>
      <c r="CK76" s="24">
        <v>339.99</v>
      </c>
      <c r="CL76" s="24">
        <v>838</v>
      </c>
      <c r="CM76" s="24">
        <v>587</v>
      </c>
      <c r="CN76" s="24">
        <v>15</v>
      </c>
      <c r="CO76" s="24">
        <v>100</v>
      </c>
      <c r="CP76" s="24">
        <v>200</v>
      </c>
      <c r="CQ76" s="24"/>
      <c r="CR76" s="24"/>
      <c r="CS76" s="24">
        <v>1396.0550000000001</v>
      </c>
      <c r="CT76" s="24">
        <v>671.74800000000005</v>
      </c>
      <c r="CU76" s="24">
        <v>689.73</v>
      </c>
      <c r="CV76" s="24">
        <v>590.85200000000009</v>
      </c>
      <c r="CW76" s="24">
        <v>1246.231</v>
      </c>
      <c r="CX76" s="24">
        <v>220</v>
      </c>
      <c r="CY76" s="24">
        <v>996</v>
      </c>
      <c r="CZ76" s="24">
        <v>400</v>
      </c>
      <c r="DA76" s="24">
        <v>500</v>
      </c>
      <c r="DB76" s="24"/>
      <c r="DC76" s="24">
        <v>353</v>
      </c>
      <c r="DD76" s="24"/>
      <c r="DE76" s="18">
        <v>7012.2288967838049</v>
      </c>
      <c r="DF76" s="18">
        <f t="shared" si="67"/>
        <v>7063.616</v>
      </c>
      <c r="DG76" s="23">
        <f t="shared" si="68"/>
        <v>1.0073282124660483</v>
      </c>
      <c r="DH76" s="24"/>
      <c r="DI76" s="24">
        <v>96</v>
      </c>
      <c r="DJ76" s="24">
        <v>235</v>
      </c>
      <c r="DK76" s="24">
        <v>446.5</v>
      </c>
      <c r="DL76" s="24">
        <v>469</v>
      </c>
      <c r="DM76" s="24">
        <v>222</v>
      </c>
      <c r="DN76" s="24">
        <v>184.5</v>
      </c>
      <c r="DO76" s="24">
        <v>235</v>
      </c>
      <c r="DP76" s="24">
        <v>136.4</v>
      </c>
      <c r="DQ76" s="24">
        <v>904.48900299999991</v>
      </c>
      <c r="DR76" s="24">
        <v>806.79999999999984</v>
      </c>
      <c r="DS76" s="24">
        <v>248.9</v>
      </c>
      <c r="DT76" s="24"/>
      <c r="DU76" s="24">
        <v>0</v>
      </c>
      <c r="DV76" s="24">
        <v>0</v>
      </c>
      <c r="DW76" s="24">
        <v>0</v>
      </c>
      <c r="DX76" s="24">
        <v>0</v>
      </c>
      <c r="DY76" s="24">
        <v>0</v>
      </c>
      <c r="DZ76" s="24">
        <v>0</v>
      </c>
      <c r="EA76" s="24">
        <v>0</v>
      </c>
      <c r="EB76" s="24">
        <v>0</v>
      </c>
      <c r="EC76" s="24">
        <v>0</v>
      </c>
      <c r="ED76" s="24">
        <v>0</v>
      </c>
      <c r="EE76" s="24">
        <v>0</v>
      </c>
      <c r="EF76" s="18">
        <v>1261.4804161784891</v>
      </c>
      <c r="EG76" s="18">
        <f t="shared" si="69"/>
        <v>0</v>
      </c>
      <c r="EH76" s="23">
        <f t="shared" si="70"/>
        <v>0</v>
      </c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18">
        <v>2308.6980192884043</v>
      </c>
      <c r="FH76" s="18">
        <v>1352.9</v>
      </c>
      <c r="FI76" s="23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3"/>
    </row>
    <row r="77" spans="1:192" s="14" customFormat="1" ht="24.95" customHeight="1">
      <c r="A77" s="19">
        <f>+A76+1</f>
        <v>4</v>
      </c>
      <c r="B77" s="20" t="s">
        <v>65</v>
      </c>
      <c r="C77" s="21">
        <v>10729</v>
      </c>
      <c r="D77" s="21"/>
      <c r="E77" s="21"/>
      <c r="F77" s="21"/>
      <c r="G77" s="24">
        <v>56</v>
      </c>
      <c r="H77" s="24">
        <v>18</v>
      </c>
      <c r="I77" s="24">
        <v>25</v>
      </c>
      <c r="J77" s="24">
        <v>28</v>
      </c>
      <c r="K77" s="24">
        <v>46</v>
      </c>
      <c r="L77" s="24">
        <v>67</v>
      </c>
      <c r="M77" s="24">
        <v>67</v>
      </c>
      <c r="N77" s="24">
        <v>88</v>
      </c>
      <c r="O77" s="24">
        <v>221</v>
      </c>
      <c r="P77" s="24">
        <v>35</v>
      </c>
      <c r="Q77" s="24">
        <v>2</v>
      </c>
      <c r="R77" s="24">
        <v>3</v>
      </c>
      <c r="S77" s="24"/>
      <c r="T77" s="24">
        <v>6</v>
      </c>
      <c r="U77" s="24"/>
      <c r="V77" s="24">
        <v>2</v>
      </c>
      <c r="W77" s="24">
        <v>9</v>
      </c>
      <c r="X77" s="24"/>
      <c r="Y77" s="24">
        <v>12</v>
      </c>
      <c r="Z77" s="24">
        <v>36</v>
      </c>
      <c r="AA77" s="24">
        <v>95</v>
      </c>
      <c r="AB77" s="22">
        <v>31</v>
      </c>
      <c r="AC77" s="22">
        <f t="shared" si="63"/>
        <v>200</v>
      </c>
      <c r="AD77" s="23">
        <f t="shared" si="64"/>
        <v>6.4516129032258061</v>
      </c>
      <c r="AE77" s="24"/>
      <c r="AF77" s="24"/>
      <c r="AG77" s="24"/>
      <c r="AH77" s="24"/>
      <c r="AI77" s="24"/>
      <c r="AJ77" s="24"/>
      <c r="AK77" s="24">
        <v>132</v>
      </c>
      <c r="AL77" s="24">
        <v>257</v>
      </c>
      <c r="AM77" s="24">
        <v>11</v>
      </c>
      <c r="AN77" s="24">
        <v>7</v>
      </c>
      <c r="AO77" s="24"/>
      <c r="AP77" s="24">
        <v>1</v>
      </c>
      <c r="AQ77" s="24">
        <v>66</v>
      </c>
      <c r="AR77" s="24">
        <v>125</v>
      </c>
      <c r="AS77" s="24">
        <v>136</v>
      </c>
      <c r="AT77" s="24">
        <v>122</v>
      </c>
      <c r="AU77" s="24">
        <v>108</v>
      </c>
      <c r="AV77" s="24">
        <v>123</v>
      </c>
      <c r="AW77" s="24">
        <v>18</v>
      </c>
      <c r="AX77" s="24">
        <v>73</v>
      </c>
      <c r="AY77" s="24">
        <v>77</v>
      </c>
      <c r="AZ77" s="24">
        <v>44</v>
      </c>
      <c r="BA77" s="24">
        <v>66</v>
      </c>
      <c r="BB77" s="24">
        <v>8</v>
      </c>
      <c r="BC77" s="32">
        <v>486</v>
      </c>
      <c r="BD77" s="32">
        <f t="shared" si="65"/>
        <v>966</v>
      </c>
      <c r="BE77" s="23">
        <f t="shared" si="66"/>
        <v>1.9876543209876543</v>
      </c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>
        <v>0</v>
      </c>
      <c r="BT77" s="24">
        <v>0</v>
      </c>
      <c r="BU77" s="24">
        <v>0</v>
      </c>
      <c r="BV77" s="24">
        <v>0</v>
      </c>
      <c r="BW77" s="24">
        <v>0</v>
      </c>
      <c r="BX77" s="24">
        <v>0</v>
      </c>
      <c r="BY77" s="24">
        <v>0</v>
      </c>
      <c r="BZ77" s="24">
        <v>0</v>
      </c>
      <c r="CA77" s="24">
        <v>0</v>
      </c>
      <c r="CB77" s="24">
        <v>0</v>
      </c>
      <c r="CC77" s="24">
        <v>0</v>
      </c>
      <c r="CD77" s="24"/>
      <c r="CE77" s="24"/>
      <c r="CF77" s="23"/>
      <c r="CG77" s="24"/>
      <c r="CH77" s="24"/>
      <c r="CI77" s="24">
        <v>170</v>
      </c>
      <c r="CJ77" s="24">
        <v>70</v>
      </c>
      <c r="CK77" s="24">
        <v>70</v>
      </c>
      <c r="CL77" s="24">
        <v>270</v>
      </c>
      <c r="CM77" s="24"/>
      <c r="CN77" s="24">
        <v>259.88920000000002</v>
      </c>
      <c r="CO77" s="24"/>
      <c r="CP77" s="24">
        <v>30</v>
      </c>
      <c r="CQ77" s="24">
        <v>150</v>
      </c>
      <c r="CR77" s="24"/>
      <c r="CS77" s="24">
        <v>495.8</v>
      </c>
      <c r="CT77" s="24">
        <v>1474.8506</v>
      </c>
      <c r="CU77" s="24">
        <v>631.77</v>
      </c>
      <c r="CV77" s="24">
        <v>200</v>
      </c>
      <c r="CW77" s="24">
        <v>382.37</v>
      </c>
      <c r="CX77" s="24">
        <v>96.37</v>
      </c>
      <c r="CY77" s="24">
        <v>50</v>
      </c>
      <c r="CZ77" s="24"/>
      <c r="DA77" s="24">
        <v>195</v>
      </c>
      <c r="DB77" s="24"/>
      <c r="DC77" s="24"/>
      <c r="DD77" s="24">
        <v>100</v>
      </c>
      <c r="DE77" s="18">
        <v>983.31021582336155</v>
      </c>
      <c r="DF77" s="18">
        <f t="shared" si="67"/>
        <v>3626.1605999999997</v>
      </c>
      <c r="DG77" s="23">
        <f t="shared" si="68"/>
        <v>3.6877076446965242</v>
      </c>
      <c r="DH77" s="24"/>
      <c r="DI77" s="24"/>
      <c r="DJ77" s="24">
        <v>30</v>
      </c>
      <c r="DK77" s="24">
        <v>80.599999999999994</v>
      </c>
      <c r="DL77" s="24">
        <v>30</v>
      </c>
      <c r="DM77" s="24">
        <v>2.5</v>
      </c>
      <c r="DN77" s="24">
        <v>15</v>
      </c>
      <c r="DO77" s="24">
        <v>51</v>
      </c>
      <c r="DP77" s="24">
        <v>72.900000000000006</v>
      </c>
      <c r="DQ77" s="24">
        <v>113.374658</v>
      </c>
      <c r="DR77" s="24">
        <v>206.5</v>
      </c>
      <c r="DS77" s="24">
        <v>68</v>
      </c>
      <c r="DT77" s="24">
        <v>731.5</v>
      </c>
      <c r="DU77" s="24">
        <v>643.5</v>
      </c>
      <c r="DV77" s="24">
        <v>411.29999999999995</v>
      </c>
      <c r="DW77" s="24">
        <v>2781.7</v>
      </c>
      <c r="DX77" s="24">
        <v>2513.3999999999996</v>
      </c>
      <c r="DY77" s="24">
        <v>3837.5</v>
      </c>
      <c r="DZ77" s="24">
        <v>2519.3999999999996</v>
      </c>
      <c r="EA77" s="24">
        <v>767.5</v>
      </c>
      <c r="EB77" s="24">
        <v>350.70000000000073</v>
      </c>
      <c r="EC77" s="24">
        <v>0</v>
      </c>
      <c r="ED77" s="24">
        <v>49.5</v>
      </c>
      <c r="EE77" s="24">
        <v>0</v>
      </c>
      <c r="EF77" s="18">
        <v>4203.3444982806568</v>
      </c>
      <c r="EG77" s="18">
        <f t="shared" si="69"/>
        <v>14606</v>
      </c>
      <c r="EH77" s="23">
        <f t="shared" si="70"/>
        <v>3.4748519913070326</v>
      </c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>
        <v>125</v>
      </c>
      <c r="EV77" s="24">
        <v>963</v>
      </c>
      <c r="EW77" s="24">
        <v>1212</v>
      </c>
      <c r="EX77" s="24">
        <v>1872</v>
      </c>
      <c r="EY77" s="24">
        <v>4220.96</v>
      </c>
      <c r="EZ77" s="24">
        <v>4321</v>
      </c>
      <c r="FA77" s="24">
        <v>3217</v>
      </c>
      <c r="FB77" s="24">
        <v>1317.5</v>
      </c>
      <c r="FC77" s="24">
        <v>1691.1000000000001</v>
      </c>
      <c r="FD77" s="24">
        <v>890</v>
      </c>
      <c r="FE77" s="24">
        <v>600</v>
      </c>
      <c r="FF77" s="24">
        <v>550</v>
      </c>
      <c r="FG77" s="18">
        <v>4386.5262366479365</v>
      </c>
      <c r="FH77" s="18">
        <v>6682.6</v>
      </c>
      <c r="FI77" s="23">
        <v>1.523437827447411</v>
      </c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3"/>
    </row>
    <row r="78" spans="1:192" s="14" customFormat="1" ht="24.95" customHeight="1">
      <c r="A78" s="19">
        <f>+A77+1</f>
        <v>5</v>
      </c>
      <c r="B78" s="20" t="s">
        <v>44</v>
      </c>
      <c r="C78" s="21">
        <v>12029</v>
      </c>
      <c r="D78" s="21"/>
      <c r="E78" s="21"/>
      <c r="F78" s="21"/>
      <c r="G78" s="24">
        <v>55</v>
      </c>
      <c r="H78" s="24"/>
      <c r="I78" s="24">
        <v>49</v>
      </c>
      <c r="J78" s="24">
        <v>148</v>
      </c>
      <c r="K78" s="24">
        <v>50</v>
      </c>
      <c r="L78" s="24">
        <v>64</v>
      </c>
      <c r="M78" s="24">
        <v>56</v>
      </c>
      <c r="N78" s="24">
        <v>34</v>
      </c>
      <c r="O78" s="24">
        <v>21</v>
      </c>
      <c r="P78" s="24">
        <v>23</v>
      </c>
      <c r="Q78" s="24">
        <v>41</v>
      </c>
      <c r="R78" s="24">
        <v>97</v>
      </c>
      <c r="S78" s="24">
        <v>11</v>
      </c>
      <c r="T78" s="24">
        <v>10</v>
      </c>
      <c r="U78" s="24">
        <v>12</v>
      </c>
      <c r="V78" s="24">
        <v>35</v>
      </c>
      <c r="W78" s="24">
        <v>20</v>
      </c>
      <c r="X78" s="24">
        <v>3</v>
      </c>
      <c r="Y78" s="24">
        <v>5</v>
      </c>
      <c r="Z78" s="24">
        <v>20</v>
      </c>
      <c r="AA78" s="24">
        <v>33</v>
      </c>
      <c r="AB78" s="22">
        <v>302</v>
      </c>
      <c r="AC78" s="22">
        <f t="shared" si="63"/>
        <v>310</v>
      </c>
      <c r="AD78" s="23">
        <f t="shared" si="64"/>
        <v>1.0264900662251655</v>
      </c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32"/>
      <c r="BD78" s="32">
        <f t="shared" si="65"/>
        <v>0</v>
      </c>
      <c r="BE78" s="23">
        <v>0</v>
      </c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>
        <v>372</v>
      </c>
      <c r="BS78" s="24">
        <v>223</v>
      </c>
      <c r="BT78" s="24">
        <v>57</v>
      </c>
      <c r="BU78" s="24">
        <v>71</v>
      </c>
      <c r="BV78" s="24">
        <v>47</v>
      </c>
      <c r="BW78" s="24">
        <v>38</v>
      </c>
      <c r="BX78" s="24">
        <v>26</v>
      </c>
      <c r="BY78" s="24">
        <v>49</v>
      </c>
      <c r="BZ78" s="24">
        <v>43</v>
      </c>
      <c r="CA78" s="24">
        <v>77</v>
      </c>
      <c r="CB78" s="24">
        <v>656</v>
      </c>
      <c r="CC78" s="24">
        <v>405</v>
      </c>
      <c r="CD78" s="24">
        <v>1200</v>
      </c>
      <c r="CE78" s="24">
        <v>1005</v>
      </c>
      <c r="CF78" s="23">
        <f t="shared" si="71"/>
        <v>0.83750000000000002</v>
      </c>
      <c r="CG78" s="24"/>
      <c r="CH78" s="24"/>
      <c r="CI78" s="24">
        <v>99.88</v>
      </c>
      <c r="CJ78" s="24"/>
      <c r="CK78" s="24">
        <v>100</v>
      </c>
      <c r="CL78" s="24">
        <v>100</v>
      </c>
      <c r="CM78" s="24"/>
      <c r="CN78" s="24"/>
      <c r="CO78" s="24"/>
      <c r="CP78" s="24">
        <v>100</v>
      </c>
      <c r="CQ78" s="24">
        <v>330</v>
      </c>
      <c r="CR78" s="24"/>
      <c r="CS78" s="24">
        <v>186.66666599999999</v>
      </c>
      <c r="CT78" s="24"/>
      <c r="CU78" s="24"/>
      <c r="CV78" s="24"/>
      <c r="CW78" s="24">
        <v>100</v>
      </c>
      <c r="CX78" s="24">
        <v>100</v>
      </c>
      <c r="CY78" s="24">
        <v>100</v>
      </c>
      <c r="CZ78" s="24">
        <v>200</v>
      </c>
      <c r="DA78" s="24"/>
      <c r="DB78" s="24">
        <v>96.932000000000002</v>
      </c>
      <c r="DC78" s="24">
        <v>96.932000000000002</v>
      </c>
      <c r="DD78" s="24">
        <v>120</v>
      </c>
      <c r="DE78" s="18">
        <v>3509.0345381712195</v>
      </c>
      <c r="DF78" s="18">
        <f t="shared" si="67"/>
        <v>1000.530666</v>
      </c>
      <c r="DG78" s="23">
        <f t="shared" si="68"/>
        <v>0.28512989972490838</v>
      </c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>
        <v>0</v>
      </c>
      <c r="DV78" s="24">
        <v>0</v>
      </c>
      <c r="DW78" s="24">
        <v>0</v>
      </c>
      <c r="DX78" s="24">
        <v>0</v>
      </c>
      <c r="DY78" s="24">
        <v>0</v>
      </c>
      <c r="DZ78" s="24">
        <v>0</v>
      </c>
      <c r="EA78" s="24">
        <v>0</v>
      </c>
      <c r="EB78" s="24">
        <v>0</v>
      </c>
      <c r="EC78" s="24">
        <v>0</v>
      </c>
      <c r="ED78" s="24">
        <v>0</v>
      </c>
      <c r="EE78" s="24">
        <v>0</v>
      </c>
      <c r="EF78" s="18">
        <v>913.61177965834429</v>
      </c>
      <c r="EG78" s="18">
        <f t="shared" si="69"/>
        <v>0</v>
      </c>
      <c r="EH78" s="23">
        <f t="shared" si="70"/>
        <v>0</v>
      </c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18">
        <v>4635.776698028114</v>
      </c>
      <c r="FH78" s="18">
        <v>6575</v>
      </c>
      <c r="FI78" s="23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3"/>
    </row>
    <row r="79" spans="1:192" s="14" customFormat="1" ht="32.25" customHeight="1">
      <c r="A79" s="9"/>
      <c r="B79" s="10" t="s">
        <v>38</v>
      </c>
      <c r="C79" s="11"/>
      <c r="D79" s="11"/>
      <c r="E79" s="11"/>
      <c r="F79" s="11"/>
      <c r="G79" s="12">
        <v>43</v>
      </c>
      <c r="H79" s="12">
        <v>62</v>
      </c>
      <c r="I79" s="12">
        <v>47</v>
      </c>
      <c r="J79" s="12">
        <v>81</v>
      </c>
      <c r="K79" s="12">
        <v>218</v>
      </c>
      <c r="L79" s="12">
        <v>198</v>
      </c>
      <c r="M79" s="12">
        <v>197</v>
      </c>
      <c r="N79" s="12">
        <v>204</v>
      </c>
      <c r="O79" s="12">
        <v>198</v>
      </c>
      <c r="P79" s="12">
        <v>115</v>
      </c>
      <c r="Q79" s="12">
        <v>168</v>
      </c>
      <c r="R79" s="12">
        <v>613</v>
      </c>
      <c r="S79" s="12">
        <v>261</v>
      </c>
      <c r="T79" s="12">
        <v>344</v>
      </c>
      <c r="U79" s="12">
        <v>275</v>
      </c>
      <c r="V79" s="12">
        <v>211</v>
      </c>
      <c r="W79" s="12">
        <v>223</v>
      </c>
      <c r="X79" s="12">
        <v>245</v>
      </c>
      <c r="Y79" s="12">
        <v>43</v>
      </c>
      <c r="Z79" s="12">
        <v>40</v>
      </c>
      <c r="AA79" s="12">
        <v>40</v>
      </c>
      <c r="AB79" s="12">
        <v>1307</v>
      </c>
      <c r="AC79" s="12">
        <f t="shared" si="63"/>
        <v>2578</v>
      </c>
      <c r="AD79" s="13">
        <f t="shared" si="64"/>
        <v>1.9724560061208876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>
        <v>0</v>
      </c>
      <c r="BC79" s="12">
        <v>0</v>
      </c>
      <c r="BD79" s="12">
        <f t="shared" si="65"/>
        <v>0</v>
      </c>
      <c r="BE79" s="13">
        <v>0</v>
      </c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>
        <v>144</v>
      </c>
      <c r="BS79" s="12">
        <v>257</v>
      </c>
      <c r="BT79" s="12">
        <v>311</v>
      </c>
      <c r="BU79" s="12">
        <v>286</v>
      </c>
      <c r="BV79" s="12">
        <v>80</v>
      </c>
      <c r="BW79" s="12">
        <v>100</v>
      </c>
      <c r="BX79" s="12">
        <v>129</v>
      </c>
      <c r="BY79" s="12">
        <v>301</v>
      </c>
      <c r="BZ79" s="12">
        <v>87</v>
      </c>
      <c r="CA79" s="12">
        <v>87</v>
      </c>
      <c r="CB79" s="12">
        <v>150</v>
      </c>
      <c r="CC79" s="12">
        <v>167</v>
      </c>
      <c r="CD79" s="12">
        <f t="shared" ref="CD79:CE79" si="75">+SUM(CD80:CD82)</f>
        <v>1065</v>
      </c>
      <c r="CE79" s="12">
        <f t="shared" si="75"/>
        <v>1782</v>
      </c>
      <c r="CF79" s="13">
        <f t="shared" si="71"/>
        <v>1.6732394366197183</v>
      </c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>
        <v>0</v>
      </c>
      <c r="DE79" s="12">
        <v>0</v>
      </c>
      <c r="DF79" s="12">
        <f t="shared" si="67"/>
        <v>0</v>
      </c>
      <c r="DG79" s="13">
        <v>0</v>
      </c>
      <c r="DH79" s="12">
        <v>0</v>
      </c>
      <c r="DI79" s="12">
        <v>0</v>
      </c>
      <c r="DJ79" s="12">
        <v>40</v>
      </c>
      <c r="DK79" s="12">
        <v>5</v>
      </c>
      <c r="DL79" s="12">
        <v>0</v>
      </c>
      <c r="DM79" s="12">
        <v>25</v>
      </c>
      <c r="DN79" s="12">
        <v>45</v>
      </c>
      <c r="DO79" s="12">
        <v>20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80</v>
      </c>
      <c r="DV79" s="12">
        <v>680.5</v>
      </c>
      <c r="DW79" s="12">
        <v>1084.6990000000001</v>
      </c>
      <c r="DX79" s="12">
        <v>1156.3139999999999</v>
      </c>
      <c r="DY79" s="12">
        <v>888.69900000000007</v>
      </c>
      <c r="DZ79" s="12">
        <v>823.99999999999955</v>
      </c>
      <c r="EA79" s="12">
        <v>77</v>
      </c>
      <c r="EB79" s="12">
        <v>97.332000000000335</v>
      </c>
      <c r="EC79" s="12">
        <v>0</v>
      </c>
      <c r="ED79" s="12">
        <v>0</v>
      </c>
      <c r="EE79" s="12">
        <v>0</v>
      </c>
      <c r="EF79" s="12">
        <v>1284.8897690413262</v>
      </c>
      <c r="EG79" s="12">
        <f t="shared" si="69"/>
        <v>4888.5439999999999</v>
      </c>
      <c r="EH79" s="13">
        <f t="shared" si="70"/>
        <v>3.8046407698050313</v>
      </c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>
        <v>0</v>
      </c>
      <c r="FG79" s="12">
        <v>0</v>
      </c>
      <c r="FH79" s="12">
        <v>0</v>
      </c>
      <c r="FI79" s="13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>
        <v>0</v>
      </c>
      <c r="GH79" s="12">
        <v>0</v>
      </c>
      <c r="GI79" s="12">
        <v>0</v>
      </c>
      <c r="GJ79" s="13"/>
    </row>
    <row r="80" spans="1:192" s="14" customFormat="1" ht="24.95" customHeight="1">
      <c r="A80" s="19">
        <f>+A79+1</f>
        <v>1</v>
      </c>
      <c r="B80" s="20" t="s">
        <v>95</v>
      </c>
      <c r="C80" s="21">
        <v>12097</v>
      </c>
      <c r="D80" s="21"/>
      <c r="E80" s="21"/>
      <c r="F80" s="21"/>
      <c r="G80" s="24"/>
      <c r="H80" s="24">
        <v>1</v>
      </c>
      <c r="I80" s="24">
        <v>1</v>
      </c>
      <c r="J80" s="24"/>
      <c r="K80" s="24">
        <v>54</v>
      </c>
      <c r="L80" s="24">
        <v>56</v>
      </c>
      <c r="M80" s="24">
        <v>58</v>
      </c>
      <c r="N80" s="24">
        <v>60</v>
      </c>
      <c r="O80" s="24">
        <v>57</v>
      </c>
      <c r="P80" s="24">
        <v>12</v>
      </c>
      <c r="Q80" s="24">
        <v>102</v>
      </c>
      <c r="R80" s="24">
        <v>204</v>
      </c>
      <c r="S80" s="24">
        <v>125</v>
      </c>
      <c r="T80" s="24">
        <v>132</v>
      </c>
      <c r="U80" s="24">
        <v>165</v>
      </c>
      <c r="V80" s="24">
        <v>108</v>
      </c>
      <c r="W80" s="24">
        <v>126</v>
      </c>
      <c r="X80" s="24">
        <v>74</v>
      </c>
      <c r="Y80" s="24">
        <v>12</v>
      </c>
      <c r="Z80" s="24">
        <v>30</v>
      </c>
      <c r="AA80" s="24">
        <v>30</v>
      </c>
      <c r="AB80" s="22">
        <v>373</v>
      </c>
      <c r="AC80" s="22">
        <f t="shared" si="63"/>
        <v>1120</v>
      </c>
      <c r="AD80" s="23">
        <f t="shared" si="64"/>
        <v>3.0026809651474529</v>
      </c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32"/>
      <c r="BD80" s="32">
        <f t="shared" si="65"/>
        <v>0</v>
      </c>
      <c r="BE80" s="23">
        <v>0</v>
      </c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>
        <v>40</v>
      </c>
      <c r="BS80" s="24">
        <v>35</v>
      </c>
      <c r="BT80" s="24">
        <v>95</v>
      </c>
      <c r="BU80" s="24">
        <v>59</v>
      </c>
      <c r="BV80" s="24">
        <v>37</v>
      </c>
      <c r="BW80" s="24">
        <v>35</v>
      </c>
      <c r="BX80" s="24">
        <v>80</v>
      </c>
      <c r="BY80" s="24">
        <v>234</v>
      </c>
      <c r="BZ80" s="24">
        <v>77</v>
      </c>
      <c r="CA80" s="24">
        <v>73</v>
      </c>
      <c r="CB80" s="24">
        <v>92</v>
      </c>
      <c r="CC80" s="24">
        <v>71</v>
      </c>
      <c r="CD80" s="26">
        <v>454</v>
      </c>
      <c r="CE80" s="26">
        <v>765</v>
      </c>
      <c r="CF80" s="23">
        <f t="shared" si="71"/>
        <v>1.6850220264317182</v>
      </c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18"/>
      <c r="DF80" s="18">
        <f t="shared" si="67"/>
        <v>0</v>
      </c>
      <c r="DG80" s="23">
        <v>0</v>
      </c>
      <c r="DH80" s="24"/>
      <c r="DI80" s="24"/>
      <c r="DJ80" s="24">
        <v>40</v>
      </c>
      <c r="DK80" s="24">
        <v>5</v>
      </c>
      <c r="DL80" s="24"/>
      <c r="DM80" s="24">
        <v>25</v>
      </c>
      <c r="DN80" s="24">
        <v>45</v>
      </c>
      <c r="DO80" s="24">
        <v>20</v>
      </c>
      <c r="DP80" s="24"/>
      <c r="DQ80" s="24"/>
      <c r="DR80" s="24"/>
      <c r="DS80" s="24"/>
      <c r="DT80" s="24">
        <v>0</v>
      </c>
      <c r="DU80" s="24">
        <v>0</v>
      </c>
      <c r="DV80" s="24">
        <v>167</v>
      </c>
      <c r="DW80" s="24">
        <v>197</v>
      </c>
      <c r="DX80" s="24">
        <v>58</v>
      </c>
      <c r="DY80" s="24">
        <v>410</v>
      </c>
      <c r="DZ80" s="24">
        <v>140</v>
      </c>
      <c r="EA80" s="24">
        <v>0</v>
      </c>
      <c r="EB80" s="24">
        <v>0</v>
      </c>
      <c r="EC80" s="24">
        <v>0</v>
      </c>
      <c r="ED80" s="24">
        <v>0</v>
      </c>
      <c r="EE80" s="24">
        <v>0</v>
      </c>
      <c r="EF80" s="18">
        <v>485.06629636346861</v>
      </c>
      <c r="EG80" s="18">
        <f t="shared" si="69"/>
        <v>972</v>
      </c>
      <c r="EH80" s="23">
        <f t="shared" si="70"/>
        <v>2.0038497980318621</v>
      </c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18"/>
      <c r="FH80" s="18"/>
      <c r="FI80" s="23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3"/>
    </row>
    <row r="81" spans="1:192" s="14" customFormat="1" ht="24.95" customHeight="1">
      <c r="A81" s="19">
        <f>+A80+1</f>
        <v>2</v>
      </c>
      <c r="B81" s="20" t="s">
        <v>96</v>
      </c>
      <c r="C81" s="21">
        <v>12091</v>
      </c>
      <c r="D81" s="21"/>
      <c r="E81" s="21"/>
      <c r="F81" s="21"/>
      <c r="G81" s="24">
        <v>22</v>
      </c>
      <c r="H81" s="24">
        <v>42</v>
      </c>
      <c r="I81" s="24">
        <v>35</v>
      </c>
      <c r="J81" s="24">
        <v>74</v>
      </c>
      <c r="K81" s="24">
        <v>83</v>
      </c>
      <c r="L81" s="24">
        <v>73</v>
      </c>
      <c r="M81" s="24">
        <v>72</v>
      </c>
      <c r="N81" s="24">
        <v>70</v>
      </c>
      <c r="O81" s="24">
        <v>66</v>
      </c>
      <c r="P81" s="24">
        <v>79</v>
      </c>
      <c r="Q81" s="24">
        <v>30</v>
      </c>
      <c r="R81" s="24">
        <v>313</v>
      </c>
      <c r="S81" s="24">
        <v>93</v>
      </c>
      <c r="T81" s="24">
        <v>162</v>
      </c>
      <c r="U81" s="24">
        <v>76</v>
      </c>
      <c r="V81" s="24">
        <v>70</v>
      </c>
      <c r="W81" s="24">
        <v>58</v>
      </c>
      <c r="X81" s="24">
        <v>132</v>
      </c>
      <c r="Y81" s="24">
        <v>18</v>
      </c>
      <c r="Z81" s="24">
        <v>10</v>
      </c>
      <c r="AA81" s="24">
        <v>10</v>
      </c>
      <c r="AB81" s="22">
        <v>492</v>
      </c>
      <c r="AC81" s="22">
        <f t="shared" si="63"/>
        <v>1051</v>
      </c>
      <c r="AD81" s="23">
        <f t="shared" si="64"/>
        <v>2.1361788617886179</v>
      </c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32"/>
      <c r="BD81" s="32">
        <f t="shared" si="65"/>
        <v>0</v>
      </c>
      <c r="BE81" s="23">
        <v>0</v>
      </c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>
        <v>66</v>
      </c>
      <c r="BS81" s="24">
        <v>174</v>
      </c>
      <c r="BT81" s="24">
        <v>185</v>
      </c>
      <c r="BU81" s="24">
        <v>186</v>
      </c>
      <c r="BV81" s="24">
        <v>31</v>
      </c>
      <c r="BW81" s="24">
        <v>39</v>
      </c>
      <c r="BX81" s="24">
        <v>28</v>
      </c>
      <c r="BY81" s="24">
        <v>43</v>
      </c>
      <c r="BZ81" s="24">
        <v>1</v>
      </c>
      <c r="CA81" s="24">
        <v>6</v>
      </c>
      <c r="CB81" s="24">
        <v>2</v>
      </c>
      <c r="CC81" s="24">
        <v>2</v>
      </c>
      <c r="CD81" s="26">
        <v>282</v>
      </c>
      <c r="CE81" s="26">
        <v>759</v>
      </c>
      <c r="CF81" s="23">
        <f t="shared" si="71"/>
        <v>2.6914893617021276</v>
      </c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18"/>
      <c r="DF81" s="18">
        <f t="shared" si="67"/>
        <v>0</v>
      </c>
      <c r="DG81" s="23">
        <v>0</v>
      </c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>
        <v>0</v>
      </c>
      <c r="DU81" s="24">
        <v>30</v>
      </c>
      <c r="DV81" s="24">
        <v>0</v>
      </c>
      <c r="DW81" s="24">
        <v>197.69900000000001</v>
      </c>
      <c r="DX81" s="24">
        <v>273</v>
      </c>
      <c r="DY81" s="24">
        <v>70.000000000000057</v>
      </c>
      <c r="DZ81" s="24">
        <v>100</v>
      </c>
      <c r="EA81" s="24">
        <v>20</v>
      </c>
      <c r="EB81" s="24">
        <v>0</v>
      </c>
      <c r="EC81" s="24">
        <v>0</v>
      </c>
      <c r="ED81" s="24">
        <v>0</v>
      </c>
      <c r="EE81" s="24">
        <v>0</v>
      </c>
      <c r="EF81" s="18">
        <v>434.51688282134285</v>
      </c>
      <c r="EG81" s="18">
        <f t="shared" si="69"/>
        <v>690.69900000000007</v>
      </c>
      <c r="EH81" s="23">
        <f t="shared" si="70"/>
        <v>1.5895792023436515</v>
      </c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18"/>
      <c r="FH81" s="18"/>
      <c r="FI81" s="23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3"/>
    </row>
    <row r="82" spans="1:192" s="14" customFormat="1" ht="24.95" customHeight="1">
      <c r="A82" s="19">
        <f>+A81+1</f>
        <v>3</v>
      </c>
      <c r="B82" s="20" t="s">
        <v>47</v>
      </c>
      <c r="C82" s="21">
        <v>12090</v>
      </c>
      <c r="D82" s="21"/>
      <c r="E82" s="21"/>
      <c r="F82" s="21"/>
      <c r="G82" s="24">
        <v>21</v>
      </c>
      <c r="H82" s="24">
        <v>19</v>
      </c>
      <c r="I82" s="24">
        <v>11</v>
      </c>
      <c r="J82" s="24">
        <v>7</v>
      </c>
      <c r="K82" s="24">
        <v>81</v>
      </c>
      <c r="L82" s="24">
        <v>69</v>
      </c>
      <c r="M82" s="24">
        <v>67</v>
      </c>
      <c r="N82" s="24">
        <v>74</v>
      </c>
      <c r="O82" s="24">
        <v>75</v>
      </c>
      <c r="P82" s="24">
        <v>24</v>
      </c>
      <c r="Q82" s="24">
        <v>36</v>
      </c>
      <c r="R82" s="24">
        <v>96</v>
      </c>
      <c r="S82" s="24">
        <v>43</v>
      </c>
      <c r="T82" s="24">
        <v>50</v>
      </c>
      <c r="U82" s="24">
        <v>34</v>
      </c>
      <c r="V82" s="24">
        <v>33</v>
      </c>
      <c r="W82" s="24">
        <v>39</v>
      </c>
      <c r="X82" s="24">
        <v>39</v>
      </c>
      <c r="Y82" s="24">
        <v>13</v>
      </c>
      <c r="Z82" s="24"/>
      <c r="AA82" s="24"/>
      <c r="AB82" s="22">
        <v>442</v>
      </c>
      <c r="AC82" s="22">
        <f t="shared" si="63"/>
        <v>407</v>
      </c>
      <c r="AD82" s="23">
        <f t="shared" si="64"/>
        <v>0.920814479638009</v>
      </c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32"/>
      <c r="BD82" s="32">
        <f t="shared" si="65"/>
        <v>0</v>
      </c>
      <c r="BE82" s="23">
        <v>0</v>
      </c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>
        <v>38</v>
      </c>
      <c r="BS82" s="24">
        <v>48</v>
      </c>
      <c r="BT82" s="24">
        <v>31</v>
      </c>
      <c r="BU82" s="24">
        <v>41</v>
      </c>
      <c r="BV82" s="24">
        <v>12</v>
      </c>
      <c r="BW82" s="24">
        <v>26</v>
      </c>
      <c r="BX82" s="24">
        <v>21</v>
      </c>
      <c r="BY82" s="24">
        <v>24</v>
      </c>
      <c r="BZ82" s="24">
        <v>9</v>
      </c>
      <c r="CA82" s="24">
        <v>8</v>
      </c>
      <c r="CB82" s="24">
        <v>56</v>
      </c>
      <c r="CC82" s="24">
        <v>94</v>
      </c>
      <c r="CD82" s="26">
        <v>329</v>
      </c>
      <c r="CE82" s="26">
        <v>258</v>
      </c>
      <c r="CF82" s="23">
        <f t="shared" si="71"/>
        <v>0.78419452887537999</v>
      </c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18"/>
      <c r="DF82" s="18">
        <f t="shared" si="67"/>
        <v>0</v>
      </c>
      <c r="DG82" s="23">
        <v>0</v>
      </c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>
        <v>0</v>
      </c>
      <c r="DU82" s="24">
        <v>50</v>
      </c>
      <c r="DV82" s="24">
        <v>513.5</v>
      </c>
      <c r="DW82" s="24">
        <v>690</v>
      </c>
      <c r="DX82" s="24">
        <v>825.31399999999985</v>
      </c>
      <c r="DY82" s="24">
        <v>408.69900000000007</v>
      </c>
      <c r="DZ82" s="24">
        <v>584</v>
      </c>
      <c r="EA82" s="24">
        <v>57</v>
      </c>
      <c r="EB82" s="24">
        <v>97.33199999999988</v>
      </c>
      <c r="EC82" s="24">
        <v>0</v>
      </c>
      <c r="ED82" s="24">
        <v>0</v>
      </c>
      <c r="EE82" s="24">
        <v>0</v>
      </c>
      <c r="EF82" s="18">
        <v>365.30658985651468</v>
      </c>
      <c r="EG82" s="18">
        <f t="shared" si="69"/>
        <v>3225.8449999999998</v>
      </c>
      <c r="EH82" s="23">
        <f t="shared" si="70"/>
        <v>8.830514120391447</v>
      </c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18"/>
      <c r="FH82" s="18"/>
      <c r="FI82" s="23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3"/>
    </row>
    <row r="83" spans="1:192" s="14" customFormat="1" ht="32.25" customHeight="1">
      <c r="A83" s="9"/>
      <c r="B83" s="10" t="s">
        <v>10</v>
      </c>
      <c r="C83" s="11"/>
      <c r="D83" s="11"/>
      <c r="E83" s="11"/>
      <c r="F83" s="11"/>
      <c r="G83" s="12">
        <v>316</v>
      </c>
      <c r="H83" s="12">
        <v>421</v>
      </c>
      <c r="I83" s="12">
        <v>618</v>
      </c>
      <c r="J83" s="12">
        <v>642</v>
      </c>
      <c r="K83" s="12">
        <v>611</v>
      </c>
      <c r="L83" s="12">
        <v>595</v>
      </c>
      <c r="M83" s="12">
        <v>576</v>
      </c>
      <c r="N83" s="12">
        <v>575</v>
      </c>
      <c r="O83" s="12">
        <v>570</v>
      </c>
      <c r="P83" s="12">
        <v>569</v>
      </c>
      <c r="Q83" s="12">
        <v>507</v>
      </c>
      <c r="R83" s="12">
        <v>368</v>
      </c>
      <c r="S83" s="12">
        <v>232</v>
      </c>
      <c r="T83" s="12">
        <v>323</v>
      </c>
      <c r="U83" s="12">
        <v>342</v>
      </c>
      <c r="V83" s="12">
        <v>443</v>
      </c>
      <c r="W83" s="12">
        <v>433</v>
      </c>
      <c r="X83" s="12">
        <v>501</v>
      </c>
      <c r="Y83" s="12">
        <v>176</v>
      </c>
      <c r="Z83" s="12">
        <v>383</v>
      </c>
      <c r="AA83" s="12">
        <v>183</v>
      </c>
      <c r="AB83" s="12">
        <v>3204</v>
      </c>
      <c r="AC83" s="12">
        <f t="shared" si="63"/>
        <v>4460</v>
      </c>
      <c r="AD83" s="13">
        <f t="shared" si="64"/>
        <v>1.3920099875156056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>
        <f>+SUM(AQ84:AQ89)</f>
        <v>56</v>
      </c>
      <c r="AR83" s="12">
        <f t="shared" ref="AR83:BB83" si="76">+SUM(AR84:AR89)</f>
        <v>170</v>
      </c>
      <c r="AS83" s="12">
        <f t="shared" si="76"/>
        <v>138</v>
      </c>
      <c r="AT83" s="12">
        <f t="shared" si="76"/>
        <v>134</v>
      </c>
      <c r="AU83" s="12">
        <f t="shared" si="76"/>
        <v>140</v>
      </c>
      <c r="AV83" s="12">
        <f t="shared" si="76"/>
        <v>146</v>
      </c>
      <c r="AW83" s="12">
        <f t="shared" si="76"/>
        <v>97</v>
      </c>
      <c r="AX83" s="12">
        <f t="shared" si="76"/>
        <v>62</v>
      </c>
      <c r="AY83" s="12">
        <f t="shared" si="76"/>
        <v>120</v>
      </c>
      <c r="AZ83" s="12">
        <f t="shared" si="76"/>
        <v>90</v>
      </c>
      <c r="BA83" s="12">
        <f t="shared" si="76"/>
        <v>81</v>
      </c>
      <c r="BB83" s="12">
        <f t="shared" si="76"/>
        <v>77</v>
      </c>
      <c r="BC83" s="12">
        <v>1167</v>
      </c>
      <c r="BD83" s="12">
        <f t="shared" si="65"/>
        <v>1311</v>
      </c>
      <c r="BE83" s="13">
        <f t="shared" si="66"/>
        <v>1.1233933161953729</v>
      </c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>
        <v>571</v>
      </c>
      <c r="BS83" s="12">
        <v>567</v>
      </c>
      <c r="BT83" s="12">
        <v>410</v>
      </c>
      <c r="BU83" s="12">
        <v>340</v>
      </c>
      <c r="BV83" s="12">
        <v>561</v>
      </c>
      <c r="BW83" s="12">
        <v>541</v>
      </c>
      <c r="BX83" s="12">
        <v>536</v>
      </c>
      <c r="BY83" s="12">
        <v>265</v>
      </c>
      <c r="BZ83" s="12">
        <v>229</v>
      </c>
      <c r="CA83" s="12">
        <v>567</v>
      </c>
      <c r="CB83" s="12">
        <v>315</v>
      </c>
      <c r="CC83" s="12">
        <v>92</v>
      </c>
      <c r="CD83" s="12">
        <f t="shared" ref="CD83:CE83" si="77">+SUM(CD84:CD89)</f>
        <v>3265</v>
      </c>
      <c r="CE83" s="12">
        <f t="shared" si="77"/>
        <v>4587</v>
      </c>
      <c r="CF83" s="13">
        <f t="shared" si="71"/>
        <v>1.4049004594180705</v>
      </c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>
        <v>270</v>
      </c>
      <c r="CR83" s="12"/>
      <c r="CS83" s="12">
        <v>722.79590000000007</v>
      </c>
      <c r="CT83" s="12">
        <v>830.779</v>
      </c>
      <c r="CU83" s="12">
        <v>790</v>
      </c>
      <c r="CV83" s="12">
        <v>2054.37</v>
      </c>
      <c r="CW83" s="12">
        <v>2106.37</v>
      </c>
      <c r="CX83" s="12">
        <v>1840</v>
      </c>
      <c r="CY83" s="12">
        <v>1136</v>
      </c>
      <c r="CZ83" s="12">
        <v>2535.48</v>
      </c>
      <c r="DA83" s="12">
        <v>2837.27</v>
      </c>
      <c r="DB83" s="12">
        <v>2796.66</v>
      </c>
      <c r="DC83" s="12">
        <v>2376.9699999999998</v>
      </c>
      <c r="DD83" s="12">
        <v>1120</v>
      </c>
      <c r="DE83" s="12">
        <v>20831.170393509394</v>
      </c>
      <c r="DF83" s="12">
        <f t="shared" si="67"/>
        <v>21146.694900000002</v>
      </c>
      <c r="DG83" s="13">
        <f t="shared" si="68"/>
        <v>1.0151467488638526</v>
      </c>
      <c r="DH83" s="12">
        <v>0</v>
      </c>
      <c r="DI83" s="12">
        <v>0</v>
      </c>
      <c r="DJ83" s="12">
        <v>379</v>
      </c>
      <c r="DK83" s="12">
        <v>545</v>
      </c>
      <c r="DL83" s="12">
        <v>1289</v>
      </c>
      <c r="DM83" s="12">
        <v>1379</v>
      </c>
      <c r="DN83" s="12">
        <v>886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/>
      <c r="DU83" s="12">
        <v>511</v>
      </c>
      <c r="DV83" s="12">
        <v>1218</v>
      </c>
      <c r="DW83" s="12">
        <v>902</v>
      </c>
      <c r="DX83" s="12">
        <v>416.40000000000009</v>
      </c>
      <c r="DY83" s="12">
        <v>358</v>
      </c>
      <c r="DZ83" s="12">
        <v>758.99999999999955</v>
      </c>
      <c r="EA83" s="12">
        <v>429</v>
      </c>
      <c r="EB83" s="12">
        <v>490</v>
      </c>
      <c r="EC83" s="12">
        <v>437</v>
      </c>
      <c r="ED83" s="12">
        <v>395</v>
      </c>
      <c r="EE83" s="12">
        <v>270</v>
      </c>
      <c r="EF83" s="12">
        <v>4536.5701168420146</v>
      </c>
      <c r="EG83" s="12">
        <f t="shared" si="69"/>
        <v>6185.4</v>
      </c>
      <c r="EH83" s="13">
        <f t="shared" si="70"/>
        <v>1.3634529701275209</v>
      </c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>
        <v>0</v>
      </c>
      <c r="FG83" s="12">
        <v>0</v>
      </c>
      <c r="FH83" s="12">
        <v>0</v>
      </c>
      <c r="FI83" s="13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>
        <v>0</v>
      </c>
      <c r="GH83" s="12">
        <v>0</v>
      </c>
      <c r="GI83" s="12">
        <v>0</v>
      </c>
      <c r="GJ83" s="13"/>
    </row>
    <row r="84" spans="1:192" s="14" customFormat="1" ht="24.95" customHeight="1">
      <c r="A84" s="19">
        <f t="shared" si="14"/>
        <v>1</v>
      </c>
      <c r="B84" s="20" t="s">
        <v>84</v>
      </c>
      <c r="C84" s="21">
        <v>11443</v>
      </c>
      <c r="D84" s="21"/>
      <c r="E84" s="21"/>
      <c r="F84" s="21"/>
      <c r="G84" s="24">
        <v>58</v>
      </c>
      <c r="H84" s="24">
        <v>79</v>
      </c>
      <c r="I84" s="24">
        <v>116</v>
      </c>
      <c r="J84" s="24">
        <v>106</v>
      </c>
      <c r="K84" s="24">
        <v>103</v>
      </c>
      <c r="L84" s="24">
        <v>97</v>
      </c>
      <c r="M84" s="24">
        <v>95</v>
      </c>
      <c r="N84" s="24">
        <v>102</v>
      </c>
      <c r="O84" s="24">
        <v>92</v>
      </c>
      <c r="P84" s="24">
        <v>151</v>
      </c>
      <c r="Q84" s="24">
        <v>57</v>
      </c>
      <c r="R84" s="24">
        <v>37</v>
      </c>
      <c r="S84" s="24">
        <v>6</v>
      </c>
      <c r="T84" s="24">
        <v>22</v>
      </c>
      <c r="U84" s="24">
        <v>11</v>
      </c>
      <c r="V84" s="24">
        <v>36</v>
      </c>
      <c r="W84" s="24">
        <v>52</v>
      </c>
      <c r="X84" s="24">
        <v>37</v>
      </c>
      <c r="Y84" s="24">
        <v>13</v>
      </c>
      <c r="Z84" s="24">
        <v>39</v>
      </c>
      <c r="AA84" s="24">
        <v>39</v>
      </c>
      <c r="AB84" s="22">
        <v>424</v>
      </c>
      <c r="AC84" s="22">
        <f t="shared" si="63"/>
        <v>500</v>
      </c>
      <c r="AD84" s="23">
        <f t="shared" si="64"/>
        <v>1.179245283018868</v>
      </c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>
        <v>19</v>
      </c>
      <c r="AR84" s="24">
        <v>54</v>
      </c>
      <c r="AS84" s="24">
        <v>33</v>
      </c>
      <c r="AT84" s="24">
        <v>25</v>
      </c>
      <c r="AU84" s="24">
        <v>40</v>
      </c>
      <c r="AV84" s="24">
        <v>30</v>
      </c>
      <c r="AW84" s="24">
        <v>22</v>
      </c>
      <c r="AX84" s="24">
        <v>26</v>
      </c>
      <c r="AY84" s="24">
        <v>35</v>
      </c>
      <c r="AZ84" s="24">
        <v>14</v>
      </c>
      <c r="BA84" s="24">
        <v>11</v>
      </c>
      <c r="BB84" s="24">
        <v>16</v>
      </c>
      <c r="BC84" s="32">
        <v>303</v>
      </c>
      <c r="BD84" s="32">
        <f t="shared" si="65"/>
        <v>325</v>
      </c>
      <c r="BE84" s="23">
        <f t="shared" si="66"/>
        <v>1.0726072607260726</v>
      </c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>
        <v>110</v>
      </c>
      <c r="BS84" s="24">
        <v>77</v>
      </c>
      <c r="BT84" s="24">
        <v>65</v>
      </c>
      <c r="BU84" s="24">
        <v>69</v>
      </c>
      <c r="BV84" s="24">
        <v>56</v>
      </c>
      <c r="BW84" s="24">
        <v>34</v>
      </c>
      <c r="BX84" s="24">
        <v>38</v>
      </c>
      <c r="BY84" s="24">
        <v>33</v>
      </c>
      <c r="BZ84" s="24">
        <v>37</v>
      </c>
      <c r="CA84" s="24">
        <v>155</v>
      </c>
      <c r="CB84" s="24">
        <v>33</v>
      </c>
      <c r="CC84" s="24">
        <v>4</v>
      </c>
      <c r="CD84" s="26">
        <v>422</v>
      </c>
      <c r="CE84" s="26">
        <v>677</v>
      </c>
      <c r="CF84" s="23">
        <f t="shared" si="71"/>
        <v>1.6042654028436019</v>
      </c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>
        <v>170</v>
      </c>
      <c r="CR84" s="24"/>
      <c r="CS84" s="24">
        <v>100</v>
      </c>
      <c r="CT84" s="24">
        <v>100</v>
      </c>
      <c r="CU84" s="24">
        <v>100</v>
      </c>
      <c r="CV84" s="24">
        <v>460</v>
      </c>
      <c r="CW84" s="24">
        <v>300</v>
      </c>
      <c r="CX84" s="24">
        <v>400</v>
      </c>
      <c r="CY84" s="24">
        <v>100</v>
      </c>
      <c r="CZ84" s="24">
        <v>600</v>
      </c>
      <c r="DA84" s="24">
        <v>700</v>
      </c>
      <c r="DB84" s="24">
        <v>700</v>
      </c>
      <c r="DC84" s="24">
        <v>445.6</v>
      </c>
      <c r="DD84" s="24">
        <v>660</v>
      </c>
      <c r="DE84" s="18">
        <v>4551.6932244051477</v>
      </c>
      <c r="DF84" s="18">
        <f t="shared" si="67"/>
        <v>4665.6000000000004</v>
      </c>
      <c r="DG84" s="23">
        <f t="shared" si="68"/>
        <v>1.0250251433871049</v>
      </c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>
        <v>0</v>
      </c>
      <c r="DU84" s="24">
        <v>60</v>
      </c>
      <c r="DV84" s="24">
        <v>53</v>
      </c>
      <c r="DW84" s="24">
        <v>50</v>
      </c>
      <c r="DX84" s="24">
        <v>20</v>
      </c>
      <c r="DY84" s="24">
        <v>140</v>
      </c>
      <c r="DZ84" s="24">
        <v>90</v>
      </c>
      <c r="EA84" s="24">
        <v>95</v>
      </c>
      <c r="EB84" s="24">
        <v>95</v>
      </c>
      <c r="EC84" s="24">
        <v>120</v>
      </c>
      <c r="ED84" s="24">
        <v>95</v>
      </c>
      <c r="EE84" s="24">
        <v>60</v>
      </c>
      <c r="EF84" s="18">
        <v>797.34387046766415</v>
      </c>
      <c r="EG84" s="18">
        <f t="shared" si="69"/>
        <v>878</v>
      </c>
      <c r="EH84" s="23">
        <f t="shared" si="70"/>
        <v>1.1011560162681489</v>
      </c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18"/>
      <c r="FH84" s="18"/>
      <c r="FI84" s="23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3"/>
    </row>
    <row r="85" spans="1:192" s="14" customFormat="1" ht="24.95" customHeight="1">
      <c r="A85" s="19">
        <f t="shared" si="14"/>
        <v>2</v>
      </c>
      <c r="B85" s="20" t="s">
        <v>83</v>
      </c>
      <c r="C85" s="21">
        <v>11444</v>
      </c>
      <c r="D85" s="21"/>
      <c r="E85" s="21"/>
      <c r="F85" s="21"/>
      <c r="G85" s="24">
        <v>78</v>
      </c>
      <c r="H85" s="24">
        <v>109</v>
      </c>
      <c r="I85" s="24">
        <v>112</v>
      </c>
      <c r="J85" s="24">
        <v>109</v>
      </c>
      <c r="K85" s="24">
        <v>102</v>
      </c>
      <c r="L85" s="24">
        <v>95</v>
      </c>
      <c r="M85" s="24">
        <v>96</v>
      </c>
      <c r="N85" s="24">
        <v>97</v>
      </c>
      <c r="O85" s="24">
        <v>96</v>
      </c>
      <c r="P85" s="24">
        <v>82</v>
      </c>
      <c r="Q85" s="24">
        <v>78</v>
      </c>
      <c r="R85" s="24">
        <v>88</v>
      </c>
      <c r="S85" s="24">
        <v>57</v>
      </c>
      <c r="T85" s="24">
        <v>70</v>
      </c>
      <c r="U85" s="24">
        <v>91</v>
      </c>
      <c r="V85" s="24">
        <v>98</v>
      </c>
      <c r="W85" s="24">
        <v>99</v>
      </c>
      <c r="X85" s="24">
        <v>58</v>
      </c>
      <c r="Y85" s="24">
        <v>20</v>
      </c>
      <c r="Z85" s="24">
        <v>51</v>
      </c>
      <c r="AA85" s="24">
        <v>51</v>
      </c>
      <c r="AB85" s="22">
        <v>604</v>
      </c>
      <c r="AC85" s="22">
        <f t="shared" si="63"/>
        <v>843</v>
      </c>
      <c r="AD85" s="23">
        <f t="shared" si="64"/>
        <v>1.3956953642384107</v>
      </c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>
        <v>7</v>
      </c>
      <c r="AR85" s="24">
        <v>26</v>
      </c>
      <c r="AS85" s="24">
        <v>21</v>
      </c>
      <c r="AT85" s="24">
        <v>37</v>
      </c>
      <c r="AU85" s="24">
        <v>21</v>
      </c>
      <c r="AV85" s="24">
        <v>24</v>
      </c>
      <c r="AW85" s="24">
        <v>17</v>
      </c>
      <c r="AX85" s="24">
        <v>15</v>
      </c>
      <c r="AY85" s="24">
        <v>30</v>
      </c>
      <c r="AZ85" s="24">
        <v>22</v>
      </c>
      <c r="BA85" s="24">
        <v>23</v>
      </c>
      <c r="BB85" s="24">
        <v>8</v>
      </c>
      <c r="BC85" s="32">
        <v>223</v>
      </c>
      <c r="BD85" s="32">
        <f t="shared" si="65"/>
        <v>251</v>
      </c>
      <c r="BE85" s="23">
        <f t="shared" si="66"/>
        <v>1.1255605381165918</v>
      </c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>
        <v>65</v>
      </c>
      <c r="BS85" s="24">
        <v>79</v>
      </c>
      <c r="BT85" s="24">
        <v>40</v>
      </c>
      <c r="BU85" s="24">
        <v>43</v>
      </c>
      <c r="BV85" s="24">
        <v>54</v>
      </c>
      <c r="BW85" s="24">
        <v>86</v>
      </c>
      <c r="BX85" s="24">
        <v>60</v>
      </c>
      <c r="BY85" s="24">
        <v>38</v>
      </c>
      <c r="BZ85" s="24">
        <v>30</v>
      </c>
      <c r="CA85" s="24">
        <v>37</v>
      </c>
      <c r="CB85" s="24">
        <v>37</v>
      </c>
      <c r="CC85" s="24">
        <v>10</v>
      </c>
      <c r="CD85" s="26">
        <v>466</v>
      </c>
      <c r="CE85" s="26">
        <v>534</v>
      </c>
      <c r="CF85" s="23">
        <f t="shared" si="71"/>
        <v>1.1459227467811159</v>
      </c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>
        <v>100</v>
      </c>
      <c r="CR85" s="24"/>
      <c r="CS85" s="24">
        <v>200</v>
      </c>
      <c r="CT85" s="24">
        <v>138</v>
      </c>
      <c r="CU85" s="24">
        <v>190</v>
      </c>
      <c r="CV85" s="24">
        <v>388</v>
      </c>
      <c r="CW85" s="24">
        <v>199.99999999999997</v>
      </c>
      <c r="CX85" s="24">
        <v>300</v>
      </c>
      <c r="CY85" s="24"/>
      <c r="CZ85" s="24">
        <v>550</v>
      </c>
      <c r="DA85" s="24">
        <v>694.11400000000003</v>
      </c>
      <c r="DB85" s="24">
        <v>656.66000000000008</v>
      </c>
      <c r="DC85" s="24">
        <v>100</v>
      </c>
      <c r="DD85" s="24">
        <v>100</v>
      </c>
      <c r="DE85" s="18">
        <v>3455.1801774280912</v>
      </c>
      <c r="DF85" s="18">
        <f t="shared" si="67"/>
        <v>3516.7740000000003</v>
      </c>
      <c r="DG85" s="23">
        <f t="shared" si="68"/>
        <v>1.0178265153795127</v>
      </c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>
        <v>0</v>
      </c>
      <c r="DU85" s="24">
        <v>130</v>
      </c>
      <c r="DV85" s="24">
        <v>126</v>
      </c>
      <c r="DW85" s="24">
        <v>370</v>
      </c>
      <c r="DX85" s="24">
        <v>90</v>
      </c>
      <c r="DY85" s="24">
        <v>40</v>
      </c>
      <c r="DZ85" s="24">
        <v>260</v>
      </c>
      <c r="EA85" s="24">
        <v>90</v>
      </c>
      <c r="EB85" s="24">
        <v>70</v>
      </c>
      <c r="EC85" s="24">
        <v>90</v>
      </c>
      <c r="ED85" s="24">
        <v>50</v>
      </c>
      <c r="EE85" s="24">
        <v>0</v>
      </c>
      <c r="EF85" s="18">
        <v>735.10588507081059</v>
      </c>
      <c r="EG85" s="18">
        <f t="shared" si="69"/>
        <v>1316</v>
      </c>
      <c r="EH85" s="23">
        <f t="shared" si="70"/>
        <v>1.7902182892648637</v>
      </c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18"/>
      <c r="FH85" s="18"/>
      <c r="FI85" s="23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3"/>
    </row>
    <row r="86" spans="1:192" s="14" customFormat="1" ht="24.95" customHeight="1">
      <c r="A86" s="19">
        <f t="shared" si="14"/>
        <v>3</v>
      </c>
      <c r="B86" s="20" t="s">
        <v>85</v>
      </c>
      <c r="C86" s="21">
        <v>11445</v>
      </c>
      <c r="D86" s="21"/>
      <c r="E86" s="21"/>
      <c r="F86" s="21"/>
      <c r="G86" s="24">
        <v>39</v>
      </c>
      <c r="H86" s="24">
        <v>11</v>
      </c>
      <c r="I86" s="24">
        <v>92</v>
      </c>
      <c r="J86" s="24">
        <v>108</v>
      </c>
      <c r="K86" s="24">
        <v>104</v>
      </c>
      <c r="L86" s="24">
        <v>101</v>
      </c>
      <c r="M86" s="24">
        <v>96</v>
      </c>
      <c r="N86" s="24">
        <v>99</v>
      </c>
      <c r="O86" s="24">
        <v>151</v>
      </c>
      <c r="P86" s="24">
        <v>20</v>
      </c>
      <c r="Q86" s="24">
        <v>26</v>
      </c>
      <c r="R86" s="24">
        <v>27</v>
      </c>
      <c r="S86" s="24">
        <v>55</v>
      </c>
      <c r="T86" s="24">
        <v>90</v>
      </c>
      <c r="U86" s="24">
        <v>71</v>
      </c>
      <c r="V86" s="24">
        <v>107</v>
      </c>
      <c r="W86" s="24">
        <v>82</v>
      </c>
      <c r="X86" s="24">
        <v>171</v>
      </c>
      <c r="Y86" s="24">
        <v>39</v>
      </c>
      <c r="Z86" s="24">
        <v>53</v>
      </c>
      <c r="AA86" s="24">
        <v>53</v>
      </c>
      <c r="AB86" s="22">
        <v>609</v>
      </c>
      <c r="AC86" s="22">
        <f t="shared" si="63"/>
        <v>794</v>
      </c>
      <c r="AD86" s="23">
        <f t="shared" si="64"/>
        <v>1.3037766830870279</v>
      </c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>
        <v>11</v>
      </c>
      <c r="AR86" s="24">
        <v>28</v>
      </c>
      <c r="AS86" s="24">
        <v>17</v>
      </c>
      <c r="AT86" s="24">
        <v>23</v>
      </c>
      <c r="AU86" s="24">
        <v>27</v>
      </c>
      <c r="AV86" s="24">
        <v>25</v>
      </c>
      <c r="AW86" s="24">
        <v>22</v>
      </c>
      <c r="AX86" s="24">
        <v>1</v>
      </c>
      <c r="AY86" s="24">
        <v>28</v>
      </c>
      <c r="AZ86" s="24">
        <v>21</v>
      </c>
      <c r="BA86" s="24">
        <v>12</v>
      </c>
      <c r="BB86" s="24">
        <v>23</v>
      </c>
      <c r="BC86" s="32">
        <v>192</v>
      </c>
      <c r="BD86" s="32">
        <f t="shared" si="65"/>
        <v>238</v>
      </c>
      <c r="BE86" s="23">
        <f t="shared" si="66"/>
        <v>1.2395833333333333</v>
      </c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>
        <v>94</v>
      </c>
      <c r="BS86" s="24">
        <v>78</v>
      </c>
      <c r="BT86" s="24">
        <v>45</v>
      </c>
      <c r="BU86" s="24">
        <v>52</v>
      </c>
      <c r="BV86" s="24">
        <v>32</v>
      </c>
      <c r="BW86" s="24">
        <v>54</v>
      </c>
      <c r="BX86" s="24">
        <v>103</v>
      </c>
      <c r="BY86" s="24">
        <v>92</v>
      </c>
      <c r="BZ86" s="24">
        <v>49</v>
      </c>
      <c r="CA86" s="24">
        <v>159</v>
      </c>
      <c r="CB86" s="24">
        <v>130</v>
      </c>
      <c r="CC86" s="24">
        <v>20</v>
      </c>
      <c r="CD86" s="26">
        <v>589</v>
      </c>
      <c r="CE86" s="26">
        <v>720</v>
      </c>
      <c r="CF86" s="23">
        <f t="shared" si="71"/>
        <v>1.2224108658743633</v>
      </c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>
        <v>199.87</v>
      </c>
      <c r="CT86" s="24">
        <v>100</v>
      </c>
      <c r="CU86" s="24">
        <v>100</v>
      </c>
      <c r="CV86" s="24">
        <v>546.37</v>
      </c>
      <c r="CW86" s="24">
        <v>460</v>
      </c>
      <c r="CX86" s="24">
        <v>400</v>
      </c>
      <c r="CY86" s="24">
        <v>200</v>
      </c>
      <c r="CZ86" s="24">
        <v>400</v>
      </c>
      <c r="DA86" s="24">
        <v>600</v>
      </c>
      <c r="DB86" s="24">
        <v>650</v>
      </c>
      <c r="DC86" s="24">
        <v>475</v>
      </c>
      <c r="DD86" s="24">
        <v>100</v>
      </c>
      <c r="DE86" s="18">
        <v>4151.7694603435302</v>
      </c>
      <c r="DF86" s="18">
        <f t="shared" si="67"/>
        <v>4231.24</v>
      </c>
      <c r="DG86" s="23">
        <f t="shared" si="68"/>
        <v>1.0191413662091666</v>
      </c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>
        <v>0</v>
      </c>
      <c r="DU86" s="24">
        <v>0</v>
      </c>
      <c r="DV86" s="24">
        <v>278</v>
      </c>
      <c r="DW86" s="24">
        <v>80</v>
      </c>
      <c r="DX86" s="24">
        <v>80</v>
      </c>
      <c r="DY86" s="24">
        <v>105</v>
      </c>
      <c r="DZ86" s="24">
        <v>200</v>
      </c>
      <c r="EA86" s="24">
        <v>100</v>
      </c>
      <c r="EB86" s="24">
        <v>90</v>
      </c>
      <c r="EC86" s="24">
        <v>100</v>
      </c>
      <c r="ED86" s="24">
        <v>110</v>
      </c>
      <c r="EE86" s="24">
        <v>20</v>
      </c>
      <c r="EF86" s="18">
        <v>916.40971949293237</v>
      </c>
      <c r="EG86" s="18">
        <f t="shared" si="69"/>
        <v>1163</v>
      </c>
      <c r="EH86" s="23">
        <f t="shared" si="70"/>
        <v>1.2690830043176657</v>
      </c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18"/>
      <c r="FH86" s="18"/>
      <c r="FI86" s="23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3"/>
    </row>
    <row r="87" spans="1:192" s="14" customFormat="1" ht="24.95" customHeight="1">
      <c r="A87" s="19">
        <f t="shared" si="14"/>
        <v>4</v>
      </c>
      <c r="B87" s="20" t="s">
        <v>86</v>
      </c>
      <c r="C87" s="21">
        <v>11446</v>
      </c>
      <c r="D87" s="21"/>
      <c r="E87" s="21"/>
      <c r="F87" s="21"/>
      <c r="G87" s="24">
        <v>50</v>
      </c>
      <c r="H87" s="24">
        <v>122</v>
      </c>
      <c r="I87" s="24">
        <v>108</v>
      </c>
      <c r="J87" s="24">
        <v>106</v>
      </c>
      <c r="K87" s="24">
        <v>103</v>
      </c>
      <c r="L87" s="24">
        <v>99</v>
      </c>
      <c r="M87" s="24">
        <v>96</v>
      </c>
      <c r="N87" s="24">
        <v>93</v>
      </c>
      <c r="O87" s="24">
        <v>92</v>
      </c>
      <c r="P87" s="24">
        <v>51</v>
      </c>
      <c r="Q87" s="24">
        <v>123</v>
      </c>
      <c r="R87" s="24">
        <v>152</v>
      </c>
      <c r="S87" s="24">
        <v>60</v>
      </c>
      <c r="T87" s="24">
        <v>85</v>
      </c>
      <c r="U87" s="24">
        <v>82</v>
      </c>
      <c r="V87" s="24">
        <v>90</v>
      </c>
      <c r="W87" s="24">
        <v>86</v>
      </c>
      <c r="X87" s="24"/>
      <c r="Y87" s="24">
        <v>27</v>
      </c>
      <c r="Z87" s="24">
        <v>109</v>
      </c>
      <c r="AA87" s="24">
        <v>9</v>
      </c>
      <c r="AB87" s="22">
        <v>611</v>
      </c>
      <c r="AC87" s="22">
        <f t="shared" si="63"/>
        <v>874</v>
      </c>
      <c r="AD87" s="23">
        <f t="shared" si="64"/>
        <v>1.4304418985270049</v>
      </c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>
        <v>8</v>
      </c>
      <c r="AR87" s="24">
        <v>40</v>
      </c>
      <c r="AS87" s="24">
        <v>38</v>
      </c>
      <c r="AT87" s="24">
        <v>27</v>
      </c>
      <c r="AU87" s="24">
        <v>28</v>
      </c>
      <c r="AV87" s="24">
        <v>39</v>
      </c>
      <c r="AW87" s="24">
        <v>24</v>
      </c>
      <c r="AX87" s="24">
        <v>12</v>
      </c>
      <c r="AY87" s="24">
        <v>14</v>
      </c>
      <c r="AZ87" s="24">
        <v>17</v>
      </c>
      <c r="BA87" s="24">
        <v>26</v>
      </c>
      <c r="BB87" s="24">
        <v>24</v>
      </c>
      <c r="BC87" s="32">
        <v>264</v>
      </c>
      <c r="BD87" s="32">
        <f t="shared" si="65"/>
        <v>297</v>
      </c>
      <c r="BE87" s="23">
        <f t="shared" si="66"/>
        <v>1.125</v>
      </c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>
        <v>125</v>
      </c>
      <c r="BS87" s="24">
        <v>195</v>
      </c>
      <c r="BT87" s="24">
        <v>36</v>
      </c>
      <c r="BU87" s="24">
        <v>62</v>
      </c>
      <c r="BV87" s="24">
        <v>252</v>
      </c>
      <c r="BW87" s="24">
        <v>298</v>
      </c>
      <c r="BX87" s="24">
        <v>279</v>
      </c>
      <c r="BY87" s="24">
        <v>43</v>
      </c>
      <c r="BZ87" s="24">
        <v>43</v>
      </c>
      <c r="CA87" s="24">
        <v>76</v>
      </c>
      <c r="CB87" s="24">
        <v>90</v>
      </c>
      <c r="CC87" s="24">
        <v>25</v>
      </c>
      <c r="CD87" s="26">
        <v>786</v>
      </c>
      <c r="CE87" s="26">
        <v>1465</v>
      </c>
      <c r="CF87" s="23">
        <f t="shared" si="71"/>
        <v>1.8638676844783715</v>
      </c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>
        <v>200</v>
      </c>
      <c r="CU87" s="24">
        <v>100</v>
      </c>
      <c r="CV87" s="24">
        <v>100</v>
      </c>
      <c r="CW87" s="24">
        <v>350</v>
      </c>
      <c r="CX87" s="24">
        <v>340</v>
      </c>
      <c r="CY87" s="24">
        <v>350</v>
      </c>
      <c r="CZ87" s="24">
        <v>400</v>
      </c>
      <c r="DA87" s="24">
        <v>400</v>
      </c>
      <c r="DB87" s="24">
        <v>400</v>
      </c>
      <c r="DC87" s="24">
        <v>300</v>
      </c>
      <c r="DD87" s="24">
        <v>100</v>
      </c>
      <c r="DE87" s="18">
        <v>3029.9051910604517</v>
      </c>
      <c r="DF87" s="18">
        <f t="shared" si="67"/>
        <v>3040</v>
      </c>
      <c r="DG87" s="23">
        <f t="shared" si="68"/>
        <v>1.0033317243619808</v>
      </c>
      <c r="DH87" s="24"/>
      <c r="DI87" s="24"/>
      <c r="DJ87" s="24">
        <v>379</v>
      </c>
      <c r="DK87" s="24">
        <v>545</v>
      </c>
      <c r="DL87" s="24">
        <v>1289</v>
      </c>
      <c r="DM87" s="24">
        <v>1379</v>
      </c>
      <c r="DN87" s="24">
        <v>886</v>
      </c>
      <c r="DO87" s="24"/>
      <c r="DP87" s="24"/>
      <c r="DQ87" s="24"/>
      <c r="DR87" s="24"/>
      <c r="DS87" s="24"/>
      <c r="DT87" s="24">
        <v>0</v>
      </c>
      <c r="DU87" s="24">
        <v>115</v>
      </c>
      <c r="DV87" s="24">
        <v>250</v>
      </c>
      <c r="DW87" s="24">
        <v>192</v>
      </c>
      <c r="DX87" s="24">
        <v>60</v>
      </c>
      <c r="DY87" s="24">
        <v>10</v>
      </c>
      <c r="DZ87" s="24">
        <v>90</v>
      </c>
      <c r="EA87" s="24">
        <v>104</v>
      </c>
      <c r="EB87" s="24">
        <v>129</v>
      </c>
      <c r="EC87" s="24">
        <v>79</v>
      </c>
      <c r="ED87" s="24">
        <v>0</v>
      </c>
      <c r="EE87" s="24">
        <v>100</v>
      </c>
      <c r="EF87" s="18">
        <v>1005.2952519067557</v>
      </c>
      <c r="EG87" s="18">
        <f t="shared" si="69"/>
        <v>1129</v>
      </c>
      <c r="EH87" s="23">
        <f t="shared" si="70"/>
        <v>1.1230531506625661</v>
      </c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18"/>
      <c r="FH87" s="18"/>
      <c r="FI87" s="23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3"/>
    </row>
    <row r="88" spans="1:192" s="14" customFormat="1" ht="24.95" customHeight="1">
      <c r="A88" s="19">
        <f t="shared" si="14"/>
        <v>5</v>
      </c>
      <c r="B88" s="20" t="s">
        <v>87</v>
      </c>
      <c r="C88" s="21">
        <v>11447</v>
      </c>
      <c r="D88" s="21"/>
      <c r="E88" s="21"/>
      <c r="F88" s="21"/>
      <c r="G88" s="24">
        <v>69</v>
      </c>
      <c r="H88" s="24">
        <v>80</v>
      </c>
      <c r="I88" s="24">
        <v>125</v>
      </c>
      <c r="J88" s="24">
        <v>129</v>
      </c>
      <c r="K88" s="24">
        <v>109</v>
      </c>
      <c r="L88" s="24">
        <v>104</v>
      </c>
      <c r="M88" s="24">
        <v>96</v>
      </c>
      <c r="N88" s="24">
        <v>94</v>
      </c>
      <c r="O88" s="24">
        <v>99</v>
      </c>
      <c r="P88" s="24">
        <v>173</v>
      </c>
      <c r="Q88" s="24">
        <v>173</v>
      </c>
      <c r="R88" s="24">
        <v>49</v>
      </c>
      <c r="S88" s="24">
        <v>42</v>
      </c>
      <c r="T88" s="24">
        <v>28</v>
      </c>
      <c r="U88" s="24">
        <v>45</v>
      </c>
      <c r="V88" s="24">
        <v>82</v>
      </c>
      <c r="W88" s="24">
        <v>69</v>
      </c>
      <c r="X88" s="24">
        <v>96</v>
      </c>
      <c r="Y88" s="24">
        <v>47</v>
      </c>
      <c r="Z88" s="24">
        <v>107</v>
      </c>
      <c r="AA88" s="24">
        <v>7</v>
      </c>
      <c r="AB88" s="22">
        <v>584</v>
      </c>
      <c r="AC88" s="22">
        <f t="shared" si="63"/>
        <v>918</v>
      </c>
      <c r="AD88" s="23">
        <f t="shared" si="64"/>
        <v>1.571917808219178</v>
      </c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>
        <v>11</v>
      </c>
      <c r="AR88" s="24">
        <v>22</v>
      </c>
      <c r="AS88" s="24">
        <v>29</v>
      </c>
      <c r="AT88" s="24">
        <v>22</v>
      </c>
      <c r="AU88" s="24">
        <v>24</v>
      </c>
      <c r="AV88" s="24">
        <v>28</v>
      </c>
      <c r="AW88" s="24">
        <v>12</v>
      </c>
      <c r="AX88" s="24">
        <v>8</v>
      </c>
      <c r="AY88" s="24">
        <v>13</v>
      </c>
      <c r="AZ88" s="24">
        <v>16</v>
      </c>
      <c r="BA88" s="24">
        <v>9</v>
      </c>
      <c r="BB88" s="24">
        <v>6</v>
      </c>
      <c r="BC88" s="32">
        <v>185</v>
      </c>
      <c r="BD88" s="32">
        <f t="shared" si="65"/>
        <v>200</v>
      </c>
      <c r="BE88" s="23">
        <f t="shared" si="66"/>
        <v>1.0810810810810811</v>
      </c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>
        <v>140</v>
      </c>
      <c r="BS88" s="24">
        <v>106</v>
      </c>
      <c r="BT88" s="24">
        <v>23</v>
      </c>
      <c r="BU88" s="24">
        <v>45</v>
      </c>
      <c r="BV88" s="24">
        <v>80</v>
      </c>
      <c r="BW88" s="24">
        <v>43</v>
      </c>
      <c r="BX88" s="24">
        <v>45</v>
      </c>
      <c r="BY88" s="24">
        <v>34</v>
      </c>
      <c r="BZ88" s="24">
        <v>30</v>
      </c>
      <c r="CA88" s="24">
        <v>113</v>
      </c>
      <c r="CB88" s="24">
        <v>22</v>
      </c>
      <c r="CC88" s="24">
        <v>21</v>
      </c>
      <c r="CD88" s="26">
        <v>660</v>
      </c>
      <c r="CE88" s="26">
        <v>652</v>
      </c>
      <c r="CF88" s="23">
        <f t="shared" si="71"/>
        <v>0.98787878787878791</v>
      </c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>
        <v>152.92590000000001</v>
      </c>
      <c r="CT88" s="24">
        <v>100</v>
      </c>
      <c r="CU88" s="24">
        <v>100</v>
      </c>
      <c r="CV88" s="24">
        <v>160</v>
      </c>
      <c r="CW88" s="24">
        <v>500</v>
      </c>
      <c r="CX88" s="24">
        <v>200</v>
      </c>
      <c r="CY88" s="24">
        <v>100</v>
      </c>
      <c r="CZ88" s="24">
        <v>199.99999999999997</v>
      </c>
      <c r="DA88" s="24">
        <v>250</v>
      </c>
      <c r="DB88" s="24">
        <v>150</v>
      </c>
      <c r="DC88" s="24">
        <v>360</v>
      </c>
      <c r="DD88" s="24">
        <v>60</v>
      </c>
      <c r="DE88" s="18">
        <v>2325.169839168313</v>
      </c>
      <c r="DF88" s="18">
        <f t="shared" si="67"/>
        <v>2332.9259000000002</v>
      </c>
      <c r="DG88" s="23">
        <f t="shared" si="68"/>
        <v>1.0033356964730205</v>
      </c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>
        <v>0</v>
      </c>
      <c r="DU88" s="24">
        <v>120</v>
      </c>
      <c r="DV88" s="24">
        <v>364</v>
      </c>
      <c r="DW88" s="24">
        <v>200</v>
      </c>
      <c r="DX88" s="24">
        <v>100</v>
      </c>
      <c r="DY88" s="24">
        <v>0</v>
      </c>
      <c r="DZ88" s="24">
        <v>0</v>
      </c>
      <c r="EA88" s="24">
        <v>0</v>
      </c>
      <c r="EB88" s="24">
        <v>50</v>
      </c>
      <c r="EC88" s="24">
        <v>0</v>
      </c>
      <c r="ED88" s="24">
        <v>0</v>
      </c>
      <c r="EE88" s="24">
        <v>0</v>
      </c>
      <c r="EF88" s="18">
        <v>788.24207676245851</v>
      </c>
      <c r="EG88" s="18">
        <f t="shared" si="69"/>
        <v>834</v>
      </c>
      <c r="EH88" s="23">
        <f t="shared" si="70"/>
        <v>1.0580505971280836</v>
      </c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18"/>
      <c r="FH88" s="18"/>
      <c r="FI88" s="23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3"/>
    </row>
    <row r="89" spans="1:192" s="14" customFormat="1" ht="24.95" customHeight="1">
      <c r="A89" s="19">
        <f t="shared" si="14"/>
        <v>6</v>
      </c>
      <c r="B89" s="20" t="s">
        <v>79</v>
      </c>
      <c r="C89" s="21">
        <v>11448</v>
      </c>
      <c r="D89" s="21"/>
      <c r="E89" s="21"/>
      <c r="F89" s="21"/>
      <c r="G89" s="24">
        <v>22</v>
      </c>
      <c r="H89" s="24">
        <v>20</v>
      </c>
      <c r="I89" s="24">
        <v>65</v>
      </c>
      <c r="J89" s="24">
        <v>84</v>
      </c>
      <c r="K89" s="24">
        <v>90</v>
      </c>
      <c r="L89" s="24">
        <v>99</v>
      </c>
      <c r="M89" s="24">
        <v>97</v>
      </c>
      <c r="N89" s="24">
        <v>90</v>
      </c>
      <c r="O89" s="24">
        <v>40</v>
      </c>
      <c r="P89" s="24">
        <v>92</v>
      </c>
      <c r="Q89" s="24">
        <v>50</v>
      </c>
      <c r="R89" s="24">
        <v>15</v>
      </c>
      <c r="S89" s="24">
        <v>12</v>
      </c>
      <c r="T89" s="24">
        <v>28</v>
      </c>
      <c r="U89" s="24">
        <v>42</v>
      </c>
      <c r="V89" s="24">
        <v>30</v>
      </c>
      <c r="W89" s="24">
        <v>45</v>
      </c>
      <c r="X89" s="24">
        <v>139</v>
      </c>
      <c r="Y89" s="24">
        <v>30</v>
      </c>
      <c r="Z89" s="24">
        <v>24</v>
      </c>
      <c r="AA89" s="24">
        <v>24</v>
      </c>
      <c r="AB89" s="22">
        <v>372</v>
      </c>
      <c r="AC89" s="22">
        <f t="shared" si="63"/>
        <v>531</v>
      </c>
      <c r="AD89" s="23">
        <f t="shared" si="64"/>
        <v>1.4274193548387097</v>
      </c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32"/>
      <c r="BD89" s="32">
        <f t="shared" si="65"/>
        <v>0</v>
      </c>
      <c r="BE89" s="23">
        <v>0</v>
      </c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>
        <v>37</v>
      </c>
      <c r="BS89" s="24">
        <v>32</v>
      </c>
      <c r="BT89" s="24">
        <v>201</v>
      </c>
      <c r="BU89" s="24">
        <v>69</v>
      </c>
      <c r="BV89" s="24">
        <v>87</v>
      </c>
      <c r="BW89" s="24">
        <v>26</v>
      </c>
      <c r="BX89" s="24">
        <v>11</v>
      </c>
      <c r="BY89" s="24">
        <v>25</v>
      </c>
      <c r="BZ89" s="24">
        <v>40</v>
      </c>
      <c r="CA89" s="24">
        <v>27</v>
      </c>
      <c r="CB89" s="24">
        <v>3</v>
      </c>
      <c r="CC89" s="24">
        <v>12</v>
      </c>
      <c r="CD89" s="26">
        <v>342</v>
      </c>
      <c r="CE89" s="26">
        <v>539</v>
      </c>
      <c r="CF89" s="23">
        <f t="shared" si="71"/>
        <v>1.5760233918128654</v>
      </c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>
        <v>70</v>
      </c>
      <c r="CT89" s="24">
        <v>192.779</v>
      </c>
      <c r="CU89" s="24">
        <v>200</v>
      </c>
      <c r="CV89" s="24">
        <v>400</v>
      </c>
      <c r="CW89" s="24">
        <v>296.37</v>
      </c>
      <c r="CX89" s="24">
        <v>200</v>
      </c>
      <c r="CY89" s="24">
        <v>386</v>
      </c>
      <c r="CZ89" s="24">
        <v>385.48</v>
      </c>
      <c r="DA89" s="24">
        <v>193.15600000000001</v>
      </c>
      <c r="DB89" s="24">
        <v>240.00000000000003</v>
      </c>
      <c r="DC89" s="24">
        <v>696.37</v>
      </c>
      <c r="DD89" s="24">
        <v>100</v>
      </c>
      <c r="DE89" s="18">
        <v>3317.4525011038595</v>
      </c>
      <c r="DF89" s="18">
        <f t="shared" si="67"/>
        <v>3360.1549999999997</v>
      </c>
      <c r="DG89" s="23">
        <f t="shared" si="68"/>
        <v>1.0128720754500422</v>
      </c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>
        <v>0</v>
      </c>
      <c r="DU89" s="24">
        <v>86</v>
      </c>
      <c r="DV89" s="24">
        <v>147</v>
      </c>
      <c r="DW89" s="24">
        <v>10</v>
      </c>
      <c r="DX89" s="24">
        <v>66.399999999999977</v>
      </c>
      <c r="DY89" s="24">
        <v>63</v>
      </c>
      <c r="DZ89" s="24">
        <v>119</v>
      </c>
      <c r="EA89" s="24">
        <v>40</v>
      </c>
      <c r="EB89" s="24">
        <v>56</v>
      </c>
      <c r="EC89" s="24">
        <v>48</v>
      </c>
      <c r="ED89" s="24">
        <v>140</v>
      </c>
      <c r="EE89" s="24">
        <v>90</v>
      </c>
      <c r="EF89" s="18">
        <v>294.17331314139278</v>
      </c>
      <c r="EG89" s="18">
        <f t="shared" si="69"/>
        <v>865.4</v>
      </c>
      <c r="EH89" s="23">
        <f t="shared" si="70"/>
        <v>2.9418032205526754</v>
      </c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18"/>
      <c r="FH89" s="18"/>
      <c r="FI89" s="23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3"/>
    </row>
    <row r="90" spans="1:192" s="14" customFormat="1" ht="32.25" customHeight="1">
      <c r="A90" s="9"/>
      <c r="B90" s="10" t="s">
        <v>13</v>
      </c>
      <c r="C90" s="11"/>
      <c r="D90" s="11"/>
      <c r="E90" s="11"/>
      <c r="F90" s="11"/>
      <c r="G90" s="12">
        <v>37</v>
      </c>
      <c r="H90" s="12">
        <v>65</v>
      </c>
      <c r="I90" s="12">
        <v>45</v>
      </c>
      <c r="J90" s="12">
        <v>49</v>
      </c>
      <c r="K90" s="12">
        <v>70</v>
      </c>
      <c r="L90" s="12">
        <v>80</v>
      </c>
      <c r="M90" s="12">
        <v>77</v>
      </c>
      <c r="N90" s="12">
        <v>77</v>
      </c>
      <c r="O90" s="12">
        <v>76</v>
      </c>
      <c r="P90" s="12">
        <v>79</v>
      </c>
      <c r="Q90" s="12">
        <v>123</v>
      </c>
      <c r="R90" s="12">
        <v>156</v>
      </c>
      <c r="S90" s="12">
        <v>61</v>
      </c>
      <c r="T90" s="12">
        <v>31</v>
      </c>
      <c r="U90" s="12">
        <v>68</v>
      </c>
      <c r="V90" s="12">
        <v>71</v>
      </c>
      <c r="W90" s="12">
        <v>55</v>
      </c>
      <c r="X90" s="12">
        <v>79</v>
      </c>
      <c r="Y90" s="12">
        <v>56</v>
      </c>
      <c r="Z90" s="12">
        <v>62</v>
      </c>
      <c r="AA90" s="12">
        <v>75</v>
      </c>
      <c r="AB90" s="12">
        <v>456</v>
      </c>
      <c r="AC90" s="12">
        <f t="shared" si="63"/>
        <v>916</v>
      </c>
      <c r="AD90" s="13">
        <f t="shared" si="64"/>
        <v>2.0087719298245612</v>
      </c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>
        <v>8</v>
      </c>
      <c r="AR90" s="12">
        <v>29</v>
      </c>
      <c r="AS90" s="12">
        <v>39</v>
      </c>
      <c r="AT90" s="12">
        <v>23</v>
      </c>
      <c r="AU90" s="12">
        <v>31</v>
      </c>
      <c r="AV90" s="12">
        <v>24</v>
      </c>
      <c r="AW90" s="12">
        <v>16</v>
      </c>
      <c r="AX90" s="12">
        <v>9</v>
      </c>
      <c r="AY90" s="12">
        <v>27</v>
      </c>
      <c r="AZ90" s="12">
        <v>17</v>
      </c>
      <c r="BA90" s="12">
        <v>22</v>
      </c>
      <c r="BB90" s="12">
        <v>6</v>
      </c>
      <c r="BC90" s="12">
        <v>228</v>
      </c>
      <c r="BD90" s="12">
        <f t="shared" si="65"/>
        <v>251</v>
      </c>
      <c r="BE90" s="13">
        <f t="shared" si="66"/>
        <v>1.1008771929824561</v>
      </c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>
        <v>60</v>
      </c>
      <c r="BS90" s="12">
        <v>110</v>
      </c>
      <c r="BT90" s="12">
        <v>44</v>
      </c>
      <c r="BU90" s="12">
        <v>78</v>
      </c>
      <c r="BV90" s="12">
        <v>129</v>
      </c>
      <c r="BW90" s="12">
        <v>39</v>
      </c>
      <c r="BX90" s="12">
        <v>45</v>
      </c>
      <c r="BY90" s="12">
        <v>23</v>
      </c>
      <c r="BZ90" s="12">
        <v>55</v>
      </c>
      <c r="CA90" s="12">
        <v>50</v>
      </c>
      <c r="CB90" s="12">
        <v>4</v>
      </c>
      <c r="CC90" s="12">
        <v>4</v>
      </c>
      <c r="CD90" s="12">
        <v>393</v>
      </c>
      <c r="CE90" s="12">
        <v>633</v>
      </c>
      <c r="CF90" s="13">
        <f t="shared" si="71"/>
        <v>1.6106870229007633</v>
      </c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>
        <v>465</v>
      </c>
      <c r="CT90" s="12">
        <v>740</v>
      </c>
      <c r="CU90" s="12">
        <v>1280.9000000000001</v>
      </c>
      <c r="CV90" s="12">
        <v>1070</v>
      </c>
      <c r="CW90" s="12">
        <v>340</v>
      </c>
      <c r="CX90" s="12">
        <v>1024.1300000000001</v>
      </c>
      <c r="CY90" s="12">
        <v>1680.6729999999998</v>
      </c>
      <c r="CZ90" s="12">
        <v>2001.35232</v>
      </c>
      <c r="DA90" s="12">
        <v>1992.5074999999999</v>
      </c>
      <c r="DB90" s="12">
        <v>2420.0699999999997</v>
      </c>
      <c r="DC90" s="12">
        <v>1069</v>
      </c>
      <c r="DD90" s="12">
        <v>332</v>
      </c>
      <c r="DE90" s="12">
        <v>8961.3860043176373</v>
      </c>
      <c r="DF90" s="12">
        <f t="shared" si="67"/>
        <v>14415.632819999999</v>
      </c>
      <c r="DG90" s="13">
        <f t="shared" si="68"/>
        <v>1.6086387544353609</v>
      </c>
      <c r="DH90" s="12">
        <v>0</v>
      </c>
      <c r="DI90" s="12">
        <v>0</v>
      </c>
      <c r="DJ90" s="12">
        <v>305</v>
      </c>
      <c r="DK90" s="12">
        <v>458</v>
      </c>
      <c r="DL90" s="12">
        <v>300</v>
      </c>
      <c r="DM90" s="12">
        <v>410</v>
      </c>
      <c r="DN90" s="12">
        <v>426</v>
      </c>
      <c r="DO90" s="12">
        <v>749</v>
      </c>
      <c r="DP90" s="12">
        <v>425</v>
      </c>
      <c r="DQ90" s="12">
        <v>420</v>
      </c>
      <c r="DR90" s="12">
        <v>615</v>
      </c>
      <c r="DS90" s="12">
        <v>0</v>
      </c>
      <c r="DT90" s="12">
        <v>0</v>
      </c>
      <c r="DU90" s="12">
        <v>0</v>
      </c>
      <c r="DV90" s="12">
        <v>260</v>
      </c>
      <c r="DW90" s="12">
        <v>72.899999999999977</v>
      </c>
      <c r="DX90" s="12">
        <v>0</v>
      </c>
      <c r="DY90" s="12">
        <v>0</v>
      </c>
      <c r="DZ90" s="12">
        <v>0</v>
      </c>
      <c r="EA90" s="12">
        <v>100</v>
      </c>
      <c r="EB90" s="12">
        <v>0</v>
      </c>
      <c r="EC90" s="12">
        <v>236</v>
      </c>
      <c r="ED90" s="12">
        <v>156</v>
      </c>
      <c r="EE90" s="12">
        <v>75</v>
      </c>
      <c r="EF90" s="12">
        <v>0</v>
      </c>
      <c r="EG90" s="12">
        <f t="shared" si="69"/>
        <v>899.9</v>
      </c>
      <c r="EH90" s="13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>
        <v>83</v>
      </c>
      <c r="EX90" s="12">
        <v>60</v>
      </c>
      <c r="EY90" s="12"/>
      <c r="EZ90" s="12">
        <v>60</v>
      </c>
      <c r="FA90" s="12">
        <v>15</v>
      </c>
      <c r="FB90" s="12"/>
      <c r="FC90" s="12"/>
      <c r="FD90" s="12"/>
      <c r="FE90" s="12"/>
      <c r="FF90" s="12"/>
      <c r="FG90" s="12">
        <v>0</v>
      </c>
      <c r="FH90" s="12">
        <v>218</v>
      </c>
      <c r="FI90" s="13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>
        <v>0</v>
      </c>
      <c r="GH90" s="12">
        <v>0</v>
      </c>
      <c r="GI90" s="12">
        <v>0</v>
      </c>
      <c r="GJ90" s="13"/>
    </row>
    <row r="91" spans="1:192" s="14" customFormat="1" ht="24.95" customHeight="1">
      <c r="A91" s="19">
        <f>+A90+1</f>
        <v>1</v>
      </c>
      <c r="B91" s="20" t="s">
        <v>78</v>
      </c>
      <c r="C91" s="21" t="s">
        <v>37</v>
      </c>
      <c r="D91" s="21"/>
      <c r="E91" s="21"/>
      <c r="F91" s="21"/>
      <c r="G91" s="24">
        <v>37</v>
      </c>
      <c r="H91" s="24">
        <v>65</v>
      </c>
      <c r="I91" s="24">
        <v>45</v>
      </c>
      <c r="J91" s="24">
        <v>49</v>
      </c>
      <c r="K91" s="24">
        <v>70</v>
      </c>
      <c r="L91" s="24">
        <v>80</v>
      </c>
      <c r="M91" s="24">
        <v>77</v>
      </c>
      <c r="N91" s="24">
        <v>77</v>
      </c>
      <c r="O91" s="24">
        <v>76</v>
      </c>
      <c r="P91" s="24">
        <v>79</v>
      </c>
      <c r="Q91" s="24">
        <v>123</v>
      </c>
      <c r="R91" s="24">
        <v>156</v>
      </c>
      <c r="S91" s="24">
        <v>61</v>
      </c>
      <c r="T91" s="24">
        <v>31</v>
      </c>
      <c r="U91" s="24">
        <v>68</v>
      </c>
      <c r="V91" s="24">
        <v>71</v>
      </c>
      <c r="W91" s="24">
        <v>55</v>
      </c>
      <c r="X91" s="24">
        <v>79</v>
      </c>
      <c r="Y91" s="24">
        <v>56</v>
      </c>
      <c r="Z91" s="24">
        <v>62</v>
      </c>
      <c r="AA91" s="24">
        <v>75</v>
      </c>
      <c r="AB91" s="22">
        <v>456</v>
      </c>
      <c r="AC91" s="22">
        <f t="shared" si="63"/>
        <v>916</v>
      </c>
      <c r="AD91" s="23">
        <f t="shared" si="64"/>
        <v>2.0087719298245612</v>
      </c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>
        <v>8</v>
      </c>
      <c r="AR91" s="24">
        <v>29</v>
      </c>
      <c r="AS91" s="24">
        <v>39</v>
      </c>
      <c r="AT91" s="24">
        <v>23</v>
      </c>
      <c r="AU91" s="24">
        <v>31</v>
      </c>
      <c r="AV91" s="24">
        <v>24</v>
      </c>
      <c r="AW91" s="24">
        <v>16</v>
      </c>
      <c r="AX91" s="24">
        <v>9</v>
      </c>
      <c r="AY91" s="24">
        <v>27</v>
      </c>
      <c r="AZ91" s="24">
        <v>17</v>
      </c>
      <c r="BA91" s="24">
        <v>22</v>
      </c>
      <c r="BB91" s="24">
        <v>6</v>
      </c>
      <c r="BC91" s="32">
        <v>228</v>
      </c>
      <c r="BD91" s="32">
        <f t="shared" si="65"/>
        <v>251</v>
      </c>
      <c r="BE91" s="23">
        <f t="shared" si="66"/>
        <v>1.1008771929824561</v>
      </c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>
        <v>60</v>
      </c>
      <c r="BS91" s="24">
        <v>110</v>
      </c>
      <c r="BT91" s="24">
        <v>44</v>
      </c>
      <c r="BU91" s="24">
        <v>78</v>
      </c>
      <c r="BV91" s="24">
        <v>129</v>
      </c>
      <c r="BW91" s="24">
        <v>39</v>
      </c>
      <c r="BX91" s="24">
        <v>45</v>
      </c>
      <c r="BY91" s="24">
        <v>23</v>
      </c>
      <c r="BZ91" s="24">
        <v>55</v>
      </c>
      <c r="CA91" s="24">
        <v>50</v>
      </c>
      <c r="CB91" s="24">
        <v>4</v>
      </c>
      <c r="CC91" s="24">
        <v>4</v>
      </c>
      <c r="CD91" s="26">
        <v>275</v>
      </c>
      <c r="CE91" s="26">
        <v>583</v>
      </c>
      <c r="CF91" s="23">
        <f t="shared" si="71"/>
        <v>2.12</v>
      </c>
      <c r="CG91" s="24"/>
      <c r="CH91" s="24"/>
      <c r="CI91" s="24"/>
      <c r="CJ91" s="24"/>
      <c r="CK91" s="24"/>
      <c r="CL91" s="24"/>
      <c r="CM91" s="24"/>
      <c r="CN91" s="24"/>
      <c r="CO91" s="24"/>
      <c r="CP91" s="24">
        <v>135</v>
      </c>
      <c r="CQ91" s="24"/>
      <c r="CR91" s="24"/>
      <c r="CS91" s="24">
        <v>465</v>
      </c>
      <c r="CT91" s="24">
        <v>740</v>
      </c>
      <c r="CU91" s="24">
        <v>1280.9000000000001</v>
      </c>
      <c r="CV91" s="24">
        <v>1070</v>
      </c>
      <c r="CW91" s="24">
        <v>340</v>
      </c>
      <c r="CX91" s="24">
        <v>1024.1300000000001</v>
      </c>
      <c r="CY91" s="24">
        <v>1680.6729999999998</v>
      </c>
      <c r="CZ91" s="24">
        <v>2001.35232</v>
      </c>
      <c r="DA91" s="24">
        <v>1992.5074999999999</v>
      </c>
      <c r="DB91" s="24">
        <v>2420.0699999999997</v>
      </c>
      <c r="DC91" s="24">
        <v>1069</v>
      </c>
      <c r="DD91" s="24">
        <v>332</v>
      </c>
      <c r="DE91" s="18">
        <v>8961.3860043176373</v>
      </c>
      <c r="DF91" s="18">
        <f t="shared" si="67"/>
        <v>14415.632819999999</v>
      </c>
      <c r="DG91" s="23">
        <f t="shared" si="68"/>
        <v>1.6086387544353609</v>
      </c>
      <c r="DH91" s="24"/>
      <c r="DI91" s="24"/>
      <c r="DJ91" s="24">
        <v>305</v>
      </c>
      <c r="DK91" s="24">
        <v>458</v>
      </c>
      <c r="DL91" s="24">
        <v>300</v>
      </c>
      <c r="DM91" s="24">
        <v>410</v>
      </c>
      <c r="DN91" s="24">
        <v>426</v>
      </c>
      <c r="DO91" s="24">
        <v>749</v>
      </c>
      <c r="DP91" s="24">
        <v>425</v>
      </c>
      <c r="DQ91" s="24">
        <v>420</v>
      </c>
      <c r="DR91" s="24">
        <v>615</v>
      </c>
      <c r="DS91" s="24"/>
      <c r="DT91" s="24">
        <v>0</v>
      </c>
      <c r="DU91" s="24">
        <v>0</v>
      </c>
      <c r="DV91" s="24">
        <v>260</v>
      </c>
      <c r="DW91" s="24">
        <v>72.899999999999977</v>
      </c>
      <c r="DX91" s="24">
        <v>0</v>
      </c>
      <c r="DY91" s="24">
        <v>0</v>
      </c>
      <c r="DZ91" s="24">
        <v>0</v>
      </c>
      <c r="EA91" s="24">
        <v>100</v>
      </c>
      <c r="EB91" s="24">
        <v>0</v>
      </c>
      <c r="EC91" s="24">
        <v>236</v>
      </c>
      <c r="ED91" s="24">
        <v>156</v>
      </c>
      <c r="EE91" s="24">
        <v>75</v>
      </c>
      <c r="EF91" s="18">
        <v>0</v>
      </c>
      <c r="EG91" s="18">
        <f t="shared" si="69"/>
        <v>899.9</v>
      </c>
      <c r="EH91" s="23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>
        <v>83</v>
      </c>
      <c r="EX91" s="24">
        <v>60</v>
      </c>
      <c r="EY91" s="24"/>
      <c r="EZ91" s="24">
        <v>60</v>
      </c>
      <c r="FA91" s="24">
        <v>15</v>
      </c>
      <c r="FB91" s="24"/>
      <c r="FC91" s="24"/>
      <c r="FD91" s="24"/>
      <c r="FE91" s="24"/>
      <c r="FF91" s="24"/>
      <c r="FG91" s="18"/>
      <c r="FH91" s="18">
        <v>218</v>
      </c>
      <c r="FI91" s="23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3"/>
    </row>
    <row r="92" spans="1:192" s="14" customFormat="1" ht="32.25" customHeight="1">
      <c r="A92" s="9"/>
      <c r="B92" s="10" t="s">
        <v>4</v>
      </c>
      <c r="C92" s="11"/>
      <c r="D92" s="11"/>
      <c r="E92" s="11"/>
      <c r="F92" s="11"/>
      <c r="G92" s="12">
        <v>463</v>
      </c>
      <c r="H92" s="12">
        <v>529</v>
      </c>
      <c r="I92" s="12">
        <v>711</v>
      </c>
      <c r="J92" s="12">
        <v>620</v>
      </c>
      <c r="K92" s="12">
        <v>579</v>
      </c>
      <c r="L92" s="12">
        <v>562</v>
      </c>
      <c r="M92" s="12">
        <v>549</v>
      </c>
      <c r="N92" s="12">
        <v>535</v>
      </c>
      <c r="O92" s="12">
        <v>530</v>
      </c>
      <c r="P92" s="12">
        <v>484</v>
      </c>
      <c r="Q92" s="12">
        <v>316</v>
      </c>
      <c r="R92" s="12">
        <v>338</v>
      </c>
      <c r="S92" s="12">
        <v>392</v>
      </c>
      <c r="T92" s="12">
        <v>284</v>
      </c>
      <c r="U92" s="12">
        <v>720</v>
      </c>
      <c r="V92" s="12">
        <v>405</v>
      </c>
      <c r="W92" s="12">
        <v>434</v>
      </c>
      <c r="X92" s="12">
        <v>338</v>
      </c>
      <c r="Y92" s="12">
        <v>203</v>
      </c>
      <c r="Z92" s="12">
        <v>194</v>
      </c>
      <c r="AA92" s="12">
        <v>122</v>
      </c>
      <c r="AB92" s="12">
        <v>2986</v>
      </c>
      <c r="AC92" s="12">
        <f t="shared" si="63"/>
        <v>4230</v>
      </c>
      <c r="AD92" s="13">
        <f t="shared" si="64"/>
        <v>1.4166108506363027</v>
      </c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>
        <f t="shared" ref="AQ92:BB92" si="78">+SUM(AQ93:AQ100)</f>
        <v>2</v>
      </c>
      <c r="AR92" s="12">
        <f t="shared" si="78"/>
        <v>14</v>
      </c>
      <c r="AS92" s="12">
        <f t="shared" si="78"/>
        <v>23</v>
      </c>
      <c r="AT92" s="12">
        <f t="shared" si="78"/>
        <v>16</v>
      </c>
      <c r="AU92" s="12">
        <f t="shared" si="78"/>
        <v>10</v>
      </c>
      <c r="AV92" s="12">
        <f t="shared" si="78"/>
        <v>9</v>
      </c>
      <c r="AW92" s="12">
        <f t="shared" si="78"/>
        <v>8</v>
      </c>
      <c r="AX92" s="12">
        <f t="shared" si="78"/>
        <v>3</v>
      </c>
      <c r="AY92" s="12">
        <f t="shared" si="78"/>
        <v>23</v>
      </c>
      <c r="AZ92" s="12">
        <f t="shared" si="78"/>
        <v>9</v>
      </c>
      <c r="BA92" s="12">
        <f t="shared" si="78"/>
        <v>8</v>
      </c>
      <c r="BB92" s="12">
        <f t="shared" si="78"/>
        <v>15</v>
      </c>
      <c r="BC92" s="12">
        <v>105</v>
      </c>
      <c r="BD92" s="12">
        <f t="shared" si="65"/>
        <v>140</v>
      </c>
      <c r="BE92" s="13">
        <f t="shared" si="66"/>
        <v>1.3333333333333333</v>
      </c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>
        <v>1082</v>
      </c>
      <c r="BS92" s="12">
        <v>660</v>
      </c>
      <c r="BT92" s="12">
        <v>204</v>
      </c>
      <c r="BU92" s="12">
        <v>239</v>
      </c>
      <c r="BV92" s="12">
        <v>338</v>
      </c>
      <c r="BW92" s="12">
        <v>273</v>
      </c>
      <c r="BX92" s="12">
        <v>363</v>
      </c>
      <c r="BY92" s="12">
        <v>448</v>
      </c>
      <c r="BZ92" s="12">
        <v>471</v>
      </c>
      <c r="CA92" s="12">
        <v>908</v>
      </c>
      <c r="CB92" s="12">
        <v>413</v>
      </c>
      <c r="CC92" s="12">
        <v>642</v>
      </c>
      <c r="CD92" s="12">
        <f>+SUM(CD93:CD100)</f>
        <v>3901</v>
      </c>
      <c r="CE92" s="12">
        <f>+SUM(CE93:CE100)</f>
        <v>4986</v>
      </c>
      <c r="CF92" s="13">
        <f t="shared" si="71"/>
        <v>1.2781338118431171</v>
      </c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>
        <v>0</v>
      </c>
      <c r="DE92" s="12">
        <v>0</v>
      </c>
      <c r="DF92" s="12">
        <f t="shared" si="67"/>
        <v>0</v>
      </c>
      <c r="DG92" s="13">
        <v>0</v>
      </c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3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>
        <v>440</v>
      </c>
      <c r="EZ92" s="12">
        <v>180</v>
      </c>
      <c r="FA92" s="12">
        <v>145</v>
      </c>
      <c r="FB92" s="12">
        <v>137</v>
      </c>
      <c r="FC92" s="12"/>
      <c r="FD92" s="12">
        <v>215</v>
      </c>
      <c r="FE92" s="12">
        <v>200</v>
      </c>
      <c r="FF92" s="12"/>
      <c r="FG92" s="12">
        <v>0</v>
      </c>
      <c r="FH92" s="12">
        <v>1317</v>
      </c>
      <c r="FI92" s="13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>
        <v>0</v>
      </c>
      <c r="GH92" s="12">
        <v>0</v>
      </c>
      <c r="GI92" s="12">
        <v>0</v>
      </c>
      <c r="GJ92" s="13"/>
    </row>
    <row r="93" spans="1:192" s="14" customFormat="1" ht="24.95" customHeight="1">
      <c r="A93" s="19">
        <v>1</v>
      </c>
      <c r="B93" s="20" t="s">
        <v>88</v>
      </c>
      <c r="C93" s="21" t="s">
        <v>27</v>
      </c>
      <c r="D93" s="21"/>
      <c r="E93" s="21"/>
      <c r="F93" s="21"/>
      <c r="G93" s="24">
        <v>110</v>
      </c>
      <c r="H93" s="24">
        <v>138</v>
      </c>
      <c r="I93" s="24">
        <v>135</v>
      </c>
      <c r="J93" s="24">
        <v>104</v>
      </c>
      <c r="K93" s="24">
        <v>97</v>
      </c>
      <c r="L93" s="24">
        <v>99</v>
      </c>
      <c r="M93" s="24">
        <v>98</v>
      </c>
      <c r="N93" s="24">
        <v>89</v>
      </c>
      <c r="O93" s="24">
        <v>99</v>
      </c>
      <c r="P93" s="24">
        <v>144</v>
      </c>
      <c r="Q93" s="24">
        <v>53</v>
      </c>
      <c r="R93" s="24">
        <v>57</v>
      </c>
      <c r="S93" s="24">
        <v>58</v>
      </c>
      <c r="T93" s="24">
        <v>59</v>
      </c>
      <c r="U93" s="24">
        <v>84</v>
      </c>
      <c r="V93" s="24">
        <v>107</v>
      </c>
      <c r="W93" s="24">
        <v>46</v>
      </c>
      <c r="X93" s="24">
        <v>60</v>
      </c>
      <c r="Y93" s="24">
        <v>40</v>
      </c>
      <c r="Z93" s="24">
        <v>4</v>
      </c>
      <c r="AA93" s="24">
        <v>16</v>
      </c>
      <c r="AB93" s="22">
        <v>399</v>
      </c>
      <c r="AC93" s="22">
        <f>(+P93+Q93+R93+S93+T93+U93+V93+W93+X93+Y93+Z93+AA93)+85</f>
        <v>813</v>
      </c>
      <c r="AD93" s="23">
        <f t="shared" si="64"/>
        <v>2.0375939849624061</v>
      </c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>
        <v>10</v>
      </c>
      <c r="AS93" s="24">
        <v>12</v>
      </c>
      <c r="AT93" s="24">
        <v>8</v>
      </c>
      <c r="AU93" s="24">
        <v>4</v>
      </c>
      <c r="AV93" s="24">
        <v>5</v>
      </c>
      <c r="AW93" s="24">
        <v>4</v>
      </c>
      <c r="AX93" s="24"/>
      <c r="AY93" s="24">
        <v>15</v>
      </c>
      <c r="AZ93" s="24">
        <v>5</v>
      </c>
      <c r="BA93" s="24">
        <v>7</v>
      </c>
      <c r="BB93" s="24">
        <v>8</v>
      </c>
      <c r="BC93" s="32">
        <v>55</v>
      </c>
      <c r="BD93" s="32">
        <f t="shared" si="65"/>
        <v>78</v>
      </c>
      <c r="BE93" s="23">
        <f t="shared" si="66"/>
        <v>1.4181818181818182</v>
      </c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>
        <v>81</v>
      </c>
      <c r="BS93" s="24">
        <v>84</v>
      </c>
      <c r="BT93" s="24">
        <v>22</v>
      </c>
      <c r="BU93" s="24">
        <v>39</v>
      </c>
      <c r="BV93" s="24">
        <v>82</v>
      </c>
      <c r="BW93" s="24">
        <v>31</v>
      </c>
      <c r="BX93" s="24">
        <v>112</v>
      </c>
      <c r="BY93" s="24">
        <v>25</v>
      </c>
      <c r="BZ93" s="24">
        <v>47</v>
      </c>
      <c r="CA93" s="24">
        <v>149</v>
      </c>
      <c r="CB93" s="24">
        <v>16</v>
      </c>
      <c r="CC93" s="24">
        <v>91</v>
      </c>
      <c r="CD93" s="25">
        <v>569</v>
      </c>
      <c r="CE93" s="25">
        <v>671</v>
      </c>
      <c r="CF93" s="23">
        <f t="shared" si="71"/>
        <v>1.179261862917399</v>
      </c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18"/>
      <c r="DF93" s="18">
        <f t="shared" si="67"/>
        <v>0</v>
      </c>
      <c r="DG93" s="23">
        <v>0</v>
      </c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>
        <v>0</v>
      </c>
      <c r="DV93" s="24">
        <v>0</v>
      </c>
      <c r="DW93" s="24">
        <v>0</v>
      </c>
      <c r="DX93" s="24">
        <v>0</v>
      </c>
      <c r="DY93" s="24">
        <v>0</v>
      </c>
      <c r="DZ93" s="24">
        <v>0</v>
      </c>
      <c r="EA93" s="24">
        <v>0</v>
      </c>
      <c r="EB93" s="24">
        <v>0</v>
      </c>
      <c r="EC93" s="24">
        <v>0</v>
      </c>
      <c r="ED93" s="24">
        <v>0</v>
      </c>
      <c r="EE93" s="24">
        <v>0</v>
      </c>
      <c r="EF93" s="18"/>
      <c r="EG93" s="18"/>
      <c r="EH93" s="23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18"/>
      <c r="FH93" s="18"/>
      <c r="FI93" s="23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3"/>
    </row>
    <row r="94" spans="1:192" s="14" customFormat="1" ht="24.95" customHeight="1">
      <c r="A94" s="19">
        <f t="shared" si="14"/>
        <v>2</v>
      </c>
      <c r="B94" s="20" t="s">
        <v>89</v>
      </c>
      <c r="C94" s="21" t="s">
        <v>28</v>
      </c>
      <c r="D94" s="21"/>
      <c r="E94" s="21"/>
      <c r="F94" s="21"/>
      <c r="G94" s="24">
        <v>58</v>
      </c>
      <c r="H94" s="24">
        <v>13</v>
      </c>
      <c r="I94" s="24">
        <v>104</v>
      </c>
      <c r="J94" s="24">
        <v>95</v>
      </c>
      <c r="K94" s="24">
        <v>77</v>
      </c>
      <c r="L94" s="24">
        <v>85</v>
      </c>
      <c r="M94" s="24">
        <v>80</v>
      </c>
      <c r="N94" s="24">
        <v>83</v>
      </c>
      <c r="O94" s="24">
        <v>80</v>
      </c>
      <c r="P94" s="24">
        <v>77</v>
      </c>
      <c r="Q94" s="24">
        <v>52</v>
      </c>
      <c r="R94" s="24">
        <v>43</v>
      </c>
      <c r="S94" s="24">
        <v>31</v>
      </c>
      <c r="T94" s="24">
        <v>48</v>
      </c>
      <c r="U94" s="24">
        <v>70</v>
      </c>
      <c r="V94" s="24">
        <v>68</v>
      </c>
      <c r="W94" s="24">
        <v>76</v>
      </c>
      <c r="X94" s="24"/>
      <c r="Y94" s="24">
        <v>25</v>
      </c>
      <c r="Z94" s="24">
        <v>34</v>
      </c>
      <c r="AA94" s="24">
        <v>16</v>
      </c>
      <c r="AB94" s="22">
        <v>407</v>
      </c>
      <c r="AC94" s="22">
        <f t="shared" si="63"/>
        <v>540</v>
      </c>
      <c r="AD94" s="23">
        <f t="shared" si="64"/>
        <v>1.3267813267813269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32"/>
      <c r="BD94" s="32">
        <f t="shared" si="65"/>
        <v>0</v>
      </c>
      <c r="BE94" s="23">
        <v>0</v>
      </c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>
        <v>116</v>
      </c>
      <c r="BS94" s="24">
        <v>162</v>
      </c>
      <c r="BT94" s="24">
        <v>22</v>
      </c>
      <c r="BU94" s="24">
        <v>25</v>
      </c>
      <c r="BV94" s="24">
        <v>47</v>
      </c>
      <c r="BW94" s="24">
        <v>55</v>
      </c>
      <c r="BX94" s="24">
        <v>49</v>
      </c>
      <c r="BY94" s="24">
        <v>132</v>
      </c>
      <c r="BZ94" s="24">
        <v>85</v>
      </c>
      <c r="CA94" s="24">
        <v>84</v>
      </c>
      <c r="CB94" s="24">
        <v>10</v>
      </c>
      <c r="CC94" s="24">
        <v>190</v>
      </c>
      <c r="CD94" s="25">
        <v>783</v>
      </c>
      <c r="CE94" s="25">
        <v>777</v>
      </c>
      <c r="CF94" s="23">
        <f t="shared" si="71"/>
        <v>0.9923371647509579</v>
      </c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18"/>
      <c r="DF94" s="18">
        <f t="shared" si="67"/>
        <v>0</v>
      </c>
      <c r="DG94" s="23">
        <v>0</v>
      </c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>
        <v>0</v>
      </c>
      <c r="DV94" s="24">
        <v>0</v>
      </c>
      <c r="DW94" s="24">
        <v>0</v>
      </c>
      <c r="DX94" s="24">
        <v>0</v>
      </c>
      <c r="DY94" s="24">
        <v>0</v>
      </c>
      <c r="DZ94" s="24">
        <v>0</v>
      </c>
      <c r="EA94" s="24">
        <v>0</v>
      </c>
      <c r="EB94" s="24">
        <v>0</v>
      </c>
      <c r="EC94" s="24">
        <v>0</v>
      </c>
      <c r="ED94" s="24">
        <v>0</v>
      </c>
      <c r="EE94" s="24">
        <v>0</v>
      </c>
      <c r="EF94" s="18"/>
      <c r="EG94" s="18"/>
      <c r="EH94" s="23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18"/>
      <c r="FH94" s="18"/>
      <c r="FI94" s="23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3"/>
    </row>
    <row r="95" spans="1:192" s="14" customFormat="1" ht="24.95" customHeight="1">
      <c r="A95" s="19">
        <f t="shared" si="14"/>
        <v>3</v>
      </c>
      <c r="B95" s="20" t="s">
        <v>90</v>
      </c>
      <c r="C95" s="21" t="s">
        <v>29</v>
      </c>
      <c r="D95" s="21"/>
      <c r="E95" s="21"/>
      <c r="F95" s="21"/>
      <c r="G95" s="24">
        <v>75</v>
      </c>
      <c r="H95" s="24">
        <v>106</v>
      </c>
      <c r="I95" s="24">
        <v>93</v>
      </c>
      <c r="J95" s="24">
        <v>136</v>
      </c>
      <c r="K95" s="24">
        <v>85</v>
      </c>
      <c r="L95" s="24">
        <v>84</v>
      </c>
      <c r="M95" s="24">
        <v>82</v>
      </c>
      <c r="N95" s="24">
        <v>83</v>
      </c>
      <c r="O95" s="24">
        <v>68</v>
      </c>
      <c r="P95" s="24">
        <v>121</v>
      </c>
      <c r="Q95" s="24">
        <v>54</v>
      </c>
      <c r="R95" s="24">
        <v>56</v>
      </c>
      <c r="S95" s="24">
        <v>30</v>
      </c>
      <c r="T95" s="24">
        <v>52</v>
      </c>
      <c r="U95" s="24">
        <v>32</v>
      </c>
      <c r="V95" s="24">
        <v>65</v>
      </c>
      <c r="W95" s="24">
        <v>79</v>
      </c>
      <c r="X95" s="24">
        <v>60</v>
      </c>
      <c r="Y95" s="24">
        <v>55</v>
      </c>
      <c r="Z95" s="24">
        <v>37</v>
      </c>
      <c r="AA95" s="24">
        <v>19</v>
      </c>
      <c r="AB95" s="22">
        <v>439</v>
      </c>
      <c r="AC95" s="22">
        <f t="shared" si="63"/>
        <v>660</v>
      </c>
      <c r="AD95" s="23">
        <f t="shared" si="64"/>
        <v>1.5034168564920274</v>
      </c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32"/>
      <c r="BD95" s="32">
        <f t="shared" si="65"/>
        <v>0</v>
      </c>
      <c r="BE95" s="23">
        <v>0</v>
      </c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>
        <v>21</v>
      </c>
      <c r="BS95" s="24">
        <v>57</v>
      </c>
      <c r="BT95" s="24">
        <v>25</v>
      </c>
      <c r="BU95" s="24">
        <v>34</v>
      </c>
      <c r="BV95" s="24">
        <v>40</v>
      </c>
      <c r="BW95" s="24">
        <v>44</v>
      </c>
      <c r="BX95" s="24">
        <v>34</v>
      </c>
      <c r="BY95" s="24">
        <v>137</v>
      </c>
      <c r="BZ95" s="24">
        <v>61</v>
      </c>
      <c r="CA95" s="24">
        <v>203</v>
      </c>
      <c r="CB95" s="24">
        <v>82</v>
      </c>
      <c r="CC95" s="24">
        <v>109</v>
      </c>
      <c r="CD95" s="25">
        <v>591</v>
      </c>
      <c r="CE95" s="25">
        <v>656</v>
      </c>
      <c r="CF95" s="23">
        <f t="shared" si="71"/>
        <v>1.1099830795262267</v>
      </c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18"/>
      <c r="DF95" s="18">
        <f t="shared" si="67"/>
        <v>0</v>
      </c>
      <c r="DG95" s="23">
        <v>0</v>
      </c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>
        <v>0</v>
      </c>
      <c r="DV95" s="24">
        <v>0</v>
      </c>
      <c r="DW95" s="24">
        <v>0</v>
      </c>
      <c r="DX95" s="24">
        <v>0</v>
      </c>
      <c r="DY95" s="24">
        <v>0</v>
      </c>
      <c r="DZ95" s="24">
        <v>0</v>
      </c>
      <c r="EA95" s="24">
        <v>0</v>
      </c>
      <c r="EB95" s="24">
        <v>0</v>
      </c>
      <c r="EC95" s="24">
        <v>0</v>
      </c>
      <c r="ED95" s="24">
        <v>0</v>
      </c>
      <c r="EE95" s="24">
        <v>0</v>
      </c>
      <c r="EF95" s="18"/>
      <c r="EG95" s="18"/>
      <c r="EH95" s="23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18"/>
      <c r="FH95" s="18"/>
      <c r="FI95" s="23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3"/>
    </row>
    <row r="96" spans="1:192" s="14" customFormat="1" ht="24.95" customHeight="1">
      <c r="A96" s="19">
        <f t="shared" si="14"/>
        <v>4</v>
      </c>
      <c r="B96" s="20" t="s">
        <v>68</v>
      </c>
      <c r="C96" s="21" t="s">
        <v>30</v>
      </c>
      <c r="D96" s="21"/>
      <c r="E96" s="21"/>
      <c r="F96" s="21"/>
      <c r="G96" s="24">
        <v>56</v>
      </c>
      <c r="H96" s="24">
        <v>39</v>
      </c>
      <c r="I96" s="24">
        <v>156</v>
      </c>
      <c r="J96" s="24">
        <v>90</v>
      </c>
      <c r="K96" s="24">
        <v>94</v>
      </c>
      <c r="L96" s="24">
        <v>81</v>
      </c>
      <c r="M96" s="24">
        <v>66</v>
      </c>
      <c r="N96" s="24">
        <v>76</v>
      </c>
      <c r="O96" s="24">
        <v>76</v>
      </c>
      <c r="P96" s="24">
        <v>41</v>
      </c>
      <c r="Q96" s="24">
        <v>76</v>
      </c>
      <c r="R96" s="24">
        <v>45</v>
      </c>
      <c r="S96" s="24">
        <v>32</v>
      </c>
      <c r="T96" s="24">
        <v>47</v>
      </c>
      <c r="U96" s="24">
        <v>35</v>
      </c>
      <c r="V96" s="24">
        <v>34</v>
      </c>
      <c r="W96" s="24">
        <v>72</v>
      </c>
      <c r="X96" s="24">
        <v>67</v>
      </c>
      <c r="Y96" s="24">
        <v>25</v>
      </c>
      <c r="Z96" s="24">
        <v>23</v>
      </c>
      <c r="AA96" s="24">
        <v>12</v>
      </c>
      <c r="AB96" s="22">
        <v>432</v>
      </c>
      <c r="AC96" s="22">
        <f t="shared" si="63"/>
        <v>509</v>
      </c>
      <c r="AD96" s="23">
        <f t="shared" si="64"/>
        <v>1.1782407407407407</v>
      </c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>
        <v>2</v>
      </c>
      <c r="AR96" s="24">
        <v>4</v>
      </c>
      <c r="AS96" s="24">
        <v>11</v>
      </c>
      <c r="AT96" s="24">
        <v>8</v>
      </c>
      <c r="AU96" s="24">
        <v>6</v>
      </c>
      <c r="AV96" s="24">
        <v>4</v>
      </c>
      <c r="AW96" s="24">
        <v>4</v>
      </c>
      <c r="AX96" s="24">
        <v>3</v>
      </c>
      <c r="AY96" s="24">
        <v>8</v>
      </c>
      <c r="AZ96" s="24">
        <v>4</v>
      </c>
      <c r="BA96" s="24">
        <v>1</v>
      </c>
      <c r="BB96" s="24">
        <v>7</v>
      </c>
      <c r="BC96" s="32">
        <v>50</v>
      </c>
      <c r="BD96" s="32">
        <f t="shared" si="65"/>
        <v>62</v>
      </c>
      <c r="BE96" s="23">
        <f t="shared" si="66"/>
        <v>1.24</v>
      </c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>
        <v>33</v>
      </c>
      <c r="BS96" s="24">
        <v>42</v>
      </c>
      <c r="BT96" s="24">
        <v>36</v>
      </c>
      <c r="BU96" s="24">
        <v>24</v>
      </c>
      <c r="BV96" s="24">
        <v>28</v>
      </c>
      <c r="BW96" s="24">
        <v>30</v>
      </c>
      <c r="BX96" s="24">
        <v>22</v>
      </c>
      <c r="BY96" s="24">
        <v>42</v>
      </c>
      <c r="BZ96" s="24">
        <v>36</v>
      </c>
      <c r="CA96" s="24">
        <v>130</v>
      </c>
      <c r="CB96" s="24">
        <v>93</v>
      </c>
      <c r="CC96" s="24">
        <v>86</v>
      </c>
      <c r="CD96" s="25">
        <v>430</v>
      </c>
      <c r="CE96" s="25">
        <v>426</v>
      </c>
      <c r="CF96" s="23">
        <f t="shared" si="71"/>
        <v>0.99069767441860468</v>
      </c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18"/>
      <c r="DF96" s="18">
        <f t="shared" si="67"/>
        <v>0</v>
      </c>
      <c r="DG96" s="23">
        <v>0</v>
      </c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>
        <v>0</v>
      </c>
      <c r="DV96" s="24">
        <v>0</v>
      </c>
      <c r="DW96" s="24">
        <v>0</v>
      </c>
      <c r="DX96" s="24">
        <v>0</v>
      </c>
      <c r="DY96" s="24">
        <v>0</v>
      </c>
      <c r="DZ96" s="24">
        <v>0</v>
      </c>
      <c r="EA96" s="24">
        <v>0</v>
      </c>
      <c r="EB96" s="24">
        <v>0</v>
      </c>
      <c r="EC96" s="24">
        <v>0</v>
      </c>
      <c r="ED96" s="24">
        <v>0</v>
      </c>
      <c r="EE96" s="24">
        <v>0</v>
      </c>
      <c r="EF96" s="18"/>
      <c r="EG96" s="18"/>
      <c r="EH96" s="23"/>
      <c r="EI96" s="24"/>
      <c r="EJ96" s="24">
        <f t="shared" ref="EJ96:EJ100" si="79">+DU96-DT96</f>
        <v>0</v>
      </c>
      <c r="EK96" s="24">
        <f t="shared" ref="EK96:EK100" si="80">+DV96-DU96</f>
        <v>0</v>
      </c>
      <c r="EL96" s="24">
        <f t="shared" ref="EL96:EL100" si="81">+DW96-DV96</f>
        <v>0</v>
      </c>
      <c r="EM96" s="24">
        <f t="shared" ref="EM96:EM100" si="82">+DX96-DW96</f>
        <v>0</v>
      </c>
      <c r="EN96" s="24">
        <f t="shared" ref="EN96:EN100" si="83">+DY96-DX96</f>
        <v>0</v>
      </c>
      <c r="EO96" s="24">
        <f t="shared" ref="EO96:EO100" si="84">+DZ96-DY96</f>
        <v>0</v>
      </c>
      <c r="EP96" s="24">
        <f t="shared" ref="EP96:EP100" si="85">+EA96-DZ96</f>
        <v>0</v>
      </c>
      <c r="EQ96" s="24">
        <f t="shared" ref="EQ96:EQ100" si="86">+EB96-EA96</f>
        <v>0</v>
      </c>
      <c r="ER96" s="24">
        <f t="shared" ref="ER96:ER100" si="87">+EC96-EB96</f>
        <v>0</v>
      </c>
      <c r="ES96" s="24">
        <f t="shared" ref="ES96:ES100" si="88">+ED96-EC96</f>
        <v>0</v>
      </c>
      <c r="ET96" s="24">
        <f t="shared" ref="ET96:ET100" si="89">+EE96-ED96</f>
        <v>0</v>
      </c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18"/>
      <c r="FH96" s="18"/>
      <c r="FI96" s="23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3"/>
    </row>
    <row r="97" spans="1:192" s="14" customFormat="1" ht="24.95" customHeight="1">
      <c r="A97" s="19">
        <f t="shared" si="14"/>
        <v>5</v>
      </c>
      <c r="B97" s="20" t="s">
        <v>71</v>
      </c>
      <c r="C97" s="21" t="s">
        <v>31</v>
      </c>
      <c r="D97" s="21"/>
      <c r="E97" s="21"/>
      <c r="F97" s="21"/>
      <c r="G97" s="24">
        <v>88</v>
      </c>
      <c r="H97" s="24">
        <v>98</v>
      </c>
      <c r="I97" s="24">
        <v>83</v>
      </c>
      <c r="J97" s="24">
        <v>95</v>
      </c>
      <c r="K97" s="24">
        <v>92</v>
      </c>
      <c r="L97" s="24">
        <v>90</v>
      </c>
      <c r="M97" s="24">
        <v>94</v>
      </c>
      <c r="N97" s="24">
        <v>86</v>
      </c>
      <c r="O97" s="24">
        <v>86</v>
      </c>
      <c r="P97" s="24">
        <v>32</v>
      </c>
      <c r="Q97" s="24">
        <v>3</v>
      </c>
      <c r="R97" s="24">
        <v>12</v>
      </c>
      <c r="S97" s="24">
        <v>55</v>
      </c>
      <c r="T97" s="24">
        <v>25</v>
      </c>
      <c r="U97" s="24">
        <v>413</v>
      </c>
      <c r="V97" s="24">
        <v>5</v>
      </c>
      <c r="W97" s="24">
        <v>10</v>
      </c>
      <c r="X97" s="24">
        <v>43</v>
      </c>
      <c r="Y97" s="24">
        <v>31</v>
      </c>
      <c r="Z97" s="24">
        <v>49</v>
      </c>
      <c r="AA97" s="24">
        <v>10</v>
      </c>
      <c r="AB97" s="22">
        <v>372</v>
      </c>
      <c r="AC97" s="22">
        <f t="shared" si="63"/>
        <v>688</v>
      </c>
      <c r="AD97" s="23">
        <f t="shared" si="64"/>
        <v>1.8494623655913978</v>
      </c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32"/>
      <c r="BD97" s="32">
        <f t="shared" si="65"/>
        <v>0</v>
      </c>
      <c r="BE97" s="23">
        <v>0</v>
      </c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>
        <v>133</v>
      </c>
      <c r="BS97" s="24">
        <v>160</v>
      </c>
      <c r="BT97" s="24">
        <v>25</v>
      </c>
      <c r="BU97" s="24">
        <v>31</v>
      </c>
      <c r="BV97" s="24">
        <v>23</v>
      </c>
      <c r="BW97" s="24">
        <v>1</v>
      </c>
      <c r="BX97" s="24">
        <v>47</v>
      </c>
      <c r="BY97" s="24">
        <v>12</v>
      </c>
      <c r="BZ97" s="24">
        <v>56</v>
      </c>
      <c r="CA97" s="24">
        <v>132</v>
      </c>
      <c r="CB97" s="24">
        <v>88</v>
      </c>
      <c r="CC97" s="24">
        <v>88</v>
      </c>
      <c r="CD97" s="25">
        <v>490</v>
      </c>
      <c r="CE97" s="25">
        <v>677</v>
      </c>
      <c r="CF97" s="23">
        <f t="shared" si="71"/>
        <v>1.3816326530612244</v>
      </c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18"/>
      <c r="DF97" s="18">
        <f t="shared" si="67"/>
        <v>0</v>
      </c>
      <c r="DG97" s="23">
        <v>0</v>
      </c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>
        <v>0</v>
      </c>
      <c r="DV97" s="24">
        <v>0</v>
      </c>
      <c r="DW97" s="24">
        <v>0</v>
      </c>
      <c r="DX97" s="24">
        <v>0</v>
      </c>
      <c r="DY97" s="24">
        <v>0</v>
      </c>
      <c r="DZ97" s="24">
        <v>0</v>
      </c>
      <c r="EA97" s="24">
        <v>0</v>
      </c>
      <c r="EB97" s="24">
        <v>0</v>
      </c>
      <c r="EC97" s="24">
        <v>0</v>
      </c>
      <c r="ED97" s="24">
        <v>0</v>
      </c>
      <c r="EE97" s="24">
        <v>0</v>
      </c>
      <c r="EF97" s="18"/>
      <c r="EG97" s="18"/>
      <c r="EH97" s="23"/>
      <c r="EI97" s="24"/>
      <c r="EJ97" s="24">
        <f t="shared" si="79"/>
        <v>0</v>
      </c>
      <c r="EK97" s="24">
        <f t="shared" si="80"/>
        <v>0</v>
      </c>
      <c r="EL97" s="24">
        <f t="shared" si="81"/>
        <v>0</v>
      </c>
      <c r="EM97" s="24">
        <f t="shared" si="82"/>
        <v>0</v>
      </c>
      <c r="EN97" s="24">
        <f t="shared" si="83"/>
        <v>0</v>
      </c>
      <c r="EO97" s="24">
        <f t="shared" si="84"/>
        <v>0</v>
      </c>
      <c r="EP97" s="24">
        <f t="shared" si="85"/>
        <v>0</v>
      </c>
      <c r="EQ97" s="24">
        <f t="shared" si="86"/>
        <v>0</v>
      </c>
      <c r="ER97" s="24">
        <f t="shared" si="87"/>
        <v>0</v>
      </c>
      <c r="ES97" s="24">
        <f t="shared" si="88"/>
        <v>0</v>
      </c>
      <c r="ET97" s="24">
        <f t="shared" si="89"/>
        <v>0</v>
      </c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18"/>
      <c r="FH97" s="18"/>
      <c r="FI97" s="23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4"/>
      <c r="GI97" s="24"/>
      <c r="GJ97" s="23"/>
    </row>
    <row r="98" spans="1:192" s="14" customFormat="1" ht="24.95" customHeight="1">
      <c r="A98" s="19">
        <f t="shared" si="14"/>
        <v>6</v>
      </c>
      <c r="B98" s="20" t="s">
        <v>75</v>
      </c>
      <c r="C98" s="21" t="s">
        <v>32</v>
      </c>
      <c r="D98" s="21"/>
      <c r="E98" s="21"/>
      <c r="F98" s="21"/>
      <c r="G98" s="24">
        <v>27</v>
      </c>
      <c r="H98" s="24">
        <v>41</v>
      </c>
      <c r="I98" s="24">
        <v>30</v>
      </c>
      <c r="J98" s="24">
        <v>9</v>
      </c>
      <c r="K98" s="24">
        <v>27</v>
      </c>
      <c r="L98" s="24">
        <v>29</v>
      </c>
      <c r="M98" s="24">
        <v>30</v>
      </c>
      <c r="N98" s="24">
        <v>54</v>
      </c>
      <c r="O98" s="24">
        <v>28</v>
      </c>
      <c r="P98" s="24">
        <v>24</v>
      </c>
      <c r="Q98" s="24">
        <v>11</v>
      </c>
      <c r="R98" s="24">
        <v>10</v>
      </c>
      <c r="S98" s="24">
        <v>89</v>
      </c>
      <c r="T98" s="24">
        <v>19</v>
      </c>
      <c r="U98" s="24">
        <v>35</v>
      </c>
      <c r="V98" s="24">
        <v>62</v>
      </c>
      <c r="W98" s="24">
        <v>15</v>
      </c>
      <c r="X98" s="24">
        <v>4</v>
      </c>
      <c r="Y98" s="24">
        <v>5</v>
      </c>
      <c r="Z98" s="24">
        <v>15</v>
      </c>
      <c r="AA98" s="24">
        <v>15</v>
      </c>
      <c r="AB98" s="22">
        <v>261</v>
      </c>
      <c r="AC98" s="22">
        <f t="shared" si="63"/>
        <v>304</v>
      </c>
      <c r="AD98" s="23">
        <f t="shared" si="64"/>
        <v>1.1647509578544062</v>
      </c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32"/>
      <c r="BD98" s="32">
        <f t="shared" si="65"/>
        <v>0</v>
      </c>
      <c r="BE98" s="23">
        <v>0</v>
      </c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>
        <v>48</v>
      </c>
      <c r="BS98" s="24">
        <v>36</v>
      </c>
      <c r="BT98" s="24">
        <v>20</v>
      </c>
      <c r="BU98" s="24">
        <v>19</v>
      </c>
      <c r="BV98" s="24">
        <v>33</v>
      </c>
      <c r="BW98" s="24">
        <v>22</v>
      </c>
      <c r="BX98" s="24">
        <v>46</v>
      </c>
      <c r="BY98" s="24">
        <v>19</v>
      </c>
      <c r="BZ98" s="24">
        <v>32</v>
      </c>
      <c r="CA98" s="24">
        <v>80</v>
      </c>
      <c r="CB98" s="24">
        <v>79</v>
      </c>
      <c r="CC98" s="24">
        <v>60</v>
      </c>
      <c r="CD98" s="25">
        <v>314</v>
      </c>
      <c r="CE98" s="25">
        <v>353</v>
      </c>
      <c r="CF98" s="23">
        <f t="shared" si="71"/>
        <v>1.124203821656051</v>
      </c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18"/>
      <c r="DF98" s="18">
        <f t="shared" si="67"/>
        <v>0</v>
      </c>
      <c r="DG98" s="23">
        <v>0</v>
      </c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>
        <v>0</v>
      </c>
      <c r="DV98" s="24">
        <v>0</v>
      </c>
      <c r="DW98" s="24">
        <v>0</v>
      </c>
      <c r="DX98" s="24">
        <v>0</v>
      </c>
      <c r="DY98" s="24">
        <v>0</v>
      </c>
      <c r="DZ98" s="24">
        <v>0</v>
      </c>
      <c r="EA98" s="24">
        <v>0</v>
      </c>
      <c r="EB98" s="24">
        <v>0</v>
      </c>
      <c r="EC98" s="24">
        <v>0</v>
      </c>
      <c r="ED98" s="24">
        <v>0</v>
      </c>
      <c r="EE98" s="24">
        <v>0</v>
      </c>
      <c r="EF98" s="18"/>
      <c r="EG98" s="18"/>
      <c r="EH98" s="23"/>
      <c r="EI98" s="24"/>
      <c r="EJ98" s="24">
        <f t="shared" si="79"/>
        <v>0</v>
      </c>
      <c r="EK98" s="24">
        <f t="shared" si="80"/>
        <v>0</v>
      </c>
      <c r="EL98" s="24">
        <f t="shared" si="81"/>
        <v>0</v>
      </c>
      <c r="EM98" s="24">
        <f t="shared" si="82"/>
        <v>0</v>
      </c>
      <c r="EN98" s="24">
        <f t="shared" si="83"/>
        <v>0</v>
      </c>
      <c r="EO98" s="24">
        <f t="shared" si="84"/>
        <v>0</v>
      </c>
      <c r="EP98" s="24">
        <f t="shared" si="85"/>
        <v>0</v>
      </c>
      <c r="EQ98" s="24">
        <f t="shared" si="86"/>
        <v>0</v>
      </c>
      <c r="ER98" s="24">
        <f t="shared" si="87"/>
        <v>0</v>
      </c>
      <c r="ES98" s="24">
        <f t="shared" si="88"/>
        <v>0</v>
      </c>
      <c r="ET98" s="24">
        <f t="shared" si="89"/>
        <v>0</v>
      </c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18"/>
      <c r="FH98" s="18"/>
      <c r="FI98" s="23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4"/>
      <c r="GI98" s="24"/>
      <c r="GJ98" s="23"/>
    </row>
    <row r="99" spans="1:192" s="14" customFormat="1" ht="24.95" customHeight="1">
      <c r="A99" s="19">
        <f t="shared" si="14"/>
        <v>7</v>
      </c>
      <c r="B99" s="20" t="s">
        <v>82</v>
      </c>
      <c r="C99" s="21" t="s">
        <v>33</v>
      </c>
      <c r="D99" s="21"/>
      <c r="E99" s="21"/>
      <c r="F99" s="21"/>
      <c r="G99" s="24">
        <v>18</v>
      </c>
      <c r="H99" s="24">
        <v>45</v>
      </c>
      <c r="I99" s="24">
        <v>82</v>
      </c>
      <c r="J99" s="24">
        <v>78</v>
      </c>
      <c r="K99" s="24">
        <v>79</v>
      </c>
      <c r="L99" s="24">
        <v>63</v>
      </c>
      <c r="M99" s="24">
        <v>69</v>
      </c>
      <c r="N99" s="24">
        <v>63</v>
      </c>
      <c r="O99" s="24">
        <v>66</v>
      </c>
      <c r="P99" s="24">
        <v>13</v>
      </c>
      <c r="Q99" s="24">
        <v>46</v>
      </c>
      <c r="R99" s="24">
        <v>49</v>
      </c>
      <c r="S99" s="24">
        <v>30</v>
      </c>
      <c r="T99" s="24">
        <v>23</v>
      </c>
      <c r="U99" s="24">
        <v>29</v>
      </c>
      <c r="V99" s="24">
        <v>40</v>
      </c>
      <c r="W99" s="24">
        <v>78</v>
      </c>
      <c r="X99" s="24">
        <v>57</v>
      </c>
      <c r="Y99" s="24">
        <v>14</v>
      </c>
      <c r="Z99" s="24">
        <v>1</v>
      </c>
      <c r="AA99" s="24">
        <v>18</v>
      </c>
      <c r="AB99" s="22">
        <v>326</v>
      </c>
      <c r="AC99" s="22">
        <f t="shared" si="63"/>
        <v>398</v>
      </c>
      <c r="AD99" s="23">
        <f t="shared" si="64"/>
        <v>1.2208588957055215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32"/>
      <c r="BD99" s="32">
        <f t="shared" si="65"/>
        <v>0</v>
      </c>
      <c r="BE99" s="23">
        <v>0</v>
      </c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>
        <v>335</v>
      </c>
      <c r="BS99" s="24">
        <v>49</v>
      </c>
      <c r="BT99" s="24">
        <v>17</v>
      </c>
      <c r="BU99" s="24">
        <v>26</v>
      </c>
      <c r="BV99" s="24">
        <v>40</v>
      </c>
      <c r="BW99" s="24">
        <v>26</v>
      </c>
      <c r="BX99" s="24">
        <v>20</v>
      </c>
      <c r="BY99" s="24">
        <v>81</v>
      </c>
      <c r="BZ99" s="24">
        <v>102</v>
      </c>
      <c r="CA99" s="24">
        <v>130</v>
      </c>
      <c r="CB99" s="24">
        <v>43</v>
      </c>
      <c r="CC99" s="24">
        <v>18</v>
      </c>
      <c r="CD99" s="25">
        <v>365</v>
      </c>
      <c r="CE99" s="25">
        <v>769</v>
      </c>
      <c r="CF99" s="23">
        <f t="shared" si="71"/>
        <v>2.106849315068493</v>
      </c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18"/>
      <c r="DF99" s="18">
        <f t="shared" si="67"/>
        <v>0</v>
      </c>
      <c r="DG99" s="23">
        <v>0</v>
      </c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>
        <v>0</v>
      </c>
      <c r="DV99" s="24">
        <v>0</v>
      </c>
      <c r="DW99" s="24">
        <v>0</v>
      </c>
      <c r="DX99" s="24">
        <v>0</v>
      </c>
      <c r="DY99" s="24">
        <v>0</v>
      </c>
      <c r="DZ99" s="24">
        <v>0</v>
      </c>
      <c r="EA99" s="24">
        <v>0</v>
      </c>
      <c r="EB99" s="24">
        <v>0</v>
      </c>
      <c r="EC99" s="24">
        <v>0</v>
      </c>
      <c r="ED99" s="24">
        <v>0</v>
      </c>
      <c r="EE99" s="24">
        <v>0</v>
      </c>
      <c r="EF99" s="18"/>
      <c r="EG99" s="18"/>
      <c r="EH99" s="23"/>
      <c r="EI99" s="24"/>
      <c r="EJ99" s="24">
        <f t="shared" si="79"/>
        <v>0</v>
      </c>
      <c r="EK99" s="24">
        <f t="shared" si="80"/>
        <v>0</v>
      </c>
      <c r="EL99" s="24">
        <f t="shared" si="81"/>
        <v>0</v>
      </c>
      <c r="EM99" s="24">
        <f t="shared" si="82"/>
        <v>0</v>
      </c>
      <c r="EN99" s="24">
        <f t="shared" si="83"/>
        <v>0</v>
      </c>
      <c r="EO99" s="24">
        <f t="shared" si="84"/>
        <v>0</v>
      </c>
      <c r="EP99" s="24">
        <f t="shared" si="85"/>
        <v>0</v>
      </c>
      <c r="EQ99" s="24">
        <f t="shared" si="86"/>
        <v>0</v>
      </c>
      <c r="ER99" s="24">
        <f t="shared" si="87"/>
        <v>0</v>
      </c>
      <c r="ES99" s="24">
        <f t="shared" si="88"/>
        <v>0</v>
      </c>
      <c r="ET99" s="24">
        <f t="shared" si="89"/>
        <v>0</v>
      </c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18"/>
      <c r="FH99" s="18"/>
      <c r="FI99" s="23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4"/>
      <c r="GI99" s="24"/>
      <c r="GJ99" s="23"/>
    </row>
    <row r="100" spans="1:192" s="14" customFormat="1" ht="24.95" customHeight="1">
      <c r="A100" s="19">
        <f t="shared" si="14"/>
        <v>8</v>
      </c>
      <c r="B100" s="20" t="s">
        <v>91</v>
      </c>
      <c r="C100" s="21" t="s">
        <v>34</v>
      </c>
      <c r="D100" s="21"/>
      <c r="E100" s="21"/>
      <c r="F100" s="21"/>
      <c r="G100" s="24">
        <v>31</v>
      </c>
      <c r="H100" s="24">
        <v>49</v>
      </c>
      <c r="I100" s="24">
        <v>28</v>
      </c>
      <c r="J100" s="24">
        <v>13</v>
      </c>
      <c r="K100" s="24">
        <v>28</v>
      </c>
      <c r="L100" s="24">
        <v>31</v>
      </c>
      <c r="M100" s="24">
        <v>30</v>
      </c>
      <c r="N100" s="24">
        <v>1</v>
      </c>
      <c r="O100" s="24">
        <v>27</v>
      </c>
      <c r="P100" s="24">
        <v>32</v>
      </c>
      <c r="Q100" s="24">
        <v>21</v>
      </c>
      <c r="R100" s="24">
        <v>66</v>
      </c>
      <c r="S100" s="24">
        <v>67</v>
      </c>
      <c r="T100" s="24">
        <v>11</v>
      </c>
      <c r="U100" s="24">
        <v>22</v>
      </c>
      <c r="V100" s="24">
        <v>24</v>
      </c>
      <c r="W100" s="24">
        <v>58</v>
      </c>
      <c r="X100" s="24">
        <v>47</v>
      </c>
      <c r="Y100" s="24">
        <v>8</v>
      </c>
      <c r="Z100" s="24">
        <v>31</v>
      </c>
      <c r="AA100" s="24">
        <v>16</v>
      </c>
      <c r="AB100" s="22">
        <v>350</v>
      </c>
      <c r="AC100" s="22">
        <f t="shared" si="63"/>
        <v>403</v>
      </c>
      <c r="AD100" s="23">
        <f t="shared" si="64"/>
        <v>1.1514285714285715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32"/>
      <c r="BD100" s="32">
        <f t="shared" si="65"/>
        <v>0</v>
      </c>
      <c r="BE100" s="23">
        <v>0</v>
      </c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>
        <v>315</v>
      </c>
      <c r="BS100" s="24">
        <v>70</v>
      </c>
      <c r="BT100" s="24">
        <v>37</v>
      </c>
      <c r="BU100" s="24">
        <v>41</v>
      </c>
      <c r="BV100" s="24">
        <v>45</v>
      </c>
      <c r="BW100" s="24">
        <v>64</v>
      </c>
      <c r="BX100" s="24">
        <v>33</v>
      </c>
      <c r="BY100" s="24">
        <v>0</v>
      </c>
      <c r="BZ100" s="24">
        <v>52</v>
      </c>
      <c r="CA100" s="24">
        <v>0</v>
      </c>
      <c r="CB100" s="24">
        <v>2</v>
      </c>
      <c r="CC100" s="24">
        <v>0</v>
      </c>
      <c r="CD100" s="25">
        <v>359</v>
      </c>
      <c r="CE100" s="25">
        <v>657</v>
      </c>
      <c r="CF100" s="23">
        <f t="shared" si="71"/>
        <v>1.8300835654596099</v>
      </c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18"/>
      <c r="DF100" s="18">
        <f t="shared" si="67"/>
        <v>0</v>
      </c>
      <c r="DG100" s="23">
        <v>0</v>
      </c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>
        <v>0</v>
      </c>
      <c r="DV100" s="24">
        <v>0</v>
      </c>
      <c r="DW100" s="24">
        <v>0</v>
      </c>
      <c r="DX100" s="24">
        <v>0</v>
      </c>
      <c r="DY100" s="24">
        <v>0</v>
      </c>
      <c r="DZ100" s="24">
        <v>0</v>
      </c>
      <c r="EA100" s="24">
        <v>0</v>
      </c>
      <c r="EB100" s="24">
        <v>0</v>
      </c>
      <c r="EC100" s="24">
        <v>0</v>
      </c>
      <c r="ED100" s="24">
        <v>0</v>
      </c>
      <c r="EE100" s="24">
        <v>0</v>
      </c>
      <c r="EF100" s="18"/>
      <c r="EG100" s="18"/>
      <c r="EH100" s="23"/>
      <c r="EI100" s="24"/>
      <c r="EJ100" s="24">
        <f t="shared" si="79"/>
        <v>0</v>
      </c>
      <c r="EK100" s="24">
        <f t="shared" si="80"/>
        <v>0</v>
      </c>
      <c r="EL100" s="24">
        <f t="shared" si="81"/>
        <v>0</v>
      </c>
      <c r="EM100" s="24">
        <f t="shared" si="82"/>
        <v>0</v>
      </c>
      <c r="EN100" s="24">
        <f t="shared" si="83"/>
        <v>0</v>
      </c>
      <c r="EO100" s="24">
        <f t="shared" si="84"/>
        <v>0</v>
      </c>
      <c r="EP100" s="24">
        <f t="shared" si="85"/>
        <v>0</v>
      </c>
      <c r="EQ100" s="24">
        <f t="shared" si="86"/>
        <v>0</v>
      </c>
      <c r="ER100" s="24">
        <f t="shared" si="87"/>
        <v>0</v>
      </c>
      <c r="ES100" s="24">
        <f t="shared" si="88"/>
        <v>0</v>
      </c>
      <c r="ET100" s="24">
        <f t="shared" si="89"/>
        <v>0</v>
      </c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18"/>
      <c r="FH100" s="18"/>
      <c r="FI100" s="23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4"/>
      <c r="GI100" s="24"/>
      <c r="GJ100" s="23"/>
    </row>
    <row r="101" spans="1:192" s="14" customFormat="1" ht="32.25" customHeight="1">
      <c r="A101" s="9"/>
      <c r="B101" s="10" t="s">
        <v>12</v>
      </c>
      <c r="C101" s="11"/>
      <c r="D101" s="11"/>
      <c r="E101" s="11"/>
      <c r="F101" s="11"/>
      <c r="G101" s="12">
        <v>13</v>
      </c>
      <c r="H101" s="12">
        <v>3</v>
      </c>
      <c r="I101" s="12">
        <v>12</v>
      </c>
      <c r="J101" s="12">
        <v>9</v>
      </c>
      <c r="K101" s="12">
        <v>32</v>
      </c>
      <c r="L101" s="12">
        <v>129</v>
      </c>
      <c r="M101" s="12">
        <v>129</v>
      </c>
      <c r="N101" s="12">
        <v>117</v>
      </c>
      <c r="O101" s="12">
        <v>111</v>
      </c>
      <c r="P101" s="12">
        <v>42</v>
      </c>
      <c r="Q101" s="12">
        <v>154</v>
      </c>
      <c r="R101" s="12">
        <v>96</v>
      </c>
      <c r="S101" s="12">
        <v>80</v>
      </c>
      <c r="T101" s="12">
        <v>44</v>
      </c>
      <c r="U101" s="12">
        <v>7</v>
      </c>
      <c r="V101" s="12">
        <v>24</v>
      </c>
      <c r="W101" s="12">
        <v>56</v>
      </c>
      <c r="X101" s="12">
        <v>184</v>
      </c>
      <c r="Y101" s="12">
        <v>27</v>
      </c>
      <c r="Z101" s="12">
        <v>80</v>
      </c>
      <c r="AA101" s="12">
        <v>15</v>
      </c>
      <c r="AB101" s="12">
        <v>493</v>
      </c>
      <c r="AC101" s="12">
        <f t="shared" si="63"/>
        <v>809</v>
      </c>
      <c r="AD101" s="13">
        <f t="shared" si="64"/>
        <v>1.6409736308316429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>
        <v>0</v>
      </c>
      <c r="BC101" s="12">
        <v>0</v>
      </c>
      <c r="BD101" s="12">
        <f t="shared" si="65"/>
        <v>0</v>
      </c>
      <c r="BE101" s="13">
        <v>0</v>
      </c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>
        <v>35</v>
      </c>
      <c r="BS101" s="12">
        <v>25</v>
      </c>
      <c r="BT101" s="12">
        <v>31</v>
      </c>
      <c r="BU101" s="12">
        <v>41</v>
      </c>
      <c r="BV101" s="12">
        <v>47</v>
      </c>
      <c r="BW101" s="12">
        <v>28</v>
      </c>
      <c r="BX101" s="12">
        <v>32</v>
      </c>
      <c r="BY101" s="12">
        <v>19</v>
      </c>
      <c r="BZ101" s="12">
        <v>24</v>
      </c>
      <c r="CA101" s="12">
        <v>38</v>
      </c>
      <c r="CB101" s="12">
        <v>61</v>
      </c>
      <c r="CC101" s="12">
        <v>9</v>
      </c>
      <c r="CD101" s="12">
        <f t="shared" ref="CD101:CE101" si="90">+SUM(CD102)</f>
        <v>264</v>
      </c>
      <c r="CE101" s="12">
        <f t="shared" si="90"/>
        <v>320</v>
      </c>
      <c r="CF101" s="13">
        <f t="shared" si="71"/>
        <v>1.2121212121212122</v>
      </c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>
        <v>1970</v>
      </c>
      <c r="DE101" s="12">
        <v>3410.3217049153236</v>
      </c>
      <c r="DF101" s="12">
        <f t="shared" si="67"/>
        <v>1970</v>
      </c>
      <c r="DG101" s="13">
        <f t="shared" si="68"/>
        <v>0.57765811277001333</v>
      </c>
      <c r="DH101" s="12">
        <v>15</v>
      </c>
      <c r="DI101" s="12">
        <v>47</v>
      </c>
      <c r="DJ101" s="12">
        <v>0</v>
      </c>
      <c r="DK101" s="12">
        <v>20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30</v>
      </c>
      <c r="DU101" s="12">
        <v>170</v>
      </c>
      <c r="DV101" s="12">
        <v>0</v>
      </c>
      <c r="DW101" s="12">
        <v>85</v>
      </c>
      <c r="DX101" s="12">
        <v>0</v>
      </c>
      <c r="DY101" s="12">
        <v>50</v>
      </c>
      <c r="DZ101" s="12">
        <v>229</v>
      </c>
      <c r="EA101" s="12">
        <v>320</v>
      </c>
      <c r="EB101" s="12">
        <v>270</v>
      </c>
      <c r="EC101" s="12">
        <v>100</v>
      </c>
      <c r="ED101" s="12">
        <v>0</v>
      </c>
      <c r="EE101" s="12">
        <v>1145</v>
      </c>
      <c r="EF101" s="12">
        <v>934.67192017229695</v>
      </c>
      <c r="EG101" s="12">
        <v>1254</v>
      </c>
      <c r="EH101" s="13">
        <v>1.3416472378552233</v>
      </c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>
        <v>0</v>
      </c>
      <c r="FG101" s="12">
        <v>0</v>
      </c>
      <c r="FH101" s="12">
        <v>0</v>
      </c>
      <c r="FI101" s="13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2"/>
      <c r="GG101" s="11">
        <v>0</v>
      </c>
      <c r="GH101" s="12">
        <v>0</v>
      </c>
      <c r="GI101" s="12">
        <v>0</v>
      </c>
      <c r="GJ101" s="13"/>
    </row>
    <row r="102" spans="1:192" s="14" customFormat="1" ht="24.95" customHeight="1">
      <c r="A102" s="19">
        <f t="shared" ref="A102" si="91">+A101+1</f>
        <v>1</v>
      </c>
      <c r="B102" s="20" t="s">
        <v>56</v>
      </c>
      <c r="C102" s="21">
        <v>11853</v>
      </c>
      <c r="D102" s="21"/>
      <c r="E102" s="21"/>
      <c r="F102" s="21"/>
      <c r="G102" s="24">
        <v>13</v>
      </c>
      <c r="H102" s="24">
        <v>3</v>
      </c>
      <c r="I102" s="24">
        <v>12</v>
      </c>
      <c r="J102" s="24">
        <v>9</v>
      </c>
      <c r="K102" s="24">
        <v>32</v>
      </c>
      <c r="L102" s="24">
        <v>129</v>
      </c>
      <c r="M102" s="24">
        <v>129</v>
      </c>
      <c r="N102" s="24">
        <v>117</v>
      </c>
      <c r="O102" s="24">
        <v>111</v>
      </c>
      <c r="P102" s="24">
        <v>42</v>
      </c>
      <c r="Q102" s="24">
        <v>154</v>
      </c>
      <c r="R102" s="24">
        <v>96</v>
      </c>
      <c r="S102" s="24">
        <v>80</v>
      </c>
      <c r="T102" s="24">
        <v>44</v>
      </c>
      <c r="U102" s="24">
        <v>7</v>
      </c>
      <c r="V102" s="24">
        <v>24</v>
      </c>
      <c r="W102" s="24">
        <v>56</v>
      </c>
      <c r="X102" s="24">
        <v>184</v>
      </c>
      <c r="Y102" s="24">
        <v>27</v>
      </c>
      <c r="Z102" s="24">
        <v>80</v>
      </c>
      <c r="AA102" s="24">
        <v>15</v>
      </c>
      <c r="AB102" s="22">
        <v>493</v>
      </c>
      <c r="AC102" s="22">
        <f t="shared" si="63"/>
        <v>809</v>
      </c>
      <c r="AD102" s="23">
        <f t="shared" si="64"/>
        <v>1.6409736308316429</v>
      </c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32"/>
      <c r="BD102" s="32">
        <f t="shared" si="65"/>
        <v>0</v>
      </c>
      <c r="BE102" s="23">
        <v>0</v>
      </c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>
        <v>35</v>
      </c>
      <c r="BS102" s="24">
        <v>25</v>
      </c>
      <c r="BT102" s="24">
        <v>31</v>
      </c>
      <c r="BU102" s="24">
        <v>41</v>
      </c>
      <c r="BV102" s="24">
        <v>47</v>
      </c>
      <c r="BW102" s="24">
        <v>28</v>
      </c>
      <c r="BX102" s="24">
        <v>32</v>
      </c>
      <c r="BY102" s="24">
        <v>19</v>
      </c>
      <c r="BZ102" s="24">
        <v>24</v>
      </c>
      <c r="CA102" s="24">
        <v>38</v>
      </c>
      <c r="CB102" s="24">
        <v>61</v>
      </c>
      <c r="CC102" s="24">
        <v>9</v>
      </c>
      <c r="CD102" s="26">
        <v>264</v>
      </c>
      <c r="CE102" s="26">
        <v>320</v>
      </c>
      <c r="CF102" s="23">
        <f t="shared" si="71"/>
        <v>1.2121212121212122</v>
      </c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>
        <v>100</v>
      </c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>
        <v>1970</v>
      </c>
      <c r="DE102" s="18">
        <v>3410.3217049153236</v>
      </c>
      <c r="DF102" s="18">
        <f t="shared" si="67"/>
        <v>1970</v>
      </c>
      <c r="DG102" s="23">
        <f t="shared" si="68"/>
        <v>0.57765811277001333</v>
      </c>
      <c r="DH102" s="24">
        <v>15</v>
      </c>
      <c r="DI102" s="24">
        <v>47</v>
      </c>
      <c r="DJ102" s="24"/>
      <c r="DK102" s="24">
        <v>20</v>
      </c>
      <c r="DL102" s="24"/>
      <c r="DM102" s="24"/>
      <c r="DN102" s="24"/>
      <c r="DO102" s="24"/>
      <c r="DP102" s="24"/>
      <c r="DQ102" s="24"/>
      <c r="DR102" s="24"/>
      <c r="DS102" s="24"/>
      <c r="DT102" s="24">
        <v>30</v>
      </c>
      <c r="DU102" s="24">
        <v>170</v>
      </c>
      <c r="DV102" s="24">
        <v>0</v>
      </c>
      <c r="DW102" s="24">
        <v>85</v>
      </c>
      <c r="DX102" s="24">
        <v>0</v>
      </c>
      <c r="DY102" s="24">
        <v>50</v>
      </c>
      <c r="DZ102" s="24">
        <v>229</v>
      </c>
      <c r="EA102" s="24">
        <v>320</v>
      </c>
      <c r="EB102" s="24">
        <v>270</v>
      </c>
      <c r="EC102" s="24">
        <v>100</v>
      </c>
      <c r="ED102" s="24">
        <v>0</v>
      </c>
      <c r="EE102" s="24">
        <v>1145</v>
      </c>
      <c r="EF102" s="18">
        <v>934.67192017229695</v>
      </c>
      <c r="EG102" s="18">
        <v>1254</v>
      </c>
      <c r="EH102" s="23">
        <v>1.3416472378552233</v>
      </c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18"/>
      <c r="FH102" s="18"/>
      <c r="FI102" s="23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4"/>
      <c r="GI102" s="24"/>
      <c r="GJ102" s="23"/>
    </row>
    <row r="103" spans="1:192" s="14" customFormat="1" ht="32.25" customHeight="1">
      <c r="A103" s="9"/>
      <c r="B103" s="10" t="s">
        <v>11</v>
      </c>
      <c r="C103" s="11"/>
      <c r="D103" s="11"/>
      <c r="E103" s="11"/>
      <c r="F103" s="11"/>
      <c r="G103" s="12">
        <v>95</v>
      </c>
      <c r="H103" s="12">
        <v>53</v>
      </c>
      <c r="I103" s="12">
        <v>85</v>
      </c>
      <c r="J103" s="12">
        <v>254</v>
      </c>
      <c r="K103" s="12">
        <v>257</v>
      </c>
      <c r="L103" s="12">
        <v>252</v>
      </c>
      <c r="M103" s="12">
        <v>232</v>
      </c>
      <c r="N103" s="12">
        <v>287</v>
      </c>
      <c r="O103" s="12">
        <v>215</v>
      </c>
      <c r="P103" s="12">
        <v>206</v>
      </c>
      <c r="Q103" s="12">
        <v>186</v>
      </c>
      <c r="R103" s="12">
        <v>135</v>
      </c>
      <c r="S103" s="12">
        <v>107</v>
      </c>
      <c r="T103" s="12">
        <v>135</v>
      </c>
      <c r="U103" s="12">
        <v>188</v>
      </c>
      <c r="V103" s="12">
        <v>215</v>
      </c>
      <c r="W103" s="12">
        <v>310</v>
      </c>
      <c r="X103" s="12">
        <v>131</v>
      </c>
      <c r="Y103" s="12">
        <v>80</v>
      </c>
      <c r="Z103" s="12">
        <v>67</v>
      </c>
      <c r="AA103" s="12">
        <v>27</v>
      </c>
      <c r="AB103" s="12">
        <v>1099</v>
      </c>
      <c r="AC103" s="12">
        <f t="shared" si="63"/>
        <v>1787</v>
      </c>
      <c r="AD103" s="13">
        <f t="shared" si="64"/>
        <v>1.6260236578707916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>
        <f>+SUM(AQ104:AQ105)</f>
        <v>44</v>
      </c>
      <c r="AR103" s="12">
        <f t="shared" ref="AR103:BB103" si="92">+SUM(AR104:AR105)</f>
        <v>109</v>
      </c>
      <c r="AS103" s="12">
        <f t="shared" si="92"/>
        <v>89</v>
      </c>
      <c r="AT103" s="12">
        <f t="shared" si="92"/>
        <v>74</v>
      </c>
      <c r="AU103" s="12">
        <f t="shared" si="92"/>
        <v>62</v>
      </c>
      <c r="AV103" s="12">
        <f t="shared" si="92"/>
        <v>55</v>
      </c>
      <c r="AW103" s="12">
        <f t="shared" si="92"/>
        <v>43</v>
      </c>
      <c r="AX103" s="12">
        <f t="shared" si="92"/>
        <v>31</v>
      </c>
      <c r="AY103" s="12">
        <f t="shared" si="92"/>
        <v>64</v>
      </c>
      <c r="AZ103" s="12">
        <f t="shared" si="92"/>
        <v>23</v>
      </c>
      <c r="BA103" s="12">
        <f t="shared" si="92"/>
        <v>44</v>
      </c>
      <c r="BB103" s="12">
        <f t="shared" si="92"/>
        <v>28</v>
      </c>
      <c r="BC103" s="12">
        <v>604</v>
      </c>
      <c r="BD103" s="12">
        <f t="shared" si="65"/>
        <v>666</v>
      </c>
      <c r="BE103" s="13">
        <f t="shared" si="66"/>
        <v>1.1026490066225165</v>
      </c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>
        <v>170</v>
      </c>
      <c r="BS103" s="12">
        <v>90</v>
      </c>
      <c r="BT103" s="12">
        <v>116</v>
      </c>
      <c r="BU103" s="12">
        <v>102</v>
      </c>
      <c r="BV103" s="12">
        <v>146</v>
      </c>
      <c r="BW103" s="12">
        <v>124</v>
      </c>
      <c r="BX103" s="12">
        <v>113</v>
      </c>
      <c r="BY103" s="12">
        <v>122</v>
      </c>
      <c r="BZ103" s="12">
        <v>118</v>
      </c>
      <c r="CA103" s="12">
        <v>198</v>
      </c>
      <c r="CB103" s="12">
        <v>85</v>
      </c>
      <c r="CC103" s="12">
        <v>9</v>
      </c>
      <c r="CD103" s="12">
        <f t="shared" ref="CD103:CE103" si="93">+SUM(CD104:CD105)</f>
        <v>875</v>
      </c>
      <c r="CE103" s="12">
        <f t="shared" si="93"/>
        <v>1299</v>
      </c>
      <c r="CF103" s="13">
        <f t="shared" si="71"/>
        <v>1.4845714285714287</v>
      </c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>
        <v>200</v>
      </c>
      <c r="CT103" s="12">
        <v>400</v>
      </c>
      <c r="CU103" s="12">
        <v>297.8</v>
      </c>
      <c r="CV103" s="12">
        <v>300</v>
      </c>
      <c r="CW103" s="12">
        <v>700</v>
      </c>
      <c r="CX103" s="12">
        <v>600</v>
      </c>
      <c r="CY103" s="12">
        <v>1720.5049999999999</v>
      </c>
      <c r="CZ103" s="12">
        <v>1829.7404000000001</v>
      </c>
      <c r="DA103" s="12">
        <v>1648</v>
      </c>
      <c r="DB103" s="12">
        <v>900</v>
      </c>
      <c r="DC103" s="12">
        <v>0</v>
      </c>
      <c r="DD103" s="12">
        <v>0</v>
      </c>
      <c r="DE103" s="12">
        <v>8529.9609806503904</v>
      </c>
      <c r="DF103" s="12">
        <f t="shared" si="67"/>
        <v>8596.0454000000009</v>
      </c>
      <c r="DG103" s="13">
        <f t="shared" si="68"/>
        <v>1.0077473296184494</v>
      </c>
      <c r="DH103" s="12">
        <v>0</v>
      </c>
      <c r="DI103" s="12">
        <v>0</v>
      </c>
      <c r="DJ103" s="12">
        <v>100</v>
      </c>
      <c r="DK103" s="12">
        <v>188</v>
      </c>
      <c r="DL103" s="12">
        <v>96</v>
      </c>
      <c r="DM103" s="12">
        <v>0</v>
      </c>
      <c r="DN103" s="12">
        <v>140</v>
      </c>
      <c r="DO103" s="12">
        <v>170</v>
      </c>
      <c r="DP103" s="12">
        <v>190</v>
      </c>
      <c r="DQ103" s="12">
        <v>0</v>
      </c>
      <c r="DR103" s="12">
        <v>145</v>
      </c>
      <c r="DS103" s="12">
        <v>550</v>
      </c>
      <c r="DT103" s="12">
        <v>0</v>
      </c>
      <c r="DU103" s="12">
        <v>431</v>
      </c>
      <c r="DV103" s="12">
        <v>1055</v>
      </c>
      <c r="DW103" s="12">
        <v>0</v>
      </c>
      <c r="DX103" s="12">
        <v>183</v>
      </c>
      <c r="DY103" s="12">
        <v>227</v>
      </c>
      <c r="DZ103" s="12">
        <v>290</v>
      </c>
      <c r="EA103" s="12">
        <v>0</v>
      </c>
      <c r="EB103" s="12">
        <v>43</v>
      </c>
      <c r="EC103" s="12">
        <v>190</v>
      </c>
      <c r="ED103" s="12">
        <v>0</v>
      </c>
      <c r="EE103" s="12">
        <v>0</v>
      </c>
      <c r="EF103" s="12">
        <v>552.76243121101356</v>
      </c>
      <c r="EG103" s="12">
        <v>2419</v>
      </c>
      <c r="EH103" s="13">
        <v>4.3762018968987455</v>
      </c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>
        <f>+SUM(EU104:EU105)</f>
        <v>0</v>
      </c>
      <c r="EV103" s="12">
        <f t="shared" ref="EV103:FF103" si="94">+SUM(EV104:EV105)</f>
        <v>0</v>
      </c>
      <c r="EW103" s="12">
        <f t="shared" si="94"/>
        <v>0</v>
      </c>
      <c r="EX103" s="12">
        <f t="shared" si="94"/>
        <v>365</v>
      </c>
      <c r="EY103" s="12">
        <f t="shared" si="94"/>
        <v>350</v>
      </c>
      <c r="EZ103" s="12">
        <f t="shared" si="94"/>
        <v>200</v>
      </c>
      <c r="FA103" s="12">
        <f t="shared" si="94"/>
        <v>50</v>
      </c>
      <c r="FB103" s="12">
        <f t="shared" si="94"/>
        <v>150</v>
      </c>
      <c r="FC103" s="12">
        <f t="shared" si="94"/>
        <v>50</v>
      </c>
      <c r="FD103" s="12">
        <f t="shared" si="94"/>
        <v>0</v>
      </c>
      <c r="FE103" s="12">
        <f t="shared" si="94"/>
        <v>0</v>
      </c>
      <c r="FF103" s="12">
        <f t="shared" si="94"/>
        <v>0</v>
      </c>
      <c r="FG103" s="12">
        <v>0</v>
      </c>
      <c r="FH103" s="12">
        <v>1165</v>
      </c>
      <c r="FI103" s="13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2"/>
      <c r="GG103" s="11">
        <v>0</v>
      </c>
      <c r="GH103" s="12">
        <v>0</v>
      </c>
      <c r="GI103" s="12">
        <v>0</v>
      </c>
      <c r="GJ103" s="13"/>
    </row>
    <row r="104" spans="1:192" s="14" customFormat="1" ht="24.95" customHeight="1">
      <c r="A104" s="19">
        <f t="shared" si="14"/>
        <v>1</v>
      </c>
      <c r="B104" s="20" t="s">
        <v>92</v>
      </c>
      <c r="C104" s="21" t="s">
        <v>35</v>
      </c>
      <c r="D104" s="21"/>
      <c r="E104" s="21"/>
      <c r="F104" s="21"/>
      <c r="G104" s="24">
        <v>88</v>
      </c>
      <c r="H104" s="24">
        <v>49</v>
      </c>
      <c r="I104" s="24">
        <v>63</v>
      </c>
      <c r="J104" s="24">
        <v>157</v>
      </c>
      <c r="K104" s="24">
        <v>140</v>
      </c>
      <c r="L104" s="24">
        <v>144</v>
      </c>
      <c r="M104" s="24">
        <v>121</v>
      </c>
      <c r="N104" s="24">
        <v>182</v>
      </c>
      <c r="O104" s="24">
        <v>120</v>
      </c>
      <c r="P104" s="24">
        <v>171</v>
      </c>
      <c r="Q104" s="24">
        <v>105</v>
      </c>
      <c r="R104" s="24">
        <v>86</v>
      </c>
      <c r="S104" s="24">
        <v>42</v>
      </c>
      <c r="T104" s="24">
        <v>65</v>
      </c>
      <c r="U104" s="24">
        <v>78</v>
      </c>
      <c r="V104" s="24">
        <v>96</v>
      </c>
      <c r="W104" s="24">
        <v>223</v>
      </c>
      <c r="X104" s="24">
        <v>64</v>
      </c>
      <c r="Y104" s="24">
        <v>69</v>
      </c>
      <c r="Z104" s="24">
        <v>41</v>
      </c>
      <c r="AA104" s="24">
        <v>11</v>
      </c>
      <c r="AB104" s="22">
        <v>569</v>
      </c>
      <c r="AC104" s="22">
        <f t="shared" si="63"/>
        <v>1051</v>
      </c>
      <c r="AD104" s="23">
        <f t="shared" si="64"/>
        <v>1.8471001757469245</v>
      </c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>
        <v>15</v>
      </c>
      <c r="AR104" s="24">
        <v>52</v>
      </c>
      <c r="AS104" s="24">
        <v>44</v>
      </c>
      <c r="AT104" s="24">
        <v>41</v>
      </c>
      <c r="AU104" s="24">
        <v>40</v>
      </c>
      <c r="AV104" s="24">
        <v>27</v>
      </c>
      <c r="AW104" s="24">
        <v>14</v>
      </c>
      <c r="AX104" s="24">
        <v>10</v>
      </c>
      <c r="AY104" s="24">
        <v>43</v>
      </c>
      <c r="AZ104" s="24">
        <v>10</v>
      </c>
      <c r="BA104" s="24">
        <v>17</v>
      </c>
      <c r="BB104" s="24">
        <v>16</v>
      </c>
      <c r="BC104" s="32">
        <v>302</v>
      </c>
      <c r="BD104" s="32">
        <f t="shared" si="65"/>
        <v>329</v>
      </c>
      <c r="BE104" s="23">
        <f t="shared" si="66"/>
        <v>1.0894039735099337</v>
      </c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>
        <v>149</v>
      </c>
      <c r="BS104" s="24">
        <v>61</v>
      </c>
      <c r="BT104" s="24">
        <v>93</v>
      </c>
      <c r="BU104" s="24">
        <v>61</v>
      </c>
      <c r="BV104" s="24">
        <v>108</v>
      </c>
      <c r="BW104" s="24">
        <v>80</v>
      </c>
      <c r="BX104" s="24">
        <v>84</v>
      </c>
      <c r="BY104" s="24">
        <v>91</v>
      </c>
      <c r="BZ104" s="24">
        <v>92</v>
      </c>
      <c r="CA104" s="24">
        <v>134</v>
      </c>
      <c r="CB104" s="24">
        <v>3</v>
      </c>
      <c r="CC104" s="24">
        <v>1</v>
      </c>
      <c r="CD104" s="26">
        <v>538</v>
      </c>
      <c r="CE104" s="26">
        <v>1002</v>
      </c>
      <c r="CF104" s="23">
        <f t="shared" si="71"/>
        <v>1.8624535315985129</v>
      </c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>
        <v>200</v>
      </c>
      <c r="CT104" s="24">
        <v>200</v>
      </c>
      <c r="CU104" s="24">
        <v>100</v>
      </c>
      <c r="CV104" s="24"/>
      <c r="CW104" s="24">
        <v>200</v>
      </c>
      <c r="CX104" s="24">
        <v>200</v>
      </c>
      <c r="CY104" s="24">
        <v>300</v>
      </c>
      <c r="CZ104" s="24">
        <v>804.28440000000001</v>
      </c>
      <c r="DA104" s="24">
        <v>1200</v>
      </c>
      <c r="DB104" s="24">
        <v>800</v>
      </c>
      <c r="DC104" s="24"/>
      <c r="DD104" s="24"/>
      <c r="DE104" s="18">
        <v>3992.8548861496579</v>
      </c>
      <c r="DF104" s="18">
        <f t="shared" si="67"/>
        <v>4004.2844</v>
      </c>
      <c r="DG104" s="23">
        <f t="shared" si="68"/>
        <v>1.0028624916698046</v>
      </c>
      <c r="DH104" s="24"/>
      <c r="DI104" s="24"/>
      <c r="DJ104" s="24">
        <v>100</v>
      </c>
      <c r="DK104" s="24">
        <v>188</v>
      </c>
      <c r="DL104" s="24">
        <v>96</v>
      </c>
      <c r="DM104" s="24"/>
      <c r="DN104" s="24">
        <v>140</v>
      </c>
      <c r="DO104" s="24">
        <v>170</v>
      </c>
      <c r="DP104" s="24">
        <v>190</v>
      </c>
      <c r="DQ104" s="24"/>
      <c r="DR104" s="24">
        <v>110</v>
      </c>
      <c r="DS104" s="24">
        <v>482</v>
      </c>
      <c r="DT104" s="24">
        <v>0</v>
      </c>
      <c r="DU104" s="24">
        <v>50</v>
      </c>
      <c r="DV104" s="24">
        <v>200</v>
      </c>
      <c r="DW104" s="24">
        <v>0</v>
      </c>
      <c r="DX104" s="24">
        <v>183</v>
      </c>
      <c r="DY104" s="24">
        <v>127</v>
      </c>
      <c r="DZ104" s="24">
        <v>90</v>
      </c>
      <c r="EA104" s="24">
        <v>0</v>
      </c>
      <c r="EB104" s="24">
        <v>43</v>
      </c>
      <c r="EC104" s="24">
        <v>90</v>
      </c>
      <c r="ED104" s="24">
        <v>0</v>
      </c>
      <c r="EE104" s="24">
        <v>0</v>
      </c>
      <c r="EF104" s="18">
        <v>353.52749360740575</v>
      </c>
      <c r="EG104" s="18">
        <v>783</v>
      </c>
      <c r="EH104" s="23">
        <v>2.2148206692787689</v>
      </c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18">
        <v>0</v>
      </c>
      <c r="FH104" s="18">
        <v>200</v>
      </c>
      <c r="FI104" s="23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4"/>
      <c r="GI104" s="24"/>
      <c r="GJ104" s="23"/>
    </row>
    <row r="105" spans="1:192" s="14" customFormat="1" ht="24.95" customHeight="1">
      <c r="A105" s="19">
        <f t="shared" si="14"/>
        <v>2</v>
      </c>
      <c r="B105" s="20" t="s">
        <v>82</v>
      </c>
      <c r="C105" s="21" t="s">
        <v>36</v>
      </c>
      <c r="D105" s="21"/>
      <c r="E105" s="21"/>
      <c r="F105" s="21"/>
      <c r="G105" s="24">
        <v>7</v>
      </c>
      <c r="H105" s="24">
        <v>4</v>
      </c>
      <c r="I105" s="24">
        <v>22</v>
      </c>
      <c r="J105" s="24">
        <v>97</v>
      </c>
      <c r="K105" s="24">
        <v>117</v>
      </c>
      <c r="L105" s="24">
        <v>108</v>
      </c>
      <c r="M105" s="24">
        <v>111</v>
      </c>
      <c r="N105" s="24">
        <v>105</v>
      </c>
      <c r="O105" s="24">
        <v>95</v>
      </c>
      <c r="P105" s="24">
        <v>35</v>
      </c>
      <c r="Q105" s="24">
        <v>81</v>
      </c>
      <c r="R105" s="24">
        <v>49</v>
      </c>
      <c r="S105" s="24">
        <v>65</v>
      </c>
      <c r="T105" s="24">
        <v>70</v>
      </c>
      <c r="U105" s="24">
        <v>110</v>
      </c>
      <c r="V105" s="24">
        <v>119</v>
      </c>
      <c r="W105" s="24">
        <v>87</v>
      </c>
      <c r="X105" s="24">
        <v>67</v>
      </c>
      <c r="Y105" s="24">
        <v>11</v>
      </c>
      <c r="Z105" s="24">
        <v>26</v>
      </c>
      <c r="AA105" s="24">
        <v>16</v>
      </c>
      <c r="AB105" s="22">
        <v>530</v>
      </c>
      <c r="AC105" s="22">
        <f t="shared" si="63"/>
        <v>736</v>
      </c>
      <c r="AD105" s="23">
        <f t="shared" si="64"/>
        <v>1.3886792452830188</v>
      </c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>
        <v>29</v>
      </c>
      <c r="AR105" s="24">
        <v>57</v>
      </c>
      <c r="AS105" s="24">
        <v>45</v>
      </c>
      <c r="AT105" s="24">
        <v>33</v>
      </c>
      <c r="AU105" s="24">
        <v>22</v>
      </c>
      <c r="AV105" s="24">
        <v>28</v>
      </c>
      <c r="AW105" s="24">
        <v>29</v>
      </c>
      <c r="AX105" s="24">
        <v>21</v>
      </c>
      <c r="AY105" s="24">
        <v>21</v>
      </c>
      <c r="AZ105" s="24">
        <v>13</v>
      </c>
      <c r="BA105" s="24">
        <v>27</v>
      </c>
      <c r="BB105" s="24">
        <v>12</v>
      </c>
      <c r="BC105" s="32">
        <v>302</v>
      </c>
      <c r="BD105" s="32">
        <f t="shared" si="65"/>
        <v>337</v>
      </c>
      <c r="BE105" s="23">
        <f t="shared" si="66"/>
        <v>1.1158940397350994</v>
      </c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>
        <v>21</v>
      </c>
      <c r="BS105" s="24">
        <v>29</v>
      </c>
      <c r="BT105" s="24">
        <v>23</v>
      </c>
      <c r="BU105" s="24">
        <v>41</v>
      </c>
      <c r="BV105" s="24">
        <v>38</v>
      </c>
      <c r="BW105" s="24">
        <v>44</v>
      </c>
      <c r="BX105" s="24">
        <v>29</v>
      </c>
      <c r="BY105" s="24">
        <v>31</v>
      </c>
      <c r="BZ105" s="24">
        <v>26</v>
      </c>
      <c r="CA105" s="24">
        <v>64</v>
      </c>
      <c r="CB105" s="24">
        <v>82</v>
      </c>
      <c r="CC105" s="24">
        <v>8</v>
      </c>
      <c r="CD105" s="26">
        <v>337</v>
      </c>
      <c r="CE105" s="26">
        <v>297</v>
      </c>
      <c r="CF105" s="23">
        <f t="shared" si="71"/>
        <v>0.88130563798219586</v>
      </c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>
        <v>200</v>
      </c>
      <c r="CU105" s="24">
        <v>197.8</v>
      </c>
      <c r="CV105" s="24">
        <v>300</v>
      </c>
      <c r="CW105" s="24">
        <v>500</v>
      </c>
      <c r="CX105" s="24">
        <v>400</v>
      </c>
      <c r="CY105" s="24">
        <v>1420.5049999999999</v>
      </c>
      <c r="CZ105" s="24">
        <v>1025.4560000000001</v>
      </c>
      <c r="DA105" s="24">
        <v>448</v>
      </c>
      <c r="DB105" s="24">
        <v>100</v>
      </c>
      <c r="DC105" s="24"/>
      <c r="DD105" s="24"/>
      <c r="DE105" s="18">
        <v>4537.1060945007321</v>
      </c>
      <c r="DF105" s="18">
        <f t="shared" si="67"/>
        <v>4591.7610000000004</v>
      </c>
      <c r="DG105" s="23">
        <f t="shared" si="68"/>
        <v>1.0120462039813249</v>
      </c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>
        <v>35</v>
      </c>
      <c r="DS105" s="24">
        <v>68</v>
      </c>
      <c r="DT105" s="24">
        <v>0</v>
      </c>
      <c r="DU105" s="24">
        <v>381</v>
      </c>
      <c r="DV105" s="24">
        <v>855</v>
      </c>
      <c r="DW105" s="24">
        <v>0</v>
      </c>
      <c r="DX105" s="24">
        <v>0</v>
      </c>
      <c r="DY105" s="24">
        <v>100</v>
      </c>
      <c r="DZ105" s="24">
        <v>200</v>
      </c>
      <c r="EA105" s="24">
        <v>0</v>
      </c>
      <c r="EB105" s="24">
        <v>0</v>
      </c>
      <c r="EC105" s="24">
        <v>100</v>
      </c>
      <c r="ED105" s="24">
        <v>0</v>
      </c>
      <c r="EE105" s="24">
        <v>0</v>
      </c>
      <c r="EF105" s="18">
        <v>199.23493760360782</v>
      </c>
      <c r="EG105" s="18">
        <v>1636</v>
      </c>
      <c r="EH105" s="23">
        <v>8.2114112096892331</v>
      </c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>
        <v>365</v>
      </c>
      <c r="EY105" s="24">
        <v>350</v>
      </c>
      <c r="EZ105" s="24">
        <v>200</v>
      </c>
      <c r="FA105" s="24">
        <v>50</v>
      </c>
      <c r="FB105" s="24">
        <v>150</v>
      </c>
      <c r="FC105" s="24">
        <v>50</v>
      </c>
      <c r="FD105" s="24"/>
      <c r="FE105" s="24"/>
      <c r="FF105" s="24"/>
      <c r="FG105" s="18">
        <v>0</v>
      </c>
      <c r="FH105" s="18">
        <v>965</v>
      </c>
      <c r="FI105" s="23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4"/>
      <c r="GI105" s="24"/>
      <c r="GJ105" s="23"/>
    </row>
  </sheetData>
  <autoFilter ref="A5:GJ105"/>
  <mergeCells count="32">
    <mergeCell ref="A1:GJ1"/>
    <mergeCell ref="C2:C4"/>
    <mergeCell ref="B2:B4"/>
    <mergeCell ref="A2:A4"/>
    <mergeCell ref="D3:O3"/>
    <mergeCell ref="P3:AA3"/>
    <mergeCell ref="D2:AD2"/>
    <mergeCell ref="AB3:AD3"/>
    <mergeCell ref="AE3:AP3"/>
    <mergeCell ref="AQ3:BB3"/>
    <mergeCell ref="BC3:BE3"/>
    <mergeCell ref="AE2:BE2"/>
    <mergeCell ref="BF3:BQ3"/>
    <mergeCell ref="BR3:CC3"/>
    <mergeCell ref="BF2:CF2"/>
    <mergeCell ref="CD3:CF3"/>
    <mergeCell ref="CG3:CR3"/>
    <mergeCell ref="CS3:DD3"/>
    <mergeCell ref="CG2:DG2"/>
    <mergeCell ref="DE3:DG3"/>
    <mergeCell ref="EF3:EH3"/>
    <mergeCell ref="FG3:FI3"/>
    <mergeCell ref="FJ2:GJ2"/>
    <mergeCell ref="EI2:FI2"/>
    <mergeCell ref="DH2:EH2"/>
    <mergeCell ref="GH3:GJ3"/>
    <mergeCell ref="DH3:DS3"/>
    <mergeCell ref="DT3:EE3"/>
    <mergeCell ref="EI3:ET3"/>
    <mergeCell ref="EU3:FF3"/>
    <mergeCell ref="FJ3:FU3"/>
    <mergeCell ref="FV3:GG3"/>
  </mergeCells>
  <conditionalFormatting sqref="DE7:DF10 DE34:DF43">
    <cfRule type="cellIs" dxfId="13" priority="77" operator="equal">
      <formula>0</formula>
    </cfRule>
  </conditionalFormatting>
  <conditionalFormatting sqref="DE15:DF17">
    <cfRule type="cellIs" dxfId="12" priority="63" operator="equal">
      <formula>0</formula>
    </cfRule>
  </conditionalFormatting>
  <conditionalFormatting sqref="DE19:DF20">
    <cfRule type="cellIs" dxfId="11" priority="69" operator="equal">
      <formula>0</formula>
    </cfRule>
  </conditionalFormatting>
  <conditionalFormatting sqref="DE22:DF32">
    <cfRule type="cellIs" dxfId="10" priority="127" operator="equal">
      <formula>0</formula>
    </cfRule>
  </conditionalFormatting>
  <conditionalFormatting sqref="DE45:DF63">
    <cfRule type="cellIs" dxfId="9" priority="23" operator="equal">
      <formula>0</formula>
    </cfRule>
  </conditionalFormatting>
  <conditionalFormatting sqref="DE65:DF68">
    <cfRule type="cellIs" dxfId="8" priority="107" operator="equal">
      <formula>0</formula>
    </cfRule>
  </conditionalFormatting>
  <conditionalFormatting sqref="DE70:DF70">
    <cfRule type="cellIs" dxfId="7" priority="75" operator="equal">
      <formula>0</formula>
    </cfRule>
  </conditionalFormatting>
  <conditionalFormatting sqref="DE72:DF72">
    <cfRule type="cellIs" dxfId="6" priority="115" operator="equal">
      <formula>0</formula>
    </cfRule>
  </conditionalFormatting>
  <conditionalFormatting sqref="DE74:DF74">
    <cfRule type="cellIs" dxfId="5" priority="121" operator="equal">
      <formula>0</formula>
    </cfRule>
  </conditionalFormatting>
  <conditionalFormatting sqref="DE75:DF78">
    <cfRule type="cellIs" dxfId="4" priority="117" operator="equal">
      <formula>0</formula>
    </cfRule>
  </conditionalFormatting>
  <conditionalFormatting sqref="DE84:DF89">
    <cfRule type="cellIs" dxfId="3" priority="9" operator="equal">
      <formula>0</formula>
    </cfRule>
  </conditionalFormatting>
  <conditionalFormatting sqref="DE91:DF91">
    <cfRule type="cellIs" dxfId="2" priority="7" operator="equal">
      <formula>0</formula>
    </cfRule>
  </conditionalFormatting>
  <conditionalFormatting sqref="DE102:DF102">
    <cfRule type="cellIs" dxfId="1" priority="5" operator="equal">
      <formula>0</formula>
    </cfRule>
  </conditionalFormatting>
  <conditionalFormatting sqref="DE104:DF105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0" fitToHeight="1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Филиал</vt:lpstr>
      <vt:lpstr>Филиал!Заголовки_для_печати</vt:lpstr>
      <vt:lpstr>Филиал!Область_печати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USER</cp:lastModifiedBy>
  <cp:lastPrinted>2025-01-09T05:27:34Z</cp:lastPrinted>
  <dcterms:created xsi:type="dcterms:W3CDTF">2017-12-21T11:54:16Z</dcterms:created>
  <dcterms:modified xsi:type="dcterms:W3CDTF">2025-12-25T18:45:34Z</dcterms:modified>
</cp:coreProperties>
</file>