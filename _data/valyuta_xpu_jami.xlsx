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198EC6E9-69C0-4648-A055-C7527FA88BFE}" xr6:coauthVersionLast="47" xr6:coauthVersionMax="47" xr10:uidLastSave="{00000000-0000-0000-0000-000000000000}"/>
  <bookViews>
    <workbookView xWindow="-110" yWindow="-110" windowWidth="19420" windowHeight="11500" firstSheet="7" activeTab="10" xr2:uid="{3ECF2BCF-EF13-40F0-8EF1-33DB7F61859D}"/>
  </bookViews>
  <sheets>
    <sheet name="ХПУ тури" sheetId="2" r:id="rId1"/>
    <sheet name="Банк кесими" sheetId="3" r:id="rId2"/>
    <sheet name="ҳудуд кесими" sheetId="5" r:id="rId3"/>
    <sheet name="филиал кес." sheetId="6" r:id="rId4"/>
    <sheet name="валюта кес." sheetId="7" r:id="rId5"/>
    <sheet name="давлатлар кес." sheetId="9" r:id="rId6"/>
    <sheet name="топ банк филиал" sheetId="11" r:id="rId7"/>
    <sheet name="топ давлатлар" sheetId="10" r:id="rId8"/>
    <sheet name="норезидент" sheetId="13" r:id="rId9"/>
    <sheet name="ойлар кес." sheetId="16" r:id="rId10"/>
    <sheet name="тоифа " sheetId="19" r:id="rId11"/>
    <sheet name="Валюта градация" sheetId="21" r:id="rId12"/>
  </sheets>
  <externalReferences>
    <externalReference r:id="rId13"/>
  </externalReferences>
  <definedNames>
    <definedName name="_xlnm._FilterDatabase" localSheetId="1" hidden="1">'Банк кесими'!$B$4:$X$22</definedName>
    <definedName name="_xlnm._FilterDatabase" localSheetId="5" hidden="1">'давлатлар кес.'!$A$4:$M$166</definedName>
    <definedName name="_xlnm._FilterDatabase" localSheetId="10" hidden="1">'тоифа '!$A$1:$X$1</definedName>
    <definedName name="_xlnm._FilterDatabase" localSheetId="6" hidden="1">'топ банк филиал'!$A$4:$X$23</definedName>
    <definedName name="_xlnm._FilterDatabase" localSheetId="7" hidden="1">'топ давлатлар'!$A$4:$N$12</definedName>
    <definedName name="_xlnm._FilterDatabase" localSheetId="3" hidden="1">'филиал кес.'!$A$4:$W$124</definedName>
    <definedName name="_xlnm._FilterDatabase" localSheetId="0" hidden="1">'ХПУ тури'!$A$4:$W$4</definedName>
    <definedName name="Recover">[1]Macro1!$A$138</definedName>
    <definedName name="TableName">"Dummy"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5" l="1"/>
  <c r="E6" i="13"/>
  <c r="E5" i="13"/>
  <c r="E12" i="10"/>
  <c r="E11" i="10"/>
  <c r="E10" i="10"/>
  <c r="E9" i="10"/>
  <c r="E8" i="10"/>
  <c r="E7" i="10"/>
  <c r="E6" i="10"/>
  <c r="E5" i="10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</calcChain>
</file>

<file path=xl/sharedStrings.xml><?xml version="1.0" encoding="utf-8"?>
<sst xmlns="http://schemas.openxmlformats.org/spreadsheetml/2006/main" count="1064" uniqueCount="525">
  <si>
    <t>ЧИНОЗ ТУМАНИ</t>
  </si>
  <si>
    <t>Юборилган</t>
  </si>
  <si>
    <t>Золотая Корона</t>
  </si>
  <si>
    <t>ЧИНОЗ Т., `ТУРОНБАНК` АТБ ЧИНОЗ БХО</t>
  </si>
  <si>
    <t>10714</t>
  </si>
  <si>
    <t>"ТУРОНБАНК" АТ БАНКИ</t>
  </si>
  <si>
    <t>Доллар США</t>
  </si>
  <si>
    <t>ОХАНГАРОН ТУМАНИ</t>
  </si>
  <si>
    <t>Western Union</t>
  </si>
  <si>
    <t>ОХАНГАРОН Т., `ТУРОНБАНК` АТБ ОХАНГАРОН БХО</t>
  </si>
  <si>
    <t>10715</t>
  </si>
  <si>
    <t>БЕКОБОД ТУМАНИ</t>
  </si>
  <si>
    <t>БЕКОБОД Т., `ТУРОНБАНК` АТБ `BEKOBOD` БХО</t>
  </si>
  <si>
    <t>12228</t>
  </si>
  <si>
    <t>ЗАНГИОТА ТУМАНИ</t>
  </si>
  <si>
    <t>ЗАНГИОТА Т., `ТУРОНБАНК` АТБ ЗАНГИОТА БХМ</t>
  </si>
  <si>
    <t>КИБРАЙ ТУМАНИ</t>
  </si>
  <si>
    <t>КИБРАЙ Т., "INVEST FINANCE BANK" АЖ ТОШКЕНТ ВИЛОЯТ ФИЛИАЛИ</t>
  </si>
  <si>
    <t>01056</t>
  </si>
  <si>
    <t>"INVEST FINANCE BANK" АЖ</t>
  </si>
  <si>
    <t>MoneyGram</t>
  </si>
  <si>
    <t>ЧИРЧИК ШАХРИ</t>
  </si>
  <si>
    <t>ЧИРЧИК Ш., "ИПОТЕКА-БАНК" АТИБ ЧИРЧИК ФИЛИАЛИ</t>
  </si>
  <si>
    <t>00478</t>
  </si>
  <si>
    <t>"ИПОТЕКА-БАНК" АТИ БАНКИ</t>
  </si>
  <si>
    <t>Сум (для междунар.расчетов код 860)</t>
  </si>
  <si>
    <t>АНГРЕН ШАХРИ</t>
  </si>
  <si>
    <t>АНГРЕН Ш., "ИПОТЕКА-БАНК" АТИБ АНГРЕН ФИЛИАЛИ</t>
  </si>
  <si>
    <t>00461</t>
  </si>
  <si>
    <t>ОХАНГАРОН Т., "ИПОТЕКА-БАНК" АТИБ ОХАНГАРОН ФИЛИАЛИ</t>
  </si>
  <si>
    <t>00487</t>
  </si>
  <si>
    <t>БУСТОНЛИК ТУМАНИ</t>
  </si>
  <si>
    <t>БУСТОНЛИК Т., `ГАРАНТ БАНК` АЖ ГАЗАЛКЕНТ БХО</t>
  </si>
  <si>
    <t>12090</t>
  </si>
  <si>
    <t>"ГАРАНТ БАНК" АЖ</t>
  </si>
  <si>
    <t>KwikPAY</t>
  </si>
  <si>
    <t>ЗАГИОТА Т., `ГАРАНТ БАНК` АЖ ЗАНГИОТА БХО</t>
  </si>
  <si>
    <t>12091</t>
  </si>
  <si>
    <t>UPT</t>
  </si>
  <si>
    <t>КИБРАЙ Т., `ГАРАНТ БАНК` АЖ КИБРАЙ БХО</t>
  </si>
  <si>
    <t>12097</t>
  </si>
  <si>
    <t>КУЙИЧИРЧИК ТУМАНИ</t>
  </si>
  <si>
    <t>КУЙИЧИРЧИК Т., "АГРОБАНК" АТБ КУЙИЧИРЧИК ФИЛИАЛИ</t>
  </si>
  <si>
    <t>00474</t>
  </si>
  <si>
    <t>"АГРОБАНК" АТБ</t>
  </si>
  <si>
    <t>БЕКОБОД ШАХРИ</t>
  </si>
  <si>
    <t>БЕКОБОД Ш., АТ `АЛОКАБАНК` БЕКОБОД КХКМ</t>
  </si>
  <si>
    <t>10508</t>
  </si>
  <si>
    <t>АТ "АЛОКАБАНК"</t>
  </si>
  <si>
    <t>УРТАЧИРЧИК ТУМАНИ</t>
  </si>
  <si>
    <t>УРТАЧИРЧИК Т., АТ `АЛОКАБАНК` УРТАЧИРЧИК КХКМ</t>
  </si>
  <si>
    <t>10510</t>
  </si>
  <si>
    <t>ТОШКЕНТ ТУМАНИ</t>
  </si>
  <si>
    <t>ТОШКЕНТ Т., АТ `АЛОКАБАНК` КЕЛЕС КХКМ</t>
  </si>
  <si>
    <t>10502</t>
  </si>
  <si>
    <t>БУСТОНЛИК Т., `ТИФ МИЛЛИЙ БАНКИ` АЖ ГАЗАЛКЕНТ БХМ</t>
  </si>
  <si>
    <t>11183</t>
  </si>
  <si>
    <t>"ТИФ МИЛЛИЙ БАНКИ" АЖ</t>
  </si>
  <si>
    <t>НУРАФШОН ШАХРИ</t>
  </si>
  <si>
    <t>НУРАФШОН Ш., `ТИФ МИЛЛИЙ БАНКИ` АЖ НУРАФШОН АМАЛИЁТ БХМ</t>
  </si>
  <si>
    <t>11253</t>
  </si>
  <si>
    <t>ЯНГИЙУЛ ШАХРИ</t>
  </si>
  <si>
    <t>ЯНГИЙУЛ Ш., `ТИФ МИЛЛИЙ БАНКИ` АЖ ЯНГИЙУЛ БХМ</t>
  </si>
  <si>
    <t>11255</t>
  </si>
  <si>
    <t>БЕКОБОД Ш., `ТИФ МИЛЛИЙ БАНКИ` АЖ БЕКОБОД БХМ</t>
  </si>
  <si>
    <t>11256</t>
  </si>
  <si>
    <t>Банковские переводы</t>
  </si>
  <si>
    <t>Российский рубль</t>
  </si>
  <si>
    <t>ОЛМАЛИК ШАХРИ</t>
  </si>
  <si>
    <t>ОЛМАЛИК Ш., `ТИФ МИЛЛИЙ БАНКИ` АЖ `OYDIN` БХО</t>
  </si>
  <si>
    <t>12174</t>
  </si>
  <si>
    <t>ЧИРЧИК Ш., `ТИФ МИЛЛИЙ БАНКИ` АЖ ЧИРЧИК БХМ</t>
  </si>
  <si>
    <t>11141</t>
  </si>
  <si>
    <t>ОЛМАЛИК Ш., `ТИФ МИЛЛИЙ БАНКИ` АЖ ОЛМАЛИК БХМ</t>
  </si>
  <si>
    <t>11142</t>
  </si>
  <si>
    <t>НУРАФШОН Ш., "АГРОБАНК" АТБ ТОШКЕНТ ВИЛОЯТ ХУДУДИЙ ФИЛИАЛИ</t>
  </si>
  <si>
    <t>00475</t>
  </si>
  <si>
    <t>ПСКЕНТ ТУМАНИ</t>
  </si>
  <si>
    <t>ПСКЕНТ Т., "АГРОБАНК" АТБ ПСКЕНТ ФИЛИАЛИ</t>
  </si>
  <si>
    <t>00472</t>
  </si>
  <si>
    <t>БЕКОБОД Т., "АГРОБАНК" АТБ БЕКОБОД ФИЛИАЛИ</t>
  </si>
  <si>
    <t>00468</t>
  </si>
  <si>
    <t>ЗАНГИОТА Т., "ИПОТЕКА-БАНК" АТИБ ЗАНГИОТА ФИЛИАЛИ</t>
  </si>
  <si>
    <t>01130</t>
  </si>
  <si>
    <t>ЗАНГИОТА Т., "INVEST FINANCE BANK" АЖ ЗАНГИОТА ФИЛИАЛИ</t>
  </si>
  <si>
    <t>01080</t>
  </si>
  <si>
    <t>ЧИНОЗ Т., ЧЕТ ЭЛ КАП ИШТИРОК `HAMKORBANK` АТБ ЧИНОЗ УНИВЕРСАЛ БХО</t>
  </si>
  <si>
    <t>11443</t>
  </si>
  <si>
    <t>ЧЭКИ "HAMKORBANK" АТ БАНКИ</t>
  </si>
  <si>
    <t>ЯНГИЙУЛ Ш., ЧЕТ ЭЛ КАП ИШТИРОК `HAMKORBANK` АТБ ЯНГИЙУЛ УНИВЕРСАЛ БХО</t>
  </si>
  <si>
    <t>11444</t>
  </si>
  <si>
    <t>Евро</t>
  </si>
  <si>
    <t>ОЛМАЛИК Ш., ЧЕТ ЭЛ КАП ИШТИРОК `HAMKORBANK` АТБ ОЛМАЛИК УНИВЕРСАЛ БХО</t>
  </si>
  <si>
    <t>11445</t>
  </si>
  <si>
    <t>АНГРЕН Ш., ЧЕТ ЭЛ КАП ИШТИРОК `HAMKORBANK` АТБ АНГРЕН УНИВЕРСАЛ БХО</t>
  </si>
  <si>
    <t>11446</t>
  </si>
  <si>
    <t>ЧИРЧИК Ш., ЧЕТ ЭЛ КАП ИШТИРОК `HAMKORBANK` АТБ ЧИРЧИК УНИВЕРСАЛ БХО</t>
  </si>
  <si>
    <t>11447</t>
  </si>
  <si>
    <t>НУРАФШОН Ш., ЧЕТ ЭЛ КАП ИШТИРОК `HAMKORBANK` АТБ НУРАФШОН УНИВЕРСАЛ БХО</t>
  </si>
  <si>
    <t>11448</t>
  </si>
  <si>
    <t>ЯНГИЙУЛ Ш., "БИЗНЕСНИ РИВОЖЛАНТИРИШ БАНКИ" АТБ ЯНГИЙУЛ БХМ</t>
  </si>
  <si>
    <t>10820</t>
  </si>
  <si>
    <t>"БИЗНЕСНИ РИВОЖЛАНТИРИШ БАНКИ" АТБ</t>
  </si>
  <si>
    <t>НУРАФШОН Ш., "БИЗНЕСНИ РИВОЖЛАНТИРИШ БАНКИ" АТБ НУРАФШОН БХО</t>
  </si>
  <si>
    <t>10818</t>
  </si>
  <si>
    <t>ОХАНГАРОН ШАХРИ</t>
  </si>
  <si>
    <t>ОХАНГАРОН Ш., "БИЗНЕСНИ РИВОЖЛАНТИРИШ БАНКИ" АТБ ОХАНГАРОН БХМ</t>
  </si>
  <si>
    <t>10819</t>
  </si>
  <si>
    <t>БЕКОБОД Т., `БИЗНЕСНИ РИВОЖЛАНТИРИШ БАНКИ` АТБ `ZAFAR` 2-ТОИФАЛИ БХМ</t>
  </si>
  <si>
    <t>12213</t>
  </si>
  <si>
    <t>БУСТОНЛИК Т., "БИЗНЕСНИ РИВОЖЛАНТИРИШ БАНКИ" АТБ "ГАЗАЛКЕНТ" 2-ТОИФАЛИ БХМ</t>
  </si>
  <si>
    <t>12129</t>
  </si>
  <si>
    <t>ПАРКЕНТ ТУМАНИ</t>
  </si>
  <si>
    <t>ПАРКЕНТ Т., `МИКРОКРЕДИТБАНК` АТБ ПАРКЕНТ БХО</t>
  </si>
  <si>
    <t>11785</t>
  </si>
  <si>
    <t>"МИКРОКРЕДИТБАНК" АТ БАНКИ</t>
  </si>
  <si>
    <t>НУРАФШОН Ш., `МИКРОКРЕДИТБАНК` АТБ НУРАФШОН БХО</t>
  </si>
  <si>
    <t>11786</t>
  </si>
  <si>
    <t>ПСКЕНТ Т., `МИКРОКРЕДИТБАНК` АТБ ПИСКЕНТ БХО</t>
  </si>
  <si>
    <t>11787</t>
  </si>
  <si>
    <t>ТОШКЕНТ Т., "МИКРОКРЕДИТБАНК" АТБ КЕЛЕС БХО</t>
  </si>
  <si>
    <t>11943</t>
  </si>
  <si>
    <t>ЧИРЧИК Ш., `МИКРОКРЕДИТБАНК` АТБ ЧИРЧИК БХМ</t>
  </si>
  <si>
    <t>10443</t>
  </si>
  <si>
    <t>ЮКОРИЧИРЧИК ТУМАНИ</t>
  </si>
  <si>
    <t>ЮКОРИЧИРЧИК Т., `МИКРОКРЕДИТБАНК` АТБ ЮКОРИ ЧИРЧИК БХМ</t>
  </si>
  <si>
    <t>10447</t>
  </si>
  <si>
    <t>ОККУРГОН ТУМАНИ</t>
  </si>
  <si>
    <t>ОККУРГОН Т., `МИКРОКРЕДИТБАНК` АТБ ОККУРГОН БХО</t>
  </si>
  <si>
    <t>11412</t>
  </si>
  <si>
    <t>БУСТОНЛИК Т., `МИКРОКРЕДИТБАНК` АТБ ГАЗАЛКЕНТ БХО</t>
  </si>
  <si>
    <t>11413</t>
  </si>
  <si>
    <t>БУКА ТУМАНИ</t>
  </si>
  <si>
    <t>БУКА Т., `УЗСАНОАТКУРИЛИШБАНКИ` АТБ БУКА БХМ</t>
  </si>
  <si>
    <t>10792</t>
  </si>
  <si>
    <t>"УЗСАНОАТКУРИЛИШБАНКИ" АТ БАНКИ</t>
  </si>
  <si>
    <t>ПСКЕНТ Т., `УЗСАНОАТКУРИЛИШБАНКИ` АТБ ПИСКЕНТ БХМ</t>
  </si>
  <si>
    <t>10793</t>
  </si>
  <si>
    <t>АНГРЕН Ш., `УЗСАНОАТКУРИЛИШБАНКИ` АТБ АНГРЕН БХМ</t>
  </si>
  <si>
    <t>11199</t>
  </si>
  <si>
    <t>ОЛМАЛИК Ш., `УЗСАНОАТКУРИЛИШБАНКИ` АТБ ОЛМАЛИК БХМ</t>
  </si>
  <si>
    <t>11200</t>
  </si>
  <si>
    <t>ЧИРЧИК Ш., `УЗСАНОАТКУРИЛИШБАНКИ` АТБ ЧИРЧИК БХМ</t>
  </si>
  <si>
    <t>11201</t>
  </si>
  <si>
    <t>КИБРАЙ Т., `УЗСАНОАТКУРИЛИШБАНКИ` АТБ КИБРАЙ БХМ</t>
  </si>
  <si>
    <t>11202</t>
  </si>
  <si>
    <t>БЕКОБОД Ш., `УЗСАНОАТКУРИЛИШБАНКИ` АТБ БЕКОБОД БХМ</t>
  </si>
  <si>
    <t>11203</t>
  </si>
  <si>
    <t>НУРАФШОН Ш., `УЗСАНОАТКУРИЛИШБАНКИ` АТБ ТОШКЕНТ ВИЛОЯТИ БХО</t>
  </si>
  <si>
    <t>11198</t>
  </si>
  <si>
    <t>КУЙИЧИРЧИК Т., "ИПОТЕКА-БАНК" АТИБ ДУСТОБОД ФИЛИАЛИ</t>
  </si>
  <si>
    <t>01170</t>
  </si>
  <si>
    <t>ЧИНОЗ Т., "ИПОТЕКА-БАНК" АТИБ ЧИНОЗ ФИЛИАЛИ</t>
  </si>
  <si>
    <t>01039</t>
  </si>
  <si>
    <t>БЕКОБОД Ш., "ИПОТЕКА-БАНК" АТИБ БЕКОБОД ФИЛИАЛИ</t>
  </si>
  <si>
    <t>00489</t>
  </si>
  <si>
    <t>БУКА Т., "АГРОБАНК" АТБ БУКА ФИЛИАЛИ</t>
  </si>
  <si>
    <t>00463</t>
  </si>
  <si>
    <t>ОККУРГОН Т., "АГРОБАНК" АТБ ОККУРГОН ФИЛИАЛИ</t>
  </si>
  <si>
    <t>00457</t>
  </si>
  <si>
    <t>ОХАНГАРОН Т., "АГРОБАНК" АТБ ОХАНГАРОН ФИЛИАЛИ</t>
  </si>
  <si>
    <t>00413</t>
  </si>
  <si>
    <t>ОЛМАЛИК Т., `КАПИТАЛБАНК` АТБ ОЛМАЛИК БХО</t>
  </si>
  <si>
    <t>11462</t>
  </si>
  <si>
    <t>"КАПИТАЛБАНК" АТ БАНКИ</t>
  </si>
  <si>
    <t>ЧИРЧИК Ш., `КАПИТАЛБАНК` АТБ ЧИРЧИК БХО</t>
  </si>
  <si>
    <t>10837</t>
  </si>
  <si>
    <t>ЯНГИЙУЛ ТУМАНИ</t>
  </si>
  <si>
    <t>ЯНГИЙУЛ Т., "ИПАК ЙУЛИ" АИТ БАНКИНИНГ ЯНГИЙУЛ ФИЛИАЛИ</t>
  </si>
  <si>
    <t>01081</t>
  </si>
  <si>
    <t>"ИПАК ЙУЛИ" АИТ БАНКИ</t>
  </si>
  <si>
    <t>ЗАНГИОТА Т., АТБ `УНИВЕРСАЛ БАНК` ЗАНГИОТА БХМ</t>
  </si>
  <si>
    <t>11853</t>
  </si>
  <si>
    <t>АТ БАНКИ "УНИВЕРСАЛ БАНК"</t>
  </si>
  <si>
    <t>ТОШКЕНТ ШАХРИ</t>
  </si>
  <si>
    <t>ТОШКЕНТ Ш., "ИПОТЕКА-БАНК" АТИБ ТОШКЕНТ ВИЛОЯТ ФИЛИАЛИ</t>
  </si>
  <si>
    <t>ЮКОРИЧИРЧИК Т., "АГРОБАНК" АТБ ЮКОРИЧИРЧИК ФИЛИАЛИ</t>
  </si>
  <si>
    <t>00480</t>
  </si>
  <si>
    <t>ОЛМАЛИК Ш., "ИПОТЕКА-БАНК" АТИБ ОЛМАЛИК ФИЛИАЛИ</t>
  </si>
  <si>
    <t>00459</t>
  </si>
  <si>
    <t>ЯНГИЙУЛ Т., "АГРОБАНК" АТБ ЯНГИЙУЛ ФИЛИАЛИ</t>
  </si>
  <si>
    <t>00485</t>
  </si>
  <si>
    <t>АНГРЕН Ш., `ТИФ МИЛЛИЙ БАНКИ` АЖ АНГРЕН БХМ</t>
  </si>
  <si>
    <t>11254</t>
  </si>
  <si>
    <t>ОЛМАЛИК Ш., `ТИФ МИЛЛИЙ БАНКИ` АЖ `ZARHAL` БХО</t>
  </si>
  <si>
    <t>12190</t>
  </si>
  <si>
    <t>НУРАФШОН Ш., `АСАКАБАНК` АЖ НУРАФШОН БХМ</t>
  </si>
  <si>
    <t>12008</t>
  </si>
  <si>
    <t>"АСАКАБАНК" АЖ</t>
  </si>
  <si>
    <t>RIA Money Transfer</t>
  </si>
  <si>
    <t>НУРАФШОН Ш., АТ `АЛОКАБАНК` ТОШКЕНТ ВИЛОЯТИ БХМ</t>
  </si>
  <si>
    <t>10729</t>
  </si>
  <si>
    <t>Фунт стерлингов</t>
  </si>
  <si>
    <t>ЧИНОЗ Т., "АГРОБАНК" АТБ ЧИНОЗ ФИЛИАЛИ</t>
  </si>
  <si>
    <t>00476</t>
  </si>
  <si>
    <t>ПАРКЕНТ Т., "АГРОБАНК" АТБ ПАРКЕНТ ФИЛИАЛИ</t>
  </si>
  <si>
    <t>00482</t>
  </si>
  <si>
    <t>ПАРКЕНТ Т., `МИКРОКРЕДИТБАНК` АТБ КИЗИЛТОГ БХМ</t>
  </si>
  <si>
    <t>Астрасенд</t>
  </si>
  <si>
    <t>АНГРЕН Ш., `КАПИТАЛБАНК` АТБ АНГРЕН БХО</t>
  </si>
  <si>
    <t>11372</t>
  </si>
  <si>
    <t>ОХАНГАРОН Т., `МИКРОКРЕДИТБАНК` АТБ ОХАНГАРОН БХО</t>
  </si>
  <si>
    <t>11978</t>
  </si>
  <si>
    <t>ЧИРЧИК Ш., АТ `АЛОКАБАНК` ЧИРЧИК КХКМ</t>
  </si>
  <si>
    <t>12029</t>
  </si>
  <si>
    <t>КУЙИЧИРЧИК Т., АТ ХАЛК БАНКИ ДУСТОБОД БХМ</t>
  </si>
  <si>
    <t>11386</t>
  </si>
  <si>
    <t>АКЦИЯДОРЛИК ТИЖОРАТ ХАЛК БАНКИ</t>
  </si>
  <si>
    <t>ЗАНГИОТА Т., "ТУРОНБАНК" АТ БАНКИНИНГ ЗАНГИОТА ФИЛИАЛИ</t>
  </si>
  <si>
    <t>01019</t>
  </si>
  <si>
    <t>КИБРАЙ Т., `УЗСАНОАТКУРИЛИШБАНКИ` АТБ САЛАР БХМ</t>
  </si>
  <si>
    <t>ОЛМАЛИК Ш., `МИКРОКРЕДИТБАНК` АТБ ОЛМАЛИК БХМ</t>
  </si>
  <si>
    <t>11247</t>
  </si>
  <si>
    <t>ЧИРЧИК Ш., `ТУРОНБАНК` АТБ ЧИРЧИК БХО</t>
  </si>
  <si>
    <t>10716</t>
  </si>
  <si>
    <t>БЕКОБОД Ш., `КАПИТАЛБАНК` АТБ БЕКАБАД БХО</t>
  </si>
  <si>
    <t>11302</t>
  </si>
  <si>
    <t>ЗАНГИОТА Т., АТ ХАЛК БАНКИ ЗАНГИОТА БХМ</t>
  </si>
  <si>
    <t>11579</t>
  </si>
  <si>
    <t>ОХАНГАРОН Ш., АТ ХАЛК БАНКИ ОХАНГАРОН БХМ</t>
  </si>
  <si>
    <t>11633</t>
  </si>
  <si>
    <t>БУКА Т., АТ ХАЛК БАНКИ БУКА БХМ</t>
  </si>
  <si>
    <t>11801</t>
  </si>
  <si>
    <t>БЭСТ</t>
  </si>
  <si>
    <t>ОККУРГОН Т., АТ ХАЛК БАНКИ ОККУРГОН БХМ</t>
  </si>
  <si>
    <t>11388</t>
  </si>
  <si>
    <t>НУРАФШОН Ш., `ТУРОНБАНК` АТБ `YANGI O`ZBEKISTON` БХО</t>
  </si>
  <si>
    <t>12062</t>
  </si>
  <si>
    <t>КИБРАЙ Т., АТ ХАЛК БАНКИ КИБРАЙ БХМ</t>
  </si>
  <si>
    <t>11490</t>
  </si>
  <si>
    <t>НУРАФШОН Ш., АТ ХАЛК БАНКИ НУРАФШОН БХМ</t>
  </si>
  <si>
    <t>11799</t>
  </si>
  <si>
    <t>НУРАФШОН Ш., `КАПИТАЛБАНК` АТБ НУРАФШОН БХО</t>
  </si>
  <si>
    <t>11303</t>
  </si>
  <si>
    <t>Қабул қилинган</t>
  </si>
  <si>
    <t>ПСКЕНТ Т., АТ ХАЛК БАНКИ ПИСКЕНТ БХМ</t>
  </si>
  <si>
    <t>11387</t>
  </si>
  <si>
    <t>ЯНГИЙУЛ Т., АТ ХАЛК БАНКИ ЯНГИЙУЛ БХМ</t>
  </si>
  <si>
    <t>11349</t>
  </si>
  <si>
    <t>ЮКОРИЧИРЧИК Т., АТ ХАЛК БАНКИ ЮКОРИ ЧИРЧИК БХМ</t>
  </si>
  <si>
    <t>11488</t>
  </si>
  <si>
    <t>БЕКОБОД Ш., АТ ХАЛК БАНКИ БЕКОБОД БХМ</t>
  </si>
  <si>
    <t>11634</t>
  </si>
  <si>
    <t>АНГРЕН Ш., АТ ХАЛК БАНКИ АНГРЕН БХМ</t>
  </si>
  <si>
    <t>11581</t>
  </si>
  <si>
    <t>ЧИНОЗ Т., АТ ХАЛК БАНКИ ЧИНОЗ БХМ</t>
  </si>
  <si>
    <t>11800</t>
  </si>
  <si>
    <t>Азия-Экспресс</t>
  </si>
  <si>
    <t>Intel Express</t>
  </si>
  <si>
    <t>Express Money</t>
  </si>
  <si>
    <t>U-CASH</t>
  </si>
  <si>
    <t>БЕКОБОД Т., АТ ХАЛК БАНКИ ЗАФАР БХМ</t>
  </si>
  <si>
    <t>11489</t>
  </si>
  <si>
    <t>ОЛМАЛИК Ш., АТ ХАЛК БАНКИ ОЛМАЛИК БХМ</t>
  </si>
  <si>
    <t>11582</t>
  </si>
  <si>
    <t>ЗАНГИОТА Т., `ТИФ МИЛЛИЙ БАНКИ` АЖ `ZANGIOTA` БХО</t>
  </si>
  <si>
    <t>12242</t>
  </si>
  <si>
    <t>БУСТОНЛИК Т., АТ ХАЛК БАНКИ БУСТОНЛИК БХМ</t>
  </si>
  <si>
    <t>11385</t>
  </si>
  <si>
    <t>ТОШКЕНТ Т., АТ ХАЛК БАНКИ КЕЛЕС БХМ</t>
  </si>
  <si>
    <t>11782</t>
  </si>
  <si>
    <t>ПАРКЕНТ Т., АТ ХАЛК БАНКИ ПАРКЕНТ БХМ</t>
  </si>
  <si>
    <t>11487</t>
  </si>
  <si>
    <t>Швейцарский франк</t>
  </si>
  <si>
    <t>ЧИНОЗ Т., АТ ХАЛК БАНКИ `НАФИС` БХМ</t>
  </si>
  <si>
    <t>10121</t>
  </si>
  <si>
    <t>ЧИРЧИК Ш., `ANOR BANK` АЖ ЧИРЧИК СОТУВ БУЛИМИ</t>
  </si>
  <si>
    <t>10422</t>
  </si>
  <si>
    <t>"ANOR BANK" АЖ</t>
  </si>
  <si>
    <t>ОХАНГАРОН Ш., `АГРОБАНК` АТБ НУРОБОД БХМ</t>
  </si>
  <si>
    <t>12042</t>
  </si>
  <si>
    <t>АНГРЕН Ш., `ANOR BANK` АЖ АНГРЕН СОТУВ БУЛИМИ</t>
  </si>
  <si>
    <t>10418</t>
  </si>
  <si>
    <t xml:space="preserve">КУЙИЧИРЧИК Т., АТ ХАЛК БАНКИ "ЧИНОР" БХМ </t>
  </si>
  <si>
    <t>10116</t>
  </si>
  <si>
    <t>ЯНГИЙУЛ Ш., `ТУРОНБАНК` АТБ ЯНГИЙУЛ БХО</t>
  </si>
  <si>
    <t>10717</t>
  </si>
  <si>
    <t>БУСТОНЛИК Т., "ГАРАНТ БАНК" АЖ ГАЗАЛКЕНТ ФИЛИАЛИ</t>
  </si>
  <si>
    <t>НУРАФШОН Ш., АТ `АЛОКАБАНК` "ТОШКЕНТ ВИЛОЯТИ" ХКХКМ</t>
  </si>
  <si>
    <t>КИБРАЙ Т., "ГАРАНТ БАНК" АЖ КИБРАЙ ФИЛИАЛИ</t>
  </si>
  <si>
    <t>НУРАФШОН Ш., "ИПОТЕКА-БАНК" АТИБ НУРАФШОН ФИЛИАЛИ</t>
  </si>
  <si>
    <t>Contact</t>
  </si>
  <si>
    <t>БУСТОНЛИК Т., "БИЗНЕСНИ РИВОЖЛАНТИРИШ БАНКИ" АТБ ГАЗАЛКЕНТ БХМ</t>
  </si>
  <si>
    <t>ЗАНГИОТА Т., "ГАРАНТ БАНК" АЖ ЗАНГИОТА ФИЛИАЛИ</t>
  </si>
  <si>
    <t>ТОШКЕНТ Ш., `МИКРОКРЕДИТБАНК` АТБ БЕКТЕМИР БХМ</t>
  </si>
  <si>
    <t>ЯНГИЙУЛ Т., АТ ХАЛК БАНКИ `ФАРОВОН` БХМ</t>
  </si>
  <si>
    <t>(пусто)</t>
  </si>
  <si>
    <t>Общий итог</t>
  </si>
  <si>
    <t>Суммаси</t>
  </si>
  <si>
    <t>2024 йил 11 ойлик</t>
  </si>
  <si>
    <t>Операциялар сони</t>
  </si>
  <si>
    <t>Операциялар суммаси</t>
  </si>
  <si>
    <t>Сони</t>
  </si>
  <si>
    <t>ХПУ номлари</t>
  </si>
  <si>
    <t>№</t>
  </si>
  <si>
    <t>Жами:</t>
  </si>
  <si>
    <r>
      <t xml:space="preserve">Улиши </t>
    </r>
    <r>
      <rPr>
        <b/>
        <i/>
        <sz val="10"/>
        <rFont val="Arial"/>
        <family val="2"/>
        <charset val="204"/>
      </rPr>
      <t>(фоизда)</t>
    </r>
  </si>
  <si>
    <t>2025 йил 11 ойлик</t>
  </si>
  <si>
    <t>Банк номлари</t>
  </si>
  <si>
    <t>ХПУ тури сони</t>
  </si>
  <si>
    <t>Турция</t>
  </si>
  <si>
    <t>Швеция</t>
  </si>
  <si>
    <t>Казахстан</t>
  </si>
  <si>
    <t>Польша</t>
  </si>
  <si>
    <t>Израиль</t>
  </si>
  <si>
    <t>Нидерланды</t>
  </si>
  <si>
    <t>Канада</t>
  </si>
  <si>
    <t>Корея, республика</t>
  </si>
  <si>
    <t>Болгария</t>
  </si>
  <si>
    <t>Кыргызстан</t>
  </si>
  <si>
    <t>Германия</t>
  </si>
  <si>
    <t>Швейцария</t>
  </si>
  <si>
    <t>Мальдивы</t>
  </si>
  <si>
    <t>Малайзия</t>
  </si>
  <si>
    <t>Беларусь</t>
  </si>
  <si>
    <t>Таджикистан</t>
  </si>
  <si>
    <t>Азербайджан</t>
  </si>
  <si>
    <t>Великобритания</t>
  </si>
  <si>
    <t>Грузия</t>
  </si>
  <si>
    <t>Катар</t>
  </si>
  <si>
    <t>Австралия</t>
  </si>
  <si>
    <t>Саудовская Аравия</t>
  </si>
  <si>
    <t>Греция</t>
  </si>
  <si>
    <t>Франция</t>
  </si>
  <si>
    <t>Япония</t>
  </si>
  <si>
    <t>Кипр</t>
  </si>
  <si>
    <t>Финляндия</t>
  </si>
  <si>
    <t>Чешская Республика</t>
  </si>
  <si>
    <t>Словакия</t>
  </si>
  <si>
    <t>Италия</t>
  </si>
  <si>
    <t>Литва</t>
  </si>
  <si>
    <t>Ливан</t>
  </si>
  <si>
    <t>Латвия</t>
  </si>
  <si>
    <t>Оман</t>
  </si>
  <si>
    <t>Замбия</t>
  </si>
  <si>
    <t>Эстония</t>
  </si>
  <si>
    <t>Сербия</t>
  </si>
  <si>
    <t>Тайвань, провинция Китая</t>
  </si>
  <si>
    <t>Армения</t>
  </si>
  <si>
    <t>Республика Молдова</t>
  </si>
  <si>
    <t>Йемен</t>
  </si>
  <si>
    <t>Индонезия</t>
  </si>
  <si>
    <t>Дания</t>
  </si>
  <si>
    <t>Бельгия</t>
  </si>
  <si>
    <t>Австрия</t>
  </si>
  <si>
    <t>Венгрия</t>
  </si>
  <si>
    <t>Новая Зеландия</t>
  </si>
  <si>
    <t>Таиланд</t>
  </si>
  <si>
    <t>Испания</t>
  </si>
  <si>
    <t>Словения</t>
  </si>
  <si>
    <t>Питкэрн (Великобрит.)</t>
  </si>
  <si>
    <t>Ирак</t>
  </si>
  <si>
    <t>Сингапур</t>
  </si>
  <si>
    <t>Гвинея</t>
  </si>
  <si>
    <t>Эквадор</t>
  </si>
  <si>
    <t>Черногория</t>
  </si>
  <si>
    <t>Румыния</t>
  </si>
  <si>
    <t>Бахрейн</t>
  </si>
  <si>
    <t>Португалия</t>
  </si>
  <si>
    <t>Ангилья (Великобрит.)</t>
  </si>
  <si>
    <t>Кувейт</t>
  </si>
  <si>
    <t>Ирландия</t>
  </si>
  <si>
    <t>Китай</t>
  </si>
  <si>
    <t>Тунис</t>
  </si>
  <si>
    <t>Бермудские о-ва</t>
  </si>
  <si>
    <t>Люксембург</t>
  </si>
  <si>
    <t>Иордания</t>
  </si>
  <si>
    <t>Макао, спец.админ.район Китая</t>
  </si>
  <si>
    <t>Мексика</t>
  </si>
  <si>
    <t>Украина</t>
  </si>
  <si>
    <t>Хорватия</t>
  </si>
  <si>
    <t>Филиппины</t>
  </si>
  <si>
    <t>Норвегия</t>
  </si>
  <si>
    <t>Чили</t>
  </si>
  <si>
    <t>Македония, бывшая Югославская республика</t>
  </si>
  <si>
    <t>Майотта (Франц.)</t>
  </si>
  <si>
    <t>Ливийская Арабская Джамахерия</t>
  </si>
  <si>
    <t>Бразилия</t>
  </si>
  <si>
    <t>Афганистан</t>
  </si>
  <si>
    <t>Пакистан</t>
  </si>
  <si>
    <t>Палестинская территория, оккуп.</t>
  </si>
  <si>
    <t>Камбоджа</t>
  </si>
  <si>
    <t>Святая Елена (Великобрит.)</t>
  </si>
  <si>
    <t>Монголия</t>
  </si>
  <si>
    <t>Южная Африка</t>
  </si>
  <si>
    <t>Египет</t>
  </si>
  <si>
    <t>Гернси (Великобрит.)</t>
  </si>
  <si>
    <t>Босния и Герцеговина</t>
  </si>
  <si>
    <t>Танзания, объединенная республика</t>
  </si>
  <si>
    <t>Кения</t>
  </si>
  <si>
    <t>Северные Марианские острова (США)</t>
  </si>
  <si>
    <t>Французская Гвиана</t>
  </si>
  <si>
    <t>Тувалу</t>
  </si>
  <si>
    <t>Албания</t>
  </si>
  <si>
    <t>Сенегал</t>
  </si>
  <si>
    <t>Туркменистан</t>
  </si>
  <si>
    <t>Доминика</t>
  </si>
  <si>
    <t>Остров Мэн (Великобрит.)</t>
  </si>
  <si>
    <t>Ямайка</t>
  </si>
  <si>
    <t>Сирийская Арабская Республика</t>
  </si>
  <si>
    <t>Исландия</t>
  </si>
  <si>
    <t>Реюньон (Франц.)</t>
  </si>
  <si>
    <t>Сент-Пьер и Микелон (Франц.)</t>
  </si>
  <si>
    <t>Маврикий</t>
  </si>
  <si>
    <t>Индия</t>
  </si>
  <si>
    <t>Фарерские острова (Дат.)</t>
  </si>
  <si>
    <t>Боливия</t>
  </si>
  <si>
    <t>Уганда</t>
  </si>
  <si>
    <t>Коста-Рика</t>
  </si>
  <si>
    <t>Тринидад и Тобаго</t>
  </si>
  <si>
    <t>Аргентина</t>
  </si>
  <si>
    <t>Сейшелы</t>
  </si>
  <si>
    <t>Острова Теркс и Кайкос (Великобрит.)</t>
  </si>
  <si>
    <t>Гайана</t>
  </si>
  <si>
    <t>Британская территория в Индийском океане</t>
  </si>
  <si>
    <t>Камерун</t>
  </si>
  <si>
    <t>Тонга</t>
  </si>
  <si>
    <t>Нидерландские Антилы</t>
  </si>
  <si>
    <t>Гана</t>
  </si>
  <si>
    <t>Эль-Сальвадор</t>
  </si>
  <si>
    <t>Остров Буве (Норв.)</t>
  </si>
  <si>
    <t>Доминиканская Республика</t>
  </si>
  <si>
    <t>Экваториальная Гвинея</t>
  </si>
  <si>
    <t>Бенин</t>
  </si>
  <si>
    <t>Бангладеш</t>
  </si>
  <si>
    <t>Того</t>
  </si>
  <si>
    <t>Шри-Ланка</t>
  </si>
  <si>
    <t>Кот-д`Ивуар</t>
  </si>
  <si>
    <t>Вьетнам</t>
  </si>
  <si>
    <t>Мавритания</t>
  </si>
  <si>
    <t>Гуам</t>
  </si>
  <si>
    <t>Непал</t>
  </si>
  <si>
    <t>Мали</t>
  </si>
  <si>
    <t>Нигерия</t>
  </si>
  <si>
    <t>Марокко</t>
  </si>
  <si>
    <t>Перу</t>
  </si>
  <si>
    <t>Лесото</t>
  </si>
  <si>
    <t>Бутан</t>
  </si>
  <si>
    <t>Французские Южные Территории</t>
  </si>
  <si>
    <t>Кирибати</t>
  </si>
  <si>
    <t>Либерия</t>
  </si>
  <si>
    <t>Зимбабве</t>
  </si>
  <si>
    <t>Колумбия</t>
  </si>
  <si>
    <t>Бруней-Даруссалам</t>
  </si>
  <si>
    <t>Ангола</t>
  </si>
  <si>
    <t>Габон</t>
  </si>
  <si>
    <t>Пуэрто-Рико (США)</t>
  </si>
  <si>
    <t>Конго</t>
  </si>
  <si>
    <t>Сьерра-Леоне</t>
  </si>
  <si>
    <t>Чад</t>
  </si>
  <si>
    <t>Токелау (Нов.Зелан.)</t>
  </si>
  <si>
    <t>Гренада</t>
  </si>
  <si>
    <t>Руанда</t>
  </si>
  <si>
    <t>Ҳудуд номлари</t>
  </si>
  <si>
    <t>Фарқи +/-</t>
  </si>
  <si>
    <t>Валюта номлари</t>
  </si>
  <si>
    <t>Финландия</t>
  </si>
  <si>
    <t>Самоа</t>
  </si>
  <si>
    <t>Гонконг</t>
  </si>
  <si>
    <t>Иран</t>
  </si>
  <si>
    <t>КХДР</t>
  </si>
  <si>
    <t>БАА</t>
  </si>
  <si>
    <t>АҚШ</t>
  </si>
  <si>
    <t>Россия Федерация</t>
  </si>
  <si>
    <t>#Н/Д</t>
  </si>
  <si>
    <t>Давлат номлари</t>
  </si>
  <si>
    <t>Бошқа давлатлар</t>
  </si>
  <si>
    <t>Қирқизистон</t>
  </si>
  <si>
    <t>Хитой</t>
  </si>
  <si>
    <t>Қозоғистон</t>
  </si>
  <si>
    <t>Туркия</t>
  </si>
  <si>
    <t>Бошқа филиаллар</t>
  </si>
  <si>
    <t>Резидент</t>
  </si>
  <si>
    <t>Жами</t>
  </si>
  <si>
    <t>Hо резидент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</si>
  <si>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</si>
  <si>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</si>
  <si>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</si>
  <si>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</si>
  <si>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</si>
  <si>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</si>
  <si>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</si>
  <si>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</si>
  <si>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</si>
  <si>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Октябоь</t>
  </si>
  <si>
    <t>Ноябрь</t>
  </si>
  <si>
    <t>Қабул қилинган сумма</t>
  </si>
  <si>
    <t>Юборилган сумма</t>
  </si>
  <si>
    <t>Ойлар номи</t>
  </si>
  <si>
    <t>2024 йил 11 ойли давомида</t>
  </si>
  <si>
    <t>2025 йил 11 ойли давомида</t>
  </si>
  <si>
    <t>Мигрантлар сони 01.12.2025 (ишлаш учун кетганлар)</t>
  </si>
  <si>
    <t>Банк номи</t>
  </si>
  <si>
    <t>Ипотека банк</t>
  </si>
  <si>
    <t>Миллий банк</t>
  </si>
  <si>
    <t>Халқ банки</t>
  </si>
  <si>
    <t>СҚБ</t>
  </si>
  <si>
    <t>БРБ</t>
  </si>
  <si>
    <t>Агро банк</t>
  </si>
  <si>
    <t>Капиталбанк</t>
  </si>
  <si>
    <t>Алоқабанк</t>
  </si>
  <si>
    <t>Туронбанк</t>
  </si>
  <si>
    <t>Гарант банк</t>
  </si>
  <si>
    <t>МКБ</t>
  </si>
  <si>
    <t>Ипак йўли банк</t>
  </si>
  <si>
    <t>Универсал банк</t>
  </si>
  <si>
    <t>Анор банк</t>
  </si>
  <si>
    <t>Инфин банк</t>
  </si>
  <si>
    <t>Ҳамкорбанк</t>
  </si>
  <si>
    <t>Асака банк</t>
  </si>
  <si>
    <t>2025 йил 11 ойи давомида</t>
  </si>
  <si>
    <t>Банк МФо</t>
  </si>
  <si>
    <t>Белгиланган тоифа</t>
  </si>
  <si>
    <t>50000+</t>
  </si>
  <si>
    <t>10000-50000</t>
  </si>
  <si>
    <t>5000-10000</t>
  </si>
  <si>
    <t>1000-5000</t>
  </si>
  <si>
    <t>100-1000</t>
  </si>
  <si>
    <t xml:space="preserve">0-100
</t>
  </si>
  <si>
    <t>Банк номи Валюталар кесимида сони</t>
  </si>
  <si>
    <t>Самарадор</t>
  </si>
  <si>
    <t>Барқарор</t>
  </si>
  <si>
    <t>Ўртача</t>
  </si>
  <si>
    <t>Самарадорлиги паст</t>
  </si>
  <si>
    <t>Корея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</si>
</sst>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\ _₽;\-#,##0\ _₽"/>
    <numFmt numFmtId="165" formatCode="0.0%"/>
    <numFmt numFmtId="166" formatCode="#,##0\ _₽;[Red]#,##0\ _₽"/>
    <numFmt numFmtId="167" formatCode="#,##0\ _₽;[Red]\-#,##0\ _₽"/>
    <numFmt numFmtId="168" formatCode="#,##0.0\ _₽;[Red]\-#,##0.0\ _₽"/>
  </numFmts>
  <fonts count="5" x14ac:knownFonts="1"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i/>
      <sz val="10"/>
      <name val="Arial"/>
      <family val="2"/>
      <charset val="204"/>
    </font>
    <font>
      <b/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64" fontId="2" fillId="0" borderId="0" xfId="1" applyNumberFormat="1" applyFont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9" fontId="2" fillId="0" borderId="1" xfId="2" applyFont="1" applyBorder="1" applyAlignment="1">
      <alignment horizontal="center" vertical="center"/>
    </xf>
    <xf numFmtId="0" fontId="2" fillId="0" borderId="0" xfId="0" applyFont="1"/>
    <xf numFmtId="164" fontId="2" fillId="0" borderId="1" xfId="1" applyNumberFormat="1" applyFont="1" applyBorder="1" applyAlignment="1">
      <alignment horizontal="center" vertical="center"/>
    </xf>
    <xf numFmtId="165" fontId="0" fillId="0" borderId="1" xfId="2" applyNumberFormat="1" applyFon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166" fontId="2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7" fontId="0" fillId="0" borderId="1" xfId="1" applyNumberFormat="1" applyFont="1" applyBorder="1" applyAlignment="1">
      <alignment horizontal="center" vertical="center"/>
    </xf>
    <xf numFmtId="167" fontId="2" fillId="0" borderId="1" xfId="1" applyNumberFormat="1" applyFont="1" applyBorder="1" applyAlignment="1">
      <alignment horizontal="center" vertical="center"/>
    </xf>
    <xf numFmtId="164" fontId="1" fillId="0" borderId="1" xfId="1" applyNumberFormat="1" applyFont="1" applyBorder="1" applyAlignment="1">
      <alignment horizontal="center" vertical="center"/>
    </xf>
    <xf numFmtId="168" fontId="2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0" fillId="0" borderId="0" xfId="0" applyNumberFormat="1"/>
    <xf numFmtId="16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vertical="center"/>
    </xf>
    <xf numFmtId="164" fontId="4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164" fontId="2" fillId="0" borderId="2" xfId="1" applyNumberFormat="1" applyFont="1" applyBorder="1" applyAlignment="1">
      <alignment horizontal="center" vertical="center"/>
    </xf>
    <xf numFmtId="0" fontId="0" fillId="0" borderId="8" xfId="0" applyBorder="1"/>
    <xf numFmtId="164" fontId="0" fillId="0" borderId="2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ochta\&#1058;&#1072;&#1093;&#1083;&#1080;&#1083;\&#1042;&#1072;&#1083;&#1102;&#1090;&#1072;\2024\&#1055;&#1086;&#1089;&#1090;&#1091;&#1087;&#1083;&#1077;&#1085;&#1080;&#1103;%20&#1044;&#1077;&#1085;&#1055;&#1077;&#1088;.xls" TargetMode="External"/><Relationship Id="rId1" Type="http://schemas.openxmlformats.org/officeDocument/2006/relationships/externalLinkPath" Target="file:///D:\Pochta\&#1058;&#1072;&#1093;&#1083;&#1080;&#1083;\&#1042;&#1072;&#1083;&#1102;&#1090;&#1072;\2024\&#1055;&#1086;&#1089;&#1090;&#1091;&#1087;&#1083;&#1077;&#1085;&#1080;&#1103;%20&#1044;&#1077;&#1085;&#1055;&#1077;&#108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¿¿¿¿¿¿¿¿¿¿¿"/>
      <sheetName val="¿¿¿¿¿¿¿¿¿¿¿_1"/>
      <sheetName val="¿¿¿¿¿¿¿¿¿¿¿_2"/>
      <sheetName val="¿¿¿¿¿¿¿¿¿¿¿_3"/>
      <sheetName val="¿¿¿¿¿¿¿¿¿¿¿_4"/>
      <sheetName val="¿¿¿¿¿¿¿¿¿¿¿_5"/>
      <sheetName val="Macro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38">
          <cell r="A138" t="str">
            <v>Recover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F41FA-0FA5-43C3-97ED-6761CB7F4A4E}">
  <dimension ref="A1:M22"/>
  <sheetViews>
    <sheetView topLeftCell="H1" zoomScale="145" zoomScaleNormal="145" workbookViewId="0">
      <selection activeCell="J1" sqref="J1:M1"/>
    </sheetView>
  </sheetViews>
  <sheetFormatPr defaultRowHeight="12.5" x14ac:dyDescent="0.25"/>
  <cols>
    <col min="1" max="1" width="7.1796875" customWidth="1"/>
    <col min="2" max="2" width="20.26953125" bestFit="1" customWidth="1"/>
    <col min="3" max="12" width="15.26953125" customWidth="1"/>
    <col min="13" max="13" width="15.26953125" style="41" customWidth="1"/>
  </cols>
  <sheetData>
    <row r="1" spans="1:13" s="4" customFormat="1" ht="23.25" customHeight="1" x14ac:dyDescent="0.25">
      <c r="A1" s="45" t="s">
        <v>294</v>
      </c>
      <c r="B1" s="45" t="s">
        <v>293</v>
      </c>
      <c r="C1" s="52" t="s">
        <v>290</v>
      </c>
      <c r="D1" s="52" t="s">
        <v>291</v>
      </c>
      <c r="E1" s="49" t="s">
        <v>296</v>
      </c>
      <c r="F1" s="46" t="s">
        <v>289</v>
      </c>
      <c r="G1" s="47"/>
      <c r="H1" s="47"/>
      <c r="I1" s="48"/>
      <c r="J1" s="46" t="s">
        <v>297</v>
      </c>
      <c r="K1" s="47"/>
      <c r="L1" s="47"/>
      <c r="M1" s="48"/>
    </row>
    <row r="2" spans="1:13" s="4" customFormat="1" ht="23.25" customHeight="1" x14ac:dyDescent="0.25">
      <c r="A2" s="45"/>
      <c r="B2" s="45"/>
      <c r="C2" s="52"/>
      <c r="D2" s="52"/>
      <c r="E2" s="50"/>
      <c r="F2" s="45" t="s">
        <v>234</v>
      </c>
      <c r="G2" s="45"/>
      <c r="H2" s="45" t="s">
        <v>1</v>
      </c>
      <c r="I2" s="46"/>
      <c r="J2" s="45" t="s">
        <v>234</v>
      </c>
      <c r="K2" s="45"/>
      <c r="L2" s="45" t="s">
        <v>1</v>
      </c>
      <c r="M2" s="45"/>
    </row>
    <row r="3" spans="1:13" s="4" customFormat="1" ht="23.25" customHeight="1" x14ac:dyDescent="0.25">
      <c r="A3" s="45"/>
      <c r="B3" s="45"/>
      <c r="C3" s="52"/>
      <c r="D3" s="52"/>
      <c r="E3" s="51"/>
      <c r="F3" s="11" t="s">
        <v>292</v>
      </c>
      <c r="G3" s="11" t="s">
        <v>288</v>
      </c>
      <c r="H3" s="11" t="s">
        <v>292</v>
      </c>
      <c r="I3" s="35" t="s">
        <v>288</v>
      </c>
      <c r="J3" s="11" t="s">
        <v>292</v>
      </c>
      <c r="K3" s="11" t="s">
        <v>288</v>
      </c>
      <c r="L3" s="11" t="s">
        <v>292</v>
      </c>
      <c r="M3" s="11" t="s">
        <v>288</v>
      </c>
    </row>
    <row r="4" spans="1:13" s="5" customFormat="1" ht="23.25" customHeight="1" x14ac:dyDescent="0.25">
      <c r="A4" s="39"/>
      <c r="B4" s="39" t="s">
        <v>295</v>
      </c>
      <c r="C4" s="15">
        <v>748883</v>
      </c>
      <c r="D4" s="6">
        <v>547507013.19999588</v>
      </c>
      <c r="E4" s="13">
        <v>1</v>
      </c>
      <c r="F4" s="15">
        <v>344269</v>
      </c>
      <c r="G4" s="15">
        <v>210228544.23000246</v>
      </c>
      <c r="H4" s="15">
        <v>54084</v>
      </c>
      <c r="I4" s="40">
        <v>58430689.190000013</v>
      </c>
      <c r="J4" s="15">
        <v>301512</v>
      </c>
      <c r="K4" s="15">
        <v>223127150.24000278</v>
      </c>
      <c r="L4" s="15">
        <v>49018</v>
      </c>
      <c r="M4" s="15">
        <v>55720629.540000007</v>
      </c>
    </row>
    <row r="5" spans="1:13" s="4" customFormat="1" ht="24.75" customHeight="1" x14ac:dyDescent="0.25">
      <c r="A5" s="9">
        <v>1</v>
      </c>
      <c r="B5" s="7" t="s">
        <v>2</v>
      </c>
      <c r="C5" s="8">
        <v>452050</v>
      </c>
      <c r="D5" s="8">
        <v>325264341.67999452</v>
      </c>
      <c r="E5" s="12">
        <f>+D5/D4</f>
        <v>0.59408251189136907</v>
      </c>
      <c r="F5" s="8">
        <v>206498</v>
      </c>
      <c r="G5" s="8">
        <v>127972436.68999858</v>
      </c>
      <c r="H5" s="8">
        <v>41773</v>
      </c>
      <c r="I5" s="42">
        <v>34036165.970000051</v>
      </c>
      <c r="J5" s="8">
        <v>167272</v>
      </c>
      <c r="K5" s="8">
        <v>128804363.74000192</v>
      </c>
      <c r="L5" s="8">
        <v>36507</v>
      </c>
      <c r="M5" s="8">
        <v>34451375.27999986</v>
      </c>
    </row>
    <row r="6" spans="1:13" s="4" customFormat="1" ht="24.75" customHeight="1" x14ac:dyDescent="0.25">
      <c r="A6" s="9">
        <v>2</v>
      </c>
      <c r="B6" s="7" t="s">
        <v>8</v>
      </c>
      <c r="C6" s="8">
        <v>134049</v>
      </c>
      <c r="D6" s="8">
        <v>84955832.270001099</v>
      </c>
      <c r="E6" s="12">
        <f>+D6/D4</f>
        <v>0.15516848226922719</v>
      </c>
      <c r="F6" s="8">
        <v>58888</v>
      </c>
      <c r="G6" s="8">
        <v>27214017.940000333</v>
      </c>
      <c r="H6" s="8">
        <v>9758</v>
      </c>
      <c r="I6" s="42">
        <v>14219511.469999997</v>
      </c>
      <c r="J6" s="8">
        <v>55433</v>
      </c>
      <c r="K6" s="8">
        <v>27239208.36000032</v>
      </c>
      <c r="L6" s="8">
        <v>9970</v>
      </c>
      <c r="M6" s="8">
        <v>16283094.500000043</v>
      </c>
    </row>
    <row r="7" spans="1:13" s="4" customFormat="1" ht="24.75" customHeight="1" x14ac:dyDescent="0.25">
      <c r="A7" s="9">
        <v>3</v>
      </c>
      <c r="B7" s="7" t="s">
        <v>20</v>
      </c>
      <c r="C7" s="8">
        <v>35512</v>
      </c>
      <c r="D7" s="8">
        <v>31054356.630000196</v>
      </c>
      <c r="E7" s="12">
        <f>+D7/D4</f>
        <v>5.6719559533124221E-2</v>
      </c>
      <c r="F7" s="8">
        <v>17044</v>
      </c>
      <c r="G7" s="8">
        <v>13356158.559999969</v>
      </c>
      <c r="H7" s="8">
        <v>821</v>
      </c>
      <c r="I7" s="42">
        <v>790057.91</v>
      </c>
      <c r="J7" s="8">
        <v>17140</v>
      </c>
      <c r="K7" s="8">
        <v>16207483.899999993</v>
      </c>
      <c r="L7" s="8">
        <v>507</v>
      </c>
      <c r="M7" s="8">
        <v>700656.25999999978</v>
      </c>
    </row>
    <row r="8" spans="1:13" s="4" customFormat="1" ht="24.75" customHeight="1" x14ac:dyDescent="0.25">
      <c r="A8" s="9">
        <v>4</v>
      </c>
      <c r="B8" s="7" t="s">
        <v>247</v>
      </c>
      <c r="C8" s="8">
        <v>30462</v>
      </c>
      <c r="D8" s="8">
        <v>24042355.990000062</v>
      </c>
      <c r="E8" s="12">
        <f>+D8/D4</f>
        <v>4.3912416481170731E-2</v>
      </c>
      <c r="F8" s="8">
        <v>19719</v>
      </c>
      <c r="G8" s="8">
        <v>15129940.25000002</v>
      </c>
      <c r="H8" s="8">
        <v>9</v>
      </c>
      <c r="I8" s="42">
        <v>3513.75</v>
      </c>
      <c r="J8" s="8">
        <v>10734</v>
      </c>
      <c r="K8" s="8">
        <v>8908901.9899999984</v>
      </c>
      <c r="L8" s="8"/>
      <c r="M8" s="8"/>
    </row>
    <row r="9" spans="1:13" s="4" customFormat="1" ht="24.75" customHeight="1" x14ac:dyDescent="0.25">
      <c r="A9" s="9">
        <v>5</v>
      </c>
      <c r="B9" s="7" t="s">
        <v>198</v>
      </c>
      <c r="C9" s="8">
        <v>31418</v>
      </c>
      <c r="D9" s="8">
        <v>21290580.009999998</v>
      </c>
      <c r="E9" s="12">
        <f>+D9/D4</f>
        <v>3.8886406012525132E-2</v>
      </c>
      <c r="F9" s="8">
        <v>13267</v>
      </c>
      <c r="G9" s="8">
        <v>7236371.8300000001</v>
      </c>
      <c r="H9" s="8">
        <v>23</v>
      </c>
      <c r="I9" s="42">
        <v>6411.2199999999993</v>
      </c>
      <c r="J9" s="8">
        <v>18114</v>
      </c>
      <c r="K9" s="8">
        <v>14058647.909999995</v>
      </c>
      <c r="L9" s="8">
        <v>36</v>
      </c>
      <c r="M9" s="8">
        <v>10699.05</v>
      </c>
    </row>
    <row r="10" spans="1:13" s="4" customFormat="1" ht="24.75" customHeight="1" x14ac:dyDescent="0.25">
      <c r="A10" s="9">
        <v>6</v>
      </c>
      <c r="B10" s="7" t="s">
        <v>35</v>
      </c>
      <c r="C10" s="8">
        <v>16826</v>
      </c>
      <c r="D10" s="8">
        <v>18928078.769999973</v>
      </c>
      <c r="E10" s="12">
        <f>+D10/D4</f>
        <v>3.4571390527715191E-2</v>
      </c>
      <c r="F10" s="8">
        <v>5427</v>
      </c>
      <c r="G10" s="8">
        <v>5389510.7700000023</v>
      </c>
      <c r="H10" s="8">
        <v>67</v>
      </c>
      <c r="I10" s="42">
        <v>17468.350000000002</v>
      </c>
      <c r="J10" s="8">
        <v>10706</v>
      </c>
      <c r="K10" s="8">
        <v>12982472.639999997</v>
      </c>
      <c r="L10" s="8">
        <v>626</v>
      </c>
      <c r="M10" s="8">
        <v>538627.00999999954</v>
      </c>
    </row>
    <row r="11" spans="1:13" s="4" customFormat="1" ht="24.75" customHeight="1" x14ac:dyDescent="0.25">
      <c r="A11" s="9">
        <v>7</v>
      </c>
      <c r="B11" s="7" t="s">
        <v>38</v>
      </c>
      <c r="C11" s="8">
        <v>23944</v>
      </c>
      <c r="D11" s="8">
        <v>13878954.220000003</v>
      </c>
      <c r="E11" s="12">
        <f>+D11/D4</f>
        <v>2.5349363360447467E-2</v>
      </c>
      <c r="F11" s="8">
        <v>10621</v>
      </c>
      <c r="G11" s="8">
        <v>4933929.1499999985</v>
      </c>
      <c r="H11" s="8">
        <v>165</v>
      </c>
      <c r="I11" s="8">
        <v>338703</v>
      </c>
      <c r="J11" s="8">
        <v>12944</v>
      </c>
      <c r="K11" s="8">
        <v>8179720.0699999994</v>
      </c>
      <c r="L11" s="8">
        <v>214</v>
      </c>
      <c r="M11" s="8">
        <v>426602</v>
      </c>
    </row>
    <row r="12" spans="1:13" s="4" customFormat="1" ht="24.75" customHeight="1" x14ac:dyDescent="0.25">
      <c r="A12" s="9">
        <v>8</v>
      </c>
      <c r="B12" s="7" t="s">
        <v>66</v>
      </c>
      <c r="C12" s="8">
        <v>3357</v>
      </c>
      <c r="D12" s="8">
        <v>13794429.369999984</v>
      </c>
      <c r="E12" s="12">
        <f>+D12/D4</f>
        <v>2.519498205032324E-2</v>
      </c>
      <c r="F12" s="8">
        <v>563</v>
      </c>
      <c r="G12" s="8">
        <v>962552.60000000021</v>
      </c>
      <c r="H12" s="8">
        <v>1169</v>
      </c>
      <c r="I12" s="8">
        <v>8693845.7199999932</v>
      </c>
      <c r="J12" s="8">
        <v>580</v>
      </c>
      <c r="K12" s="8">
        <v>903049.73000000045</v>
      </c>
      <c r="L12" s="8">
        <v>1045</v>
      </c>
      <c r="M12" s="8">
        <v>3234981.3200000012</v>
      </c>
    </row>
    <row r="13" spans="1:13" s="4" customFormat="1" ht="24.75" customHeight="1" x14ac:dyDescent="0.25">
      <c r="A13" s="9">
        <v>9</v>
      </c>
      <c r="B13" s="7" t="s">
        <v>189</v>
      </c>
      <c r="C13" s="8">
        <v>12308</v>
      </c>
      <c r="D13" s="8">
        <v>8248063.5900000129</v>
      </c>
      <c r="E13" s="12">
        <f>+D13/D4</f>
        <v>1.5064763356715437E-2</v>
      </c>
      <c r="F13" s="8">
        <v>5310</v>
      </c>
      <c r="G13" s="8">
        <v>3592373.6900000069</v>
      </c>
      <c r="H13" s="8">
        <v>87</v>
      </c>
      <c r="I13" s="8">
        <v>45542.52</v>
      </c>
      <c r="J13" s="8">
        <v>6799</v>
      </c>
      <c r="K13" s="8">
        <v>4535554.2600000091</v>
      </c>
      <c r="L13" s="8">
        <v>112</v>
      </c>
      <c r="M13" s="8">
        <v>74593.12000000001</v>
      </c>
    </row>
    <row r="14" spans="1:13" s="4" customFormat="1" ht="24.75" customHeight="1" x14ac:dyDescent="0.25">
      <c r="A14" s="9">
        <v>10</v>
      </c>
      <c r="B14" s="7" t="s">
        <v>281</v>
      </c>
      <c r="C14" s="8">
        <v>7140</v>
      </c>
      <c r="D14" s="8">
        <v>4719372.0300000049</v>
      </c>
      <c r="E14" s="12">
        <f>+D14/D4</f>
        <v>8.6197471744094197E-3</v>
      </c>
      <c r="F14" s="8">
        <v>6928</v>
      </c>
      <c r="G14" s="8">
        <v>4439902.7500000047</v>
      </c>
      <c r="H14" s="8">
        <v>212</v>
      </c>
      <c r="I14" s="8">
        <v>279469.27999999997</v>
      </c>
      <c r="J14" s="8"/>
      <c r="K14" s="8"/>
      <c r="L14" s="8"/>
      <c r="M14" s="8"/>
    </row>
    <row r="15" spans="1:13" s="4" customFormat="1" ht="24.75" customHeight="1" x14ac:dyDescent="0.25">
      <c r="A15" s="9">
        <v>11</v>
      </c>
      <c r="B15" s="7" t="s">
        <v>249</v>
      </c>
      <c r="C15" s="8">
        <v>1773</v>
      </c>
      <c r="D15" s="8">
        <v>1283437.6399999999</v>
      </c>
      <c r="E15" s="16">
        <f>+D15/D4</f>
        <v>2.3441483105371289E-3</v>
      </c>
      <c r="F15" s="8">
        <v>2</v>
      </c>
      <c r="G15" s="8">
        <v>250</v>
      </c>
      <c r="H15" s="8"/>
      <c r="I15" s="8"/>
      <c r="J15" s="8">
        <v>1771</v>
      </c>
      <c r="K15" s="8">
        <v>1283187.6399999999</v>
      </c>
      <c r="L15" s="8"/>
      <c r="M15" s="8"/>
    </row>
    <row r="16" spans="1:13" s="4" customFormat="1" ht="24.75" customHeight="1" x14ac:dyDescent="0.25">
      <c r="A16" s="9">
        <v>12</v>
      </c>
      <c r="B16" s="7" t="s">
        <v>248</v>
      </c>
      <c r="C16" s="8">
        <v>16</v>
      </c>
      <c r="D16" s="8">
        <v>11960</v>
      </c>
      <c r="E16" s="16">
        <f>+D16/D4</f>
        <v>2.1844469041771337E-5</v>
      </c>
      <c r="F16" s="8">
        <v>2</v>
      </c>
      <c r="G16" s="8">
        <v>1100</v>
      </c>
      <c r="H16" s="8"/>
      <c r="I16" s="8"/>
      <c r="J16" s="8">
        <v>14</v>
      </c>
      <c r="K16" s="8">
        <v>10860</v>
      </c>
      <c r="L16" s="8"/>
      <c r="M16" s="8"/>
    </row>
    <row r="17" spans="1:13" s="4" customFormat="1" ht="24.75" customHeight="1" x14ac:dyDescent="0.25">
      <c r="A17" s="9">
        <v>13</v>
      </c>
      <c r="B17" s="7" t="s">
        <v>250</v>
      </c>
      <c r="C17" s="8">
        <v>4</v>
      </c>
      <c r="D17" s="8">
        <v>8400</v>
      </c>
      <c r="E17" s="16">
        <f>+D17/D4</f>
        <v>1.5342269226662143E-5</v>
      </c>
      <c r="F17" s="8"/>
      <c r="G17" s="8"/>
      <c r="H17" s="8"/>
      <c r="I17" s="8"/>
      <c r="J17" s="8">
        <v>4</v>
      </c>
      <c r="K17" s="8">
        <v>8400</v>
      </c>
      <c r="L17" s="8"/>
      <c r="M17" s="8"/>
    </row>
    <row r="18" spans="1:13" s="4" customFormat="1" ht="24.75" customHeight="1" x14ac:dyDescent="0.25">
      <c r="A18" s="9">
        <v>14</v>
      </c>
      <c r="B18" s="7" t="s">
        <v>223</v>
      </c>
      <c r="C18" s="8">
        <v>2</v>
      </c>
      <c r="D18" s="8">
        <v>5301</v>
      </c>
      <c r="E18" s="16">
        <f>+D18/D4</f>
        <v>9.6820677583971443E-6</v>
      </c>
      <c r="F18" s="8"/>
      <c r="G18" s="8"/>
      <c r="H18" s="8"/>
      <c r="I18" s="8"/>
      <c r="J18" s="8">
        <v>1</v>
      </c>
      <c r="K18" s="8">
        <v>5300</v>
      </c>
      <c r="L18" s="8">
        <v>1</v>
      </c>
      <c r="M18" s="8">
        <v>1</v>
      </c>
    </row>
    <row r="22" spans="1:13" x14ac:dyDescent="0.25">
      <c r="J22" s="25"/>
      <c r="K22" s="25"/>
    </row>
  </sheetData>
  <autoFilter ref="A4:W4" xr:uid="{662F41FA-0FA5-43C3-97ED-6761CB7F4A4E}">
    <sortState xmlns:xlrd2="http://schemas.microsoft.com/office/spreadsheetml/2017/richdata2" ref="A5:W20">
      <sortCondition descending="1" ref="D4"/>
    </sortState>
  </autoFilter>
  <mergeCells count="11">
    <mergeCell ref="J2:K2"/>
    <mergeCell ref="L2:M2"/>
    <mergeCell ref="B1:B3"/>
    <mergeCell ref="A1:A3"/>
    <mergeCell ref="F1:I1"/>
    <mergeCell ref="J1:M1"/>
    <mergeCell ref="E1:E3"/>
    <mergeCell ref="C1:C3"/>
    <mergeCell ref="D1:D3"/>
    <mergeCell ref="F2:G2"/>
    <mergeCell ref="H2:I2"/>
  </mergeCells>
  <pageMargins left="0.7" right="0.7" top="0.75" bottom="0.75" header="0.3" footer="0.3"/>
  <pageSetup scale="4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24E5-3A90-45A2-AEDD-D4047EC63C96}">
  <dimension ref="A1:N21"/>
  <sheetViews>
    <sheetView topLeftCell="D1" zoomScaleNormal="100" workbookViewId="0">
      <selection activeCell="B11" sqref="B11"/>
    </sheetView>
  </sheetViews>
  <sheetFormatPr defaultRowHeight="12.5" x14ac:dyDescent="0.25"/>
  <cols>
    <col min="2" max="2" width="42.453125" bestFit="1" customWidth="1"/>
    <col min="3" max="3" width="14.453125" customWidth="1"/>
    <col min="4" max="4" width="14.54296875" customWidth="1"/>
    <col min="5" max="6" width="15" customWidth="1"/>
    <col min="7" max="14" width="15.54296875" customWidth="1"/>
  </cols>
  <sheetData>
    <row r="1" spans="1:14" s="14" customFormat="1" ht="20.25" customHeight="1" x14ac:dyDescent="0.3">
      <c r="A1" s="45" t="s">
        <v>294</v>
      </c>
      <c r="B1" s="45" t="s">
        <v>298</v>
      </c>
      <c r="C1" s="52" t="s">
        <v>299</v>
      </c>
      <c r="D1" s="52" t="s">
        <v>290</v>
      </c>
      <c r="E1" s="52" t="s">
        <v>291</v>
      </c>
      <c r="F1" s="49" t="s">
        <v>296</v>
      </c>
      <c r="G1" s="46" t="s">
        <v>289</v>
      </c>
      <c r="H1" s="47"/>
      <c r="I1" s="47"/>
      <c r="J1" s="48"/>
      <c r="K1" s="46" t="s">
        <v>297</v>
      </c>
      <c r="L1" s="47"/>
      <c r="M1" s="47"/>
      <c r="N1" s="48"/>
    </row>
    <row r="2" spans="1:14" s="14" customFormat="1" ht="20.25" customHeight="1" x14ac:dyDescent="0.3">
      <c r="A2" s="45"/>
      <c r="B2" s="45"/>
      <c r="C2" s="52"/>
      <c r="D2" s="52"/>
      <c r="E2" s="52"/>
      <c r="F2" s="50"/>
      <c r="G2" s="45" t="s">
        <v>234</v>
      </c>
      <c r="H2" s="45"/>
      <c r="I2" s="45" t="s">
        <v>1</v>
      </c>
      <c r="J2" s="45"/>
      <c r="K2" s="45" t="s">
        <v>234</v>
      </c>
      <c r="L2" s="45"/>
      <c r="M2" s="45" t="s">
        <v>1</v>
      </c>
      <c r="N2" s="45"/>
    </row>
    <row r="3" spans="1:14" s="14" customFormat="1" ht="20.25" customHeight="1" x14ac:dyDescent="0.3">
      <c r="A3" s="45"/>
      <c r="B3" s="45"/>
      <c r="C3" s="52"/>
      <c r="D3" s="52"/>
      <c r="E3" s="52"/>
      <c r="F3" s="51"/>
      <c r="G3" s="11" t="s">
        <v>292</v>
      </c>
      <c r="H3" s="11" t="s">
        <v>288</v>
      </c>
      <c r="I3" s="11" t="s">
        <v>292</v>
      </c>
      <c r="J3" s="11" t="s">
        <v>288</v>
      </c>
      <c r="K3" s="11" t="s">
        <v>292</v>
      </c>
      <c r="L3" s="11" t="s">
        <v>288</v>
      </c>
      <c r="M3" s="11" t="s">
        <v>292</v>
      </c>
      <c r="N3" s="11" t="s">
        <v>288</v>
      </c>
    </row>
    <row r="4" spans="1:14" s="14" customFormat="1" ht="19.5" customHeight="1" x14ac:dyDescent="0.3">
      <c r="A4" s="10"/>
      <c r="B4" s="10" t="s">
        <v>295</v>
      </c>
      <c r="C4" s="10"/>
      <c r="D4" s="15">
        <v>748883</v>
      </c>
      <c r="E4" s="15">
        <v>547507013.20000505</v>
      </c>
      <c r="F4" s="13">
        <v>1</v>
      </c>
      <c r="G4" s="15">
        <v>344269</v>
      </c>
      <c r="H4" s="15">
        <v>210228544.22999522</v>
      </c>
      <c r="I4" s="15">
        <v>54084</v>
      </c>
      <c r="J4" s="15">
        <v>58430689.189999998</v>
      </c>
      <c r="K4" s="15">
        <v>301512</v>
      </c>
      <c r="L4" s="15">
        <v>223127150.24000511</v>
      </c>
      <c r="M4" s="15">
        <v>49018</v>
      </c>
      <c r="N4" s="15">
        <v>55720629.539999783</v>
      </c>
    </row>
    <row r="5" spans="1:14" s="4" customFormat="1" ht="19.5" customHeight="1" x14ac:dyDescent="0.25">
      <c r="A5" s="9">
        <v>1</v>
      </c>
      <c r="B5" s="7" t="s">
        <v>24</v>
      </c>
      <c r="C5" s="9">
        <v>7</v>
      </c>
      <c r="D5" s="8">
        <v>156783</v>
      </c>
      <c r="E5" s="8">
        <v>111436082.43000534</v>
      </c>
      <c r="F5" s="12">
        <f>+E5/E4</f>
        <v>0.20353361645305096</v>
      </c>
      <c r="G5" s="8">
        <v>72731</v>
      </c>
      <c r="H5" s="8">
        <v>41040176.370001338</v>
      </c>
      <c r="I5" s="8">
        <v>13215</v>
      </c>
      <c r="J5" s="8">
        <v>18246326.049999956</v>
      </c>
      <c r="K5" s="8">
        <v>60078</v>
      </c>
      <c r="L5" s="8">
        <v>40045513.080001071</v>
      </c>
      <c r="M5" s="8">
        <v>10759</v>
      </c>
      <c r="N5" s="8">
        <v>12104066.930000054</v>
      </c>
    </row>
    <row r="6" spans="1:14" s="4" customFormat="1" ht="19.5" customHeight="1" x14ac:dyDescent="0.25">
      <c r="A6" s="9">
        <v>2</v>
      </c>
      <c r="B6" s="7" t="s">
        <v>135</v>
      </c>
      <c r="C6" s="9">
        <v>6</v>
      </c>
      <c r="D6" s="8">
        <v>107933</v>
      </c>
      <c r="E6" s="8">
        <v>80459877.769999892</v>
      </c>
      <c r="F6" s="12">
        <f>+E6/E4</f>
        <v>0.14695679841567214</v>
      </c>
      <c r="G6" s="8">
        <v>52728</v>
      </c>
      <c r="H6" s="8">
        <v>35329678.860000074</v>
      </c>
      <c r="I6" s="8">
        <v>8620</v>
      </c>
      <c r="J6" s="8">
        <v>6715679.709999999</v>
      </c>
      <c r="K6" s="8">
        <v>40108</v>
      </c>
      <c r="L6" s="8">
        <v>32539631.979999974</v>
      </c>
      <c r="M6" s="8">
        <v>6477</v>
      </c>
      <c r="N6" s="8">
        <v>5874887.219999996</v>
      </c>
    </row>
    <row r="7" spans="1:14" s="4" customFormat="1" ht="19.5" customHeight="1" x14ac:dyDescent="0.25">
      <c r="A7" s="9">
        <v>3</v>
      </c>
      <c r="B7" s="7" t="s">
        <v>88</v>
      </c>
      <c r="C7" s="9">
        <v>9</v>
      </c>
      <c r="D7" s="8">
        <v>87743</v>
      </c>
      <c r="E7" s="8">
        <v>72638685.839999765</v>
      </c>
      <c r="F7" s="12">
        <f>+E7/E4</f>
        <v>0.13267169933668915</v>
      </c>
      <c r="G7" s="8">
        <v>34159</v>
      </c>
      <c r="H7" s="8">
        <v>23681579.670000009</v>
      </c>
      <c r="I7" s="8">
        <v>4429</v>
      </c>
      <c r="J7" s="8">
        <v>4506026.29</v>
      </c>
      <c r="K7" s="8">
        <v>44009</v>
      </c>
      <c r="L7" s="8">
        <v>39412329.280000001</v>
      </c>
      <c r="M7" s="8">
        <v>5146</v>
      </c>
      <c r="N7" s="8">
        <v>5038750.6000000052</v>
      </c>
    </row>
    <row r="8" spans="1:14" s="4" customFormat="1" ht="19.5" customHeight="1" x14ac:dyDescent="0.25">
      <c r="A8" s="9">
        <v>4</v>
      </c>
      <c r="B8" s="7" t="s">
        <v>57</v>
      </c>
      <c r="C8" s="9">
        <v>8</v>
      </c>
      <c r="D8" s="8">
        <v>83663</v>
      </c>
      <c r="E8" s="8">
        <v>63152272.610000014</v>
      </c>
      <c r="F8" s="12">
        <f>+E8/E4</f>
        <v>0.11534513912597208</v>
      </c>
      <c r="G8" s="8">
        <v>40066</v>
      </c>
      <c r="H8" s="8">
        <v>25973541.209999986</v>
      </c>
      <c r="I8" s="8">
        <v>5030</v>
      </c>
      <c r="J8" s="8">
        <v>5120445.8900000006</v>
      </c>
      <c r="K8" s="8">
        <v>33797</v>
      </c>
      <c r="L8" s="8">
        <v>26433832.719999995</v>
      </c>
      <c r="M8" s="8">
        <v>4770</v>
      </c>
      <c r="N8" s="8">
        <v>5624452.7900000038</v>
      </c>
    </row>
    <row r="9" spans="1:14" s="4" customFormat="1" ht="19.5" customHeight="1" x14ac:dyDescent="0.25">
      <c r="A9" s="9">
        <v>5</v>
      </c>
      <c r="B9" s="7" t="s">
        <v>44</v>
      </c>
      <c r="C9" s="9">
        <v>6</v>
      </c>
      <c r="D9" s="8">
        <v>74140</v>
      </c>
      <c r="E9" s="8">
        <v>48803408.620000027</v>
      </c>
      <c r="F9" s="12">
        <f>+E9/E4</f>
        <v>8.9137504074622828E-2</v>
      </c>
      <c r="G9" s="8">
        <v>37571</v>
      </c>
      <c r="H9" s="8">
        <v>23161691.090000004</v>
      </c>
      <c r="I9" s="8">
        <v>3452</v>
      </c>
      <c r="J9" s="8">
        <v>2313983.33</v>
      </c>
      <c r="K9" s="8">
        <v>30034</v>
      </c>
      <c r="L9" s="8">
        <v>20909748.359999988</v>
      </c>
      <c r="M9" s="8">
        <v>3083</v>
      </c>
      <c r="N9" s="8">
        <v>2417985.84</v>
      </c>
    </row>
    <row r="10" spans="1:14" s="4" customFormat="1" ht="19.5" customHeight="1" x14ac:dyDescent="0.25">
      <c r="A10" s="9">
        <v>6</v>
      </c>
      <c r="B10" s="7" t="s">
        <v>19</v>
      </c>
      <c r="C10" s="9">
        <v>8</v>
      </c>
      <c r="D10" s="8">
        <v>51883</v>
      </c>
      <c r="E10" s="8">
        <v>39871830.639999978</v>
      </c>
      <c r="F10" s="12">
        <f>+E10/E4</f>
        <v>7.2824328599850732E-2</v>
      </c>
      <c r="G10" s="8">
        <v>22897</v>
      </c>
      <c r="H10" s="8">
        <v>13352267.499999991</v>
      </c>
      <c r="I10" s="8">
        <v>6723</v>
      </c>
      <c r="J10" s="8">
        <v>8745022.2300000004</v>
      </c>
      <c r="K10" s="8">
        <v>16955</v>
      </c>
      <c r="L10" s="8">
        <v>11177758.869999986</v>
      </c>
      <c r="M10" s="8">
        <v>5308</v>
      </c>
      <c r="N10" s="8">
        <v>6596782.040000001</v>
      </c>
    </row>
    <row r="11" spans="1:14" s="4" customFormat="1" ht="19.5" customHeight="1" x14ac:dyDescent="0.25">
      <c r="A11" s="9">
        <v>7</v>
      </c>
      <c r="B11" s="7" t="s">
        <v>34</v>
      </c>
      <c r="C11" s="9">
        <v>10</v>
      </c>
      <c r="D11" s="8">
        <v>30090</v>
      </c>
      <c r="E11" s="8">
        <v>27189355.520000014</v>
      </c>
      <c r="F11" s="12">
        <f>+E11/E4</f>
        <v>4.9660287200864961E-2</v>
      </c>
      <c r="G11" s="8">
        <v>9437</v>
      </c>
      <c r="H11" s="8">
        <v>6772023.5099999998</v>
      </c>
      <c r="I11" s="8">
        <v>2579</v>
      </c>
      <c r="J11" s="8">
        <v>3159056</v>
      </c>
      <c r="K11" s="8">
        <v>13970</v>
      </c>
      <c r="L11" s="8">
        <v>11357184.889999999</v>
      </c>
      <c r="M11" s="8">
        <v>4104</v>
      </c>
      <c r="N11" s="8">
        <v>5901091.1200000048</v>
      </c>
    </row>
    <row r="12" spans="1:14" s="4" customFormat="1" ht="19.5" customHeight="1" x14ac:dyDescent="0.25">
      <c r="A12" s="9">
        <v>8</v>
      </c>
      <c r="B12" s="7" t="s">
        <v>102</v>
      </c>
      <c r="C12" s="9">
        <v>10</v>
      </c>
      <c r="D12" s="8">
        <v>36933</v>
      </c>
      <c r="E12" s="8">
        <v>23079690.639999975</v>
      </c>
      <c r="F12" s="12">
        <f>+E12/E4</f>
        <v>4.2154146127017615E-2</v>
      </c>
      <c r="G12" s="8">
        <v>16225</v>
      </c>
      <c r="H12" s="8">
        <v>8922996.75</v>
      </c>
      <c r="I12" s="8">
        <v>2546</v>
      </c>
      <c r="J12" s="8">
        <v>1618928.7899999998</v>
      </c>
      <c r="K12" s="8">
        <v>15853</v>
      </c>
      <c r="L12" s="8">
        <v>10611924.539999997</v>
      </c>
      <c r="M12" s="8">
        <v>2309</v>
      </c>
      <c r="N12" s="8">
        <v>1925840.5599999996</v>
      </c>
    </row>
    <row r="13" spans="1:14" s="4" customFormat="1" ht="19.5" customHeight="1" x14ac:dyDescent="0.25">
      <c r="A13" s="9">
        <v>9</v>
      </c>
      <c r="B13" s="7" t="s">
        <v>115</v>
      </c>
      <c r="C13" s="9">
        <v>9</v>
      </c>
      <c r="D13" s="8">
        <v>36165</v>
      </c>
      <c r="E13" s="8">
        <v>22544573.949999977</v>
      </c>
      <c r="F13" s="12">
        <f>+E13/E4</f>
        <v>4.1176776564439029E-2</v>
      </c>
      <c r="G13" s="8">
        <v>15691</v>
      </c>
      <c r="H13" s="8">
        <v>8369697.1000000006</v>
      </c>
      <c r="I13" s="8">
        <v>1777</v>
      </c>
      <c r="J13" s="8">
        <v>1263267.8900000001</v>
      </c>
      <c r="K13" s="8">
        <v>16670</v>
      </c>
      <c r="L13" s="8">
        <v>10751625.780000001</v>
      </c>
      <c r="M13" s="8">
        <v>2027</v>
      </c>
      <c r="N13" s="8">
        <v>2159983.1800000006</v>
      </c>
    </row>
    <row r="14" spans="1:14" s="4" customFormat="1" ht="19.5" customHeight="1" x14ac:dyDescent="0.25">
      <c r="A14" s="9">
        <v>10</v>
      </c>
      <c r="B14" s="7" t="s">
        <v>170</v>
      </c>
      <c r="C14" s="9">
        <v>5</v>
      </c>
      <c r="D14" s="8">
        <v>27739</v>
      </c>
      <c r="E14" s="8">
        <v>17741261.169999998</v>
      </c>
      <c r="F14" s="12">
        <f>+E14/E4</f>
        <v>3.2403714915555049E-2</v>
      </c>
      <c r="G14" s="8">
        <v>13857</v>
      </c>
      <c r="H14" s="8">
        <v>7123136.29</v>
      </c>
      <c r="I14" s="8">
        <v>1852</v>
      </c>
      <c r="J14" s="8">
        <v>1989420.26</v>
      </c>
      <c r="K14" s="8">
        <v>10373</v>
      </c>
      <c r="L14" s="8">
        <v>6497787.8499999968</v>
      </c>
      <c r="M14" s="8">
        <v>1657</v>
      </c>
      <c r="N14" s="8">
        <v>2130916.7699999996</v>
      </c>
    </row>
    <row r="15" spans="1:14" s="4" customFormat="1" ht="19.5" customHeight="1" x14ac:dyDescent="0.25">
      <c r="A15" s="9">
        <v>11</v>
      </c>
      <c r="B15" s="7" t="s">
        <v>48</v>
      </c>
      <c r="C15" s="9">
        <v>7</v>
      </c>
      <c r="D15" s="8">
        <v>18093</v>
      </c>
      <c r="E15" s="8">
        <v>13169328.12999999</v>
      </c>
      <c r="F15" s="16">
        <f>+E15/E4</f>
        <v>2.4053259250560899E-2</v>
      </c>
      <c r="G15" s="8">
        <v>8359</v>
      </c>
      <c r="H15" s="8">
        <v>4869355.9199999981</v>
      </c>
      <c r="I15" s="8">
        <v>1653</v>
      </c>
      <c r="J15" s="8">
        <v>2052023.8199999998</v>
      </c>
      <c r="K15" s="8">
        <v>6790</v>
      </c>
      <c r="L15" s="8">
        <v>4502442.8800000008</v>
      </c>
      <c r="M15" s="8">
        <v>1291</v>
      </c>
      <c r="N15" s="8">
        <v>1745505.51</v>
      </c>
    </row>
    <row r="16" spans="1:14" s="4" customFormat="1" ht="19.5" customHeight="1" x14ac:dyDescent="0.25">
      <c r="A16" s="9">
        <v>12</v>
      </c>
      <c r="B16" s="7" t="s">
        <v>5</v>
      </c>
      <c r="C16" s="9">
        <v>7</v>
      </c>
      <c r="D16" s="8">
        <v>15841</v>
      </c>
      <c r="E16" s="8">
        <v>12440116.419999992</v>
      </c>
      <c r="F16" s="16">
        <f>+E16/E4</f>
        <v>2.2721382776982987E-2</v>
      </c>
      <c r="G16" s="8">
        <v>8710</v>
      </c>
      <c r="H16" s="8">
        <v>4814428.1499999957</v>
      </c>
      <c r="I16" s="8">
        <v>1681</v>
      </c>
      <c r="J16" s="8">
        <v>1915444</v>
      </c>
      <c r="K16" s="8">
        <v>4178</v>
      </c>
      <c r="L16" s="8">
        <v>3101182.9100000011</v>
      </c>
      <c r="M16" s="8">
        <v>1272</v>
      </c>
      <c r="N16" s="8">
        <v>2609061.3600000003</v>
      </c>
    </row>
    <row r="17" spans="1:14" s="4" customFormat="1" ht="19.5" customHeight="1" x14ac:dyDescent="0.25">
      <c r="A17" s="9">
        <v>13</v>
      </c>
      <c r="B17" s="7" t="s">
        <v>207</v>
      </c>
      <c r="C17" s="9">
        <v>4</v>
      </c>
      <c r="D17" s="8">
        <v>17137</v>
      </c>
      <c r="E17" s="8">
        <v>9764327.6000000015</v>
      </c>
      <c r="F17" s="16">
        <f>+E17/E4</f>
        <v>1.7834159863872063E-2</v>
      </c>
      <c r="G17" s="8">
        <v>10692</v>
      </c>
      <c r="H17" s="8">
        <v>5985802.1999999993</v>
      </c>
      <c r="I17" s="8">
        <v>64</v>
      </c>
      <c r="J17" s="8">
        <v>120603</v>
      </c>
      <c r="K17" s="8">
        <v>6363</v>
      </c>
      <c r="L17" s="8">
        <v>3600052.4000000004</v>
      </c>
      <c r="M17" s="8">
        <v>18</v>
      </c>
      <c r="N17" s="8">
        <v>57870</v>
      </c>
    </row>
    <row r="18" spans="1:14" s="4" customFormat="1" ht="19.5" customHeight="1" x14ac:dyDescent="0.25">
      <c r="A18" s="9">
        <v>14</v>
      </c>
      <c r="B18" s="7" t="s">
        <v>173</v>
      </c>
      <c r="C18" s="9">
        <v>10</v>
      </c>
      <c r="D18" s="8">
        <v>3611</v>
      </c>
      <c r="E18" s="8">
        <v>3770638.6499999994</v>
      </c>
      <c r="F18" s="16">
        <f>+E18/E4</f>
        <v>6.8869230148520125E-3</v>
      </c>
      <c r="G18" s="8">
        <v>1145</v>
      </c>
      <c r="H18" s="8">
        <v>831869.61</v>
      </c>
      <c r="I18" s="8">
        <v>462</v>
      </c>
      <c r="J18" s="8">
        <v>664009.92999999993</v>
      </c>
      <c r="K18" s="8">
        <v>1528</v>
      </c>
      <c r="L18" s="8">
        <v>1543774.1099999999</v>
      </c>
      <c r="M18" s="8">
        <v>476</v>
      </c>
      <c r="N18" s="8">
        <v>730985</v>
      </c>
    </row>
    <row r="19" spans="1:14" s="4" customFormat="1" ht="19.5" customHeight="1" x14ac:dyDescent="0.25">
      <c r="A19" s="9">
        <v>15</v>
      </c>
      <c r="B19" s="7" t="s">
        <v>164</v>
      </c>
      <c r="C19" s="9">
        <v>5</v>
      </c>
      <c r="D19" s="8">
        <v>507</v>
      </c>
      <c r="E19" s="8">
        <v>844501.93</v>
      </c>
      <c r="F19" s="16">
        <f>+E19/E4</f>
        <v>1.542449520535187E-3</v>
      </c>
      <c r="G19" s="8"/>
      <c r="H19" s="8"/>
      <c r="I19" s="8"/>
      <c r="J19" s="8"/>
      <c r="K19" s="8">
        <v>298</v>
      </c>
      <c r="L19" s="8">
        <v>203771.41</v>
      </c>
      <c r="M19" s="8">
        <v>209</v>
      </c>
      <c r="N19" s="8">
        <v>640730.52</v>
      </c>
    </row>
    <row r="20" spans="1:14" s="4" customFormat="1" ht="19.5" customHeight="1" x14ac:dyDescent="0.25">
      <c r="A20" s="9">
        <v>16</v>
      </c>
      <c r="B20" s="7" t="s">
        <v>188</v>
      </c>
      <c r="C20" s="9">
        <v>5</v>
      </c>
      <c r="D20" s="8">
        <v>615</v>
      </c>
      <c r="E20" s="8">
        <v>591986.46000000008</v>
      </c>
      <c r="F20" s="16">
        <f>+E20/E4</f>
        <v>1.0812399580783939E-3</v>
      </c>
      <c r="G20" s="8">
        <v>1</v>
      </c>
      <c r="H20" s="8">
        <v>300</v>
      </c>
      <c r="I20" s="8"/>
      <c r="J20" s="8"/>
      <c r="K20" s="8">
        <v>502</v>
      </c>
      <c r="L20" s="8">
        <v>429966.36000000004</v>
      </c>
      <c r="M20" s="8">
        <v>112</v>
      </c>
      <c r="N20" s="8">
        <v>161720.09999999998</v>
      </c>
    </row>
    <row r="21" spans="1:14" s="4" customFormat="1" ht="19.5" customHeight="1" x14ac:dyDescent="0.25">
      <c r="A21" s="9">
        <v>17</v>
      </c>
      <c r="B21" s="7" t="s">
        <v>268</v>
      </c>
      <c r="C21" s="9">
        <v>1</v>
      </c>
      <c r="D21" s="8">
        <v>7</v>
      </c>
      <c r="E21" s="8">
        <v>9074.82</v>
      </c>
      <c r="F21" s="16">
        <f>+E21/E4</f>
        <v>1.6574801383749502E-5</v>
      </c>
      <c r="G21" s="8"/>
      <c r="H21" s="8"/>
      <c r="I21" s="8">
        <v>1</v>
      </c>
      <c r="J21" s="8">
        <v>452</v>
      </c>
      <c r="K21" s="8">
        <v>6</v>
      </c>
      <c r="L21" s="8">
        <v>8622.82</v>
      </c>
      <c r="M21" s="8"/>
      <c r="N21" s="8"/>
    </row>
  </sheetData>
  <autoFilter ref="B4:X22" xr:uid="{746C24E5-3A90-45A2-AEDD-D4047EC63C96}">
    <sortState xmlns:xlrd2="http://schemas.microsoft.com/office/spreadsheetml/2017/richdata2" ref="B5:X22">
      <sortCondition descending="1" ref="E4:E22"/>
    </sortState>
  </autoFilter>
  <mergeCells count="12">
    <mergeCell ref="D1:D3"/>
    <mergeCell ref="E1:E3"/>
    <mergeCell ref="B1:B3"/>
    <mergeCell ref="A1:A3"/>
    <mergeCell ref="F1:F3"/>
    <mergeCell ref="C1:C3"/>
    <mergeCell ref="G1:J1"/>
    <mergeCell ref="G2:H2"/>
    <mergeCell ref="I2:J2"/>
    <mergeCell ref="K1:N1"/>
    <mergeCell ref="K2:L2"/>
    <mergeCell ref="M2:N2"/>
  </mergeCells>
  <pageMargins left="0.7" right="0.7" top="0.75" bottom="0.75" header="0.3" footer="0.3"/>
  <pageSetup scale="3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FAF0A-E675-4670-B167-EB94D8624365}">
  <dimension ref="A1:O27"/>
  <sheetViews>
    <sheetView topLeftCell="D1" zoomScaleNormal="100" workbookViewId="0">
      <selection activeCell="B8" sqref="B8"/>
    </sheetView>
  </sheetViews>
  <sheetFormatPr defaultRowHeight="12.5" x14ac:dyDescent="0.25"/>
  <cols>
    <col min="2" max="2" width="25.7265625" customWidth="1"/>
    <col min="3" max="4" width="14" customWidth="1"/>
    <col min="5" max="13" width="13.26953125" customWidth="1"/>
    <col min="14" max="14" width="17" customWidth="1"/>
    <col min="15" max="15" width="18.54296875" customWidth="1"/>
  </cols>
  <sheetData>
    <row r="1" spans="1:15" ht="24" customHeight="1" x14ac:dyDescent="0.25">
      <c r="A1" s="45" t="s">
        <v>294</v>
      </c>
      <c r="B1" s="45" t="s">
        <v>453</v>
      </c>
      <c r="C1" s="52" t="s">
        <v>290</v>
      </c>
      <c r="D1" s="52" t="s">
        <v>291</v>
      </c>
      <c r="E1" s="49" t="s">
        <v>296</v>
      </c>
      <c r="F1" s="46" t="s">
        <v>289</v>
      </c>
      <c r="G1" s="47"/>
      <c r="H1" s="47"/>
      <c r="I1" s="48"/>
      <c r="J1" s="46" t="s">
        <v>297</v>
      </c>
      <c r="K1" s="47"/>
      <c r="L1" s="47"/>
      <c r="M1" s="48"/>
      <c r="N1" s="45" t="s">
        <v>454</v>
      </c>
      <c r="O1" s="52" t="s">
        <v>491</v>
      </c>
    </row>
    <row r="2" spans="1:15" ht="24" customHeight="1" x14ac:dyDescent="0.25">
      <c r="A2" s="45"/>
      <c r="B2" s="45"/>
      <c r="C2" s="52"/>
      <c r="D2" s="52"/>
      <c r="E2" s="50"/>
      <c r="F2" s="45" t="s">
        <v>234</v>
      </c>
      <c r="G2" s="45"/>
      <c r="H2" s="45" t="s">
        <v>1</v>
      </c>
      <c r="I2" s="45"/>
      <c r="J2" s="45" t="s">
        <v>234</v>
      </c>
      <c r="K2" s="45"/>
      <c r="L2" s="45" t="s">
        <v>1</v>
      </c>
      <c r="M2" s="45"/>
      <c r="N2" s="45"/>
      <c r="O2" s="52"/>
    </row>
    <row r="3" spans="1:15" ht="24" customHeight="1" x14ac:dyDescent="0.25">
      <c r="A3" s="45"/>
      <c r="B3" s="45"/>
      <c r="C3" s="52"/>
      <c r="D3" s="52"/>
      <c r="E3" s="51"/>
      <c r="F3" s="11" t="s">
        <v>292</v>
      </c>
      <c r="G3" s="11" t="s">
        <v>288</v>
      </c>
      <c r="H3" s="11" t="s">
        <v>292</v>
      </c>
      <c r="I3" s="11" t="s">
        <v>288</v>
      </c>
      <c r="J3" s="11" t="s">
        <v>292</v>
      </c>
      <c r="K3" s="11" t="s">
        <v>288</v>
      </c>
      <c r="L3" s="11" t="s">
        <v>292</v>
      </c>
      <c r="M3" s="11" t="s">
        <v>288</v>
      </c>
      <c r="N3" s="45"/>
      <c r="O3" s="52"/>
    </row>
    <row r="4" spans="1:15" s="14" customFormat="1" ht="20.25" customHeight="1" x14ac:dyDescent="0.3">
      <c r="A4" s="46" t="s">
        <v>295</v>
      </c>
      <c r="B4" s="48"/>
      <c r="C4" s="18">
        <v>748883</v>
      </c>
      <c r="D4" s="18">
        <v>547507013.20000243</v>
      </c>
      <c r="E4" s="13">
        <v>1</v>
      </c>
      <c r="F4" s="18">
        <v>344269</v>
      </c>
      <c r="G4" s="18">
        <v>210228544.23000056</v>
      </c>
      <c r="H4" s="18">
        <v>54084</v>
      </c>
      <c r="I4" s="18">
        <v>58430689.189999916</v>
      </c>
      <c r="J4" s="18">
        <v>301512</v>
      </c>
      <c r="K4" s="18">
        <v>223127150.23999834</v>
      </c>
      <c r="L4" s="18">
        <v>49018</v>
      </c>
      <c r="M4" s="18">
        <v>55720629.539999932</v>
      </c>
      <c r="N4" s="21">
        <v>10188546.359999478</v>
      </c>
      <c r="O4" s="26">
        <f>SUM(O5:O27)</f>
        <v>110420</v>
      </c>
    </row>
    <row r="5" spans="1:15" ht="21.75" customHeight="1" x14ac:dyDescent="0.25">
      <c r="A5" s="11">
        <v>1</v>
      </c>
      <c r="B5" s="27" t="s">
        <v>26</v>
      </c>
      <c r="C5" s="17">
        <v>82432</v>
      </c>
      <c r="D5" s="17">
        <v>69814461.270000577</v>
      </c>
      <c r="E5" s="12">
        <v>0.12751336437127536</v>
      </c>
      <c r="F5" s="17">
        <v>37712</v>
      </c>
      <c r="G5" s="17">
        <v>27448751.26000024</v>
      </c>
      <c r="H5" s="17">
        <v>4631</v>
      </c>
      <c r="I5" s="17">
        <v>4719585.5899999989</v>
      </c>
      <c r="J5" s="17">
        <v>36136</v>
      </c>
      <c r="K5" s="17">
        <v>33685050.760000125</v>
      </c>
      <c r="L5" s="17">
        <v>3953</v>
      </c>
      <c r="M5" s="17">
        <v>3961073.6600000034</v>
      </c>
      <c r="N5" s="20">
        <v>5477787.5699998885</v>
      </c>
      <c r="O5" s="17">
        <v>7921</v>
      </c>
    </row>
    <row r="6" spans="1:15" ht="21.75" customHeight="1" x14ac:dyDescent="0.25">
      <c r="A6" s="11">
        <v>2</v>
      </c>
      <c r="B6" s="27" t="s">
        <v>11</v>
      </c>
      <c r="C6" s="17">
        <v>14846</v>
      </c>
      <c r="D6" s="17">
        <v>10601834.479999999</v>
      </c>
      <c r="E6" s="12">
        <v>1.9363833201031865E-2</v>
      </c>
      <c r="F6" s="17">
        <v>7635</v>
      </c>
      <c r="G6" s="17">
        <v>4884710.040000001</v>
      </c>
      <c r="H6" s="17">
        <v>275</v>
      </c>
      <c r="I6" s="17">
        <v>174849</v>
      </c>
      <c r="J6" s="17">
        <v>6683</v>
      </c>
      <c r="K6" s="17">
        <v>5228866.4400000004</v>
      </c>
      <c r="L6" s="17">
        <v>253</v>
      </c>
      <c r="M6" s="17">
        <v>313409</v>
      </c>
      <c r="N6" s="20">
        <v>482716.39999999944</v>
      </c>
      <c r="O6" s="17">
        <v>5006</v>
      </c>
    </row>
    <row r="7" spans="1:15" ht="21.75" customHeight="1" x14ac:dyDescent="0.25">
      <c r="A7" s="11">
        <v>3</v>
      </c>
      <c r="B7" s="27" t="s">
        <v>45</v>
      </c>
      <c r="C7" s="17">
        <v>74732</v>
      </c>
      <c r="D7" s="17">
        <v>57634902.330001056</v>
      </c>
      <c r="E7" s="12">
        <v>0.10526787957133843</v>
      </c>
      <c r="F7" s="17">
        <v>35907</v>
      </c>
      <c r="G7" s="17">
        <v>23769285.060000125</v>
      </c>
      <c r="H7" s="17">
        <v>3713</v>
      </c>
      <c r="I7" s="17">
        <v>3814030.6399999997</v>
      </c>
      <c r="J7" s="17">
        <v>32315</v>
      </c>
      <c r="K7" s="17">
        <v>26896846.380000062</v>
      </c>
      <c r="L7" s="17">
        <v>2797</v>
      </c>
      <c r="M7" s="17">
        <v>3154740.2500000061</v>
      </c>
      <c r="N7" s="20">
        <v>2468270.9299999438</v>
      </c>
      <c r="O7" s="17">
        <v>6229</v>
      </c>
    </row>
    <row r="8" spans="1:15" ht="21.75" customHeight="1" x14ac:dyDescent="0.25">
      <c r="A8" s="11">
        <v>4</v>
      </c>
      <c r="B8" s="27" t="s">
        <v>132</v>
      </c>
      <c r="C8" s="17">
        <v>11500</v>
      </c>
      <c r="D8" s="17">
        <v>7555703.9600000028</v>
      </c>
      <c r="E8" s="12">
        <v>1.3800195756104279E-2</v>
      </c>
      <c r="F8" s="17">
        <v>3510</v>
      </c>
      <c r="G8" s="17">
        <v>2153965.7600000002</v>
      </c>
      <c r="H8" s="17">
        <v>320</v>
      </c>
      <c r="I8" s="17">
        <v>167989</v>
      </c>
      <c r="J8" s="17">
        <v>7000</v>
      </c>
      <c r="K8" s="17">
        <v>4806324.3599999985</v>
      </c>
      <c r="L8" s="17">
        <v>670</v>
      </c>
      <c r="M8" s="17">
        <v>427424.84</v>
      </c>
      <c r="N8" s="20">
        <v>2911794.4399999981</v>
      </c>
      <c r="O8" s="17">
        <v>2994</v>
      </c>
    </row>
    <row r="9" spans="1:15" ht="21.75" customHeight="1" x14ac:dyDescent="0.25">
      <c r="A9" s="11">
        <v>5</v>
      </c>
      <c r="B9" s="27" t="s">
        <v>31</v>
      </c>
      <c r="C9" s="17">
        <v>35150</v>
      </c>
      <c r="D9" s="17">
        <v>26412204.71999998</v>
      </c>
      <c r="E9" s="12">
        <v>4.8240851867137072E-2</v>
      </c>
      <c r="F9" s="17">
        <v>14574</v>
      </c>
      <c r="G9" s="17">
        <v>9393467.7900000066</v>
      </c>
      <c r="H9" s="17">
        <v>2609</v>
      </c>
      <c r="I9" s="17">
        <v>1980229.5300000003</v>
      </c>
      <c r="J9" s="17">
        <v>15175</v>
      </c>
      <c r="K9" s="17">
        <v>12056060.590000002</v>
      </c>
      <c r="L9" s="17">
        <v>2792</v>
      </c>
      <c r="M9" s="17">
        <v>2982446.8099999991</v>
      </c>
      <c r="N9" s="20">
        <v>3664810.0799999926</v>
      </c>
      <c r="O9" s="17">
        <v>7958</v>
      </c>
    </row>
    <row r="10" spans="1:15" ht="21.75" customHeight="1" x14ac:dyDescent="0.25">
      <c r="A10" s="11">
        <v>6</v>
      </c>
      <c r="B10" s="27" t="s">
        <v>14</v>
      </c>
      <c r="C10" s="17">
        <v>28252</v>
      </c>
      <c r="D10" s="17">
        <v>34585100.000000164</v>
      </c>
      <c r="E10" s="12">
        <v>6.3168323265598694E-2</v>
      </c>
      <c r="F10" s="17">
        <v>9211</v>
      </c>
      <c r="G10" s="17">
        <v>6717933.8499999996</v>
      </c>
      <c r="H10" s="17">
        <v>4971</v>
      </c>
      <c r="I10" s="17">
        <v>10023671.899999991</v>
      </c>
      <c r="J10" s="17">
        <v>9012</v>
      </c>
      <c r="K10" s="17">
        <v>7796512.5899999961</v>
      </c>
      <c r="L10" s="17">
        <v>5058</v>
      </c>
      <c r="M10" s="17">
        <v>10046981.660000002</v>
      </c>
      <c r="N10" s="20">
        <v>1101888.5000000093</v>
      </c>
      <c r="O10" s="17">
        <v>2383</v>
      </c>
    </row>
    <row r="11" spans="1:15" ht="21.75" customHeight="1" x14ac:dyDescent="0.25">
      <c r="A11" s="11">
        <v>7</v>
      </c>
      <c r="B11" s="27" t="s">
        <v>16</v>
      </c>
      <c r="C11" s="17">
        <v>55167</v>
      </c>
      <c r="D11" s="17">
        <v>38366339.009999961</v>
      </c>
      <c r="E11" s="12">
        <v>7.0074607420571741E-2</v>
      </c>
      <c r="F11" s="17">
        <v>24751</v>
      </c>
      <c r="G11" s="17">
        <v>14589668.829999976</v>
      </c>
      <c r="H11" s="17">
        <v>5957</v>
      </c>
      <c r="I11" s="17">
        <v>5384687.0900000008</v>
      </c>
      <c r="J11" s="17">
        <v>19253</v>
      </c>
      <c r="K11" s="17">
        <v>12892072.919999979</v>
      </c>
      <c r="L11" s="17">
        <v>5206</v>
      </c>
      <c r="M11" s="17">
        <v>5499910.1699999999</v>
      </c>
      <c r="N11" s="20">
        <v>-1582372.8299999945</v>
      </c>
      <c r="O11" s="17">
        <v>3865</v>
      </c>
    </row>
    <row r="12" spans="1:15" ht="21.75" customHeight="1" x14ac:dyDescent="0.25">
      <c r="A12" s="11">
        <v>8</v>
      </c>
      <c r="B12" s="27" t="s">
        <v>41</v>
      </c>
      <c r="C12" s="17">
        <v>34463</v>
      </c>
      <c r="D12" s="17">
        <v>22512743.280000113</v>
      </c>
      <c r="E12" s="12">
        <v>4.1118639099105542E-2</v>
      </c>
      <c r="F12" s="17">
        <v>18500</v>
      </c>
      <c r="G12" s="17">
        <v>11062983.420000082</v>
      </c>
      <c r="H12" s="17">
        <v>1228</v>
      </c>
      <c r="I12" s="17">
        <v>1088528.9899999998</v>
      </c>
      <c r="J12" s="17">
        <v>13844</v>
      </c>
      <c r="K12" s="17">
        <v>9636908.8400000129</v>
      </c>
      <c r="L12" s="17">
        <v>891</v>
      </c>
      <c r="M12" s="17">
        <v>724322.03000000201</v>
      </c>
      <c r="N12" s="20">
        <v>-1790281.540000068</v>
      </c>
      <c r="O12" s="17">
        <v>8892</v>
      </c>
    </row>
    <row r="13" spans="1:15" ht="21.75" customHeight="1" x14ac:dyDescent="0.25">
      <c r="A13" s="11">
        <v>9</v>
      </c>
      <c r="B13" s="27" t="s">
        <v>58</v>
      </c>
      <c r="C13" s="17">
        <v>39391</v>
      </c>
      <c r="D13" s="17">
        <v>26078501.360000018</v>
      </c>
      <c r="E13" s="12">
        <v>4.7631355820594086E-2</v>
      </c>
      <c r="F13" s="17">
        <v>17806</v>
      </c>
      <c r="G13" s="17">
        <v>10165118.380000006</v>
      </c>
      <c r="H13" s="17">
        <v>2271</v>
      </c>
      <c r="I13" s="17">
        <v>1850969.79</v>
      </c>
      <c r="J13" s="17">
        <v>17057</v>
      </c>
      <c r="K13" s="17">
        <v>11746885.359999977</v>
      </c>
      <c r="L13" s="17">
        <v>2257</v>
      </c>
      <c r="M13" s="17">
        <v>2315527.8299999991</v>
      </c>
      <c r="N13" s="20">
        <v>2046325.0199999698</v>
      </c>
      <c r="O13" s="17">
        <v>2262</v>
      </c>
    </row>
    <row r="14" spans="1:15" ht="21.75" customHeight="1" x14ac:dyDescent="0.25">
      <c r="A14" s="11">
        <v>10</v>
      </c>
      <c r="B14" s="27" t="s">
        <v>127</v>
      </c>
      <c r="C14" s="17">
        <v>40285</v>
      </c>
      <c r="D14" s="17">
        <v>24167869.27</v>
      </c>
      <c r="E14" s="12">
        <v>4.4141661544655979E-2</v>
      </c>
      <c r="F14" s="17">
        <v>20965</v>
      </c>
      <c r="G14" s="17">
        <v>12312904.99</v>
      </c>
      <c r="H14" s="17">
        <v>845</v>
      </c>
      <c r="I14" s="17">
        <v>612798.54</v>
      </c>
      <c r="J14" s="17">
        <v>17742</v>
      </c>
      <c r="K14" s="17">
        <v>10631334.640000001</v>
      </c>
      <c r="L14" s="17">
        <v>733</v>
      </c>
      <c r="M14" s="17">
        <v>610831.10000000009</v>
      </c>
      <c r="N14" s="20">
        <v>-1683537.790000001</v>
      </c>
      <c r="O14" s="17">
        <v>5004</v>
      </c>
    </row>
    <row r="15" spans="1:15" ht="21.75" customHeight="1" x14ac:dyDescent="0.25">
      <c r="A15" s="11">
        <v>11</v>
      </c>
      <c r="B15" s="27" t="s">
        <v>68</v>
      </c>
      <c r="C15" s="17">
        <v>66500</v>
      </c>
      <c r="D15" s="17">
        <v>44099110.000000574</v>
      </c>
      <c r="E15" s="16">
        <v>8.0545287890022549E-2</v>
      </c>
      <c r="F15" s="17">
        <v>29894</v>
      </c>
      <c r="G15" s="17">
        <v>16242997.630000025</v>
      </c>
      <c r="H15" s="17">
        <v>7890</v>
      </c>
      <c r="I15" s="17">
        <v>6340994.2799999863</v>
      </c>
      <c r="J15" s="17">
        <v>21495</v>
      </c>
      <c r="K15" s="17">
        <v>13877116.049999895</v>
      </c>
      <c r="L15" s="17">
        <v>7221</v>
      </c>
      <c r="M15" s="17">
        <v>7638002.0399999926</v>
      </c>
      <c r="N15" s="20">
        <v>-1068873.8200001232</v>
      </c>
      <c r="O15" s="17">
        <v>8225</v>
      </c>
    </row>
    <row r="16" spans="1:15" ht="21.75" customHeight="1" x14ac:dyDescent="0.25">
      <c r="A16" s="11">
        <v>12</v>
      </c>
      <c r="B16" s="27" t="s">
        <v>7</v>
      </c>
      <c r="C16" s="17">
        <v>14923</v>
      </c>
      <c r="D16" s="17">
        <v>8000140.1499999864</v>
      </c>
      <c r="E16" s="16">
        <v>1.4611940956229473E-2</v>
      </c>
      <c r="F16" s="17">
        <v>7272</v>
      </c>
      <c r="G16" s="17">
        <v>3363060.699999996</v>
      </c>
      <c r="H16" s="17">
        <v>1256</v>
      </c>
      <c r="I16" s="17">
        <v>890758.04999999877</v>
      </c>
      <c r="J16" s="17">
        <v>5344</v>
      </c>
      <c r="K16" s="17">
        <v>2898566.1799999904</v>
      </c>
      <c r="L16" s="17">
        <v>1051</v>
      </c>
      <c r="M16" s="17">
        <v>847755.22000000032</v>
      </c>
      <c r="N16" s="20">
        <v>-507497.35000000382</v>
      </c>
      <c r="O16" s="17">
        <v>1676</v>
      </c>
    </row>
    <row r="17" spans="1:15" ht="21.75" customHeight="1" x14ac:dyDescent="0.25">
      <c r="A17" s="11">
        <v>13</v>
      </c>
      <c r="B17" s="27" t="s">
        <v>105</v>
      </c>
      <c r="C17" s="17">
        <v>6649</v>
      </c>
      <c r="D17" s="17">
        <v>3950931.3500000024</v>
      </c>
      <c r="E17" s="16">
        <v>7.2162205318760742E-3</v>
      </c>
      <c r="F17" s="17">
        <v>2871</v>
      </c>
      <c r="G17" s="17">
        <v>1470963.7299999997</v>
      </c>
      <c r="H17" s="17">
        <v>553</v>
      </c>
      <c r="I17" s="17">
        <v>294699.25</v>
      </c>
      <c r="J17" s="17">
        <v>2576</v>
      </c>
      <c r="K17" s="17">
        <v>1749559.4400000004</v>
      </c>
      <c r="L17" s="17">
        <v>649</v>
      </c>
      <c r="M17" s="17">
        <v>435708.93</v>
      </c>
      <c r="N17" s="20">
        <v>419605.39000000083</v>
      </c>
      <c r="O17" s="17">
        <v>2200</v>
      </c>
    </row>
    <row r="18" spans="1:15" ht="21.75" customHeight="1" x14ac:dyDescent="0.25">
      <c r="A18" s="11">
        <v>14</v>
      </c>
      <c r="B18" s="27" t="s">
        <v>112</v>
      </c>
      <c r="C18" s="17">
        <v>4613</v>
      </c>
      <c r="D18" s="17">
        <v>2702720.2300000009</v>
      </c>
      <c r="E18" s="16">
        <v>4.9364120729768739E-3</v>
      </c>
      <c r="F18" s="17">
        <v>2311</v>
      </c>
      <c r="G18" s="17">
        <v>1126397.18</v>
      </c>
      <c r="H18" s="17">
        <v>346</v>
      </c>
      <c r="I18" s="17">
        <v>227768</v>
      </c>
      <c r="J18" s="17">
        <v>1710</v>
      </c>
      <c r="K18" s="17">
        <v>1080162.7899999998</v>
      </c>
      <c r="L18" s="17">
        <v>246</v>
      </c>
      <c r="M18" s="17">
        <v>268392.26</v>
      </c>
      <c r="N18" s="20">
        <v>-5610.1300000001211</v>
      </c>
      <c r="O18" s="17">
        <v>1231</v>
      </c>
    </row>
    <row r="19" spans="1:15" ht="21.75" customHeight="1" x14ac:dyDescent="0.25">
      <c r="A19" s="11">
        <v>15</v>
      </c>
      <c r="B19" s="27" t="s">
        <v>77</v>
      </c>
      <c r="C19" s="17">
        <v>4773</v>
      </c>
      <c r="D19" s="17">
        <v>2898152.0099999988</v>
      </c>
      <c r="E19" s="16">
        <v>5.2933605234775577E-3</v>
      </c>
      <c r="F19" s="17">
        <v>1858</v>
      </c>
      <c r="G19" s="17">
        <v>1042432.81</v>
      </c>
      <c r="H19" s="17">
        <v>181</v>
      </c>
      <c r="I19" s="17">
        <v>86949</v>
      </c>
      <c r="J19" s="17">
        <v>2420</v>
      </c>
      <c r="K19" s="17">
        <v>1608505.2000000002</v>
      </c>
      <c r="L19" s="17">
        <v>314</v>
      </c>
      <c r="M19" s="17">
        <v>160265</v>
      </c>
      <c r="N19" s="20">
        <v>639388.39000000013</v>
      </c>
      <c r="O19" s="17">
        <v>1546</v>
      </c>
    </row>
    <row r="20" spans="1:15" ht="21.75" customHeight="1" x14ac:dyDescent="0.25">
      <c r="A20" s="11">
        <v>16</v>
      </c>
      <c r="B20" s="27" t="s">
        <v>52</v>
      </c>
      <c r="C20" s="17">
        <v>5339</v>
      </c>
      <c r="D20" s="17">
        <v>4117625.6799999974</v>
      </c>
      <c r="E20" s="16">
        <v>7.5206811615686885E-3</v>
      </c>
      <c r="F20" s="17">
        <v>2150</v>
      </c>
      <c r="G20" s="17">
        <v>1262031.5000000012</v>
      </c>
      <c r="H20" s="17">
        <v>392</v>
      </c>
      <c r="I20" s="17">
        <v>316192.65000000002</v>
      </c>
      <c r="J20" s="17">
        <v>2387</v>
      </c>
      <c r="K20" s="17">
        <v>2008171.5599999994</v>
      </c>
      <c r="L20" s="17">
        <v>410</v>
      </c>
      <c r="M20" s="17">
        <v>531229.97000000009</v>
      </c>
      <c r="N20" s="20">
        <v>961177.37999999803</v>
      </c>
      <c r="O20" s="17">
        <v>2404</v>
      </c>
    </row>
    <row r="21" spans="1:15" ht="21.75" customHeight="1" x14ac:dyDescent="0.25">
      <c r="A21" s="11">
        <v>18</v>
      </c>
      <c r="B21" s="27" t="s">
        <v>49</v>
      </c>
      <c r="C21" s="17">
        <v>4017</v>
      </c>
      <c r="D21" s="17">
        <v>2947886.629999999</v>
      </c>
      <c r="E21" s="16">
        <v>5.3841988484687152E-3</v>
      </c>
      <c r="F21" s="17">
        <v>1739</v>
      </c>
      <c r="G21" s="17">
        <v>1120716.8399999999</v>
      </c>
      <c r="H21" s="17">
        <v>486</v>
      </c>
      <c r="I21" s="17">
        <v>424739.21</v>
      </c>
      <c r="J21" s="17">
        <v>1426</v>
      </c>
      <c r="K21" s="17">
        <v>1054324.5200000005</v>
      </c>
      <c r="L21" s="17">
        <v>366</v>
      </c>
      <c r="M21" s="17">
        <v>348106.06</v>
      </c>
      <c r="N21" s="20">
        <v>-143025.46999999927</v>
      </c>
      <c r="O21" s="17">
        <v>4095</v>
      </c>
    </row>
    <row r="22" spans="1:15" ht="21.75" customHeight="1" x14ac:dyDescent="0.25">
      <c r="A22" s="11">
        <v>19</v>
      </c>
      <c r="B22" s="27" t="s">
        <v>0</v>
      </c>
      <c r="C22" s="17">
        <v>36686</v>
      </c>
      <c r="D22" s="17">
        <v>23705870.199999902</v>
      </c>
      <c r="E22" s="16">
        <v>4.3297838435797771E-2</v>
      </c>
      <c r="F22" s="17">
        <v>17662</v>
      </c>
      <c r="G22" s="17">
        <v>10167453.57999998</v>
      </c>
      <c r="H22" s="17">
        <v>1692</v>
      </c>
      <c r="I22" s="17">
        <v>1371000.7700000003</v>
      </c>
      <c r="J22" s="17">
        <v>16071</v>
      </c>
      <c r="K22" s="17">
        <v>11174689.359999998</v>
      </c>
      <c r="L22" s="17">
        <v>1261</v>
      </c>
      <c r="M22" s="17">
        <v>992726.48999999976</v>
      </c>
      <c r="N22" s="20">
        <v>628961.50000001863</v>
      </c>
      <c r="O22" s="17">
        <v>5508</v>
      </c>
    </row>
    <row r="23" spans="1:15" ht="21.75" customHeight="1" x14ac:dyDescent="0.25">
      <c r="A23" s="11">
        <v>20</v>
      </c>
      <c r="B23" s="27" t="s">
        <v>21</v>
      </c>
      <c r="C23" s="17">
        <v>53287</v>
      </c>
      <c r="D23" s="17">
        <v>38933690.639999934</v>
      </c>
      <c r="E23" s="16">
        <v>7.1110852831719959E-2</v>
      </c>
      <c r="F23" s="17">
        <v>24709</v>
      </c>
      <c r="G23" s="17">
        <v>15277510.799999988</v>
      </c>
      <c r="H23" s="17">
        <v>5511</v>
      </c>
      <c r="I23" s="17">
        <v>4574375.9300000006</v>
      </c>
      <c r="J23" s="17">
        <v>18536</v>
      </c>
      <c r="K23" s="17">
        <v>14115850.529999962</v>
      </c>
      <c r="L23" s="17">
        <v>4531</v>
      </c>
      <c r="M23" s="17">
        <v>4965953.3799999943</v>
      </c>
      <c r="N23" s="20">
        <v>-770082.82000003383</v>
      </c>
      <c r="O23" s="17">
        <v>12575</v>
      </c>
    </row>
    <row r="24" spans="1:15" ht="21.75" customHeight="1" x14ac:dyDescent="0.25">
      <c r="A24" s="11">
        <v>21</v>
      </c>
      <c r="B24" s="27" t="s">
        <v>124</v>
      </c>
      <c r="C24" s="17">
        <v>12616</v>
      </c>
      <c r="D24" s="17">
        <v>8584609.5399999954</v>
      </c>
      <c r="E24" s="16">
        <v>1.5679451281958405E-2</v>
      </c>
      <c r="F24" s="17">
        <v>5120</v>
      </c>
      <c r="G24" s="17">
        <v>3024562.4999999991</v>
      </c>
      <c r="H24" s="17">
        <v>1180</v>
      </c>
      <c r="I24" s="17">
        <v>835519.27</v>
      </c>
      <c r="J24" s="17">
        <v>5067</v>
      </c>
      <c r="K24" s="17">
        <v>3622560.7699999991</v>
      </c>
      <c r="L24" s="17">
        <v>1249</v>
      </c>
      <c r="M24" s="17">
        <v>1101967</v>
      </c>
      <c r="N24" s="20">
        <v>864446.00000000047</v>
      </c>
      <c r="O24" s="17">
        <v>7924</v>
      </c>
    </row>
    <row r="25" spans="1:15" ht="21.75" customHeight="1" x14ac:dyDescent="0.25">
      <c r="A25" s="11">
        <v>22</v>
      </c>
      <c r="B25" s="27" t="s">
        <v>167</v>
      </c>
      <c r="C25" s="17">
        <v>35289</v>
      </c>
      <c r="D25" s="17">
        <v>22103612.119999971</v>
      </c>
      <c r="E25" s="16">
        <v>4.0371377146041408E-2</v>
      </c>
      <c r="F25" s="17">
        <v>17641</v>
      </c>
      <c r="G25" s="17">
        <v>9133324.0999999996</v>
      </c>
      <c r="H25" s="17">
        <v>2033</v>
      </c>
      <c r="I25" s="17">
        <v>2065531.26</v>
      </c>
      <c r="J25" s="17">
        <v>13729</v>
      </c>
      <c r="K25" s="17">
        <v>8602488.9900000002</v>
      </c>
      <c r="L25" s="17">
        <v>1886</v>
      </c>
      <c r="M25" s="17">
        <v>2302267.7700000005</v>
      </c>
      <c r="N25" s="20">
        <v>-294098.59999999776</v>
      </c>
      <c r="O25" s="17">
        <v>5964</v>
      </c>
    </row>
    <row r="26" spans="1:15" ht="21.75" customHeight="1" x14ac:dyDescent="0.25">
      <c r="A26" s="11">
        <v>23</v>
      </c>
      <c r="B26" s="27" t="s">
        <v>61</v>
      </c>
      <c r="C26" s="17">
        <v>75071</v>
      </c>
      <c r="D26" s="17">
        <v>49840195.740000181</v>
      </c>
      <c r="E26" s="16">
        <v>9.1031154922930138E-2</v>
      </c>
      <c r="F26" s="17">
        <v>35017</v>
      </c>
      <c r="G26" s="17">
        <v>20069683.020000007</v>
      </c>
      <c r="H26" s="17">
        <v>3955</v>
      </c>
      <c r="I26" s="17">
        <v>3691192.5100000012</v>
      </c>
      <c r="J26" s="17">
        <v>32268</v>
      </c>
      <c r="K26" s="17">
        <v>22289163.799999971</v>
      </c>
      <c r="L26" s="17">
        <v>3831</v>
      </c>
      <c r="M26" s="17">
        <v>3790156.4100000029</v>
      </c>
      <c r="N26" s="20">
        <v>2318444.6799999662</v>
      </c>
      <c r="O26" s="17">
        <v>4558</v>
      </c>
    </row>
    <row r="27" spans="1:15" ht="21.75" customHeight="1" x14ac:dyDescent="0.25">
      <c r="A27" s="11">
        <v>17</v>
      </c>
      <c r="B27" s="27" t="s">
        <v>174</v>
      </c>
      <c r="C27" s="17">
        <v>12902</v>
      </c>
      <c r="D27" s="17">
        <v>17892809.229999997</v>
      </c>
      <c r="E27" s="16">
        <v>3.2680511479519288E-2</v>
      </c>
      <c r="F27" s="17">
        <v>5454</v>
      </c>
      <c r="G27" s="17">
        <v>4428620.4600000167</v>
      </c>
      <c r="H27" s="17">
        <v>1789</v>
      </c>
      <c r="I27" s="17">
        <v>7493628.9399999976</v>
      </c>
      <c r="J27" s="17">
        <v>4266</v>
      </c>
      <c r="K27" s="17">
        <v>3669128.1699999892</v>
      </c>
      <c r="L27" s="17">
        <v>1393</v>
      </c>
      <c r="M27" s="17">
        <v>2301431.660000002</v>
      </c>
      <c r="N27" s="20">
        <v>-5951689.5700000226</v>
      </c>
      <c r="O27" s="17">
        <v>0</v>
      </c>
    </row>
  </sheetData>
  <mergeCells count="14">
    <mergeCell ref="O1:O3"/>
    <mergeCell ref="A1:A3"/>
    <mergeCell ref="B1:B3"/>
    <mergeCell ref="A4:B4"/>
    <mergeCell ref="N1:N3"/>
    <mergeCell ref="C1:C3"/>
    <mergeCell ref="D1:D3"/>
    <mergeCell ref="E1:E3"/>
    <mergeCell ref="F1:I1"/>
    <mergeCell ref="J1:M1"/>
    <mergeCell ref="F2:G2"/>
    <mergeCell ref="H2:I2"/>
    <mergeCell ref="J2:K2"/>
    <mergeCell ref="L2:M2"/>
  </mergeCells>
  <pageMargins left="0.7" right="0.7" top="0.75" bottom="0.75" header="0.3" footer="0.3"/>
  <pageSetup scale="4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BA8A-C69B-4BCF-BF5B-33021DF46E3B}">
  <dimension ref="A1:M123"/>
  <sheetViews>
    <sheetView topLeftCell="D1" zoomScaleNormal="100" workbookViewId="0">
      <selection activeCell="B8" sqref="B8"/>
    </sheetView>
  </sheetViews>
  <sheetFormatPr defaultRowHeight="12.5" x14ac:dyDescent="0.25"/>
  <cols>
    <col min="2" max="2" width="86.7265625" bestFit="1" customWidth="1"/>
    <col min="3" max="12" width="17.54296875" customWidth="1"/>
    <col min="13" max="13" width="12.1796875" style="1" customWidth="1"/>
  </cols>
  <sheetData>
    <row r="1" spans="1:13" ht="18.75" customHeight="1" x14ac:dyDescent="0.25">
      <c r="A1" s="45" t="s">
        <v>294</v>
      </c>
      <c r="B1" s="45" t="s">
        <v>298</v>
      </c>
      <c r="C1" s="52" t="s">
        <v>290</v>
      </c>
      <c r="D1" s="52" t="s">
        <v>291</v>
      </c>
      <c r="E1" s="45" t="s">
        <v>289</v>
      </c>
      <c r="F1" s="45"/>
      <c r="G1" s="45"/>
      <c r="H1" s="45"/>
      <c r="I1" s="45" t="s">
        <v>297</v>
      </c>
      <c r="J1" s="45"/>
      <c r="K1" s="45"/>
      <c r="L1" s="45"/>
      <c r="M1" s="53" t="s">
        <v>454</v>
      </c>
    </row>
    <row r="2" spans="1:13" ht="18.75" customHeight="1" x14ac:dyDescent="0.25">
      <c r="A2" s="45"/>
      <c r="B2" s="45"/>
      <c r="C2" s="52"/>
      <c r="D2" s="52"/>
      <c r="E2" s="45" t="s">
        <v>234</v>
      </c>
      <c r="F2" s="45"/>
      <c r="G2" s="45" t="s">
        <v>1</v>
      </c>
      <c r="H2" s="45"/>
      <c r="I2" s="45" t="s">
        <v>234</v>
      </c>
      <c r="J2" s="45"/>
      <c r="K2" s="45" t="s">
        <v>1</v>
      </c>
      <c r="L2" s="45"/>
      <c r="M2" s="53"/>
    </row>
    <row r="3" spans="1:13" ht="18.75" customHeight="1" x14ac:dyDescent="0.25">
      <c r="A3" s="45"/>
      <c r="B3" s="45"/>
      <c r="C3" s="52"/>
      <c r="D3" s="52"/>
      <c r="E3" s="11" t="s">
        <v>292</v>
      </c>
      <c r="F3" s="11" t="s">
        <v>288</v>
      </c>
      <c r="G3" s="11" t="s">
        <v>292</v>
      </c>
      <c r="H3" s="11" t="s">
        <v>288</v>
      </c>
      <c r="I3" s="11" t="s">
        <v>292</v>
      </c>
      <c r="J3" s="11" t="s">
        <v>288</v>
      </c>
      <c r="K3" s="11" t="s">
        <v>292</v>
      </c>
      <c r="L3" s="11" t="s">
        <v>288</v>
      </c>
      <c r="M3" s="53"/>
    </row>
    <row r="4" spans="1:13" s="14" customFormat="1" ht="24.75" customHeight="1" x14ac:dyDescent="0.3">
      <c r="A4" s="45" t="s">
        <v>295</v>
      </c>
      <c r="B4" s="45"/>
      <c r="C4" s="18">
        <v>748883</v>
      </c>
      <c r="D4" s="18">
        <v>547507013.19999993</v>
      </c>
      <c r="E4" s="18">
        <v>54084</v>
      </c>
      <c r="F4" s="18">
        <v>58430689.190000027</v>
      </c>
      <c r="G4" s="18">
        <v>344269</v>
      </c>
      <c r="H4" s="18">
        <v>210228544.22999999</v>
      </c>
      <c r="I4" s="18">
        <v>49018</v>
      </c>
      <c r="J4" s="18">
        <v>55720629.53999982</v>
      </c>
      <c r="K4" s="18">
        <v>301512</v>
      </c>
      <c r="L4" s="18">
        <v>223127150.23999816</v>
      </c>
      <c r="M4" s="20">
        <v>10188546.359999895</v>
      </c>
    </row>
    <row r="5" spans="1:13" ht="15.75" customHeight="1" x14ac:dyDescent="0.25">
      <c r="A5" s="9">
        <v>1</v>
      </c>
      <c r="B5" s="3" t="s">
        <v>17</v>
      </c>
      <c r="C5" s="17">
        <v>44696</v>
      </c>
      <c r="D5" s="17">
        <v>29709691.169999972</v>
      </c>
      <c r="E5" s="17">
        <v>4851</v>
      </c>
      <c r="F5" s="17">
        <v>4426390.1300000008</v>
      </c>
      <c r="G5" s="17">
        <v>20356</v>
      </c>
      <c r="H5" s="17">
        <v>11209616.989999996</v>
      </c>
      <c r="I5" s="17">
        <v>4207</v>
      </c>
      <c r="J5" s="17">
        <v>4385731.7699999996</v>
      </c>
      <c r="K5" s="17">
        <v>15282</v>
      </c>
      <c r="L5" s="17">
        <v>9687952.2799999956</v>
      </c>
      <c r="M5" s="20">
        <v>-1562323.0700000022</v>
      </c>
    </row>
    <row r="6" spans="1:13" ht="15.75" customHeight="1" x14ac:dyDescent="0.25">
      <c r="A6" s="9">
        <v>2</v>
      </c>
      <c r="B6" s="3" t="s">
        <v>94</v>
      </c>
      <c r="C6" s="17">
        <v>26482</v>
      </c>
      <c r="D6" s="17">
        <v>25739444.800000001</v>
      </c>
      <c r="E6" s="17">
        <v>1102</v>
      </c>
      <c r="F6" s="17">
        <v>1553710.63</v>
      </c>
      <c r="G6" s="17">
        <v>9167</v>
      </c>
      <c r="H6" s="17">
        <v>7332279.9199999971</v>
      </c>
      <c r="I6" s="17">
        <v>1241</v>
      </c>
      <c r="J6" s="17">
        <v>1391728.6700000004</v>
      </c>
      <c r="K6" s="17">
        <v>14972</v>
      </c>
      <c r="L6" s="17">
        <v>15461725.579999998</v>
      </c>
      <c r="M6" s="20">
        <v>7967463.700000003</v>
      </c>
    </row>
    <row r="7" spans="1:13" ht="15.75" customHeight="1" x14ac:dyDescent="0.25">
      <c r="A7" s="9">
        <v>3</v>
      </c>
      <c r="B7" s="3" t="s">
        <v>62</v>
      </c>
      <c r="C7" s="17">
        <v>36321</v>
      </c>
      <c r="D7" s="17">
        <v>23194647.95000004</v>
      </c>
      <c r="E7" s="17">
        <v>2022</v>
      </c>
      <c r="F7" s="17">
        <v>2022116.0400000007</v>
      </c>
      <c r="G7" s="17">
        <v>17791</v>
      </c>
      <c r="H7" s="17">
        <v>10011422.659999993</v>
      </c>
      <c r="I7" s="17">
        <v>1859</v>
      </c>
      <c r="J7" s="17">
        <v>1973762.9900000002</v>
      </c>
      <c r="K7" s="17">
        <v>14649</v>
      </c>
      <c r="L7" s="17">
        <v>9187346.2599999849</v>
      </c>
      <c r="M7" s="20">
        <v>-872429.45000000857</v>
      </c>
    </row>
    <row r="8" spans="1:13" ht="15.75" customHeight="1" x14ac:dyDescent="0.25">
      <c r="A8" s="9">
        <v>4</v>
      </c>
      <c r="B8" s="3" t="s">
        <v>138</v>
      </c>
      <c r="C8" s="17">
        <v>23763</v>
      </c>
      <c r="D8" s="17">
        <v>20173836.689999983</v>
      </c>
      <c r="E8" s="17">
        <v>1892</v>
      </c>
      <c r="F8" s="17">
        <v>1746692.6199999999</v>
      </c>
      <c r="G8" s="17">
        <v>11781</v>
      </c>
      <c r="H8" s="17">
        <v>9093828.1900000125</v>
      </c>
      <c r="I8" s="17">
        <v>1397</v>
      </c>
      <c r="J8" s="17">
        <v>1387799.8800000004</v>
      </c>
      <c r="K8" s="17">
        <v>8693</v>
      </c>
      <c r="L8" s="17">
        <v>7945516.0000000028</v>
      </c>
      <c r="M8" s="20">
        <v>-1507204.930000009</v>
      </c>
    </row>
    <row r="9" spans="1:13" ht="15.75" customHeight="1" x14ac:dyDescent="0.25">
      <c r="A9" s="9">
        <v>5</v>
      </c>
      <c r="B9" s="3" t="s">
        <v>178</v>
      </c>
      <c r="C9" s="17">
        <v>29370</v>
      </c>
      <c r="D9" s="17">
        <v>19364704.420000158</v>
      </c>
      <c r="E9" s="17">
        <v>4279</v>
      </c>
      <c r="F9" s="17">
        <v>3811053.7399999914</v>
      </c>
      <c r="G9" s="17">
        <v>10929</v>
      </c>
      <c r="H9" s="17">
        <v>5455730.99000003</v>
      </c>
      <c r="I9" s="17">
        <v>3905</v>
      </c>
      <c r="J9" s="17">
        <v>4222801.6900000041</v>
      </c>
      <c r="K9" s="17">
        <v>10257</v>
      </c>
      <c r="L9" s="17">
        <v>5875117.9999999674</v>
      </c>
      <c r="M9" s="20">
        <v>831134.9599999506</v>
      </c>
    </row>
    <row r="10" spans="1:13" ht="15.75" customHeight="1" x14ac:dyDescent="0.25">
      <c r="A10" s="9">
        <v>6</v>
      </c>
      <c r="B10" s="3" t="s">
        <v>146</v>
      </c>
      <c r="C10" s="17">
        <v>21922</v>
      </c>
      <c r="D10" s="17">
        <v>18795345.09999999</v>
      </c>
      <c r="E10" s="17">
        <v>768</v>
      </c>
      <c r="F10" s="17">
        <v>784629.05</v>
      </c>
      <c r="G10" s="17">
        <v>10680</v>
      </c>
      <c r="H10" s="17">
        <v>8058504.179999995</v>
      </c>
      <c r="I10" s="17">
        <v>639</v>
      </c>
      <c r="J10" s="17">
        <v>722853.20000000019</v>
      </c>
      <c r="K10" s="17">
        <v>9835</v>
      </c>
      <c r="L10" s="17">
        <v>9229358.6699999943</v>
      </c>
      <c r="M10" s="20">
        <v>1109078.6399999987</v>
      </c>
    </row>
    <row r="11" spans="1:13" ht="15.75" customHeight="1" x14ac:dyDescent="0.25">
      <c r="A11" s="9">
        <v>7</v>
      </c>
      <c r="B11" s="3" t="s">
        <v>154</v>
      </c>
      <c r="C11" s="17">
        <v>28621</v>
      </c>
      <c r="D11" s="17">
        <v>18124660.069999803</v>
      </c>
      <c r="E11" s="17">
        <v>1498</v>
      </c>
      <c r="F11" s="17">
        <v>1042260.8800000006</v>
      </c>
      <c r="G11" s="17">
        <v>13614</v>
      </c>
      <c r="H11" s="17">
        <v>7531871.8700000132</v>
      </c>
      <c r="I11" s="17">
        <v>1021</v>
      </c>
      <c r="J11" s="17">
        <v>729493.51000000071</v>
      </c>
      <c r="K11" s="17">
        <v>12488</v>
      </c>
      <c r="L11" s="17">
        <v>8821033.8100000136</v>
      </c>
      <c r="M11" s="20">
        <v>976394.57000000216</v>
      </c>
    </row>
    <row r="12" spans="1:13" ht="15.75" customHeight="1" x14ac:dyDescent="0.25">
      <c r="A12" s="9">
        <v>8</v>
      </c>
      <c r="B12" s="3" t="s">
        <v>175</v>
      </c>
      <c r="C12" s="17">
        <v>12902</v>
      </c>
      <c r="D12" s="17">
        <v>17892809.23000006</v>
      </c>
      <c r="E12" s="17">
        <v>1789</v>
      </c>
      <c r="F12" s="17">
        <v>7493628.9399999976</v>
      </c>
      <c r="G12" s="17">
        <v>5454</v>
      </c>
      <c r="H12" s="17">
        <v>4428620.4600000167</v>
      </c>
      <c r="I12" s="17">
        <v>1393</v>
      </c>
      <c r="J12" s="17">
        <v>2301431.660000002</v>
      </c>
      <c r="K12" s="17">
        <v>4266</v>
      </c>
      <c r="L12" s="17">
        <v>3669128.1699999892</v>
      </c>
      <c r="M12" s="20">
        <v>-5951689.5700000226</v>
      </c>
    </row>
    <row r="13" spans="1:13" ht="15.75" customHeight="1" x14ac:dyDescent="0.25">
      <c r="A13" s="9">
        <v>9</v>
      </c>
      <c r="B13" s="3" t="s">
        <v>168</v>
      </c>
      <c r="C13" s="17">
        <v>27739</v>
      </c>
      <c r="D13" s="17">
        <v>17741261.169999998</v>
      </c>
      <c r="E13" s="17">
        <v>1852</v>
      </c>
      <c r="F13" s="17">
        <v>1989420.26</v>
      </c>
      <c r="G13" s="17">
        <v>13857</v>
      </c>
      <c r="H13" s="17">
        <v>7123136.29</v>
      </c>
      <c r="I13" s="17">
        <v>1657</v>
      </c>
      <c r="J13" s="17">
        <v>2130916.7699999996</v>
      </c>
      <c r="K13" s="17">
        <v>10373</v>
      </c>
      <c r="L13" s="17">
        <v>6497787.8499999968</v>
      </c>
      <c r="M13" s="20">
        <v>-483851.93000000343</v>
      </c>
    </row>
    <row r="14" spans="1:13" ht="15.75" customHeight="1" x14ac:dyDescent="0.25">
      <c r="A14" s="9">
        <v>10</v>
      </c>
      <c r="B14" s="3" t="s">
        <v>89</v>
      </c>
      <c r="C14" s="17">
        <v>21442</v>
      </c>
      <c r="D14" s="17">
        <v>15912036.329999991</v>
      </c>
      <c r="E14" s="17">
        <v>860</v>
      </c>
      <c r="F14" s="17">
        <v>796171.19</v>
      </c>
      <c r="G14" s="17">
        <v>9061</v>
      </c>
      <c r="H14" s="17">
        <v>5668498.8600000013</v>
      </c>
      <c r="I14" s="17">
        <v>1094</v>
      </c>
      <c r="J14" s="17">
        <v>986046.13000000047</v>
      </c>
      <c r="K14" s="17">
        <v>10427</v>
      </c>
      <c r="L14" s="17">
        <v>8461320.1500000004</v>
      </c>
      <c r="M14" s="20">
        <v>2982696.2300000004</v>
      </c>
    </row>
    <row r="15" spans="1:13" ht="15.75" customHeight="1" x14ac:dyDescent="0.25">
      <c r="A15" s="9">
        <v>11</v>
      </c>
      <c r="B15" s="3" t="s">
        <v>27</v>
      </c>
      <c r="C15" s="17">
        <v>22916</v>
      </c>
      <c r="D15" s="17">
        <v>15104201.259999873</v>
      </c>
      <c r="E15" s="17">
        <v>1324</v>
      </c>
      <c r="F15" s="17">
        <v>1081870.3400000012</v>
      </c>
      <c r="G15" s="17">
        <v>11254</v>
      </c>
      <c r="H15" s="17">
        <v>6413345.1500000106</v>
      </c>
      <c r="I15" s="17">
        <v>1107</v>
      </c>
      <c r="J15" s="17">
        <v>922459.11000000068</v>
      </c>
      <c r="K15" s="17">
        <v>9231</v>
      </c>
      <c r="L15" s="17">
        <v>6686526.6600000001</v>
      </c>
      <c r="M15" s="20">
        <v>113770.27999998908</v>
      </c>
    </row>
    <row r="16" spans="1:13" ht="15.75" customHeight="1" x14ac:dyDescent="0.25">
      <c r="A16" s="9">
        <v>12</v>
      </c>
      <c r="B16" s="3" t="s">
        <v>142</v>
      </c>
      <c r="C16" s="17">
        <v>20390</v>
      </c>
      <c r="D16" s="17">
        <v>14110810.859999986</v>
      </c>
      <c r="E16" s="17">
        <v>2099</v>
      </c>
      <c r="F16" s="17">
        <v>1541011.81</v>
      </c>
      <c r="G16" s="17">
        <v>9558</v>
      </c>
      <c r="H16" s="17">
        <v>5770406.2799999956</v>
      </c>
      <c r="I16" s="17">
        <v>1590</v>
      </c>
      <c r="J16" s="17">
        <v>1431566.0099999998</v>
      </c>
      <c r="K16" s="17">
        <v>7143</v>
      </c>
      <c r="L16" s="17">
        <v>5367826.7599999988</v>
      </c>
      <c r="M16" s="20">
        <v>-512025.3199999975</v>
      </c>
    </row>
    <row r="17" spans="1:13" ht="15.75" customHeight="1" x14ac:dyDescent="0.25">
      <c r="A17" s="9">
        <v>13</v>
      </c>
      <c r="B17" s="3" t="s">
        <v>64</v>
      </c>
      <c r="C17" s="17">
        <v>15396</v>
      </c>
      <c r="D17" s="17">
        <v>13647546.679999994</v>
      </c>
      <c r="E17" s="17">
        <v>768</v>
      </c>
      <c r="F17" s="17">
        <v>718809.74999999965</v>
      </c>
      <c r="G17" s="17">
        <v>7101</v>
      </c>
      <c r="H17" s="17">
        <v>5392271.7599999988</v>
      </c>
      <c r="I17" s="17">
        <v>553</v>
      </c>
      <c r="J17" s="17">
        <v>584185.02999999991</v>
      </c>
      <c r="K17" s="17">
        <v>6974</v>
      </c>
      <c r="L17" s="17">
        <v>6952280.1399999997</v>
      </c>
      <c r="M17" s="20">
        <v>1425383.6600000011</v>
      </c>
    </row>
    <row r="18" spans="1:13" ht="15.75" customHeight="1" x14ac:dyDescent="0.25">
      <c r="A18" s="9">
        <v>14</v>
      </c>
      <c r="B18" s="3" t="s">
        <v>158</v>
      </c>
      <c r="C18" s="17">
        <v>20559</v>
      </c>
      <c r="D18" s="17">
        <v>13122797.480000002</v>
      </c>
      <c r="E18" s="17">
        <v>574</v>
      </c>
      <c r="F18" s="17">
        <v>366199</v>
      </c>
      <c r="G18" s="17">
        <v>10932</v>
      </c>
      <c r="H18" s="17">
        <v>6845632.9200000018</v>
      </c>
      <c r="I18" s="17">
        <v>510</v>
      </c>
      <c r="J18" s="17">
        <v>422535</v>
      </c>
      <c r="K18" s="17">
        <v>8543</v>
      </c>
      <c r="L18" s="17">
        <v>5488430.5599999987</v>
      </c>
      <c r="M18" s="20">
        <v>-1300866.3600000031</v>
      </c>
    </row>
    <row r="19" spans="1:13" ht="15.75" customHeight="1" x14ac:dyDescent="0.25">
      <c r="A19" s="9">
        <v>15</v>
      </c>
      <c r="B19" s="3" t="s">
        <v>140</v>
      </c>
      <c r="C19" s="17">
        <v>23115</v>
      </c>
      <c r="D19" s="17">
        <v>13108728.799999995</v>
      </c>
      <c r="E19" s="17">
        <v>2573</v>
      </c>
      <c r="F19" s="17">
        <v>1427399.27</v>
      </c>
      <c r="G19" s="17">
        <v>14260</v>
      </c>
      <c r="H19" s="17">
        <v>7709183.6700000064</v>
      </c>
      <c r="I19" s="17">
        <v>1401</v>
      </c>
      <c r="J19" s="17">
        <v>962476.4800000001</v>
      </c>
      <c r="K19" s="17">
        <v>4881</v>
      </c>
      <c r="L19" s="17">
        <v>3009669.3800000018</v>
      </c>
      <c r="M19" s="20">
        <v>-5164437.0800000057</v>
      </c>
    </row>
    <row r="20" spans="1:13" ht="15.75" customHeight="1" x14ac:dyDescent="0.25">
      <c r="A20" s="9">
        <v>16</v>
      </c>
      <c r="B20" s="3" t="s">
        <v>32</v>
      </c>
      <c r="C20" s="17">
        <v>15535</v>
      </c>
      <c r="D20" s="17">
        <v>12844378.710000003</v>
      </c>
      <c r="E20" s="17">
        <v>359</v>
      </c>
      <c r="F20" s="17">
        <v>266240</v>
      </c>
      <c r="G20" s="17">
        <v>1960</v>
      </c>
      <c r="H20" s="17">
        <v>1409854.8900000004</v>
      </c>
      <c r="I20" s="17">
        <v>2044</v>
      </c>
      <c r="J20" s="17">
        <v>2150597.2699999996</v>
      </c>
      <c r="K20" s="17">
        <v>11172</v>
      </c>
      <c r="L20" s="17">
        <v>9017686.5499999989</v>
      </c>
      <c r="M20" s="20">
        <v>9492188.9299999978</v>
      </c>
    </row>
    <row r="21" spans="1:13" ht="15.75" customHeight="1" x14ac:dyDescent="0.25">
      <c r="A21" s="9">
        <v>17</v>
      </c>
      <c r="B21" s="3" t="s">
        <v>84</v>
      </c>
      <c r="C21" s="17">
        <v>7187</v>
      </c>
      <c r="D21" s="17">
        <v>10162139.469999999</v>
      </c>
      <c r="E21" s="17">
        <v>1872</v>
      </c>
      <c r="F21" s="17">
        <v>4318632.0999999996</v>
      </c>
      <c r="G21" s="17">
        <v>2541</v>
      </c>
      <c r="H21" s="17">
        <v>2142650.5099999998</v>
      </c>
      <c r="I21" s="17">
        <v>1101</v>
      </c>
      <c r="J21" s="17">
        <v>2211050.27</v>
      </c>
      <c r="K21" s="17">
        <v>1673</v>
      </c>
      <c r="L21" s="17">
        <v>1489806.59</v>
      </c>
      <c r="M21" s="20">
        <v>-2760425.7499999991</v>
      </c>
    </row>
    <row r="22" spans="1:13" ht="15.75" customHeight="1" x14ac:dyDescent="0.25">
      <c r="A22" s="9">
        <v>18</v>
      </c>
      <c r="B22" s="3" t="s">
        <v>152</v>
      </c>
      <c r="C22" s="17">
        <v>17862</v>
      </c>
      <c r="D22" s="17">
        <v>10050636.179999985</v>
      </c>
      <c r="E22" s="17">
        <v>610</v>
      </c>
      <c r="F22" s="17">
        <v>485760.23999999953</v>
      </c>
      <c r="G22" s="17">
        <v>9434</v>
      </c>
      <c r="H22" s="17">
        <v>5014384.7699999986</v>
      </c>
      <c r="I22" s="17">
        <v>502</v>
      </c>
      <c r="J22" s="17">
        <v>387215.39999999991</v>
      </c>
      <c r="K22" s="17">
        <v>7316</v>
      </c>
      <c r="L22" s="17">
        <v>4163275.7699999982</v>
      </c>
      <c r="M22" s="20">
        <v>-949653.83999999985</v>
      </c>
    </row>
    <row r="23" spans="1:13" ht="15.75" customHeight="1" x14ac:dyDescent="0.25">
      <c r="A23" s="9">
        <v>19</v>
      </c>
      <c r="B23" s="3" t="s">
        <v>86</v>
      </c>
      <c r="C23" s="17">
        <v>11506</v>
      </c>
      <c r="D23" s="17">
        <v>9777685.2699999996</v>
      </c>
      <c r="E23" s="17">
        <v>655</v>
      </c>
      <c r="F23" s="17">
        <v>620279.57000000007</v>
      </c>
      <c r="G23" s="17">
        <v>4255</v>
      </c>
      <c r="H23" s="17">
        <v>3102317.17</v>
      </c>
      <c r="I23" s="17">
        <v>524</v>
      </c>
      <c r="J23" s="17">
        <v>506747.09000000008</v>
      </c>
      <c r="K23" s="17">
        <v>6072</v>
      </c>
      <c r="L23" s="17">
        <v>5548341.4399999985</v>
      </c>
      <c r="M23" s="20">
        <v>2332491.7899999982</v>
      </c>
    </row>
    <row r="24" spans="1:13" ht="15.75" customHeight="1" x14ac:dyDescent="0.25">
      <c r="A24" s="9">
        <v>20</v>
      </c>
      <c r="B24" s="3" t="s">
        <v>96</v>
      </c>
      <c r="C24" s="17">
        <v>12254</v>
      </c>
      <c r="D24" s="17">
        <v>9210542.5499999952</v>
      </c>
      <c r="E24" s="17">
        <v>755</v>
      </c>
      <c r="F24" s="17">
        <v>603100.09</v>
      </c>
      <c r="G24" s="17">
        <v>5773</v>
      </c>
      <c r="H24" s="17">
        <v>3827461.5899999985</v>
      </c>
      <c r="I24" s="17">
        <v>738</v>
      </c>
      <c r="J24" s="17">
        <v>747613.47</v>
      </c>
      <c r="K24" s="17">
        <v>4988</v>
      </c>
      <c r="L24" s="17">
        <v>4032367.3999999994</v>
      </c>
      <c r="M24" s="20">
        <v>349419.19000000041</v>
      </c>
    </row>
    <row r="25" spans="1:13" ht="15.75" customHeight="1" x14ac:dyDescent="0.25">
      <c r="A25" s="9">
        <v>21</v>
      </c>
      <c r="B25" s="3" t="s">
        <v>128</v>
      </c>
      <c r="C25" s="17">
        <v>15951</v>
      </c>
      <c r="D25" s="17">
        <v>9159014.2500000019</v>
      </c>
      <c r="E25" s="17">
        <v>269</v>
      </c>
      <c r="F25" s="17">
        <v>246429.54</v>
      </c>
      <c r="G25" s="17">
        <v>7743</v>
      </c>
      <c r="H25" s="17">
        <v>4335146.0699999984</v>
      </c>
      <c r="I25" s="17">
        <v>222</v>
      </c>
      <c r="J25" s="17">
        <v>187596.09999999998</v>
      </c>
      <c r="K25" s="17">
        <v>7717</v>
      </c>
      <c r="L25" s="17">
        <v>4389842.540000001</v>
      </c>
      <c r="M25" s="20">
        <v>-4136.9699999978766</v>
      </c>
    </row>
    <row r="26" spans="1:13" ht="15.75" customHeight="1" x14ac:dyDescent="0.25">
      <c r="A26" s="9">
        <v>22</v>
      </c>
      <c r="B26" s="3" t="s">
        <v>100</v>
      </c>
      <c r="C26" s="17">
        <v>14466</v>
      </c>
      <c r="D26" s="17">
        <v>9138573.6300000008</v>
      </c>
      <c r="E26" s="17">
        <v>781</v>
      </c>
      <c r="F26" s="17">
        <v>493521.28</v>
      </c>
      <c r="G26" s="17">
        <v>5615</v>
      </c>
      <c r="H26" s="17">
        <v>3174207.6700000009</v>
      </c>
      <c r="I26" s="17">
        <v>878</v>
      </c>
      <c r="J26" s="17">
        <v>830347.29</v>
      </c>
      <c r="K26" s="17">
        <v>7192</v>
      </c>
      <c r="L26" s="17">
        <v>4640497.3900000025</v>
      </c>
      <c r="M26" s="20">
        <v>1803115.7300000014</v>
      </c>
    </row>
    <row r="27" spans="1:13" ht="15.75" customHeight="1" x14ac:dyDescent="0.25">
      <c r="A27" s="9">
        <v>23</v>
      </c>
      <c r="B27" s="3" t="s">
        <v>80</v>
      </c>
      <c r="C27" s="17">
        <v>12894</v>
      </c>
      <c r="D27" s="17">
        <v>8915934.370000001</v>
      </c>
      <c r="E27" s="17">
        <v>275</v>
      </c>
      <c r="F27" s="17">
        <v>174849</v>
      </c>
      <c r="G27" s="17">
        <v>7004</v>
      </c>
      <c r="H27" s="17">
        <v>4446020.0300000012</v>
      </c>
      <c r="I27" s="17">
        <v>197</v>
      </c>
      <c r="J27" s="17">
        <v>192032</v>
      </c>
      <c r="K27" s="17">
        <v>5418</v>
      </c>
      <c r="L27" s="17">
        <v>4103033.34</v>
      </c>
      <c r="M27" s="20">
        <v>-325803.69000000134</v>
      </c>
    </row>
    <row r="28" spans="1:13" ht="15.75" customHeight="1" x14ac:dyDescent="0.25">
      <c r="A28" s="9">
        <v>24</v>
      </c>
      <c r="B28" s="3" t="s">
        <v>59</v>
      </c>
      <c r="C28" s="17">
        <v>13141</v>
      </c>
      <c r="D28" s="17">
        <v>8803485.3399999756</v>
      </c>
      <c r="E28" s="17">
        <v>930</v>
      </c>
      <c r="F28" s="17">
        <v>880224.70999999985</v>
      </c>
      <c r="G28" s="17">
        <v>6106</v>
      </c>
      <c r="H28" s="17">
        <v>3465225.1399999992</v>
      </c>
      <c r="I28" s="17">
        <v>940</v>
      </c>
      <c r="J28" s="17">
        <v>1130573.1099999999</v>
      </c>
      <c r="K28" s="17">
        <v>5165</v>
      </c>
      <c r="L28" s="17">
        <v>3327462.3799999994</v>
      </c>
      <c r="M28" s="20">
        <v>112585.6400000006</v>
      </c>
    </row>
    <row r="29" spans="1:13" ht="15.75" customHeight="1" x14ac:dyDescent="0.25">
      <c r="A29" s="9">
        <v>25</v>
      </c>
      <c r="B29" s="3" t="s">
        <v>42</v>
      </c>
      <c r="C29" s="17">
        <v>12578</v>
      </c>
      <c r="D29" s="17">
        <v>8531673.8500000015</v>
      </c>
      <c r="E29" s="17">
        <v>525</v>
      </c>
      <c r="F29" s="17">
        <v>424912</v>
      </c>
      <c r="G29" s="17">
        <v>6626</v>
      </c>
      <c r="H29" s="17">
        <v>4178731.83</v>
      </c>
      <c r="I29" s="17">
        <v>415</v>
      </c>
      <c r="J29" s="17">
        <v>358304</v>
      </c>
      <c r="K29" s="17">
        <v>5012</v>
      </c>
      <c r="L29" s="17">
        <v>3569726.02</v>
      </c>
      <c r="M29" s="20">
        <v>-675613.81</v>
      </c>
    </row>
    <row r="30" spans="1:13" ht="15.75" customHeight="1" x14ac:dyDescent="0.25">
      <c r="A30" s="9">
        <v>26</v>
      </c>
      <c r="B30" s="3" t="s">
        <v>182</v>
      </c>
      <c r="C30" s="17">
        <v>8372</v>
      </c>
      <c r="D30" s="17">
        <v>8256064.9699999969</v>
      </c>
      <c r="E30" s="17">
        <v>313</v>
      </c>
      <c r="F30" s="17">
        <v>337312</v>
      </c>
      <c r="G30" s="17">
        <v>4917</v>
      </c>
      <c r="H30" s="17">
        <v>4241923.540000001</v>
      </c>
      <c r="I30" s="17">
        <v>190</v>
      </c>
      <c r="J30" s="17">
        <v>237424</v>
      </c>
      <c r="K30" s="17">
        <v>2952</v>
      </c>
      <c r="L30" s="17">
        <v>3439405.43</v>
      </c>
      <c r="M30" s="20">
        <v>-902406.1100000008</v>
      </c>
    </row>
    <row r="31" spans="1:13" ht="15.75" customHeight="1" x14ac:dyDescent="0.25">
      <c r="A31" s="9">
        <v>27</v>
      </c>
      <c r="B31" s="3" t="s">
        <v>92</v>
      </c>
      <c r="C31" s="17">
        <v>10124</v>
      </c>
      <c r="D31" s="17">
        <v>7657550.9300000062</v>
      </c>
      <c r="E31" s="17">
        <v>723</v>
      </c>
      <c r="F31" s="17">
        <v>685499.74999999988</v>
      </c>
      <c r="G31" s="17">
        <v>3533</v>
      </c>
      <c r="H31" s="17">
        <v>2308935.5700000008</v>
      </c>
      <c r="I31" s="17">
        <v>1167</v>
      </c>
      <c r="J31" s="17">
        <v>1071771.1399999999</v>
      </c>
      <c r="K31" s="17">
        <v>4701</v>
      </c>
      <c r="L31" s="17">
        <v>3591344.4699999983</v>
      </c>
      <c r="M31" s="20">
        <v>1668680.2899999977</v>
      </c>
    </row>
    <row r="32" spans="1:13" ht="15.75" customHeight="1" x14ac:dyDescent="0.25">
      <c r="A32" s="9">
        <v>28</v>
      </c>
      <c r="B32" s="3" t="s">
        <v>280</v>
      </c>
      <c r="C32" s="17">
        <v>11057</v>
      </c>
      <c r="D32" s="17">
        <v>6647567.7500000484</v>
      </c>
      <c r="E32" s="17">
        <v>687</v>
      </c>
      <c r="F32" s="17">
        <v>651479.98999999918</v>
      </c>
      <c r="G32" s="17">
        <v>10370</v>
      </c>
      <c r="H32" s="17">
        <v>5996087.7600000333</v>
      </c>
      <c r="I32" s="17"/>
      <c r="J32" s="17"/>
      <c r="K32" s="17"/>
      <c r="L32" s="17"/>
      <c r="M32" s="20">
        <v>-6647567.7500000326</v>
      </c>
    </row>
    <row r="33" spans="1:13" ht="15.75" customHeight="1" x14ac:dyDescent="0.25">
      <c r="A33" s="9">
        <v>29</v>
      </c>
      <c r="B33" s="3" t="s">
        <v>22</v>
      </c>
      <c r="C33" s="17">
        <v>7421</v>
      </c>
      <c r="D33" s="17">
        <v>6505665.6099999743</v>
      </c>
      <c r="E33" s="17">
        <v>944</v>
      </c>
      <c r="F33" s="17">
        <v>1091341.1000000008</v>
      </c>
      <c r="G33" s="17">
        <v>3421</v>
      </c>
      <c r="H33" s="17">
        <v>2324242.5899999975</v>
      </c>
      <c r="I33" s="17">
        <v>789</v>
      </c>
      <c r="J33" s="17">
        <v>1263968.4799999997</v>
      </c>
      <c r="K33" s="17">
        <v>2267</v>
      </c>
      <c r="L33" s="17">
        <v>1826113.4400000016</v>
      </c>
      <c r="M33" s="20">
        <v>-325501.76999999722</v>
      </c>
    </row>
    <row r="34" spans="1:13" ht="15.75" customHeight="1" x14ac:dyDescent="0.25">
      <c r="A34" s="9">
        <v>30</v>
      </c>
      <c r="B34" s="3" t="s">
        <v>176</v>
      </c>
      <c r="C34" s="17">
        <v>9771</v>
      </c>
      <c r="D34" s="17">
        <v>6485742.5399999982</v>
      </c>
      <c r="E34" s="17">
        <v>1146</v>
      </c>
      <c r="F34" s="17">
        <v>817625.27</v>
      </c>
      <c r="G34" s="17">
        <v>4319</v>
      </c>
      <c r="H34" s="17">
        <v>2519142.5299999993</v>
      </c>
      <c r="I34" s="17">
        <v>1073</v>
      </c>
      <c r="J34" s="17">
        <v>847282</v>
      </c>
      <c r="K34" s="17">
        <v>3233</v>
      </c>
      <c r="L34" s="17">
        <v>2301692.7399999998</v>
      </c>
      <c r="M34" s="20">
        <v>-187793.05999999959</v>
      </c>
    </row>
    <row r="35" spans="1:13" ht="15.75" customHeight="1" x14ac:dyDescent="0.25">
      <c r="A35" s="9">
        <v>31</v>
      </c>
      <c r="B35" s="3" t="s">
        <v>82</v>
      </c>
      <c r="C35" s="17">
        <v>6858</v>
      </c>
      <c r="D35" s="17">
        <v>6068610.0100000147</v>
      </c>
      <c r="E35" s="17">
        <v>1067</v>
      </c>
      <c r="F35" s="17">
        <v>1865090.870000001</v>
      </c>
      <c r="G35" s="17">
        <v>2644</v>
      </c>
      <c r="H35" s="17">
        <v>1408469.7699999998</v>
      </c>
      <c r="I35" s="17">
        <v>768</v>
      </c>
      <c r="J35" s="17">
        <v>1288292.9300000011</v>
      </c>
      <c r="K35" s="17">
        <v>2379</v>
      </c>
      <c r="L35" s="17">
        <v>1506756.4399999985</v>
      </c>
      <c r="M35" s="20">
        <v>-478511.27000000095</v>
      </c>
    </row>
    <row r="36" spans="1:13" ht="15.75" customHeight="1" x14ac:dyDescent="0.25">
      <c r="A36" s="9">
        <v>32</v>
      </c>
      <c r="B36" s="3" t="s">
        <v>150</v>
      </c>
      <c r="C36" s="17">
        <v>8410</v>
      </c>
      <c r="D36" s="17">
        <v>5931630.8500000127</v>
      </c>
      <c r="E36" s="17"/>
      <c r="F36" s="17"/>
      <c r="G36" s="17"/>
      <c r="H36" s="17"/>
      <c r="I36" s="17">
        <v>470</v>
      </c>
      <c r="J36" s="17">
        <v>361945.02999999997</v>
      </c>
      <c r="K36" s="17">
        <v>7940</v>
      </c>
      <c r="L36" s="17">
        <v>5569685.8200000105</v>
      </c>
      <c r="M36" s="20">
        <v>5931630.8500000108</v>
      </c>
    </row>
    <row r="37" spans="1:13" ht="15.75" customHeight="1" x14ac:dyDescent="0.25">
      <c r="A37" s="9">
        <v>33</v>
      </c>
      <c r="B37" s="3" t="s">
        <v>144</v>
      </c>
      <c r="C37" s="17">
        <v>6581</v>
      </c>
      <c r="D37" s="17">
        <v>5815150.7599999979</v>
      </c>
      <c r="E37" s="17">
        <v>926</v>
      </c>
      <c r="F37" s="17">
        <v>857021.95999999985</v>
      </c>
      <c r="G37" s="17">
        <v>3239</v>
      </c>
      <c r="H37" s="17">
        <v>2625941.8599999994</v>
      </c>
      <c r="I37" s="17">
        <v>595</v>
      </c>
      <c r="J37" s="17">
        <v>732129.5199999999</v>
      </c>
      <c r="K37" s="17">
        <v>1821</v>
      </c>
      <c r="L37" s="17">
        <v>1600057.4199999997</v>
      </c>
      <c r="M37" s="20">
        <v>-1150776.8799999999</v>
      </c>
    </row>
    <row r="38" spans="1:13" ht="15.75" customHeight="1" x14ac:dyDescent="0.25">
      <c r="A38" s="9">
        <v>34</v>
      </c>
      <c r="B38" s="3" t="s">
        <v>29</v>
      </c>
      <c r="C38" s="17">
        <v>11366</v>
      </c>
      <c r="D38" s="17">
        <v>5745597.0499999793</v>
      </c>
      <c r="E38" s="17">
        <v>1017</v>
      </c>
      <c r="F38" s="17">
        <v>723839.94999999891</v>
      </c>
      <c r="G38" s="17">
        <v>5611</v>
      </c>
      <c r="H38" s="17">
        <v>2467423.0099999872</v>
      </c>
      <c r="I38" s="17">
        <v>804</v>
      </c>
      <c r="J38" s="17">
        <v>626459.12000000069</v>
      </c>
      <c r="K38" s="17">
        <v>3934</v>
      </c>
      <c r="L38" s="17">
        <v>1927874.9699999995</v>
      </c>
      <c r="M38" s="20">
        <v>-636928.86999998568</v>
      </c>
    </row>
    <row r="39" spans="1:13" ht="15.75" customHeight="1" x14ac:dyDescent="0.25">
      <c r="A39" s="9">
        <v>35</v>
      </c>
      <c r="B39" s="3" t="s">
        <v>103</v>
      </c>
      <c r="C39" s="17">
        <v>9552</v>
      </c>
      <c r="D39" s="17">
        <v>5683075.3200000003</v>
      </c>
      <c r="E39" s="17">
        <v>562</v>
      </c>
      <c r="F39" s="17">
        <v>308511.02</v>
      </c>
      <c r="G39" s="17">
        <v>4536</v>
      </c>
      <c r="H39" s="17">
        <v>2496482.3800000018</v>
      </c>
      <c r="I39" s="17">
        <v>431</v>
      </c>
      <c r="J39" s="17">
        <v>250614.84999999998</v>
      </c>
      <c r="K39" s="17">
        <v>4023</v>
      </c>
      <c r="L39" s="17">
        <v>2627467.0699999994</v>
      </c>
      <c r="M39" s="20">
        <v>73088.51999999769</v>
      </c>
    </row>
    <row r="40" spans="1:13" ht="15.75" customHeight="1" x14ac:dyDescent="0.25">
      <c r="A40" s="9">
        <v>36</v>
      </c>
      <c r="B40" s="3" t="s">
        <v>46</v>
      </c>
      <c r="C40" s="17">
        <v>6257</v>
      </c>
      <c r="D40" s="17">
        <v>5437195.6199999982</v>
      </c>
      <c r="E40" s="17">
        <v>677</v>
      </c>
      <c r="F40" s="17">
        <v>1267730.96</v>
      </c>
      <c r="G40" s="17">
        <v>2815</v>
      </c>
      <c r="H40" s="17">
        <v>1726183.07</v>
      </c>
      <c r="I40" s="17">
        <v>578</v>
      </c>
      <c r="J40" s="17">
        <v>1108424.51</v>
      </c>
      <c r="K40" s="17">
        <v>2187</v>
      </c>
      <c r="L40" s="17">
        <v>1334857.0799999998</v>
      </c>
      <c r="M40" s="20">
        <v>-550632.44000000041</v>
      </c>
    </row>
    <row r="41" spans="1:13" ht="15.75" customHeight="1" x14ac:dyDescent="0.25">
      <c r="A41" s="9">
        <v>37</v>
      </c>
      <c r="B41" s="3" t="s">
        <v>36</v>
      </c>
      <c r="C41" s="17">
        <v>3683</v>
      </c>
      <c r="D41" s="17">
        <v>5429258.7199999997</v>
      </c>
      <c r="E41" s="17">
        <v>189</v>
      </c>
      <c r="F41" s="17">
        <v>415947</v>
      </c>
      <c r="G41" s="17">
        <v>243</v>
      </c>
      <c r="H41" s="17">
        <v>200950.39999999999</v>
      </c>
      <c r="I41" s="17">
        <v>1805</v>
      </c>
      <c r="J41" s="17">
        <v>3478394.1</v>
      </c>
      <c r="K41" s="17">
        <v>1446</v>
      </c>
      <c r="L41" s="17">
        <v>1333967.22</v>
      </c>
      <c r="M41" s="20">
        <v>4195463.92</v>
      </c>
    </row>
    <row r="42" spans="1:13" ht="15.75" customHeight="1" x14ac:dyDescent="0.25">
      <c r="A42" s="9">
        <v>38</v>
      </c>
      <c r="B42" s="3" t="s">
        <v>277</v>
      </c>
      <c r="C42" s="17">
        <v>6691</v>
      </c>
      <c r="D42" s="17">
        <v>4651989.8899999987</v>
      </c>
      <c r="E42" s="17">
        <v>1046</v>
      </c>
      <c r="F42" s="17">
        <v>661144</v>
      </c>
      <c r="G42" s="17">
        <v>5645</v>
      </c>
      <c r="H42" s="17">
        <v>3990845.8899999997</v>
      </c>
      <c r="I42" s="17"/>
      <c r="J42" s="17"/>
      <c r="K42" s="17"/>
      <c r="L42" s="17"/>
      <c r="M42" s="20">
        <v>-4651989.8899999997</v>
      </c>
    </row>
    <row r="43" spans="1:13" ht="15.75" customHeight="1" x14ac:dyDescent="0.25">
      <c r="A43" s="9">
        <v>39</v>
      </c>
      <c r="B43" s="3" t="s">
        <v>98</v>
      </c>
      <c r="C43" s="17">
        <v>5935</v>
      </c>
      <c r="D43" s="17">
        <v>4341425.9599999972</v>
      </c>
      <c r="E43" s="17">
        <v>334</v>
      </c>
      <c r="F43" s="17">
        <v>247265.06000000006</v>
      </c>
      <c r="G43" s="17">
        <v>2370</v>
      </c>
      <c r="H43" s="17">
        <v>1442086.56</v>
      </c>
      <c r="I43" s="17">
        <v>382</v>
      </c>
      <c r="J43" s="17">
        <v>334844.10000000003</v>
      </c>
      <c r="K43" s="17">
        <v>2849</v>
      </c>
      <c r="L43" s="17">
        <v>2317230.2400000007</v>
      </c>
      <c r="M43" s="20">
        <v>962722.72000000067</v>
      </c>
    </row>
    <row r="44" spans="1:13" ht="15.75" customHeight="1" x14ac:dyDescent="0.25">
      <c r="A44" s="9">
        <v>40</v>
      </c>
      <c r="B44" s="3" t="s">
        <v>133</v>
      </c>
      <c r="C44" s="17">
        <v>6328</v>
      </c>
      <c r="D44" s="17">
        <v>4306332.26</v>
      </c>
      <c r="E44" s="17">
        <v>70</v>
      </c>
      <c r="F44" s="17">
        <v>40813</v>
      </c>
      <c r="G44" s="17">
        <v>889</v>
      </c>
      <c r="H44" s="17">
        <v>559035.46</v>
      </c>
      <c r="I44" s="17">
        <v>452</v>
      </c>
      <c r="J44" s="17">
        <v>313126</v>
      </c>
      <c r="K44" s="17">
        <v>4917</v>
      </c>
      <c r="L44" s="17">
        <v>3393357.8000000003</v>
      </c>
      <c r="M44" s="20">
        <v>3106635.3400000003</v>
      </c>
    </row>
    <row r="45" spans="1:13" ht="15.75" customHeight="1" x14ac:dyDescent="0.25">
      <c r="A45" s="9">
        <v>41</v>
      </c>
      <c r="B45" s="3" t="s">
        <v>208</v>
      </c>
      <c r="C45" s="17">
        <v>3703</v>
      </c>
      <c r="D45" s="17">
        <v>4221326.4099999983</v>
      </c>
      <c r="E45" s="17">
        <v>514</v>
      </c>
      <c r="F45" s="17">
        <v>957894</v>
      </c>
      <c r="G45" s="17">
        <v>1636</v>
      </c>
      <c r="H45" s="17">
        <v>1335941.4700000004</v>
      </c>
      <c r="I45" s="17">
        <v>402</v>
      </c>
      <c r="J45" s="17">
        <v>871334</v>
      </c>
      <c r="K45" s="17">
        <v>1151</v>
      </c>
      <c r="L45" s="17">
        <v>1056156.9400000002</v>
      </c>
      <c r="M45" s="20">
        <v>-366344.53000000049</v>
      </c>
    </row>
    <row r="46" spans="1:13" ht="15.75" customHeight="1" x14ac:dyDescent="0.25">
      <c r="A46" s="9">
        <v>42</v>
      </c>
      <c r="B46" s="3" t="s">
        <v>122</v>
      </c>
      <c r="C46" s="17">
        <v>6633</v>
      </c>
      <c r="D46" s="17">
        <v>4159156.9900000016</v>
      </c>
      <c r="E46" s="17">
        <v>736</v>
      </c>
      <c r="F46" s="17">
        <v>512599.06</v>
      </c>
      <c r="G46" s="17">
        <v>2622</v>
      </c>
      <c r="H46" s="17">
        <v>1255397.5500000003</v>
      </c>
      <c r="I46" s="17">
        <v>832</v>
      </c>
      <c r="J46" s="17">
        <v>793232.91999999981</v>
      </c>
      <c r="K46" s="17">
        <v>2443</v>
      </c>
      <c r="L46" s="17">
        <v>1597927.46</v>
      </c>
      <c r="M46" s="20">
        <v>623163.76999999955</v>
      </c>
    </row>
    <row r="47" spans="1:13" ht="15.75" customHeight="1" x14ac:dyDescent="0.25">
      <c r="A47" s="9">
        <v>43</v>
      </c>
      <c r="B47" s="3" t="s">
        <v>106</v>
      </c>
      <c r="C47" s="17">
        <v>6449</v>
      </c>
      <c r="D47" s="17">
        <v>3797228.3500000015</v>
      </c>
      <c r="E47" s="17">
        <v>551</v>
      </c>
      <c r="F47" s="17">
        <v>294149.25</v>
      </c>
      <c r="G47" s="17">
        <v>2779</v>
      </c>
      <c r="H47" s="17">
        <v>1410639.73</v>
      </c>
      <c r="I47" s="17">
        <v>647</v>
      </c>
      <c r="J47" s="17">
        <v>434708.93</v>
      </c>
      <c r="K47" s="17">
        <v>2472</v>
      </c>
      <c r="L47" s="17">
        <v>1657730.4400000002</v>
      </c>
      <c r="M47" s="20">
        <v>387650.39000000013</v>
      </c>
    </row>
    <row r="48" spans="1:13" ht="15.75" customHeight="1" x14ac:dyDescent="0.25">
      <c r="A48" s="9">
        <v>44</v>
      </c>
      <c r="B48" s="3" t="s">
        <v>171</v>
      </c>
      <c r="C48" s="17">
        <v>3611</v>
      </c>
      <c r="D48" s="17">
        <v>3770638.65</v>
      </c>
      <c r="E48" s="17">
        <v>462</v>
      </c>
      <c r="F48" s="17">
        <v>664009.92999999993</v>
      </c>
      <c r="G48" s="17">
        <v>1145</v>
      </c>
      <c r="H48" s="17">
        <v>831869.61</v>
      </c>
      <c r="I48" s="17">
        <v>476</v>
      </c>
      <c r="J48" s="17">
        <v>730985</v>
      </c>
      <c r="K48" s="17">
        <v>1528</v>
      </c>
      <c r="L48" s="17">
        <v>1543774.1099999999</v>
      </c>
      <c r="M48" s="20">
        <v>778879.56999999983</v>
      </c>
    </row>
    <row r="49" spans="1:13" ht="15.75" customHeight="1" x14ac:dyDescent="0.25">
      <c r="A49" s="9">
        <v>45</v>
      </c>
      <c r="B49" s="3" t="s">
        <v>180</v>
      </c>
      <c r="C49" s="17">
        <v>5681</v>
      </c>
      <c r="D49" s="17">
        <v>3388528.56</v>
      </c>
      <c r="E49" s="17">
        <v>181</v>
      </c>
      <c r="F49" s="17">
        <v>76111</v>
      </c>
      <c r="G49" s="17">
        <v>2652</v>
      </c>
      <c r="H49" s="17">
        <v>1426931.46</v>
      </c>
      <c r="I49" s="17">
        <v>229</v>
      </c>
      <c r="J49" s="17">
        <v>171351</v>
      </c>
      <c r="K49" s="17">
        <v>2619</v>
      </c>
      <c r="L49" s="17">
        <v>1714135.1000000003</v>
      </c>
      <c r="M49" s="20">
        <v>382443.64000000036</v>
      </c>
    </row>
    <row r="50" spans="1:13" ht="15.75" customHeight="1" x14ac:dyDescent="0.25">
      <c r="A50" s="9">
        <v>46</v>
      </c>
      <c r="B50" s="3" t="s">
        <v>71</v>
      </c>
      <c r="C50" s="17">
        <v>3964</v>
      </c>
      <c r="D50" s="17">
        <v>3226357.6100000008</v>
      </c>
      <c r="E50" s="17">
        <v>492</v>
      </c>
      <c r="F50" s="17">
        <v>503562.87000000011</v>
      </c>
      <c r="G50" s="17">
        <v>1639</v>
      </c>
      <c r="H50" s="17">
        <v>1143460.0200000005</v>
      </c>
      <c r="I50" s="17">
        <v>464</v>
      </c>
      <c r="J50" s="17">
        <v>491047.92999999988</v>
      </c>
      <c r="K50" s="17">
        <v>1369</v>
      </c>
      <c r="L50" s="17">
        <v>1088286.7900000003</v>
      </c>
      <c r="M50" s="20">
        <v>-67688.170000000391</v>
      </c>
    </row>
    <row r="51" spans="1:13" ht="15.75" customHeight="1" x14ac:dyDescent="0.25">
      <c r="A51" s="9">
        <v>47</v>
      </c>
      <c r="B51" s="3" t="s">
        <v>53</v>
      </c>
      <c r="C51" s="17">
        <v>4353</v>
      </c>
      <c r="D51" s="17">
        <v>3038224.9699999983</v>
      </c>
      <c r="E51" s="17">
        <v>378</v>
      </c>
      <c r="F51" s="17">
        <v>299103.65000000002</v>
      </c>
      <c r="G51" s="17">
        <v>2111</v>
      </c>
      <c r="H51" s="17">
        <v>1235974.6700000009</v>
      </c>
      <c r="I51" s="17">
        <v>263</v>
      </c>
      <c r="J51" s="17">
        <v>245176.22</v>
      </c>
      <c r="K51" s="17">
        <v>1601</v>
      </c>
      <c r="L51" s="17">
        <v>1257970.4300000002</v>
      </c>
      <c r="M51" s="20">
        <v>-31931.670000000624</v>
      </c>
    </row>
    <row r="52" spans="1:13" ht="15.75" customHeight="1" x14ac:dyDescent="0.25">
      <c r="A52" s="9">
        <v>48</v>
      </c>
      <c r="B52" s="3" t="s">
        <v>55</v>
      </c>
      <c r="C52" s="17">
        <v>3548</v>
      </c>
      <c r="D52" s="17">
        <v>2977389.0200000005</v>
      </c>
      <c r="E52" s="17">
        <v>200</v>
      </c>
      <c r="F52" s="17">
        <v>272479</v>
      </c>
      <c r="G52" s="17">
        <v>1763</v>
      </c>
      <c r="H52" s="17">
        <v>1160458.2399999998</v>
      </c>
      <c r="I52" s="17">
        <v>125</v>
      </c>
      <c r="J52" s="17">
        <v>225776</v>
      </c>
      <c r="K52" s="17">
        <v>1460</v>
      </c>
      <c r="L52" s="17">
        <v>1318675.7800000003</v>
      </c>
      <c r="M52" s="20">
        <v>111514.5400000005</v>
      </c>
    </row>
    <row r="53" spans="1:13" ht="15.75" customHeight="1" x14ac:dyDescent="0.25">
      <c r="A53" s="9">
        <v>49</v>
      </c>
      <c r="B53" s="3" t="s">
        <v>50</v>
      </c>
      <c r="C53" s="17">
        <v>3994</v>
      </c>
      <c r="D53" s="17">
        <v>2932723.63</v>
      </c>
      <c r="E53" s="17">
        <v>485</v>
      </c>
      <c r="F53" s="17">
        <v>424639.21</v>
      </c>
      <c r="G53" s="17">
        <v>1717</v>
      </c>
      <c r="H53" s="17">
        <v>1105653.8399999999</v>
      </c>
      <c r="I53" s="17">
        <v>366</v>
      </c>
      <c r="J53" s="17">
        <v>348106.06</v>
      </c>
      <c r="K53" s="17">
        <v>1426</v>
      </c>
      <c r="L53" s="17">
        <v>1054324.5200000005</v>
      </c>
      <c r="M53" s="20">
        <v>-127862.46999999927</v>
      </c>
    </row>
    <row r="54" spans="1:13" ht="15.75" customHeight="1" x14ac:dyDescent="0.25">
      <c r="A54" s="9">
        <v>50</v>
      </c>
      <c r="B54" s="3" t="s">
        <v>156</v>
      </c>
      <c r="C54" s="17">
        <v>4403</v>
      </c>
      <c r="D54" s="17">
        <v>2863719.6100000003</v>
      </c>
      <c r="E54" s="17">
        <v>250</v>
      </c>
      <c r="F54" s="17">
        <v>127176</v>
      </c>
      <c r="G54" s="17">
        <v>2277</v>
      </c>
      <c r="H54" s="17">
        <v>1445465.21</v>
      </c>
      <c r="I54" s="17">
        <v>215</v>
      </c>
      <c r="J54" s="17">
        <v>113701.84</v>
      </c>
      <c r="K54" s="17">
        <v>1661</v>
      </c>
      <c r="L54" s="17">
        <v>1177376.56</v>
      </c>
      <c r="M54" s="20">
        <v>-281562.80999999982</v>
      </c>
    </row>
    <row r="55" spans="1:13" ht="15.75" customHeight="1" x14ac:dyDescent="0.25">
      <c r="A55" s="9">
        <v>51</v>
      </c>
      <c r="B55" s="3" t="s">
        <v>148</v>
      </c>
      <c r="C55" s="17">
        <v>3827</v>
      </c>
      <c r="D55" s="17">
        <v>2805150.5700000008</v>
      </c>
      <c r="E55" s="17">
        <v>241</v>
      </c>
      <c r="F55" s="17">
        <v>300492</v>
      </c>
      <c r="G55" s="17">
        <v>1921</v>
      </c>
      <c r="H55" s="17">
        <v>1280833.8200000005</v>
      </c>
      <c r="I55" s="17">
        <v>175</v>
      </c>
      <c r="J55" s="17">
        <v>163376</v>
      </c>
      <c r="K55" s="17">
        <v>1490</v>
      </c>
      <c r="L55" s="17">
        <v>1060448.7500000002</v>
      </c>
      <c r="M55" s="20">
        <v>-357501.0700000003</v>
      </c>
    </row>
    <row r="56" spans="1:13" ht="15.75" customHeight="1" x14ac:dyDescent="0.25">
      <c r="A56" s="9">
        <v>52</v>
      </c>
      <c r="B56" s="3" t="s">
        <v>282</v>
      </c>
      <c r="C56" s="17">
        <v>3947</v>
      </c>
      <c r="D56" s="17">
        <v>2364414.2100000009</v>
      </c>
      <c r="E56" s="17">
        <v>652</v>
      </c>
      <c r="F56" s="17">
        <v>522747.24</v>
      </c>
      <c r="G56" s="17">
        <v>3295</v>
      </c>
      <c r="H56" s="17">
        <v>1841666.9700000002</v>
      </c>
      <c r="I56" s="17"/>
      <c r="J56" s="17"/>
      <c r="K56" s="17"/>
      <c r="L56" s="17"/>
      <c r="M56" s="20">
        <v>-2364414.21</v>
      </c>
    </row>
    <row r="57" spans="1:13" ht="15.75" customHeight="1" x14ac:dyDescent="0.25">
      <c r="A57" s="9">
        <v>53</v>
      </c>
      <c r="B57" s="3" t="s">
        <v>283</v>
      </c>
      <c r="C57" s="17">
        <v>1572</v>
      </c>
      <c r="D57" s="17">
        <v>2340770.77</v>
      </c>
      <c r="E57" s="17">
        <v>851</v>
      </c>
      <c r="F57" s="17">
        <v>1748002</v>
      </c>
      <c r="G57" s="17">
        <v>721</v>
      </c>
      <c r="H57" s="17">
        <v>592768.77</v>
      </c>
      <c r="I57" s="17"/>
      <c r="J57" s="17"/>
      <c r="K57" s="17"/>
      <c r="L57" s="17"/>
      <c r="M57" s="20">
        <v>-2340770.77</v>
      </c>
    </row>
    <row r="58" spans="1:13" ht="15.75" customHeight="1" x14ac:dyDescent="0.25">
      <c r="A58" s="9">
        <v>54</v>
      </c>
      <c r="B58" s="3" t="s">
        <v>130</v>
      </c>
      <c r="C58" s="17">
        <v>3741</v>
      </c>
      <c r="D58" s="17">
        <v>2331676.8499999987</v>
      </c>
      <c r="E58" s="17">
        <v>352</v>
      </c>
      <c r="F58" s="17">
        <v>257619.29</v>
      </c>
      <c r="G58" s="17">
        <v>1799</v>
      </c>
      <c r="H58" s="17">
        <v>933074.17999999982</v>
      </c>
      <c r="I58" s="17">
        <v>322</v>
      </c>
      <c r="J58" s="17">
        <v>308065.0500000001</v>
      </c>
      <c r="K58" s="17">
        <v>1268</v>
      </c>
      <c r="L58" s="17">
        <v>832918.33000000019</v>
      </c>
      <c r="M58" s="20">
        <v>-49710.089999999385</v>
      </c>
    </row>
    <row r="59" spans="1:13" ht="15.75" customHeight="1" x14ac:dyDescent="0.25">
      <c r="A59" s="9">
        <v>55</v>
      </c>
      <c r="B59" s="3" t="s">
        <v>15</v>
      </c>
      <c r="C59" s="17">
        <v>1232</v>
      </c>
      <c r="D59" s="17">
        <v>2257813.65</v>
      </c>
      <c r="E59" s="17"/>
      <c r="F59" s="17"/>
      <c r="G59" s="17"/>
      <c r="H59" s="17"/>
      <c r="I59" s="17">
        <v>503</v>
      </c>
      <c r="J59" s="17">
        <v>1460425.3599999999</v>
      </c>
      <c r="K59" s="17">
        <v>729</v>
      </c>
      <c r="L59" s="17">
        <v>797388.29</v>
      </c>
      <c r="M59" s="20">
        <v>2257813.65</v>
      </c>
    </row>
    <row r="60" spans="1:13" ht="15.75" customHeight="1" x14ac:dyDescent="0.25">
      <c r="A60" s="9">
        <v>56</v>
      </c>
      <c r="B60" s="3" t="s">
        <v>73</v>
      </c>
      <c r="C60" s="17">
        <v>2045</v>
      </c>
      <c r="D60" s="17">
        <v>1925955.8800000004</v>
      </c>
      <c r="E60" s="17">
        <v>305</v>
      </c>
      <c r="F60" s="17">
        <v>385941.51999999996</v>
      </c>
      <c r="G60" s="17">
        <v>749</v>
      </c>
      <c r="H60" s="17">
        <v>558779.84999999986</v>
      </c>
      <c r="I60" s="17">
        <v>297</v>
      </c>
      <c r="J60" s="17">
        <v>309334.87</v>
      </c>
      <c r="K60" s="17">
        <v>694</v>
      </c>
      <c r="L60" s="17">
        <v>671899.64000000025</v>
      </c>
      <c r="M60" s="20">
        <v>36513.140000000363</v>
      </c>
    </row>
    <row r="61" spans="1:13" ht="15.75" customHeight="1" x14ac:dyDescent="0.25">
      <c r="A61" s="9">
        <v>57</v>
      </c>
      <c r="B61" s="3" t="s">
        <v>125</v>
      </c>
      <c r="C61" s="17">
        <v>2574</v>
      </c>
      <c r="D61" s="17">
        <v>1907264.6500000001</v>
      </c>
      <c r="E61" s="17">
        <v>34</v>
      </c>
      <c r="F61" s="17">
        <v>17894</v>
      </c>
      <c r="G61" s="17">
        <v>640</v>
      </c>
      <c r="H61" s="17">
        <v>381980.61999999994</v>
      </c>
      <c r="I61" s="17">
        <v>176</v>
      </c>
      <c r="J61" s="17">
        <v>254685</v>
      </c>
      <c r="K61" s="17">
        <v>1724</v>
      </c>
      <c r="L61" s="17">
        <v>1252705.0300000003</v>
      </c>
      <c r="M61" s="20">
        <v>1107515.4100000004</v>
      </c>
    </row>
    <row r="62" spans="1:13" ht="15.75" customHeight="1" x14ac:dyDescent="0.25">
      <c r="A62" s="9">
        <v>58</v>
      </c>
      <c r="B62" s="3" t="s">
        <v>224</v>
      </c>
      <c r="C62" s="17">
        <v>3775</v>
      </c>
      <c r="D62" s="17">
        <v>1886057.54</v>
      </c>
      <c r="E62" s="17">
        <v>2</v>
      </c>
      <c r="F62" s="17">
        <v>170</v>
      </c>
      <c r="G62" s="17">
        <v>2290</v>
      </c>
      <c r="H62" s="17">
        <v>1132126</v>
      </c>
      <c r="I62" s="17">
        <v>1</v>
      </c>
      <c r="J62" s="17">
        <v>700</v>
      </c>
      <c r="K62" s="17">
        <v>1482</v>
      </c>
      <c r="L62" s="17">
        <v>753061.54</v>
      </c>
      <c r="M62" s="20">
        <v>-378534.45999999996</v>
      </c>
    </row>
    <row r="63" spans="1:13" ht="15.75" customHeight="1" x14ac:dyDescent="0.25">
      <c r="A63" s="9">
        <v>59</v>
      </c>
      <c r="B63" s="3" t="s">
        <v>113</v>
      </c>
      <c r="C63" s="17">
        <v>3510</v>
      </c>
      <c r="D63" s="17">
        <v>1875469.93</v>
      </c>
      <c r="E63" s="17">
        <v>273</v>
      </c>
      <c r="F63" s="17">
        <v>170856</v>
      </c>
      <c r="G63" s="17">
        <v>1807</v>
      </c>
      <c r="H63" s="17">
        <v>836463.95999999985</v>
      </c>
      <c r="I63" s="17">
        <v>177</v>
      </c>
      <c r="J63" s="17">
        <v>157846</v>
      </c>
      <c r="K63" s="17">
        <v>1253</v>
      </c>
      <c r="L63" s="17">
        <v>710303.96999999986</v>
      </c>
      <c r="M63" s="20">
        <v>-139169.99</v>
      </c>
    </row>
    <row r="64" spans="1:13" ht="15.75" customHeight="1" x14ac:dyDescent="0.25">
      <c r="A64" s="9">
        <v>60</v>
      </c>
      <c r="B64" s="3" t="s">
        <v>193</v>
      </c>
      <c r="C64" s="17">
        <v>2430</v>
      </c>
      <c r="D64" s="17">
        <v>1626507.85</v>
      </c>
      <c r="E64" s="17">
        <v>196</v>
      </c>
      <c r="F64" s="17">
        <v>148777.96</v>
      </c>
      <c r="G64" s="17">
        <v>1394</v>
      </c>
      <c r="H64" s="17">
        <v>867179.88000000012</v>
      </c>
      <c r="I64" s="17">
        <v>75</v>
      </c>
      <c r="J64" s="17">
        <v>34627</v>
      </c>
      <c r="K64" s="17">
        <v>765</v>
      </c>
      <c r="L64" s="17">
        <v>575923.01</v>
      </c>
      <c r="M64" s="20">
        <v>-405407.83000000007</v>
      </c>
    </row>
    <row r="65" spans="1:13" ht="15.75" customHeight="1" x14ac:dyDescent="0.25">
      <c r="A65" s="9">
        <v>61</v>
      </c>
      <c r="B65" s="3" t="s">
        <v>3</v>
      </c>
      <c r="C65" s="17">
        <v>3522</v>
      </c>
      <c r="D65" s="17">
        <v>1598029.9099999997</v>
      </c>
      <c r="E65" s="17">
        <v>230</v>
      </c>
      <c r="F65" s="17">
        <v>115683</v>
      </c>
      <c r="G65" s="17">
        <v>1786</v>
      </c>
      <c r="H65" s="17">
        <v>796722.77</v>
      </c>
      <c r="I65" s="17">
        <v>160</v>
      </c>
      <c r="J65" s="17">
        <v>64137</v>
      </c>
      <c r="K65" s="17">
        <v>1346</v>
      </c>
      <c r="L65" s="17">
        <v>621487.14</v>
      </c>
      <c r="M65" s="20">
        <v>-226781.63</v>
      </c>
    </row>
    <row r="66" spans="1:13" ht="15.75" customHeight="1" x14ac:dyDescent="0.25">
      <c r="A66" s="9">
        <v>62</v>
      </c>
      <c r="B66" s="3" t="s">
        <v>275</v>
      </c>
      <c r="C66" s="17">
        <v>2842</v>
      </c>
      <c r="D66" s="17">
        <v>1594937.8299999994</v>
      </c>
      <c r="E66" s="17">
        <v>292</v>
      </c>
      <c r="F66" s="17">
        <v>379384</v>
      </c>
      <c r="G66" s="17">
        <v>2550</v>
      </c>
      <c r="H66" s="17">
        <v>1215553.8299999996</v>
      </c>
      <c r="I66" s="17"/>
      <c r="J66" s="17"/>
      <c r="K66" s="17"/>
      <c r="L66" s="17"/>
      <c r="M66" s="20">
        <v>-1594937.8299999996</v>
      </c>
    </row>
    <row r="67" spans="1:13" ht="15.75" customHeight="1" x14ac:dyDescent="0.25">
      <c r="A67" s="9">
        <v>63</v>
      </c>
      <c r="B67" s="3" t="s">
        <v>241</v>
      </c>
      <c r="C67" s="17">
        <v>2485</v>
      </c>
      <c r="D67" s="17">
        <v>1590808.2600000002</v>
      </c>
      <c r="E67" s="17">
        <v>2</v>
      </c>
      <c r="F67" s="17">
        <v>600</v>
      </c>
      <c r="G67" s="17">
        <v>1697</v>
      </c>
      <c r="H67" s="17">
        <v>1060454.1800000002</v>
      </c>
      <c r="I67" s="17"/>
      <c r="J67" s="17"/>
      <c r="K67" s="17">
        <v>786</v>
      </c>
      <c r="L67" s="17">
        <v>529754.08000000007</v>
      </c>
      <c r="M67" s="20">
        <v>-531300.10000000009</v>
      </c>
    </row>
    <row r="68" spans="1:13" ht="15.75" customHeight="1" x14ac:dyDescent="0.25">
      <c r="A68" s="9">
        <v>64</v>
      </c>
      <c r="B68" s="3" t="s">
        <v>39</v>
      </c>
      <c r="C68" s="17">
        <v>1944</v>
      </c>
      <c r="D68" s="17">
        <v>1490222.7100000004</v>
      </c>
      <c r="E68" s="17">
        <v>47</v>
      </c>
      <c r="F68" s="17">
        <v>16828</v>
      </c>
      <c r="G68" s="17">
        <v>290</v>
      </c>
      <c r="H68" s="17">
        <v>195763.84</v>
      </c>
      <c r="I68" s="17">
        <v>255</v>
      </c>
      <c r="J68" s="17">
        <v>272099.75</v>
      </c>
      <c r="K68" s="17">
        <v>1352</v>
      </c>
      <c r="L68" s="17">
        <v>1005531.1200000002</v>
      </c>
      <c r="M68" s="20">
        <v>1065039.03</v>
      </c>
    </row>
    <row r="69" spans="1:13" ht="15.75" customHeight="1" x14ac:dyDescent="0.25">
      <c r="A69" s="9">
        <v>65</v>
      </c>
      <c r="B69" s="3" t="s">
        <v>78</v>
      </c>
      <c r="C69" s="17">
        <v>2379</v>
      </c>
      <c r="D69" s="17">
        <v>1433160.26</v>
      </c>
      <c r="E69" s="17">
        <v>78</v>
      </c>
      <c r="F69" s="17">
        <v>45311</v>
      </c>
      <c r="G69" s="17">
        <v>847</v>
      </c>
      <c r="H69" s="17">
        <v>494537.26</v>
      </c>
      <c r="I69" s="17">
        <v>173</v>
      </c>
      <c r="J69" s="17">
        <v>59707</v>
      </c>
      <c r="K69" s="17">
        <v>1281</v>
      </c>
      <c r="L69" s="17">
        <v>833605</v>
      </c>
      <c r="M69" s="20">
        <v>353463.74</v>
      </c>
    </row>
    <row r="70" spans="1:13" ht="15.75" customHeight="1" x14ac:dyDescent="0.25">
      <c r="A70" s="9">
        <v>66</v>
      </c>
      <c r="B70" s="3" t="s">
        <v>9</v>
      </c>
      <c r="C70" s="17">
        <v>2260</v>
      </c>
      <c r="D70" s="17">
        <v>1409380.85</v>
      </c>
      <c r="E70" s="17">
        <v>161</v>
      </c>
      <c r="F70" s="17">
        <v>140174</v>
      </c>
      <c r="G70" s="17">
        <v>1042</v>
      </c>
      <c r="H70" s="17">
        <v>509667.31</v>
      </c>
      <c r="I70" s="17">
        <v>194</v>
      </c>
      <c r="J70" s="17">
        <v>200688</v>
      </c>
      <c r="K70" s="17">
        <v>863</v>
      </c>
      <c r="L70" s="17">
        <v>558851.54</v>
      </c>
      <c r="M70" s="20">
        <v>109698.22999999998</v>
      </c>
    </row>
    <row r="71" spans="1:13" ht="15.75" customHeight="1" x14ac:dyDescent="0.25">
      <c r="A71" s="9">
        <v>67</v>
      </c>
      <c r="B71" s="3" t="s">
        <v>205</v>
      </c>
      <c r="C71" s="17">
        <v>2235</v>
      </c>
      <c r="D71" s="17">
        <v>1306941.83</v>
      </c>
      <c r="E71" s="17">
        <v>5</v>
      </c>
      <c r="F71" s="17">
        <v>2012</v>
      </c>
      <c r="G71" s="17">
        <v>1332</v>
      </c>
      <c r="H71" s="17">
        <v>803359.83000000007</v>
      </c>
      <c r="I71" s="17">
        <v>6</v>
      </c>
      <c r="J71" s="17">
        <v>4073</v>
      </c>
      <c r="K71" s="17">
        <v>892</v>
      </c>
      <c r="L71" s="17">
        <v>497497</v>
      </c>
      <c r="M71" s="20">
        <v>-303801.83000000007</v>
      </c>
    </row>
    <row r="72" spans="1:13" ht="15.75" customHeight="1" x14ac:dyDescent="0.25">
      <c r="A72" s="9">
        <v>68</v>
      </c>
      <c r="B72" s="3" t="s">
        <v>213</v>
      </c>
      <c r="C72" s="17">
        <v>2208</v>
      </c>
      <c r="D72" s="17">
        <v>1292483.7700000003</v>
      </c>
      <c r="E72" s="17">
        <v>484</v>
      </c>
      <c r="F72" s="17">
        <v>322309</v>
      </c>
      <c r="G72" s="17">
        <v>1696</v>
      </c>
      <c r="H72" s="17">
        <v>956542.77</v>
      </c>
      <c r="I72" s="17">
        <v>7</v>
      </c>
      <c r="J72" s="17">
        <v>3157</v>
      </c>
      <c r="K72" s="17">
        <v>21</v>
      </c>
      <c r="L72" s="17">
        <v>10475</v>
      </c>
      <c r="M72" s="20">
        <v>-1265219.77</v>
      </c>
    </row>
    <row r="73" spans="1:13" ht="15.75" customHeight="1" x14ac:dyDescent="0.25">
      <c r="A73" s="9">
        <v>69</v>
      </c>
      <c r="B73" s="3" t="s">
        <v>110</v>
      </c>
      <c r="C73" s="17">
        <v>1547</v>
      </c>
      <c r="D73" s="17">
        <v>1171438.4199999992</v>
      </c>
      <c r="E73" s="17"/>
      <c r="F73" s="17"/>
      <c r="G73" s="17"/>
      <c r="H73" s="17"/>
      <c r="I73" s="17">
        <v>301</v>
      </c>
      <c r="J73" s="17">
        <v>298008.49</v>
      </c>
      <c r="K73" s="17">
        <v>1246</v>
      </c>
      <c r="L73" s="17">
        <v>873429.93000000028</v>
      </c>
      <c r="M73" s="20">
        <v>1171438.4200000004</v>
      </c>
    </row>
    <row r="74" spans="1:13" ht="15.75" customHeight="1" x14ac:dyDescent="0.25">
      <c r="A74" s="9">
        <v>70</v>
      </c>
      <c r="B74" s="3" t="s">
        <v>75</v>
      </c>
      <c r="C74" s="17">
        <v>1505</v>
      </c>
      <c r="D74" s="17">
        <v>1114549.9200000002</v>
      </c>
      <c r="E74" s="17">
        <v>79</v>
      </c>
      <c r="F74" s="17">
        <v>49966</v>
      </c>
      <c r="G74" s="17">
        <v>516</v>
      </c>
      <c r="H74" s="17">
        <v>334267.89</v>
      </c>
      <c r="I74" s="17">
        <v>97</v>
      </c>
      <c r="J74" s="17">
        <v>126932</v>
      </c>
      <c r="K74" s="17">
        <v>813</v>
      </c>
      <c r="L74" s="17">
        <v>603384.02999999991</v>
      </c>
      <c r="M74" s="20">
        <v>346082.1399999999</v>
      </c>
    </row>
    <row r="75" spans="1:13" ht="15.75" customHeight="1" x14ac:dyDescent="0.25">
      <c r="A75" s="9">
        <v>71</v>
      </c>
      <c r="B75" s="3" t="s">
        <v>120</v>
      </c>
      <c r="C75" s="17">
        <v>948</v>
      </c>
      <c r="D75" s="17">
        <v>1065065.8800000006</v>
      </c>
      <c r="E75" s="17">
        <v>14</v>
      </c>
      <c r="F75" s="17">
        <v>17089</v>
      </c>
      <c r="G75" s="17">
        <v>28</v>
      </c>
      <c r="H75" s="17">
        <v>22501</v>
      </c>
      <c r="I75" s="17">
        <v>147</v>
      </c>
      <c r="J75" s="17">
        <v>286053.75</v>
      </c>
      <c r="K75" s="17">
        <v>759</v>
      </c>
      <c r="L75" s="17">
        <v>739422.13000000024</v>
      </c>
      <c r="M75" s="20">
        <v>985885.88000000024</v>
      </c>
    </row>
    <row r="76" spans="1:13" ht="15.75" customHeight="1" x14ac:dyDescent="0.25">
      <c r="A76" s="9">
        <v>72</v>
      </c>
      <c r="B76" s="3" t="s">
        <v>237</v>
      </c>
      <c r="C76" s="17">
        <v>1858</v>
      </c>
      <c r="D76" s="17">
        <v>967402.39</v>
      </c>
      <c r="E76" s="17"/>
      <c r="F76" s="17"/>
      <c r="G76" s="17">
        <v>1121</v>
      </c>
      <c r="H76" s="17">
        <v>576836.35000000009</v>
      </c>
      <c r="I76" s="17"/>
      <c r="J76" s="17"/>
      <c r="K76" s="17">
        <v>737</v>
      </c>
      <c r="L76" s="17">
        <v>390566.04000000004</v>
      </c>
      <c r="M76" s="20">
        <v>-186270.31000000006</v>
      </c>
    </row>
    <row r="77" spans="1:13" ht="15.75" customHeight="1" x14ac:dyDescent="0.25">
      <c r="A77" s="9">
        <v>73</v>
      </c>
      <c r="B77" s="3" t="s">
        <v>108</v>
      </c>
      <c r="C77" s="17">
        <v>972</v>
      </c>
      <c r="D77" s="17">
        <v>924960.71000000008</v>
      </c>
      <c r="E77" s="17"/>
      <c r="F77" s="17"/>
      <c r="G77" s="17"/>
      <c r="H77" s="17"/>
      <c r="I77" s="17">
        <v>52</v>
      </c>
      <c r="J77" s="17">
        <v>112161</v>
      </c>
      <c r="K77" s="17">
        <v>920</v>
      </c>
      <c r="L77" s="17">
        <v>812799.71000000008</v>
      </c>
      <c r="M77" s="20">
        <v>924960.71000000008</v>
      </c>
    </row>
    <row r="78" spans="1:13" ht="15.75" customHeight="1" x14ac:dyDescent="0.25">
      <c r="A78" s="9">
        <v>74</v>
      </c>
      <c r="B78" s="3" t="s">
        <v>118</v>
      </c>
      <c r="C78" s="17">
        <v>1373</v>
      </c>
      <c r="D78" s="17">
        <v>876892.73</v>
      </c>
      <c r="E78" s="17">
        <v>82</v>
      </c>
      <c r="F78" s="17">
        <v>36020</v>
      </c>
      <c r="G78" s="17">
        <v>695</v>
      </c>
      <c r="H78" s="17">
        <v>396897.63</v>
      </c>
      <c r="I78" s="17">
        <v>60</v>
      </c>
      <c r="J78" s="17">
        <v>46447</v>
      </c>
      <c r="K78" s="17">
        <v>536</v>
      </c>
      <c r="L78" s="17">
        <v>397528.10000000009</v>
      </c>
      <c r="M78" s="20">
        <v>11057.470000000088</v>
      </c>
    </row>
    <row r="79" spans="1:13" ht="15.75" customHeight="1" x14ac:dyDescent="0.25">
      <c r="A79" s="9">
        <v>75</v>
      </c>
      <c r="B79" s="3" t="s">
        <v>278</v>
      </c>
      <c r="C79" s="17">
        <v>1829</v>
      </c>
      <c r="D79" s="17">
        <v>862094.3400000002</v>
      </c>
      <c r="E79" s="17">
        <v>113</v>
      </c>
      <c r="F79" s="17">
        <v>60550</v>
      </c>
      <c r="G79" s="17">
        <v>1716</v>
      </c>
      <c r="H79" s="17">
        <v>801544.34000000008</v>
      </c>
      <c r="I79" s="17"/>
      <c r="J79" s="17"/>
      <c r="K79" s="17"/>
      <c r="L79" s="17"/>
      <c r="M79" s="20">
        <v>-862094.34000000008</v>
      </c>
    </row>
    <row r="80" spans="1:13" ht="15.75" customHeight="1" x14ac:dyDescent="0.25">
      <c r="A80" s="9">
        <v>76</v>
      </c>
      <c r="B80" s="3" t="s">
        <v>190</v>
      </c>
      <c r="C80" s="17">
        <v>1511</v>
      </c>
      <c r="D80" s="17">
        <v>809630.46999999986</v>
      </c>
      <c r="E80" s="17"/>
      <c r="F80" s="17"/>
      <c r="G80" s="17"/>
      <c r="H80" s="17"/>
      <c r="I80" s="17">
        <v>55</v>
      </c>
      <c r="J80" s="17">
        <v>25206.67</v>
      </c>
      <c r="K80" s="17">
        <v>1456</v>
      </c>
      <c r="L80" s="17">
        <v>784423.79999999993</v>
      </c>
      <c r="M80" s="20">
        <v>809630.47</v>
      </c>
    </row>
    <row r="81" spans="1:13" ht="15.75" customHeight="1" x14ac:dyDescent="0.25">
      <c r="A81" s="9">
        <v>77</v>
      </c>
      <c r="B81" s="3" t="s">
        <v>210</v>
      </c>
      <c r="C81" s="17">
        <v>1117</v>
      </c>
      <c r="D81" s="17">
        <v>808982.80000000016</v>
      </c>
      <c r="E81" s="17">
        <v>30</v>
      </c>
      <c r="F81" s="17">
        <v>12002</v>
      </c>
      <c r="G81" s="17">
        <v>171</v>
      </c>
      <c r="H81" s="17">
        <v>110899.57</v>
      </c>
      <c r="I81" s="17">
        <v>147</v>
      </c>
      <c r="J81" s="17">
        <v>107449.13</v>
      </c>
      <c r="K81" s="17">
        <v>769</v>
      </c>
      <c r="L81" s="17">
        <v>578632.1</v>
      </c>
      <c r="M81" s="20">
        <v>563179.65999999992</v>
      </c>
    </row>
    <row r="82" spans="1:13" ht="15.75" customHeight="1" x14ac:dyDescent="0.25">
      <c r="A82" s="9">
        <v>78</v>
      </c>
      <c r="B82" s="3" t="s">
        <v>251</v>
      </c>
      <c r="C82" s="17">
        <v>941</v>
      </c>
      <c r="D82" s="17">
        <v>717511.4</v>
      </c>
      <c r="E82" s="17"/>
      <c r="F82" s="17"/>
      <c r="G82" s="17">
        <v>631</v>
      </c>
      <c r="H82" s="17">
        <v>438690.01</v>
      </c>
      <c r="I82" s="17"/>
      <c r="J82" s="17"/>
      <c r="K82" s="17">
        <v>310</v>
      </c>
      <c r="L82" s="17">
        <v>278821.39</v>
      </c>
      <c r="M82" s="20">
        <v>-159868.62</v>
      </c>
    </row>
    <row r="83" spans="1:13" ht="15.75" customHeight="1" x14ac:dyDescent="0.25">
      <c r="A83" s="9">
        <v>79</v>
      </c>
      <c r="B83" s="3" t="s">
        <v>116</v>
      </c>
      <c r="C83" s="17">
        <v>805</v>
      </c>
      <c r="D83" s="17">
        <v>670260.8400000002</v>
      </c>
      <c r="E83" s="17">
        <v>12</v>
      </c>
      <c r="F83" s="17">
        <v>3961</v>
      </c>
      <c r="G83" s="17">
        <v>256</v>
      </c>
      <c r="H83" s="17">
        <v>153635.10999999999</v>
      </c>
      <c r="I83" s="17">
        <v>61</v>
      </c>
      <c r="J83" s="17">
        <v>78657</v>
      </c>
      <c r="K83" s="17">
        <v>476</v>
      </c>
      <c r="L83" s="17">
        <v>434007.73</v>
      </c>
      <c r="M83" s="20">
        <v>355068.62</v>
      </c>
    </row>
    <row r="84" spans="1:13" ht="15.75" customHeight="1" x14ac:dyDescent="0.25">
      <c r="A84" s="9">
        <v>80</v>
      </c>
      <c r="B84" s="3" t="s">
        <v>195</v>
      </c>
      <c r="C84" s="17">
        <v>898</v>
      </c>
      <c r="D84" s="17">
        <v>662688.22</v>
      </c>
      <c r="E84" s="17">
        <v>73</v>
      </c>
      <c r="F84" s="17">
        <v>56912</v>
      </c>
      <c r="G84" s="17">
        <v>450</v>
      </c>
      <c r="H84" s="17">
        <v>251302.22</v>
      </c>
      <c r="I84" s="17">
        <v>56</v>
      </c>
      <c r="J84" s="17">
        <v>72483</v>
      </c>
      <c r="K84" s="17">
        <v>319</v>
      </c>
      <c r="L84" s="17">
        <v>281991</v>
      </c>
      <c r="M84" s="20">
        <v>46259.780000000028</v>
      </c>
    </row>
    <row r="85" spans="1:13" ht="15.75" customHeight="1" x14ac:dyDescent="0.25">
      <c r="A85" s="9">
        <v>81</v>
      </c>
      <c r="B85" s="3" t="s">
        <v>160</v>
      </c>
      <c r="C85" s="17">
        <v>1041</v>
      </c>
      <c r="D85" s="17">
        <v>657805.96</v>
      </c>
      <c r="E85" s="17">
        <v>75</v>
      </c>
      <c r="F85" s="17">
        <v>26144.1</v>
      </c>
      <c r="G85" s="17">
        <v>554</v>
      </c>
      <c r="H85" s="17">
        <v>352479.86</v>
      </c>
      <c r="I85" s="17">
        <v>43</v>
      </c>
      <c r="J85" s="17">
        <v>19031</v>
      </c>
      <c r="K85" s="17">
        <v>369</v>
      </c>
      <c r="L85" s="17">
        <v>260151</v>
      </c>
      <c r="M85" s="20">
        <v>-99441.959999999963</v>
      </c>
    </row>
    <row r="86" spans="1:13" ht="15.75" customHeight="1" x14ac:dyDescent="0.25">
      <c r="A86" s="9">
        <v>82</v>
      </c>
      <c r="B86" s="3" t="s">
        <v>245</v>
      </c>
      <c r="C86" s="17">
        <v>1348</v>
      </c>
      <c r="D86" s="17">
        <v>638910.99</v>
      </c>
      <c r="E86" s="17">
        <v>1</v>
      </c>
      <c r="F86" s="17">
        <v>500</v>
      </c>
      <c r="G86" s="17">
        <v>793</v>
      </c>
      <c r="H86" s="17">
        <v>386848.99</v>
      </c>
      <c r="I86" s="17"/>
      <c r="J86" s="17"/>
      <c r="K86" s="17">
        <v>554</v>
      </c>
      <c r="L86" s="17">
        <v>251562</v>
      </c>
      <c r="M86" s="20">
        <v>-135786.99</v>
      </c>
    </row>
    <row r="87" spans="1:13" ht="15.75" customHeight="1" x14ac:dyDescent="0.25">
      <c r="A87" s="9">
        <v>83</v>
      </c>
      <c r="B87" s="3" t="s">
        <v>186</v>
      </c>
      <c r="C87" s="17">
        <v>615</v>
      </c>
      <c r="D87" s="17">
        <v>591986.46</v>
      </c>
      <c r="E87" s="17"/>
      <c r="F87" s="17"/>
      <c r="G87" s="17">
        <v>1</v>
      </c>
      <c r="H87" s="17">
        <v>300</v>
      </c>
      <c r="I87" s="17">
        <v>112</v>
      </c>
      <c r="J87" s="17">
        <v>161720.09999999998</v>
      </c>
      <c r="K87" s="17">
        <v>502</v>
      </c>
      <c r="L87" s="17">
        <v>429966.36000000004</v>
      </c>
      <c r="M87" s="20">
        <v>591386.46</v>
      </c>
    </row>
    <row r="88" spans="1:13" ht="15.75" customHeight="1" x14ac:dyDescent="0.25">
      <c r="A88" s="9">
        <v>84</v>
      </c>
      <c r="B88" s="3" t="s">
        <v>69</v>
      </c>
      <c r="C88" s="17">
        <v>534</v>
      </c>
      <c r="D88" s="17">
        <v>590124.65</v>
      </c>
      <c r="E88" s="17"/>
      <c r="F88" s="17"/>
      <c r="G88" s="17"/>
      <c r="H88" s="17"/>
      <c r="I88" s="17">
        <v>154</v>
      </c>
      <c r="J88" s="17">
        <v>235549.86000000002</v>
      </c>
      <c r="K88" s="17">
        <v>380</v>
      </c>
      <c r="L88" s="17">
        <v>354574.79</v>
      </c>
      <c r="M88" s="20">
        <v>590124.65</v>
      </c>
    </row>
    <row r="89" spans="1:13" ht="15.75" customHeight="1" x14ac:dyDescent="0.25">
      <c r="A89" s="9">
        <v>85</v>
      </c>
      <c r="B89" s="3" t="s">
        <v>136</v>
      </c>
      <c r="C89" s="17">
        <v>890</v>
      </c>
      <c r="D89" s="17">
        <v>535539.93000000005</v>
      </c>
      <c r="E89" s="17">
        <v>21</v>
      </c>
      <c r="F89" s="17">
        <v>5618</v>
      </c>
      <c r="G89" s="17">
        <v>229</v>
      </c>
      <c r="H89" s="17">
        <v>121045.82999999999</v>
      </c>
      <c r="I89" s="17">
        <v>81</v>
      </c>
      <c r="J89" s="17">
        <v>54111</v>
      </c>
      <c r="K89" s="17">
        <v>559</v>
      </c>
      <c r="L89" s="17">
        <v>354765.10000000003</v>
      </c>
      <c r="M89" s="20">
        <v>282212.27</v>
      </c>
    </row>
    <row r="90" spans="1:13" ht="15.75" customHeight="1" x14ac:dyDescent="0.25">
      <c r="A90" s="9">
        <v>86</v>
      </c>
      <c r="B90" s="3" t="s">
        <v>184</v>
      </c>
      <c r="C90" s="17">
        <v>337</v>
      </c>
      <c r="D90" s="17">
        <v>527991.51</v>
      </c>
      <c r="E90" s="17"/>
      <c r="F90" s="17"/>
      <c r="G90" s="17"/>
      <c r="H90" s="17"/>
      <c r="I90" s="17">
        <v>188</v>
      </c>
      <c r="J90" s="17">
        <v>436799</v>
      </c>
      <c r="K90" s="17">
        <v>149</v>
      </c>
      <c r="L90" s="17">
        <v>91192.51</v>
      </c>
      <c r="M90" s="20">
        <v>527991.51</v>
      </c>
    </row>
    <row r="91" spans="1:13" ht="15.75" customHeight="1" x14ac:dyDescent="0.25">
      <c r="A91" s="9">
        <v>87</v>
      </c>
      <c r="B91" s="3" t="s">
        <v>243</v>
      </c>
      <c r="C91" s="17">
        <v>840</v>
      </c>
      <c r="D91" s="17">
        <v>477838.17</v>
      </c>
      <c r="E91" s="17"/>
      <c r="F91" s="17"/>
      <c r="G91" s="17">
        <v>593</v>
      </c>
      <c r="H91" s="17">
        <v>367374.45999999996</v>
      </c>
      <c r="I91" s="17"/>
      <c r="J91" s="17"/>
      <c r="K91" s="17">
        <v>247</v>
      </c>
      <c r="L91" s="17">
        <v>110463.71</v>
      </c>
      <c r="M91" s="20">
        <v>-256910.74999999994</v>
      </c>
    </row>
    <row r="92" spans="1:13" ht="15.75" customHeight="1" x14ac:dyDescent="0.25">
      <c r="A92" s="9">
        <v>88</v>
      </c>
      <c r="B92" s="3" t="s">
        <v>279</v>
      </c>
      <c r="C92" s="17">
        <v>665</v>
      </c>
      <c r="D92" s="17">
        <v>432734.72000000003</v>
      </c>
      <c r="E92" s="17">
        <v>87</v>
      </c>
      <c r="F92" s="17">
        <v>50895</v>
      </c>
      <c r="G92" s="17">
        <v>578</v>
      </c>
      <c r="H92" s="17">
        <v>381839.72000000003</v>
      </c>
      <c r="I92" s="17"/>
      <c r="J92" s="17"/>
      <c r="K92" s="17"/>
      <c r="L92" s="17"/>
      <c r="M92" s="20">
        <v>-432734.72000000003</v>
      </c>
    </row>
    <row r="93" spans="1:13" ht="15.75" customHeight="1" x14ac:dyDescent="0.25">
      <c r="A93" s="9">
        <v>89</v>
      </c>
      <c r="B93" s="3" t="s">
        <v>162</v>
      </c>
      <c r="C93" s="17">
        <v>132</v>
      </c>
      <c r="D93" s="17">
        <v>409840.62</v>
      </c>
      <c r="E93" s="17"/>
      <c r="F93" s="17"/>
      <c r="G93" s="17"/>
      <c r="H93" s="17"/>
      <c r="I93" s="17">
        <v>102</v>
      </c>
      <c r="J93" s="17">
        <v>391509</v>
      </c>
      <c r="K93" s="17">
        <v>30</v>
      </c>
      <c r="L93" s="17">
        <v>18331.62</v>
      </c>
      <c r="M93" s="20">
        <v>409840.62</v>
      </c>
    </row>
    <row r="94" spans="1:13" ht="15.75" customHeight="1" x14ac:dyDescent="0.25">
      <c r="A94" s="9">
        <v>90</v>
      </c>
      <c r="B94" s="3" t="s">
        <v>221</v>
      </c>
      <c r="C94" s="17">
        <v>769</v>
      </c>
      <c r="D94" s="17">
        <v>385652.08999999997</v>
      </c>
      <c r="E94" s="17"/>
      <c r="F94" s="17"/>
      <c r="G94" s="17">
        <v>344</v>
      </c>
      <c r="H94" s="17">
        <v>149465.09</v>
      </c>
      <c r="I94" s="17">
        <v>3</v>
      </c>
      <c r="J94" s="17">
        <v>597</v>
      </c>
      <c r="K94" s="17">
        <v>422</v>
      </c>
      <c r="L94" s="17">
        <v>235590</v>
      </c>
      <c r="M94" s="20">
        <v>86721.91</v>
      </c>
    </row>
    <row r="95" spans="1:13" ht="15.75" customHeight="1" x14ac:dyDescent="0.25">
      <c r="A95" s="9">
        <v>91</v>
      </c>
      <c r="B95" s="3" t="s">
        <v>230</v>
      </c>
      <c r="C95" s="17">
        <v>632</v>
      </c>
      <c r="D95" s="17">
        <v>372026.14</v>
      </c>
      <c r="E95" s="17"/>
      <c r="F95" s="17"/>
      <c r="G95" s="17">
        <v>384</v>
      </c>
      <c r="H95" s="17">
        <v>190743.14</v>
      </c>
      <c r="I95" s="17">
        <v>1</v>
      </c>
      <c r="J95" s="17">
        <v>42500</v>
      </c>
      <c r="K95" s="17">
        <v>247</v>
      </c>
      <c r="L95" s="17">
        <v>138783</v>
      </c>
      <c r="M95" s="20">
        <v>-9460.140000000014</v>
      </c>
    </row>
    <row r="96" spans="1:13" ht="15.75" customHeight="1" x14ac:dyDescent="0.25">
      <c r="A96" s="9">
        <v>92</v>
      </c>
      <c r="B96" s="3" t="s">
        <v>165</v>
      </c>
      <c r="C96" s="17">
        <v>262</v>
      </c>
      <c r="D96" s="17">
        <v>334639.33000000025</v>
      </c>
      <c r="E96" s="17"/>
      <c r="F96" s="17"/>
      <c r="G96" s="17"/>
      <c r="H96" s="17"/>
      <c r="I96" s="17">
        <v>82</v>
      </c>
      <c r="J96" s="17">
        <v>216775.52000000002</v>
      </c>
      <c r="K96" s="17">
        <v>180</v>
      </c>
      <c r="L96" s="17">
        <v>117863.80999999998</v>
      </c>
      <c r="M96" s="20">
        <v>334639.33</v>
      </c>
    </row>
    <row r="97" spans="1:13" ht="15.75" customHeight="1" x14ac:dyDescent="0.25">
      <c r="A97" s="9">
        <v>93</v>
      </c>
      <c r="B97" s="3" t="s">
        <v>217</v>
      </c>
      <c r="C97" s="17">
        <v>401</v>
      </c>
      <c r="D97" s="17">
        <v>331833.31999999995</v>
      </c>
      <c r="E97" s="17">
        <v>16</v>
      </c>
      <c r="F97" s="17">
        <v>54096</v>
      </c>
      <c r="G97" s="17">
        <v>281</v>
      </c>
      <c r="H97" s="17">
        <v>205283.32</v>
      </c>
      <c r="I97" s="17">
        <v>3</v>
      </c>
      <c r="J97" s="17">
        <v>6500</v>
      </c>
      <c r="K97" s="17">
        <v>101</v>
      </c>
      <c r="L97" s="17">
        <v>65954</v>
      </c>
      <c r="M97" s="20">
        <v>-186925.32</v>
      </c>
    </row>
    <row r="98" spans="1:13" ht="15.75" customHeight="1" x14ac:dyDescent="0.25">
      <c r="A98" s="9">
        <v>94</v>
      </c>
      <c r="B98" s="3" t="s">
        <v>253</v>
      </c>
      <c r="C98" s="17">
        <v>593</v>
      </c>
      <c r="D98" s="17">
        <v>317182.73</v>
      </c>
      <c r="E98" s="17">
        <v>9</v>
      </c>
      <c r="F98" s="17">
        <v>31000</v>
      </c>
      <c r="G98" s="17">
        <v>409</v>
      </c>
      <c r="H98" s="17">
        <v>204320.09</v>
      </c>
      <c r="I98" s="17"/>
      <c r="J98" s="17"/>
      <c r="K98" s="17">
        <v>175</v>
      </c>
      <c r="L98" s="17">
        <v>81862.64</v>
      </c>
      <c r="M98" s="20">
        <v>-153457.45000000001</v>
      </c>
    </row>
    <row r="99" spans="1:13" ht="15.75" customHeight="1" x14ac:dyDescent="0.25">
      <c r="A99" s="9">
        <v>95</v>
      </c>
      <c r="B99" s="3" t="s">
        <v>211</v>
      </c>
      <c r="C99" s="17">
        <v>250</v>
      </c>
      <c r="D99" s="17">
        <v>197030.46</v>
      </c>
      <c r="E99" s="17">
        <v>1</v>
      </c>
      <c r="F99" s="17">
        <v>100</v>
      </c>
      <c r="G99" s="17">
        <v>14</v>
      </c>
      <c r="H99" s="17">
        <v>6047.46</v>
      </c>
      <c r="I99" s="17">
        <v>7</v>
      </c>
      <c r="J99" s="17">
        <v>7760</v>
      </c>
      <c r="K99" s="17">
        <v>228</v>
      </c>
      <c r="L99" s="17">
        <v>183123</v>
      </c>
      <c r="M99" s="20">
        <v>184735.54</v>
      </c>
    </row>
    <row r="100" spans="1:13" ht="15.75" customHeight="1" x14ac:dyDescent="0.25">
      <c r="A100" s="9">
        <v>96</v>
      </c>
      <c r="B100" s="3" t="s">
        <v>239</v>
      </c>
      <c r="C100" s="17">
        <v>271</v>
      </c>
      <c r="D100" s="17">
        <v>191602.35</v>
      </c>
      <c r="E100" s="17"/>
      <c r="F100" s="17"/>
      <c r="G100" s="17">
        <v>161</v>
      </c>
      <c r="H100" s="17">
        <v>123439.35</v>
      </c>
      <c r="I100" s="17"/>
      <c r="J100" s="17"/>
      <c r="K100" s="17">
        <v>110</v>
      </c>
      <c r="L100" s="17">
        <v>68163</v>
      </c>
      <c r="M100" s="20">
        <v>-55276.350000000006</v>
      </c>
    </row>
    <row r="101" spans="1:13" ht="15.75" customHeight="1" x14ac:dyDescent="0.25">
      <c r="A101" s="9">
        <v>97</v>
      </c>
      <c r="B101" s="3" t="s">
        <v>201</v>
      </c>
      <c r="C101" s="17">
        <v>256</v>
      </c>
      <c r="D101" s="17">
        <v>187356.28999999998</v>
      </c>
      <c r="E101" s="17">
        <v>3</v>
      </c>
      <c r="F101" s="17">
        <v>600</v>
      </c>
      <c r="G101" s="17">
        <v>65</v>
      </c>
      <c r="H101" s="17">
        <v>33490.520000000004</v>
      </c>
      <c r="I101" s="17">
        <v>10</v>
      </c>
      <c r="J101" s="17">
        <v>1577.1</v>
      </c>
      <c r="K101" s="17">
        <v>178</v>
      </c>
      <c r="L101" s="17">
        <v>151688.66999999998</v>
      </c>
      <c r="M101" s="20">
        <v>119175.24999999999</v>
      </c>
    </row>
    <row r="102" spans="1:13" ht="15.75" customHeight="1" x14ac:dyDescent="0.25">
      <c r="A102" s="9">
        <v>98</v>
      </c>
      <c r="B102" s="3" t="s">
        <v>219</v>
      </c>
      <c r="C102" s="17">
        <v>199</v>
      </c>
      <c r="D102" s="17">
        <v>153403</v>
      </c>
      <c r="E102" s="17">
        <v>2</v>
      </c>
      <c r="F102" s="17">
        <v>550</v>
      </c>
      <c r="G102" s="17">
        <v>92</v>
      </c>
      <c r="H102" s="17">
        <v>60324</v>
      </c>
      <c r="I102" s="17">
        <v>2</v>
      </c>
      <c r="J102" s="17">
        <v>1000</v>
      </c>
      <c r="K102" s="17">
        <v>103</v>
      </c>
      <c r="L102" s="17">
        <v>91529</v>
      </c>
      <c r="M102" s="20">
        <v>31655</v>
      </c>
    </row>
    <row r="103" spans="1:13" ht="15.75" customHeight="1" x14ac:dyDescent="0.25">
      <c r="A103" s="9">
        <v>99</v>
      </c>
      <c r="B103" s="3" t="s">
        <v>228</v>
      </c>
      <c r="C103" s="17">
        <v>164</v>
      </c>
      <c r="D103" s="17">
        <v>109556.85</v>
      </c>
      <c r="E103" s="17">
        <v>16</v>
      </c>
      <c r="F103" s="17">
        <v>21550</v>
      </c>
      <c r="G103" s="17">
        <v>117</v>
      </c>
      <c r="H103" s="17">
        <v>65606.850000000006</v>
      </c>
      <c r="I103" s="17">
        <v>2</v>
      </c>
      <c r="J103" s="17">
        <v>2500</v>
      </c>
      <c r="K103" s="17">
        <v>29</v>
      </c>
      <c r="L103" s="17">
        <v>19900</v>
      </c>
      <c r="M103" s="20">
        <v>-64756.850000000006</v>
      </c>
    </row>
    <row r="104" spans="1:13" ht="15.75" customHeight="1" x14ac:dyDescent="0.25">
      <c r="A104" s="9">
        <v>100</v>
      </c>
      <c r="B104" s="3" t="s">
        <v>197</v>
      </c>
      <c r="C104" s="17">
        <v>101</v>
      </c>
      <c r="D104" s="17">
        <v>100222.07999999999</v>
      </c>
      <c r="E104" s="17"/>
      <c r="F104" s="17"/>
      <c r="G104" s="17"/>
      <c r="H104" s="17"/>
      <c r="I104" s="17">
        <v>13</v>
      </c>
      <c r="J104" s="17">
        <v>38063.259999999995</v>
      </c>
      <c r="K104" s="17">
        <v>88</v>
      </c>
      <c r="L104" s="17">
        <v>62158.82</v>
      </c>
      <c r="M104" s="20">
        <v>100222.07999999999</v>
      </c>
    </row>
    <row r="105" spans="1:13" ht="15.75" customHeight="1" x14ac:dyDescent="0.25">
      <c r="A105" s="9">
        <v>101</v>
      </c>
      <c r="B105" s="3" t="s">
        <v>273</v>
      </c>
      <c r="C105" s="17">
        <v>183</v>
      </c>
      <c r="D105" s="17">
        <v>94929</v>
      </c>
      <c r="E105" s="17">
        <v>11</v>
      </c>
      <c r="F105" s="17">
        <v>10125</v>
      </c>
      <c r="G105" s="17">
        <v>172</v>
      </c>
      <c r="H105" s="17">
        <v>84804</v>
      </c>
      <c r="I105" s="17"/>
      <c r="J105" s="17"/>
      <c r="K105" s="17"/>
      <c r="L105" s="17"/>
      <c r="M105" s="20">
        <v>-94929</v>
      </c>
    </row>
    <row r="106" spans="1:13" ht="15.75" customHeight="1" x14ac:dyDescent="0.25">
      <c r="A106" s="9">
        <v>102</v>
      </c>
      <c r="B106" s="3" t="s">
        <v>203</v>
      </c>
      <c r="C106" s="17">
        <v>149</v>
      </c>
      <c r="D106" s="17">
        <v>89459.099999999991</v>
      </c>
      <c r="E106" s="17"/>
      <c r="F106" s="17"/>
      <c r="G106" s="17"/>
      <c r="H106" s="17"/>
      <c r="I106" s="17">
        <v>29</v>
      </c>
      <c r="J106" s="17">
        <v>18592.05</v>
      </c>
      <c r="K106" s="17">
        <v>120</v>
      </c>
      <c r="L106" s="17">
        <v>70867.05</v>
      </c>
      <c r="M106" s="20">
        <v>89459.1</v>
      </c>
    </row>
    <row r="107" spans="1:13" ht="15.75" customHeight="1" x14ac:dyDescent="0.25">
      <c r="A107" s="9">
        <v>103</v>
      </c>
      <c r="B107" s="3" t="s">
        <v>257</v>
      </c>
      <c r="C107" s="17">
        <v>141</v>
      </c>
      <c r="D107" s="17">
        <v>70917.62</v>
      </c>
      <c r="E107" s="17"/>
      <c r="F107" s="17"/>
      <c r="G107" s="17">
        <v>112</v>
      </c>
      <c r="H107" s="17">
        <v>57567.62</v>
      </c>
      <c r="I107" s="17"/>
      <c r="J107" s="17"/>
      <c r="K107" s="17">
        <v>29</v>
      </c>
      <c r="L107" s="17">
        <v>13350</v>
      </c>
      <c r="M107" s="20">
        <v>-44217.62</v>
      </c>
    </row>
    <row r="108" spans="1:13" ht="15.75" customHeight="1" x14ac:dyDescent="0.25">
      <c r="A108" s="9">
        <v>104</v>
      </c>
      <c r="B108" s="3" t="s">
        <v>261</v>
      </c>
      <c r="C108" s="17">
        <v>104</v>
      </c>
      <c r="D108" s="17">
        <v>64340</v>
      </c>
      <c r="E108" s="17"/>
      <c r="F108" s="17"/>
      <c r="G108" s="17">
        <v>54</v>
      </c>
      <c r="H108" s="17">
        <v>38631</v>
      </c>
      <c r="I108" s="17"/>
      <c r="J108" s="17"/>
      <c r="K108" s="17">
        <v>50</v>
      </c>
      <c r="L108" s="17">
        <v>25709</v>
      </c>
      <c r="M108" s="20">
        <v>-12922</v>
      </c>
    </row>
    <row r="109" spans="1:13" ht="15.75" customHeight="1" x14ac:dyDescent="0.25">
      <c r="A109" s="9">
        <v>105</v>
      </c>
      <c r="B109" s="3" t="s">
        <v>199</v>
      </c>
      <c r="C109" s="17">
        <v>58</v>
      </c>
      <c r="D109" s="17">
        <v>58575.38</v>
      </c>
      <c r="E109" s="17"/>
      <c r="F109" s="17"/>
      <c r="G109" s="17"/>
      <c r="H109" s="17"/>
      <c r="I109" s="17">
        <v>18</v>
      </c>
      <c r="J109" s="17">
        <v>21662</v>
      </c>
      <c r="K109" s="17">
        <v>40</v>
      </c>
      <c r="L109" s="17">
        <v>36913.380000000005</v>
      </c>
      <c r="M109" s="20">
        <v>58575.380000000005</v>
      </c>
    </row>
    <row r="110" spans="1:13" ht="15.75" customHeight="1" x14ac:dyDescent="0.25">
      <c r="A110" s="9">
        <v>106</v>
      </c>
      <c r="B110" s="3" t="s">
        <v>235</v>
      </c>
      <c r="C110" s="17">
        <v>131</v>
      </c>
      <c r="D110" s="17">
        <v>52559.09</v>
      </c>
      <c r="E110" s="17"/>
      <c r="F110" s="17"/>
      <c r="G110" s="17">
        <v>87</v>
      </c>
      <c r="H110" s="17">
        <v>29952.09</v>
      </c>
      <c r="I110" s="17"/>
      <c r="J110" s="17"/>
      <c r="K110" s="17">
        <v>44</v>
      </c>
      <c r="L110" s="17">
        <v>22607</v>
      </c>
      <c r="M110" s="20">
        <v>-7345.09</v>
      </c>
    </row>
    <row r="111" spans="1:13" ht="15.75" customHeight="1" x14ac:dyDescent="0.25">
      <c r="A111" s="9">
        <v>107</v>
      </c>
      <c r="B111" s="3" t="s">
        <v>12</v>
      </c>
      <c r="C111" s="17">
        <v>39</v>
      </c>
      <c r="D111" s="17">
        <v>43428</v>
      </c>
      <c r="E111" s="17"/>
      <c r="F111" s="17"/>
      <c r="G111" s="17"/>
      <c r="H111" s="17"/>
      <c r="I111" s="17">
        <v>4</v>
      </c>
      <c r="J111" s="17">
        <v>9216</v>
      </c>
      <c r="K111" s="17">
        <v>35</v>
      </c>
      <c r="L111" s="17">
        <v>34212</v>
      </c>
      <c r="M111" s="20">
        <v>43428</v>
      </c>
    </row>
    <row r="112" spans="1:13" ht="15.75" customHeight="1" x14ac:dyDescent="0.25">
      <c r="A112" s="9">
        <v>108</v>
      </c>
      <c r="B112" s="3" t="s">
        <v>215</v>
      </c>
      <c r="C112" s="17">
        <v>51</v>
      </c>
      <c r="D112" s="17">
        <v>39346.600000000006</v>
      </c>
      <c r="E112" s="17"/>
      <c r="F112" s="17"/>
      <c r="G112" s="17"/>
      <c r="H112" s="17"/>
      <c r="I112" s="17">
        <v>6</v>
      </c>
      <c r="J112" s="17">
        <v>9784</v>
      </c>
      <c r="K112" s="17">
        <v>45</v>
      </c>
      <c r="L112" s="17">
        <v>29562.6</v>
      </c>
      <c r="M112" s="20">
        <v>39346.6</v>
      </c>
    </row>
    <row r="113" spans="1:13" ht="15.75" customHeight="1" x14ac:dyDescent="0.25">
      <c r="A113" s="9">
        <v>109</v>
      </c>
      <c r="B113" s="3" t="s">
        <v>226</v>
      </c>
      <c r="C113" s="17">
        <v>35</v>
      </c>
      <c r="D113" s="17">
        <v>22716</v>
      </c>
      <c r="E113" s="17"/>
      <c r="F113" s="17"/>
      <c r="G113" s="17"/>
      <c r="H113" s="17"/>
      <c r="I113" s="17">
        <v>2</v>
      </c>
      <c r="J113" s="17">
        <v>104</v>
      </c>
      <c r="K113" s="17">
        <v>33</v>
      </c>
      <c r="L113" s="17">
        <v>22612</v>
      </c>
      <c r="M113" s="20">
        <v>22716</v>
      </c>
    </row>
    <row r="114" spans="1:13" ht="15.75" customHeight="1" x14ac:dyDescent="0.25">
      <c r="A114" s="9">
        <v>110</v>
      </c>
      <c r="B114" s="3" t="s">
        <v>284</v>
      </c>
      <c r="C114" s="17">
        <v>23</v>
      </c>
      <c r="D114" s="17">
        <v>15163</v>
      </c>
      <c r="E114" s="17">
        <v>1</v>
      </c>
      <c r="F114" s="17">
        <v>100</v>
      </c>
      <c r="G114" s="17">
        <v>22</v>
      </c>
      <c r="H114" s="17">
        <v>15063</v>
      </c>
      <c r="I114" s="17"/>
      <c r="J114" s="17"/>
      <c r="K114" s="17"/>
      <c r="L114" s="17"/>
      <c r="M114" s="20">
        <v>-15163</v>
      </c>
    </row>
    <row r="115" spans="1:13" ht="15.75" customHeight="1" x14ac:dyDescent="0.25">
      <c r="A115" s="9">
        <v>111</v>
      </c>
      <c r="B115" s="3" t="s">
        <v>259</v>
      </c>
      <c r="C115" s="17">
        <v>38</v>
      </c>
      <c r="D115" s="17">
        <v>14334.83</v>
      </c>
      <c r="E115" s="17"/>
      <c r="F115" s="17"/>
      <c r="G115" s="17">
        <v>11</v>
      </c>
      <c r="H115" s="17">
        <v>3555.83</v>
      </c>
      <c r="I115" s="17"/>
      <c r="J115" s="17"/>
      <c r="K115" s="17">
        <v>27</v>
      </c>
      <c r="L115" s="17">
        <v>10779</v>
      </c>
      <c r="M115" s="20">
        <v>7223.17</v>
      </c>
    </row>
    <row r="116" spans="1:13" ht="15.75" customHeight="1" x14ac:dyDescent="0.25">
      <c r="A116" s="9">
        <v>112</v>
      </c>
      <c r="B116" s="3" t="s">
        <v>264</v>
      </c>
      <c r="C116" s="17">
        <v>18</v>
      </c>
      <c r="D116" s="17">
        <v>14100</v>
      </c>
      <c r="E116" s="17"/>
      <c r="F116" s="17"/>
      <c r="G116" s="17"/>
      <c r="H116" s="17"/>
      <c r="I116" s="17"/>
      <c r="J116" s="17"/>
      <c r="K116" s="17">
        <v>18</v>
      </c>
      <c r="L116" s="17">
        <v>14100</v>
      </c>
      <c r="M116" s="20">
        <v>14100</v>
      </c>
    </row>
    <row r="117" spans="1:13" ht="15.75" customHeight="1" x14ac:dyDescent="0.25">
      <c r="A117" s="9">
        <v>113</v>
      </c>
      <c r="B117" s="3" t="s">
        <v>285</v>
      </c>
      <c r="C117" s="17">
        <v>11</v>
      </c>
      <c r="D117" s="17">
        <v>6420</v>
      </c>
      <c r="E117" s="17"/>
      <c r="F117" s="17"/>
      <c r="G117" s="17">
        <v>11</v>
      </c>
      <c r="H117" s="17">
        <v>6420</v>
      </c>
      <c r="I117" s="17"/>
      <c r="J117" s="17"/>
      <c r="K117" s="17"/>
      <c r="L117" s="17"/>
      <c r="M117" s="20">
        <v>-6420</v>
      </c>
    </row>
    <row r="118" spans="1:13" ht="15.75" customHeight="1" x14ac:dyDescent="0.25">
      <c r="A118" s="9">
        <v>114</v>
      </c>
      <c r="B118" s="3" t="s">
        <v>266</v>
      </c>
      <c r="C118" s="17">
        <v>6</v>
      </c>
      <c r="D118" s="17">
        <v>4574.82</v>
      </c>
      <c r="E118" s="17">
        <v>1</v>
      </c>
      <c r="F118" s="17">
        <v>452</v>
      </c>
      <c r="G118" s="17"/>
      <c r="H118" s="17"/>
      <c r="I118" s="17"/>
      <c r="J118" s="17"/>
      <c r="K118" s="17">
        <v>5</v>
      </c>
      <c r="L118" s="17">
        <v>4122.82</v>
      </c>
      <c r="M118" s="20">
        <v>3670.8199999999997</v>
      </c>
    </row>
    <row r="119" spans="1:13" ht="15.75" customHeight="1" x14ac:dyDescent="0.25">
      <c r="A119" s="9">
        <v>115</v>
      </c>
      <c r="B119" s="3" t="s">
        <v>271</v>
      </c>
      <c r="C119" s="17">
        <v>1</v>
      </c>
      <c r="D119" s="17">
        <v>4500</v>
      </c>
      <c r="E119" s="17"/>
      <c r="F119" s="17"/>
      <c r="G119" s="17"/>
      <c r="H119" s="17"/>
      <c r="I119" s="17"/>
      <c r="J119" s="17"/>
      <c r="K119" s="17">
        <v>1</v>
      </c>
      <c r="L119" s="17">
        <v>4500</v>
      </c>
      <c r="M119" s="20">
        <v>4500</v>
      </c>
    </row>
    <row r="120" spans="1:13" ht="15.75" customHeight="1" x14ac:dyDescent="0.25">
      <c r="A120" s="9">
        <v>116</v>
      </c>
      <c r="B120" s="3" t="s">
        <v>255</v>
      </c>
      <c r="C120" s="17">
        <v>5</v>
      </c>
      <c r="D120" s="17">
        <v>2709</v>
      </c>
      <c r="E120" s="17"/>
      <c r="F120" s="17"/>
      <c r="G120" s="17"/>
      <c r="H120" s="17"/>
      <c r="I120" s="17"/>
      <c r="J120" s="17"/>
      <c r="K120" s="17">
        <v>5</v>
      </c>
      <c r="L120" s="17">
        <v>2709</v>
      </c>
      <c r="M120" s="20">
        <v>2709</v>
      </c>
    </row>
    <row r="121" spans="1:13" ht="15.75" customHeight="1" x14ac:dyDescent="0.25">
      <c r="A121" s="9">
        <v>117</v>
      </c>
      <c r="B121" s="3" t="s">
        <v>232</v>
      </c>
      <c r="C121" s="17">
        <v>4</v>
      </c>
      <c r="D121" s="17">
        <v>2100</v>
      </c>
      <c r="E121" s="17"/>
      <c r="F121" s="17"/>
      <c r="G121" s="17"/>
      <c r="H121" s="17"/>
      <c r="I121" s="17">
        <v>1</v>
      </c>
      <c r="J121" s="17">
        <v>1000</v>
      </c>
      <c r="K121" s="17">
        <v>3</v>
      </c>
      <c r="L121" s="17">
        <v>1100</v>
      </c>
      <c r="M121" s="20">
        <v>2100</v>
      </c>
    </row>
    <row r="122" spans="1:13" ht="15.75" customHeight="1" x14ac:dyDescent="0.25">
      <c r="A122" s="9">
        <v>118</v>
      </c>
      <c r="B122" s="3" t="s">
        <v>269</v>
      </c>
      <c r="C122" s="17">
        <v>1</v>
      </c>
      <c r="D122" s="17">
        <v>300</v>
      </c>
      <c r="E122" s="17"/>
      <c r="F122" s="17"/>
      <c r="G122" s="17"/>
      <c r="H122" s="17"/>
      <c r="I122" s="17"/>
      <c r="J122" s="17"/>
      <c r="K122" s="17">
        <v>1</v>
      </c>
      <c r="L122" s="17">
        <v>300</v>
      </c>
      <c r="M122" s="20">
        <v>300</v>
      </c>
    </row>
    <row r="123" spans="1:13" x14ac:dyDescent="0.25">
      <c r="B123" t="s">
        <v>286</v>
      </c>
    </row>
  </sheetData>
  <autoFilter ref="A4:W124" xr:uid="{F674BA8A-C69B-4BCF-BF5B-33021DF46E3B}">
    <filterColumn colId="0" showButton="0"/>
    <sortState xmlns:xlrd2="http://schemas.microsoft.com/office/spreadsheetml/2017/richdata2" ref="A5:W124">
      <sortCondition descending="1" ref="D4:D124"/>
    </sortState>
  </autoFilter>
  <mergeCells count="12">
    <mergeCell ref="A1:A3"/>
    <mergeCell ref="B1:B3"/>
    <mergeCell ref="A4:B4"/>
    <mergeCell ref="M1:M3"/>
    <mergeCell ref="C1:C3"/>
    <mergeCell ref="D1:D3"/>
    <mergeCell ref="E1:H1"/>
    <mergeCell ref="I1:L1"/>
    <mergeCell ref="E2:F2"/>
    <mergeCell ref="G2:H2"/>
    <mergeCell ref="I2:J2"/>
    <mergeCell ref="K2:L2"/>
  </mergeCells>
  <pageMargins left="0.7" right="0.7" top="0.75" bottom="0.75" header="0.3" footer="0.3"/>
  <pageSetup scale="33" orientation="portrait" r:id="rId1"/>
  <colBreaks count="1" manualBreakCount="1">
    <brk id="1" max="122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5EC6F-1582-4E8E-A923-F73F464916EF}">
  <dimension ref="A1:M10"/>
  <sheetViews>
    <sheetView topLeftCell="B1" zoomScaleNormal="100" workbookViewId="0">
      <selection sqref="A1:XFD3"/>
    </sheetView>
  </sheetViews>
  <sheetFormatPr defaultRowHeight="12.5" x14ac:dyDescent="0.25"/>
  <cols>
    <col min="2" max="2" width="35" bestFit="1" customWidth="1"/>
    <col min="3" max="12" width="14.1796875" customWidth="1"/>
    <col min="13" max="13" width="14.453125" customWidth="1"/>
  </cols>
  <sheetData>
    <row r="1" spans="1:13" ht="19.5" customHeight="1" x14ac:dyDescent="0.25">
      <c r="A1" s="45" t="s">
        <v>294</v>
      </c>
      <c r="B1" s="45" t="s">
        <v>455</v>
      </c>
      <c r="C1" s="52" t="s">
        <v>290</v>
      </c>
      <c r="D1" s="52" t="s">
        <v>291</v>
      </c>
      <c r="E1" s="45" t="s">
        <v>289</v>
      </c>
      <c r="F1" s="45"/>
      <c r="G1" s="45"/>
      <c r="H1" s="45"/>
      <c r="I1" s="45" t="s">
        <v>297</v>
      </c>
      <c r="J1" s="45"/>
      <c r="K1" s="45"/>
      <c r="L1" s="45"/>
      <c r="M1" s="53" t="s">
        <v>454</v>
      </c>
    </row>
    <row r="2" spans="1:13" ht="19.5" customHeight="1" x14ac:dyDescent="0.25">
      <c r="A2" s="45"/>
      <c r="B2" s="45"/>
      <c r="C2" s="52"/>
      <c r="D2" s="52"/>
      <c r="E2" s="45" t="s">
        <v>234</v>
      </c>
      <c r="F2" s="45"/>
      <c r="G2" s="45" t="s">
        <v>1</v>
      </c>
      <c r="H2" s="45"/>
      <c r="I2" s="45" t="s">
        <v>234</v>
      </c>
      <c r="J2" s="45"/>
      <c r="K2" s="45" t="s">
        <v>1</v>
      </c>
      <c r="L2" s="45"/>
      <c r="M2" s="53"/>
    </row>
    <row r="3" spans="1:13" ht="19.5" customHeight="1" x14ac:dyDescent="0.25">
      <c r="A3" s="45"/>
      <c r="B3" s="45"/>
      <c r="C3" s="52"/>
      <c r="D3" s="52"/>
      <c r="E3" s="11" t="s">
        <v>292</v>
      </c>
      <c r="F3" s="11" t="s">
        <v>288</v>
      </c>
      <c r="G3" s="11" t="s">
        <v>292</v>
      </c>
      <c r="H3" s="11" t="s">
        <v>288</v>
      </c>
      <c r="I3" s="11" t="s">
        <v>292</v>
      </c>
      <c r="J3" s="11" t="s">
        <v>288</v>
      </c>
      <c r="K3" s="11" t="s">
        <v>292</v>
      </c>
      <c r="L3" s="11" t="s">
        <v>288</v>
      </c>
      <c r="M3" s="53"/>
    </row>
    <row r="4" spans="1:13" s="5" customFormat="1" ht="20.25" customHeight="1" x14ac:dyDescent="0.25">
      <c r="A4" s="54" t="s">
        <v>287</v>
      </c>
      <c r="B4" s="55"/>
      <c r="C4" s="15">
        <v>344269</v>
      </c>
      <c r="D4" s="15">
        <v>210228544.23001423</v>
      </c>
      <c r="E4" s="15">
        <v>54084</v>
      </c>
      <c r="F4" s="15">
        <v>58430689.1900004</v>
      </c>
      <c r="G4" s="15">
        <v>301512</v>
      </c>
      <c r="H4" s="15">
        <v>223127150.24000046</v>
      </c>
      <c r="I4" s="15">
        <v>49018</v>
      </c>
      <c r="J4" s="15">
        <v>55720629.540000103</v>
      </c>
      <c r="K4" s="15">
        <v>748883</v>
      </c>
      <c r="L4" s="15">
        <v>547507013.20000243</v>
      </c>
      <c r="M4" s="21">
        <v>10188546.360000225</v>
      </c>
    </row>
    <row r="5" spans="1:13" ht="20.25" customHeight="1" x14ac:dyDescent="0.25">
      <c r="A5" s="9">
        <v>1</v>
      </c>
      <c r="B5" s="19" t="s">
        <v>6</v>
      </c>
      <c r="C5" s="8">
        <v>589248</v>
      </c>
      <c r="D5" s="8">
        <v>439205114.84999734</v>
      </c>
      <c r="E5" s="22">
        <v>270512</v>
      </c>
      <c r="F5" s="22">
        <v>168432801.02999979</v>
      </c>
      <c r="G5" s="22">
        <v>40740</v>
      </c>
      <c r="H5" s="22">
        <v>45058229.400000006</v>
      </c>
      <c r="I5" s="22">
        <v>240129</v>
      </c>
      <c r="J5" s="8">
        <v>182150656.36000031</v>
      </c>
      <c r="K5" s="8">
        <v>37867</v>
      </c>
      <c r="L5" s="8">
        <v>43563428.059999928</v>
      </c>
      <c r="M5" s="20">
        <v>12223053.990000457</v>
      </c>
    </row>
    <row r="6" spans="1:13" ht="20.25" customHeight="1" x14ac:dyDescent="0.25">
      <c r="A6" s="9">
        <v>4</v>
      </c>
      <c r="B6" s="19" t="s">
        <v>25</v>
      </c>
      <c r="C6" s="8">
        <v>156591</v>
      </c>
      <c r="D6" s="8">
        <v>105134853.41000518</v>
      </c>
      <c r="E6" s="22">
        <v>72827</v>
      </c>
      <c r="F6" s="22">
        <v>41083032.950001277</v>
      </c>
      <c r="G6" s="22">
        <v>12791</v>
      </c>
      <c r="H6" s="22">
        <v>12297885.490000028</v>
      </c>
      <c r="I6" s="22">
        <v>60368</v>
      </c>
      <c r="J6" s="8">
        <v>40272355.820001021</v>
      </c>
      <c r="K6" s="8">
        <v>10605</v>
      </c>
      <c r="L6" s="8">
        <v>11481579.150000058</v>
      </c>
      <c r="M6" s="20">
        <v>-1626983.4700002298</v>
      </c>
    </row>
    <row r="7" spans="1:13" ht="20.25" customHeight="1" x14ac:dyDescent="0.25">
      <c r="A7" s="9">
        <v>2</v>
      </c>
      <c r="B7" s="19" t="s">
        <v>91</v>
      </c>
      <c r="C7" s="8">
        <v>2499</v>
      </c>
      <c r="D7" s="8">
        <v>2866730.0400000028</v>
      </c>
      <c r="E7" s="22">
        <v>908</v>
      </c>
      <c r="F7" s="22">
        <v>688884.16000000073</v>
      </c>
      <c r="G7" s="22">
        <v>283</v>
      </c>
      <c r="H7" s="22">
        <v>937621.39999999909</v>
      </c>
      <c r="I7" s="22">
        <v>989</v>
      </c>
      <c r="J7" s="8">
        <v>672962.40999999992</v>
      </c>
      <c r="K7" s="8">
        <v>319</v>
      </c>
      <c r="L7" s="8">
        <v>567262.06999999995</v>
      </c>
      <c r="M7" s="20">
        <v>-386281.07999999984</v>
      </c>
    </row>
    <row r="8" spans="1:13" ht="20.25" customHeight="1" x14ac:dyDescent="0.25">
      <c r="A8" s="9">
        <v>3</v>
      </c>
      <c r="B8" s="19" t="s">
        <v>67</v>
      </c>
      <c r="C8" s="8">
        <v>539</v>
      </c>
      <c r="D8" s="8">
        <v>289700.28999999957</v>
      </c>
      <c r="E8" s="22">
        <v>22</v>
      </c>
      <c r="F8" s="22">
        <v>23826.090000000004</v>
      </c>
      <c r="G8" s="22">
        <v>268</v>
      </c>
      <c r="H8" s="22">
        <v>134545.16000000003</v>
      </c>
      <c r="I8" s="22">
        <v>25</v>
      </c>
      <c r="J8" s="8">
        <v>30925.93</v>
      </c>
      <c r="K8" s="8">
        <v>224</v>
      </c>
      <c r="L8" s="8">
        <v>100403.10999999997</v>
      </c>
      <c r="M8" s="20">
        <v>-27042.21000000005</v>
      </c>
    </row>
    <row r="9" spans="1:13" ht="20.25" customHeight="1" x14ac:dyDescent="0.25">
      <c r="A9" s="9">
        <v>5</v>
      </c>
      <c r="B9" s="19" t="s">
        <v>192</v>
      </c>
      <c r="C9" s="8">
        <v>4</v>
      </c>
      <c r="D9" s="8">
        <v>10137.93</v>
      </c>
      <c r="E9" s="22"/>
      <c r="F9" s="22"/>
      <c r="G9" s="22">
        <v>1</v>
      </c>
      <c r="H9" s="22">
        <v>2180.7800000000002</v>
      </c>
      <c r="I9" s="22"/>
      <c r="J9" s="8"/>
      <c r="K9" s="8">
        <v>3</v>
      </c>
      <c r="L9" s="8">
        <v>7957.1500000000005</v>
      </c>
      <c r="M9" s="20">
        <v>5776.3700000000008</v>
      </c>
    </row>
    <row r="10" spans="1:13" ht="20.25" customHeight="1" x14ac:dyDescent="0.25">
      <c r="A10" s="9">
        <v>6</v>
      </c>
      <c r="B10" s="19" t="s">
        <v>263</v>
      </c>
      <c r="C10" s="8">
        <v>2</v>
      </c>
      <c r="D10" s="8">
        <v>476.68</v>
      </c>
      <c r="E10" s="22"/>
      <c r="F10" s="22"/>
      <c r="G10" s="22">
        <v>1</v>
      </c>
      <c r="H10" s="22">
        <v>226.96</v>
      </c>
      <c r="I10" s="22">
        <v>1</v>
      </c>
      <c r="J10" s="8">
        <v>249.72</v>
      </c>
      <c r="K10" s="8"/>
      <c r="L10" s="8"/>
      <c r="M10" s="20">
        <v>22.759999999999991</v>
      </c>
    </row>
  </sheetData>
  <mergeCells count="12">
    <mergeCell ref="A4:B4"/>
    <mergeCell ref="A1:A3"/>
    <mergeCell ref="K2:L2"/>
    <mergeCell ref="B1:B3"/>
    <mergeCell ref="E1:H1"/>
    <mergeCell ref="I1:L1"/>
    <mergeCell ref="M1:M3"/>
    <mergeCell ref="E2:F2"/>
    <mergeCell ref="C1:C3"/>
    <mergeCell ref="D1:D3"/>
    <mergeCell ref="G2:H2"/>
    <mergeCell ref="I2:J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66548-E99F-4093-9794-8D71E0A732A7}">
  <dimension ref="A1:M166"/>
  <sheetViews>
    <sheetView topLeftCell="B1" zoomScaleNormal="100" workbookViewId="0">
      <selection activeCell="B11" sqref="B11"/>
    </sheetView>
  </sheetViews>
  <sheetFormatPr defaultRowHeight="12.5" x14ac:dyDescent="0.25"/>
  <cols>
    <col min="2" max="2" width="36.81640625" customWidth="1"/>
    <col min="3" max="3" width="10.453125" customWidth="1"/>
    <col min="4" max="4" width="14.54296875" customWidth="1"/>
    <col min="5" max="5" width="10.453125" customWidth="1"/>
    <col min="6" max="6" width="13.7265625" customWidth="1"/>
    <col min="7" max="7" width="10.453125" customWidth="1"/>
    <col min="8" max="8" width="11.7265625" customWidth="1"/>
    <col min="9" max="9" width="10.453125" customWidth="1"/>
    <col min="10" max="10" width="13.81640625" customWidth="1"/>
    <col min="11" max="11" width="10.453125" customWidth="1"/>
    <col min="12" max="12" width="11.7265625" customWidth="1"/>
    <col min="13" max="13" width="20.54296875" style="2" bestFit="1" customWidth="1"/>
  </cols>
  <sheetData>
    <row r="1" spans="1:13" s="14" customFormat="1" ht="19.5" customHeight="1" x14ac:dyDescent="0.3">
      <c r="A1" s="45" t="s">
        <v>294</v>
      </c>
      <c r="B1" s="45" t="s">
        <v>465</v>
      </c>
      <c r="C1" s="52" t="s">
        <v>290</v>
      </c>
      <c r="D1" s="52" t="s">
        <v>291</v>
      </c>
      <c r="E1" s="45" t="s">
        <v>289</v>
      </c>
      <c r="F1" s="45"/>
      <c r="G1" s="45"/>
      <c r="H1" s="45"/>
      <c r="I1" s="45" t="s">
        <v>297</v>
      </c>
      <c r="J1" s="45"/>
      <c r="K1" s="45"/>
      <c r="L1" s="45"/>
      <c r="M1" s="45" t="s">
        <v>454</v>
      </c>
    </row>
    <row r="2" spans="1:13" s="14" customFormat="1" ht="19.5" customHeight="1" x14ac:dyDescent="0.3">
      <c r="A2" s="45"/>
      <c r="B2" s="45"/>
      <c r="C2" s="52"/>
      <c r="D2" s="52"/>
      <c r="E2" s="45" t="s">
        <v>234</v>
      </c>
      <c r="F2" s="45"/>
      <c r="G2" s="45" t="s">
        <v>1</v>
      </c>
      <c r="H2" s="45"/>
      <c r="I2" s="45" t="s">
        <v>234</v>
      </c>
      <c r="J2" s="45"/>
      <c r="K2" s="45" t="s">
        <v>1</v>
      </c>
      <c r="L2" s="45"/>
      <c r="M2" s="45"/>
    </row>
    <row r="3" spans="1:13" s="14" customFormat="1" ht="19.5" customHeight="1" x14ac:dyDescent="0.3">
      <c r="A3" s="45"/>
      <c r="B3" s="45"/>
      <c r="C3" s="52"/>
      <c r="D3" s="52"/>
      <c r="E3" s="11" t="s">
        <v>292</v>
      </c>
      <c r="F3" s="11" t="s">
        <v>288</v>
      </c>
      <c r="G3" s="11" t="s">
        <v>292</v>
      </c>
      <c r="H3" s="11" t="s">
        <v>288</v>
      </c>
      <c r="I3" s="11" t="s">
        <v>292</v>
      </c>
      <c r="J3" s="11" t="s">
        <v>288</v>
      </c>
      <c r="K3" s="11" t="s">
        <v>292</v>
      </c>
      <c r="L3" s="11" t="s">
        <v>288</v>
      </c>
      <c r="M3" s="45"/>
    </row>
    <row r="4" spans="1:13" s="14" customFormat="1" ht="27.75" customHeight="1" x14ac:dyDescent="0.3">
      <c r="A4" s="45" t="s">
        <v>295</v>
      </c>
      <c r="B4" s="45"/>
      <c r="C4" s="15">
        <v>748883</v>
      </c>
      <c r="D4" s="15">
        <v>547507013.20000196</v>
      </c>
      <c r="E4" s="15">
        <v>344269</v>
      </c>
      <c r="F4" s="15">
        <v>210228544.23000547</v>
      </c>
      <c r="G4" s="15">
        <v>54084</v>
      </c>
      <c r="H4" s="15">
        <v>58430689.190000206</v>
      </c>
      <c r="I4" s="15">
        <v>301512</v>
      </c>
      <c r="J4" s="15">
        <v>223127150.23999971</v>
      </c>
      <c r="K4" s="15">
        <v>49018</v>
      </c>
      <c r="L4" s="15">
        <v>55720629.5400002</v>
      </c>
      <c r="M4" s="23">
        <v>10188546.359994233</v>
      </c>
    </row>
    <row r="5" spans="1:13" ht="15" customHeight="1" x14ac:dyDescent="0.25">
      <c r="A5" s="9">
        <v>1</v>
      </c>
      <c r="B5" s="3" t="s">
        <v>463</v>
      </c>
      <c r="C5" s="8">
        <v>343993</v>
      </c>
      <c r="D5" s="8">
        <v>264296492.48000059</v>
      </c>
      <c r="E5" s="8">
        <v>165975</v>
      </c>
      <c r="F5" s="8">
        <v>111030533.61999969</v>
      </c>
      <c r="G5" s="8">
        <v>18902</v>
      </c>
      <c r="H5" s="8">
        <v>14200138.720000017</v>
      </c>
      <c r="I5" s="8">
        <v>142309</v>
      </c>
      <c r="J5" s="8">
        <v>124975157.43000233</v>
      </c>
      <c r="K5" s="8">
        <v>16807</v>
      </c>
      <c r="L5" s="8">
        <v>14090662.710000005</v>
      </c>
      <c r="M5" s="23">
        <v>13835147.800002635</v>
      </c>
    </row>
    <row r="6" spans="1:13" ht="15" customHeight="1" x14ac:dyDescent="0.25">
      <c r="A6" s="9">
        <v>2</v>
      </c>
      <c r="B6" s="3" t="s">
        <v>300</v>
      </c>
      <c r="C6" s="8">
        <v>199479</v>
      </c>
      <c r="D6" s="8">
        <v>103447346.95000081</v>
      </c>
      <c r="E6" s="8">
        <v>87593</v>
      </c>
      <c r="F6" s="8">
        <v>33552736.130000677</v>
      </c>
      <c r="G6" s="8">
        <v>12390</v>
      </c>
      <c r="H6" s="8">
        <v>13780049.980000012</v>
      </c>
      <c r="I6" s="8">
        <v>87426</v>
      </c>
      <c r="J6" s="8">
        <v>39596749.210000381</v>
      </c>
      <c r="K6" s="8">
        <v>12070</v>
      </c>
      <c r="L6" s="8">
        <v>16517811.630000023</v>
      </c>
      <c r="M6" s="23">
        <v>8781774.7299997211</v>
      </c>
    </row>
    <row r="7" spans="1:13" ht="15" customHeight="1" x14ac:dyDescent="0.25">
      <c r="A7" s="9">
        <v>3</v>
      </c>
      <c r="B7" s="3" t="s">
        <v>462</v>
      </c>
      <c r="C7" s="8">
        <v>38377</v>
      </c>
      <c r="D7" s="8">
        <v>40543208.370000325</v>
      </c>
      <c r="E7" s="8">
        <v>19049</v>
      </c>
      <c r="F7" s="8">
        <v>15963070.649999997</v>
      </c>
      <c r="G7" s="8">
        <v>557</v>
      </c>
      <c r="H7" s="8">
        <v>6186012.0500000017</v>
      </c>
      <c r="I7" s="8">
        <v>18428</v>
      </c>
      <c r="J7" s="8">
        <v>17407481.909999955</v>
      </c>
      <c r="K7" s="8">
        <v>343</v>
      </c>
      <c r="L7" s="8">
        <v>986643.75999999978</v>
      </c>
      <c r="M7" s="23">
        <v>-3754957.0300000422</v>
      </c>
    </row>
    <row r="8" spans="1:13" ht="15" customHeight="1" x14ac:dyDescent="0.25">
      <c r="A8" s="9">
        <v>4</v>
      </c>
      <c r="B8" s="3" t="s">
        <v>307</v>
      </c>
      <c r="C8" s="8">
        <v>39844</v>
      </c>
      <c r="D8" s="8">
        <v>39238373.460000306</v>
      </c>
      <c r="E8" s="8">
        <v>21618</v>
      </c>
      <c r="F8" s="8">
        <v>19811489.940000094</v>
      </c>
      <c r="G8" s="8">
        <v>1053</v>
      </c>
      <c r="H8" s="8">
        <v>2042141.2300000007</v>
      </c>
      <c r="I8" s="8">
        <v>15887</v>
      </c>
      <c r="J8" s="8">
        <v>15145968.299999954</v>
      </c>
      <c r="K8" s="8">
        <v>1286</v>
      </c>
      <c r="L8" s="8">
        <v>2238773.9899999993</v>
      </c>
      <c r="M8" s="23">
        <v>-4468888.8800001405</v>
      </c>
    </row>
    <row r="9" spans="1:13" ht="15" customHeight="1" x14ac:dyDescent="0.25">
      <c r="A9" s="9">
        <v>5</v>
      </c>
      <c r="B9" s="3" t="s">
        <v>302</v>
      </c>
      <c r="C9" s="8">
        <v>48831</v>
      </c>
      <c r="D9" s="8">
        <v>32887282.670000035</v>
      </c>
      <c r="E9" s="8">
        <v>20640</v>
      </c>
      <c r="F9" s="8">
        <v>11794412.460000023</v>
      </c>
      <c r="G9" s="8">
        <v>9650</v>
      </c>
      <c r="H9" s="8">
        <v>6330400.1100000022</v>
      </c>
      <c r="I9" s="8">
        <v>11073</v>
      </c>
      <c r="J9" s="8">
        <v>7958476.0799999936</v>
      </c>
      <c r="K9" s="8">
        <v>7468</v>
      </c>
      <c r="L9" s="8">
        <v>6803994.0199999986</v>
      </c>
      <c r="M9" s="23">
        <v>-3362342.4700000342</v>
      </c>
    </row>
    <row r="10" spans="1:13" ht="15" customHeight="1" x14ac:dyDescent="0.25">
      <c r="A10" s="9">
        <v>6</v>
      </c>
      <c r="B10" s="3" t="s">
        <v>362</v>
      </c>
      <c r="C10" s="8">
        <v>3535</v>
      </c>
      <c r="D10" s="8">
        <v>13985915.120000022</v>
      </c>
      <c r="E10" s="8">
        <v>83</v>
      </c>
      <c r="F10" s="8">
        <v>165783.09</v>
      </c>
      <c r="G10" s="8">
        <v>2011</v>
      </c>
      <c r="H10" s="8">
        <v>7880587.7900000028</v>
      </c>
      <c r="I10" s="8">
        <v>77</v>
      </c>
      <c r="J10" s="8">
        <v>162657.76999999996</v>
      </c>
      <c r="K10" s="8">
        <v>1364</v>
      </c>
      <c r="L10" s="8">
        <v>5776886.4700000016</v>
      </c>
      <c r="M10" s="23">
        <v>-2106826.6400000015</v>
      </c>
    </row>
    <row r="11" spans="1:13" ht="15" customHeight="1" x14ac:dyDescent="0.25">
      <c r="A11" s="9">
        <v>7</v>
      </c>
      <c r="B11" s="3" t="s">
        <v>309</v>
      </c>
      <c r="C11" s="8">
        <v>17300</v>
      </c>
      <c r="D11" s="8">
        <v>13642451.030000035</v>
      </c>
      <c r="E11" s="8">
        <v>3854</v>
      </c>
      <c r="F11" s="8">
        <v>2445452.6700000013</v>
      </c>
      <c r="G11" s="8">
        <v>4643</v>
      </c>
      <c r="H11" s="8">
        <v>3602076.2699999977</v>
      </c>
      <c r="I11" s="8">
        <v>3803</v>
      </c>
      <c r="J11" s="8">
        <v>2733902.5199999977</v>
      </c>
      <c r="K11" s="8">
        <v>5000</v>
      </c>
      <c r="L11" s="8">
        <v>4861019.5699999994</v>
      </c>
      <c r="M11" s="23">
        <v>1547393.1499999976</v>
      </c>
    </row>
    <row r="12" spans="1:13" ht="15" customHeight="1" x14ac:dyDescent="0.25">
      <c r="A12" s="9">
        <v>8</v>
      </c>
      <c r="B12" s="3" t="s">
        <v>310</v>
      </c>
      <c r="C12" s="8">
        <v>5959</v>
      </c>
      <c r="D12" s="8">
        <v>3882249.1600000043</v>
      </c>
      <c r="E12" s="8">
        <v>2822</v>
      </c>
      <c r="F12" s="8">
        <v>1426191.6400000006</v>
      </c>
      <c r="G12" s="8">
        <v>242</v>
      </c>
      <c r="H12" s="8">
        <v>489746.94999999978</v>
      </c>
      <c r="I12" s="8">
        <v>2655</v>
      </c>
      <c r="J12" s="8">
        <v>1529141.4499999986</v>
      </c>
      <c r="K12" s="8">
        <v>240</v>
      </c>
      <c r="L12" s="8">
        <v>437169.12000000011</v>
      </c>
      <c r="M12" s="23">
        <v>50371.979999998352</v>
      </c>
    </row>
    <row r="13" spans="1:13" ht="15" customHeight="1" x14ac:dyDescent="0.25">
      <c r="A13" s="9">
        <v>9</v>
      </c>
      <c r="B13" s="3" t="s">
        <v>461</v>
      </c>
      <c r="C13" s="8">
        <v>5952</v>
      </c>
      <c r="D13" s="8">
        <v>3844335.8899999931</v>
      </c>
      <c r="E13" s="8">
        <v>3310</v>
      </c>
      <c r="F13" s="8">
        <v>2029362.6500000032</v>
      </c>
      <c r="G13" s="8">
        <v>173</v>
      </c>
      <c r="H13" s="8">
        <v>120468.02</v>
      </c>
      <c r="I13" s="8">
        <v>2270</v>
      </c>
      <c r="J13" s="8">
        <v>1339865.6300000027</v>
      </c>
      <c r="K13" s="8">
        <v>199</v>
      </c>
      <c r="L13" s="8">
        <v>354639.58999999997</v>
      </c>
      <c r="M13" s="23">
        <v>-455325.45000000065</v>
      </c>
    </row>
    <row r="14" spans="1:13" ht="15" customHeight="1" x14ac:dyDescent="0.25">
      <c r="A14" s="9">
        <v>10</v>
      </c>
      <c r="B14" s="3" t="s">
        <v>304</v>
      </c>
      <c r="C14" s="8">
        <v>5328</v>
      </c>
      <c r="D14" s="8">
        <v>3142989.7899999982</v>
      </c>
      <c r="E14" s="8">
        <v>2542</v>
      </c>
      <c r="F14" s="8">
        <v>1244402.0499999993</v>
      </c>
      <c r="G14" s="8">
        <v>88</v>
      </c>
      <c r="H14" s="8">
        <v>118382.63</v>
      </c>
      <c r="I14" s="8">
        <v>2618</v>
      </c>
      <c r="J14" s="8">
        <v>1698513.1500000015</v>
      </c>
      <c r="K14" s="8">
        <v>80</v>
      </c>
      <c r="L14" s="8">
        <v>81691.960000000006</v>
      </c>
      <c r="M14" s="23">
        <v>417420.43000000226</v>
      </c>
    </row>
    <row r="15" spans="1:13" ht="15" customHeight="1" x14ac:dyDescent="0.25">
      <c r="A15" s="9">
        <v>11</v>
      </c>
      <c r="B15" s="3" t="s">
        <v>303</v>
      </c>
      <c r="C15" s="8">
        <v>3672</v>
      </c>
      <c r="D15" s="8">
        <v>3118507.5300000012</v>
      </c>
      <c r="E15" s="8">
        <v>1844</v>
      </c>
      <c r="F15" s="8">
        <v>1358600.8500000013</v>
      </c>
      <c r="G15" s="8">
        <v>246</v>
      </c>
      <c r="H15" s="8">
        <v>379953.27000000025</v>
      </c>
      <c r="I15" s="8">
        <v>1427</v>
      </c>
      <c r="J15" s="8">
        <v>1200395.9600000023</v>
      </c>
      <c r="K15" s="8">
        <v>155</v>
      </c>
      <c r="L15" s="8">
        <v>179557.45</v>
      </c>
      <c r="M15" s="23">
        <v>-358600.70999999926</v>
      </c>
    </row>
    <row r="16" spans="1:13" ht="15" customHeight="1" x14ac:dyDescent="0.25">
      <c r="A16" s="9">
        <v>12</v>
      </c>
      <c r="B16" s="3" t="s">
        <v>317</v>
      </c>
      <c r="C16" s="8">
        <v>3366</v>
      </c>
      <c r="D16" s="8">
        <v>2617171.4999999953</v>
      </c>
      <c r="E16" s="8">
        <v>2193</v>
      </c>
      <c r="F16" s="8">
        <v>1592235.5999999989</v>
      </c>
      <c r="G16" s="8">
        <v>23</v>
      </c>
      <c r="H16" s="8">
        <v>39294.559999999998</v>
      </c>
      <c r="I16" s="8">
        <v>1128</v>
      </c>
      <c r="J16" s="8">
        <v>951438.80000000016</v>
      </c>
      <c r="K16" s="8">
        <v>22</v>
      </c>
      <c r="L16" s="8">
        <v>34202.54</v>
      </c>
      <c r="M16" s="23">
        <v>-645888.81999999878</v>
      </c>
    </row>
    <row r="17" spans="1:13" ht="15" customHeight="1" x14ac:dyDescent="0.25">
      <c r="A17" s="9">
        <v>13</v>
      </c>
      <c r="B17" s="3" t="s">
        <v>318</v>
      </c>
      <c r="C17" s="8">
        <v>3068</v>
      </c>
      <c r="D17" s="8">
        <v>2269190.7000000007</v>
      </c>
      <c r="E17" s="8">
        <v>935</v>
      </c>
      <c r="F17" s="8">
        <v>539873.52999999991</v>
      </c>
      <c r="G17" s="8">
        <v>284</v>
      </c>
      <c r="H17" s="8">
        <v>321919.52999999991</v>
      </c>
      <c r="I17" s="8">
        <v>1478</v>
      </c>
      <c r="J17" s="8">
        <v>934247.86999999883</v>
      </c>
      <c r="K17" s="8">
        <v>371</v>
      </c>
      <c r="L17" s="8">
        <v>473149.7699999999</v>
      </c>
      <c r="M17" s="23">
        <v>545604.57999999891</v>
      </c>
    </row>
    <row r="18" spans="1:13" ht="15" customHeight="1" x14ac:dyDescent="0.25">
      <c r="A18" s="9">
        <v>14</v>
      </c>
      <c r="B18" s="3" t="s">
        <v>301</v>
      </c>
      <c r="C18" s="8">
        <v>2199</v>
      </c>
      <c r="D18" s="8">
        <v>1669611.6599999995</v>
      </c>
      <c r="E18" s="8">
        <v>1239</v>
      </c>
      <c r="F18" s="8">
        <v>959207.0500000004</v>
      </c>
      <c r="G18" s="8">
        <v>22</v>
      </c>
      <c r="H18" s="8">
        <v>27290.179999999997</v>
      </c>
      <c r="I18" s="8">
        <v>919</v>
      </c>
      <c r="J18" s="8">
        <v>675780.97000000044</v>
      </c>
      <c r="K18" s="8">
        <v>19</v>
      </c>
      <c r="L18" s="8">
        <v>7333.46</v>
      </c>
      <c r="M18" s="23">
        <v>-303382.80000000005</v>
      </c>
    </row>
    <row r="19" spans="1:13" ht="15" customHeight="1" x14ac:dyDescent="0.25">
      <c r="A19" s="9">
        <v>15</v>
      </c>
      <c r="B19" s="3" t="s">
        <v>315</v>
      </c>
      <c r="C19" s="8">
        <v>3629</v>
      </c>
      <c r="D19" s="8">
        <v>1600833.9799999984</v>
      </c>
      <c r="E19" s="8">
        <v>618</v>
      </c>
      <c r="F19" s="8">
        <v>406466.25000000006</v>
      </c>
      <c r="G19" s="8">
        <v>1298</v>
      </c>
      <c r="H19" s="8">
        <v>352487.55999999976</v>
      </c>
      <c r="I19" s="8">
        <v>614</v>
      </c>
      <c r="J19" s="8">
        <v>473195.8299999999</v>
      </c>
      <c r="K19" s="8">
        <v>1099</v>
      </c>
      <c r="L19" s="8">
        <v>368684.34</v>
      </c>
      <c r="M19" s="23">
        <v>82926.360000000102</v>
      </c>
    </row>
    <row r="20" spans="1:13" ht="15" customHeight="1" x14ac:dyDescent="0.25">
      <c r="A20" s="9">
        <v>16</v>
      </c>
      <c r="B20" s="3" t="s">
        <v>330</v>
      </c>
      <c r="C20" s="8">
        <v>2013</v>
      </c>
      <c r="D20" s="8">
        <v>1590188.859999998</v>
      </c>
      <c r="E20" s="8">
        <v>1041</v>
      </c>
      <c r="F20" s="8">
        <v>753883.66</v>
      </c>
      <c r="G20" s="8">
        <v>88</v>
      </c>
      <c r="H20" s="8">
        <v>64269.45</v>
      </c>
      <c r="I20" s="8">
        <v>792</v>
      </c>
      <c r="J20" s="8">
        <v>707196.17999999912</v>
      </c>
      <c r="K20" s="8">
        <v>92</v>
      </c>
      <c r="L20" s="8">
        <v>64839.57</v>
      </c>
      <c r="M20" s="23">
        <v>-46117.360000000917</v>
      </c>
    </row>
    <row r="21" spans="1:13" ht="15" customHeight="1" x14ac:dyDescent="0.25">
      <c r="A21" s="9">
        <v>17</v>
      </c>
      <c r="B21" s="3" t="s">
        <v>316</v>
      </c>
      <c r="C21" s="8">
        <v>1692</v>
      </c>
      <c r="D21" s="8">
        <v>1227097.6399999987</v>
      </c>
      <c r="E21" s="8">
        <v>493</v>
      </c>
      <c r="F21" s="8">
        <v>179123.1400000001</v>
      </c>
      <c r="G21" s="8">
        <v>378</v>
      </c>
      <c r="H21" s="8">
        <v>412067.82999999996</v>
      </c>
      <c r="I21" s="8">
        <v>388</v>
      </c>
      <c r="J21" s="8">
        <v>181788.17</v>
      </c>
      <c r="K21" s="8">
        <v>433</v>
      </c>
      <c r="L21" s="8">
        <v>454118.5</v>
      </c>
      <c r="M21" s="23">
        <v>44715.699999999953</v>
      </c>
    </row>
    <row r="22" spans="1:13" ht="15" customHeight="1" x14ac:dyDescent="0.25">
      <c r="A22" s="9">
        <v>18</v>
      </c>
      <c r="B22" s="3" t="s">
        <v>369</v>
      </c>
      <c r="C22" s="8">
        <v>1268</v>
      </c>
      <c r="D22" s="8">
        <v>949062.98999999976</v>
      </c>
      <c r="E22" s="8">
        <v>18</v>
      </c>
      <c r="F22" s="8">
        <v>17335.79</v>
      </c>
      <c r="G22" s="8">
        <v>696</v>
      </c>
      <c r="H22" s="8">
        <v>467779.65</v>
      </c>
      <c r="I22" s="8">
        <v>3</v>
      </c>
      <c r="J22" s="8">
        <v>2504.5</v>
      </c>
      <c r="K22" s="8">
        <v>551</v>
      </c>
      <c r="L22" s="8">
        <v>461443.05000000005</v>
      </c>
      <c r="M22" s="23">
        <v>-21167.889999999956</v>
      </c>
    </row>
    <row r="23" spans="1:13" ht="15" customHeight="1" x14ac:dyDescent="0.25">
      <c r="A23" s="9">
        <v>19</v>
      </c>
      <c r="B23" s="3" t="s">
        <v>327</v>
      </c>
      <c r="C23" s="8">
        <v>938</v>
      </c>
      <c r="D23" s="8">
        <v>835689.14000000013</v>
      </c>
      <c r="E23" s="8">
        <v>481</v>
      </c>
      <c r="F23" s="8">
        <v>375730.12999999983</v>
      </c>
      <c r="G23" s="8">
        <v>54</v>
      </c>
      <c r="H23" s="8">
        <v>88125.81</v>
      </c>
      <c r="I23" s="8">
        <v>353</v>
      </c>
      <c r="J23" s="8">
        <v>320252.21999999991</v>
      </c>
      <c r="K23" s="8">
        <v>50</v>
      </c>
      <c r="L23" s="8">
        <v>51580.98</v>
      </c>
      <c r="M23" s="23">
        <v>-92022.739999999932</v>
      </c>
    </row>
    <row r="24" spans="1:13" ht="15" customHeight="1" x14ac:dyDescent="0.25">
      <c r="A24" s="9">
        <v>20</v>
      </c>
      <c r="B24" s="3" t="s">
        <v>306</v>
      </c>
      <c r="C24" s="8">
        <v>1218</v>
      </c>
      <c r="D24" s="8">
        <v>740708.82999999973</v>
      </c>
      <c r="E24" s="8">
        <v>672</v>
      </c>
      <c r="F24" s="8">
        <v>297232.90999999997</v>
      </c>
      <c r="G24" s="8">
        <v>31</v>
      </c>
      <c r="H24" s="8">
        <v>77557.98</v>
      </c>
      <c r="I24" s="8">
        <v>469</v>
      </c>
      <c r="J24" s="8">
        <v>212274.81000000008</v>
      </c>
      <c r="K24" s="8">
        <v>46</v>
      </c>
      <c r="L24" s="8">
        <v>153643.13</v>
      </c>
      <c r="M24" s="23">
        <v>-8872.9499999998952</v>
      </c>
    </row>
    <row r="25" spans="1:13" ht="15" customHeight="1" x14ac:dyDescent="0.25">
      <c r="A25" s="9">
        <v>21</v>
      </c>
      <c r="B25" s="3" t="s">
        <v>332</v>
      </c>
      <c r="C25" s="8">
        <v>1059</v>
      </c>
      <c r="D25" s="8">
        <v>718857.91999999981</v>
      </c>
      <c r="E25" s="8">
        <v>518</v>
      </c>
      <c r="F25" s="8">
        <v>311702.91999999987</v>
      </c>
      <c r="G25" s="8">
        <v>53</v>
      </c>
      <c r="H25" s="8">
        <v>48702.129999999983</v>
      </c>
      <c r="I25" s="8">
        <v>438</v>
      </c>
      <c r="J25" s="8">
        <v>295318.61</v>
      </c>
      <c r="K25" s="8">
        <v>50</v>
      </c>
      <c r="L25" s="8">
        <v>63134.259999999995</v>
      </c>
      <c r="M25" s="23">
        <v>-1952.1799999998766</v>
      </c>
    </row>
    <row r="26" spans="1:13" ht="15" customHeight="1" x14ac:dyDescent="0.25">
      <c r="A26" s="9">
        <v>22</v>
      </c>
      <c r="B26" s="3" t="s">
        <v>314</v>
      </c>
      <c r="C26" s="8">
        <v>1083</v>
      </c>
      <c r="D26" s="8">
        <v>709176.9099999998</v>
      </c>
      <c r="E26" s="8">
        <v>244</v>
      </c>
      <c r="F26" s="8">
        <v>146969.46</v>
      </c>
      <c r="G26" s="8">
        <v>299</v>
      </c>
      <c r="H26" s="8">
        <v>237629.37000000002</v>
      </c>
      <c r="I26" s="8">
        <v>218</v>
      </c>
      <c r="J26" s="8">
        <v>116210.85000000002</v>
      </c>
      <c r="K26" s="8">
        <v>322</v>
      </c>
      <c r="L26" s="8">
        <v>208367.23000000004</v>
      </c>
      <c r="M26" s="23">
        <v>-60020.749999999942</v>
      </c>
    </row>
    <row r="27" spans="1:13" ht="15" customHeight="1" x14ac:dyDescent="0.25">
      <c r="A27" s="9">
        <v>23</v>
      </c>
      <c r="B27" s="3" t="s">
        <v>321</v>
      </c>
      <c r="C27" s="8">
        <v>1196</v>
      </c>
      <c r="D27" s="8">
        <v>693671.0299999998</v>
      </c>
      <c r="E27" s="8">
        <v>517</v>
      </c>
      <c r="F27" s="8">
        <v>270701.45000000007</v>
      </c>
      <c r="G27" s="8">
        <v>21</v>
      </c>
      <c r="H27" s="8">
        <v>11642.65</v>
      </c>
      <c r="I27" s="8">
        <v>651</v>
      </c>
      <c r="J27" s="8">
        <v>405891.93000000005</v>
      </c>
      <c r="K27" s="8">
        <v>7</v>
      </c>
      <c r="L27" s="8">
        <v>5435</v>
      </c>
      <c r="M27" s="23">
        <v>128982.82999999996</v>
      </c>
    </row>
    <row r="28" spans="1:13" ht="15" customHeight="1" x14ac:dyDescent="0.25">
      <c r="A28" s="9">
        <v>24</v>
      </c>
      <c r="B28" s="3" t="s">
        <v>308</v>
      </c>
      <c r="C28" s="8">
        <v>1209</v>
      </c>
      <c r="D28" s="8">
        <v>656919.70999999961</v>
      </c>
      <c r="E28" s="8">
        <v>501</v>
      </c>
      <c r="F28" s="8">
        <v>265505.87999999995</v>
      </c>
      <c r="G28" s="8">
        <v>32</v>
      </c>
      <c r="H28" s="8">
        <v>11669.840000000002</v>
      </c>
      <c r="I28" s="8">
        <v>646</v>
      </c>
      <c r="J28" s="8">
        <v>356189.66999999987</v>
      </c>
      <c r="K28" s="8">
        <v>30</v>
      </c>
      <c r="L28" s="8">
        <v>23554.32</v>
      </c>
      <c r="M28" s="23">
        <v>102568.2699999999</v>
      </c>
    </row>
    <row r="29" spans="1:13" ht="15" customHeight="1" x14ac:dyDescent="0.25">
      <c r="A29" s="9">
        <v>25</v>
      </c>
      <c r="B29" s="3" t="s">
        <v>323</v>
      </c>
      <c r="C29" s="8">
        <v>972</v>
      </c>
      <c r="D29" s="8">
        <v>656505.12000000046</v>
      </c>
      <c r="E29" s="8">
        <v>533</v>
      </c>
      <c r="F29" s="8">
        <v>306773.74000000011</v>
      </c>
      <c r="G29" s="8">
        <v>26</v>
      </c>
      <c r="H29" s="8">
        <v>109027.83</v>
      </c>
      <c r="I29" s="8">
        <v>377</v>
      </c>
      <c r="J29" s="8">
        <v>219870.12000000002</v>
      </c>
      <c r="K29" s="8">
        <v>36</v>
      </c>
      <c r="L29" s="8">
        <v>20833.43</v>
      </c>
      <c r="M29" s="23">
        <v>-175098.02000000011</v>
      </c>
    </row>
    <row r="30" spans="1:13" ht="15" customHeight="1" x14ac:dyDescent="0.25">
      <c r="A30" s="9">
        <v>26</v>
      </c>
      <c r="B30" s="3" t="s">
        <v>305</v>
      </c>
      <c r="C30" s="8">
        <v>686</v>
      </c>
      <c r="D30" s="8">
        <v>503815.66000000038</v>
      </c>
      <c r="E30" s="8">
        <v>307</v>
      </c>
      <c r="F30" s="8">
        <v>191906.04999999996</v>
      </c>
      <c r="G30" s="8">
        <v>7</v>
      </c>
      <c r="H30" s="8">
        <v>71609.570000000007</v>
      </c>
      <c r="I30" s="8">
        <v>371</v>
      </c>
      <c r="J30" s="8">
        <v>240072.03999999995</v>
      </c>
      <c r="K30" s="8">
        <v>1</v>
      </c>
      <c r="L30" s="8">
        <v>228</v>
      </c>
      <c r="M30" s="23">
        <v>-23215.580000000045</v>
      </c>
    </row>
    <row r="31" spans="1:13" ht="15" customHeight="1" x14ac:dyDescent="0.25">
      <c r="A31" s="9">
        <v>27</v>
      </c>
      <c r="B31" s="3" t="s">
        <v>320</v>
      </c>
      <c r="C31" s="8">
        <v>494</v>
      </c>
      <c r="D31" s="8">
        <v>435433.5500000004</v>
      </c>
      <c r="E31" s="8">
        <v>268</v>
      </c>
      <c r="F31" s="8">
        <v>211013.96000000008</v>
      </c>
      <c r="G31" s="8">
        <v>4</v>
      </c>
      <c r="H31" s="8">
        <v>5611.46</v>
      </c>
      <c r="I31" s="8">
        <v>216</v>
      </c>
      <c r="J31" s="8">
        <v>173804.13000000003</v>
      </c>
      <c r="K31" s="8">
        <v>6</v>
      </c>
      <c r="L31" s="8">
        <v>45004</v>
      </c>
      <c r="M31" s="23">
        <v>2182.7099999999627</v>
      </c>
    </row>
    <row r="32" spans="1:13" ht="15" customHeight="1" x14ac:dyDescent="0.25">
      <c r="A32" s="9">
        <v>28</v>
      </c>
      <c r="B32" s="3" t="s">
        <v>357</v>
      </c>
      <c r="C32" s="8">
        <v>469</v>
      </c>
      <c r="D32" s="8">
        <v>425503.63999999984</v>
      </c>
      <c r="E32" s="8">
        <v>184</v>
      </c>
      <c r="F32" s="8">
        <v>134260.79</v>
      </c>
      <c r="G32" s="8">
        <v>6</v>
      </c>
      <c r="H32" s="8">
        <v>6682</v>
      </c>
      <c r="I32" s="8">
        <v>274</v>
      </c>
      <c r="J32" s="8">
        <v>281828.69000000006</v>
      </c>
      <c r="K32" s="8">
        <v>5</v>
      </c>
      <c r="L32" s="8">
        <v>2732.1600000000003</v>
      </c>
      <c r="M32" s="23">
        <v>143618.06000000003</v>
      </c>
    </row>
    <row r="33" spans="1:13" ht="15" customHeight="1" x14ac:dyDescent="0.25">
      <c r="A33" s="9">
        <v>29</v>
      </c>
      <c r="B33" s="3" t="s">
        <v>324</v>
      </c>
      <c r="C33" s="8">
        <v>533</v>
      </c>
      <c r="D33" s="8">
        <v>397895.2100000002</v>
      </c>
      <c r="E33" s="8">
        <v>204</v>
      </c>
      <c r="F33" s="8">
        <v>128445.29999999996</v>
      </c>
      <c r="G33" s="8">
        <v>6</v>
      </c>
      <c r="H33" s="8">
        <v>23290.71</v>
      </c>
      <c r="I33" s="8">
        <v>312</v>
      </c>
      <c r="J33" s="8">
        <v>220041.2</v>
      </c>
      <c r="K33" s="8">
        <v>11</v>
      </c>
      <c r="L33" s="8">
        <v>26118</v>
      </c>
      <c r="M33" s="23">
        <v>94423.190000000061</v>
      </c>
    </row>
    <row r="34" spans="1:13" ht="15" customHeight="1" x14ac:dyDescent="0.25">
      <c r="A34" s="9">
        <v>30</v>
      </c>
      <c r="B34" s="3" t="s">
        <v>325</v>
      </c>
      <c r="C34" s="8">
        <v>561</v>
      </c>
      <c r="D34" s="8">
        <v>377659.43999999994</v>
      </c>
      <c r="E34" s="8">
        <v>239</v>
      </c>
      <c r="F34" s="8">
        <v>136266.35999999993</v>
      </c>
      <c r="G34" s="8">
        <v>15</v>
      </c>
      <c r="H34" s="8">
        <v>8496.86</v>
      </c>
      <c r="I34" s="8">
        <v>297</v>
      </c>
      <c r="J34" s="8">
        <v>227246.81999999998</v>
      </c>
      <c r="K34" s="8">
        <v>10</v>
      </c>
      <c r="L34" s="8">
        <v>5649.4</v>
      </c>
      <c r="M34" s="23">
        <v>88133.000000000058</v>
      </c>
    </row>
    <row r="35" spans="1:13" ht="15" customHeight="1" x14ac:dyDescent="0.25">
      <c r="A35" s="9">
        <v>31</v>
      </c>
      <c r="B35" s="3" t="s">
        <v>458</v>
      </c>
      <c r="C35" s="8">
        <v>27</v>
      </c>
      <c r="D35" s="8">
        <v>359325.15</v>
      </c>
      <c r="E35" s="8">
        <v>5</v>
      </c>
      <c r="F35" s="8">
        <v>10168</v>
      </c>
      <c r="G35" s="8">
        <v>10</v>
      </c>
      <c r="H35" s="8">
        <v>247025</v>
      </c>
      <c r="I35" s="8">
        <v>5</v>
      </c>
      <c r="J35" s="8">
        <v>8768.02</v>
      </c>
      <c r="K35" s="8">
        <v>7</v>
      </c>
      <c r="L35" s="8">
        <v>93364.12999999999</v>
      </c>
      <c r="M35" s="23">
        <v>-155060.85</v>
      </c>
    </row>
    <row r="36" spans="1:13" ht="15" customHeight="1" x14ac:dyDescent="0.25">
      <c r="A36" s="9">
        <v>32</v>
      </c>
      <c r="B36" s="3" t="s">
        <v>343</v>
      </c>
      <c r="C36" s="8">
        <v>504</v>
      </c>
      <c r="D36" s="8">
        <v>321076.73000000039</v>
      </c>
      <c r="E36" s="8">
        <v>215</v>
      </c>
      <c r="F36" s="8">
        <v>110529.09999999999</v>
      </c>
      <c r="G36" s="8">
        <v>38</v>
      </c>
      <c r="H36" s="8">
        <v>47927.389999999992</v>
      </c>
      <c r="I36" s="8">
        <v>231</v>
      </c>
      <c r="J36" s="8">
        <v>151599.36999999997</v>
      </c>
      <c r="K36" s="8">
        <v>20</v>
      </c>
      <c r="L36" s="8">
        <v>11020.869999999999</v>
      </c>
      <c r="M36" s="23">
        <v>4163.7499999999709</v>
      </c>
    </row>
    <row r="37" spans="1:13" ht="15" customHeight="1" x14ac:dyDescent="0.25">
      <c r="A37" s="9">
        <v>33</v>
      </c>
      <c r="B37" s="3" t="s">
        <v>340</v>
      </c>
      <c r="C37" s="8">
        <v>277</v>
      </c>
      <c r="D37" s="8">
        <v>302766.20000000007</v>
      </c>
      <c r="E37" s="8">
        <v>129</v>
      </c>
      <c r="F37" s="8">
        <v>130120.87999999999</v>
      </c>
      <c r="G37" s="8">
        <v>2</v>
      </c>
      <c r="H37" s="8">
        <v>1250</v>
      </c>
      <c r="I37" s="8">
        <v>145</v>
      </c>
      <c r="J37" s="8">
        <v>170715.31999999998</v>
      </c>
      <c r="K37" s="8">
        <v>1</v>
      </c>
      <c r="L37" s="8">
        <v>680</v>
      </c>
      <c r="M37" s="23">
        <v>40024.439999999973</v>
      </c>
    </row>
    <row r="38" spans="1:13" ht="15" customHeight="1" x14ac:dyDescent="0.25">
      <c r="A38" s="9">
        <v>34</v>
      </c>
      <c r="B38" s="3" t="s">
        <v>338</v>
      </c>
      <c r="C38" s="8">
        <v>350</v>
      </c>
      <c r="D38" s="8">
        <v>285441.94</v>
      </c>
      <c r="E38" s="8">
        <v>95</v>
      </c>
      <c r="F38" s="8">
        <v>76897.329999999973</v>
      </c>
      <c r="G38" s="8">
        <v>113</v>
      </c>
      <c r="H38" s="8">
        <v>75860.260000000009</v>
      </c>
      <c r="I38" s="8">
        <v>86</v>
      </c>
      <c r="J38" s="8">
        <v>91225.12999999999</v>
      </c>
      <c r="K38" s="8">
        <v>56</v>
      </c>
      <c r="L38" s="8">
        <v>41459.219999999994</v>
      </c>
      <c r="M38" s="23">
        <v>-20073.239999999991</v>
      </c>
    </row>
    <row r="39" spans="1:13" ht="15" customHeight="1" x14ac:dyDescent="0.25">
      <c r="A39" s="9">
        <v>35</v>
      </c>
      <c r="B39" s="3" t="s">
        <v>339</v>
      </c>
      <c r="C39" s="8">
        <v>575</v>
      </c>
      <c r="D39" s="8">
        <v>263925.75999999989</v>
      </c>
      <c r="E39" s="8">
        <v>83</v>
      </c>
      <c r="F39" s="8">
        <v>33370.480000000003</v>
      </c>
      <c r="G39" s="8">
        <v>169</v>
      </c>
      <c r="H39" s="8">
        <v>56527.489999999991</v>
      </c>
      <c r="I39" s="8">
        <v>139</v>
      </c>
      <c r="J39" s="8">
        <v>88864.040000000008</v>
      </c>
      <c r="K39" s="8">
        <v>184</v>
      </c>
      <c r="L39" s="8">
        <v>85163.750000000015</v>
      </c>
      <c r="M39" s="23">
        <v>84129.820000000036</v>
      </c>
    </row>
    <row r="40" spans="1:13" ht="15" customHeight="1" x14ac:dyDescent="0.25">
      <c r="A40" s="9">
        <v>36</v>
      </c>
      <c r="B40" s="3" t="s">
        <v>348</v>
      </c>
      <c r="C40" s="8">
        <v>369</v>
      </c>
      <c r="D40" s="8">
        <v>261337.73000000004</v>
      </c>
      <c r="E40" s="8">
        <v>162</v>
      </c>
      <c r="F40" s="8">
        <v>113371.01000000002</v>
      </c>
      <c r="G40" s="8">
        <v>23</v>
      </c>
      <c r="H40" s="8">
        <v>24766.93</v>
      </c>
      <c r="I40" s="8">
        <v>148</v>
      </c>
      <c r="J40" s="8">
        <v>68721.210000000006</v>
      </c>
      <c r="K40" s="8">
        <v>36</v>
      </c>
      <c r="L40" s="8">
        <v>54478.58</v>
      </c>
      <c r="M40" s="23">
        <v>-14938.150000000023</v>
      </c>
    </row>
    <row r="41" spans="1:13" ht="15" customHeight="1" x14ac:dyDescent="0.25">
      <c r="A41" s="9">
        <v>37</v>
      </c>
      <c r="B41" s="3" t="s">
        <v>329</v>
      </c>
      <c r="C41" s="8">
        <v>565</v>
      </c>
      <c r="D41" s="8">
        <v>251556.02</v>
      </c>
      <c r="E41" s="8">
        <v>238</v>
      </c>
      <c r="F41" s="8">
        <v>91153.610000000015</v>
      </c>
      <c r="G41" s="8">
        <v>23</v>
      </c>
      <c r="H41" s="8">
        <v>24860.260000000006</v>
      </c>
      <c r="I41" s="8">
        <v>279</v>
      </c>
      <c r="J41" s="8">
        <v>110173.04999999996</v>
      </c>
      <c r="K41" s="8">
        <v>25</v>
      </c>
      <c r="L41" s="8">
        <v>25369.1</v>
      </c>
      <c r="M41" s="23">
        <v>19528.279999999941</v>
      </c>
    </row>
    <row r="42" spans="1:13" ht="15" customHeight="1" x14ac:dyDescent="0.25">
      <c r="A42" s="9">
        <v>38</v>
      </c>
      <c r="B42" s="3" t="s">
        <v>457</v>
      </c>
      <c r="C42" s="8">
        <v>234</v>
      </c>
      <c r="D42" s="8">
        <v>243644.61</v>
      </c>
      <c r="E42" s="8">
        <v>119</v>
      </c>
      <c r="F42" s="8">
        <v>104523.61</v>
      </c>
      <c r="G42" s="8"/>
      <c r="H42" s="8"/>
      <c r="I42" s="8">
        <v>114</v>
      </c>
      <c r="J42" s="8">
        <v>138921</v>
      </c>
      <c r="K42" s="8">
        <v>1</v>
      </c>
      <c r="L42" s="8">
        <v>200</v>
      </c>
      <c r="M42" s="23">
        <v>34597.39</v>
      </c>
    </row>
    <row r="43" spans="1:13" ht="15" customHeight="1" x14ac:dyDescent="0.25">
      <c r="A43" s="9">
        <v>39</v>
      </c>
      <c r="B43" s="3" t="s">
        <v>311</v>
      </c>
      <c r="C43" s="8">
        <v>248</v>
      </c>
      <c r="D43" s="8">
        <v>236085.53</v>
      </c>
      <c r="E43" s="8">
        <v>93</v>
      </c>
      <c r="F43" s="8">
        <v>65030.599999999977</v>
      </c>
      <c r="G43" s="8">
        <v>8</v>
      </c>
      <c r="H43" s="8">
        <v>18253.03</v>
      </c>
      <c r="I43" s="8">
        <v>146</v>
      </c>
      <c r="J43" s="8">
        <v>150821.90000000002</v>
      </c>
      <c r="K43" s="8">
        <v>1</v>
      </c>
      <c r="L43" s="8">
        <v>1980</v>
      </c>
      <c r="M43" s="23">
        <v>69518.270000000048</v>
      </c>
    </row>
    <row r="44" spans="1:13" ht="15" customHeight="1" x14ac:dyDescent="0.25">
      <c r="A44" s="9">
        <v>40</v>
      </c>
      <c r="B44" s="3" t="s">
        <v>319</v>
      </c>
      <c r="C44" s="8">
        <v>310</v>
      </c>
      <c r="D44" s="8">
        <v>230262.64000000007</v>
      </c>
      <c r="E44" s="8">
        <v>146</v>
      </c>
      <c r="F44" s="8">
        <v>109119.56</v>
      </c>
      <c r="G44" s="8">
        <v>2</v>
      </c>
      <c r="H44" s="8">
        <v>800</v>
      </c>
      <c r="I44" s="8">
        <v>154</v>
      </c>
      <c r="J44" s="8">
        <v>117648.08000000002</v>
      </c>
      <c r="K44" s="8">
        <v>8</v>
      </c>
      <c r="L44" s="8">
        <v>2695</v>
      </c>
      <c r="M44" s="23">
        <v>10423.520000000019</v>
      </c>
    </row>
    <row r="45" spans="1:13" ht="15" customHeight="1" x14ac:dyDescent="0.25">
      <c r="A45" s="9">
        <v>41</v>
      </c>
      <c r="B45" s="3" t="s">
        <v>335</v>
      </c>
      <c r="C45" s="8">
        <v>226</v>
      </c>
      <c r="D45" s="8">
        <v>215528.36999999988</v>
      </c>
      <c r="E45" s="8">
        <v>126</v>
      </c>
      <c r="F45" s="8">
        <v>120823.63999999998</v>
      </c>
      <c r="G45" s="8">
        <v>6</v>
      </c>
      <c r="H45" s="8">
        <v>4740.42</v>
      </c>
      <c r="I45" s="8">
        <v>86</v>
      </c>
      <c r="J45" s="8">
        <v>87279.039999999994</v>
      </c>
      <c r="K45" s="8">
        <v>8</v>
      </c>
      <c r="L45" s="8">
        <v>2685.27</v>
      </c>
      <c r="M45" s="23">
        <v>-35599.749999999985</v>
      </c>
    </row>
    <row r="46" spans="1:13" ht="15" customHeight="1" x14ac:dyDescent="0.25">
      <c r="A46" s="9">
        <v>42</v>
      </c>
      <c r="B46" s="3" t="s">
        <v>404</v>
      </c>
      <c r="C46" s="8">
        <v>97</v>
      </c>
      <c r="D46" s="8">
        <v>208003.58000000002</v>
      </c>
      <c r="E46" s="8">
        <v>2</v>
      </c>
      <c r="F46" s="8">
        <v>2030</v>
      </c>
      <c r="G46" s="8">
        <v>46</v>
      </c>
      <c r="H46" s="8">
        <v>111348.1</v>
      </c>
      <c r="I46" s="8">
        <v>5</v>
      </c>
      <c r="J46" s="8">
        <v>9040</v>
      </c>
      <c r="K46" s="8">
        <v>44</v>
      </c>
      <c r="L46" s="8">
        <v>85585.48</v>
      </c>
      <c r="M46" s="23">
        <v>-18752.62000000001</v>
      </c>
    </row>
    <row r="47" spans="1:13" ht="15" customHeight="1" x14ac:dyDescent="0.25">
      <c r="A47" s="9">
        <v>43</v>
      </c>
      <c r="B47" s="3" t="s">
        <v>344</v>
      </c>
      <c r="C47" s="8">
        <v>248</v>
      </c>
      <c r="D47" s="8">
        <v>193517.81000000008</v>
      </c>
      <c r="E47" s="8">
        <v>99</v>
      </c>
      <c r="F47" s="8">
        <v>40974.840000000011</v>
      </c>
      <c r="G47" s="8">
        <v>28</v>
      </c>
      <c r="H47" s="8">
        <v>35615.25</v>
      </c>
      <c r="I47" s="8">
        <v>93</v>
      </c>
      <c r="J47" s="8">
        <v>46166.31</v>
      </c>
      <c r="K47" s="8">
        <v>28</v>
      </c>
      <c r="L47" s="8">
        <v>70761.41</v>
      </c>
      <c r="M47" s="23">
        <v>40337.62999999999</v>
      </c>
    </row>
    <row r="48" spans="1:13" ht="15" customHeight="1" x14ac:dyDescent="0.25">
      <c r="A48" s="9">
        <v>44</v>
      </c>
      <c r="B48" s="3" t="s">
        <v>328</v>
      </c>
      <c r="C48" s="8">
        <v>207</v>
      </c>
      <c r="D48" s="8">
        <v>187934.43000000002</v>
      </c>
      <c r="E48" s="8">
        <v>83</v>
      </c>
      <c r="F48" s="8">
        <v>80437.75999999998</v>
      </c>
      <c r="G48" s="8">
        <v>6</v>
      </c>
      <c r="H48" s="8">
        <v>2568.6</v>
      </c>
      <c r="I48" s="8">
        <v>110</v>
      </c>
      <c r="J48" s="8">
        <v>98912.409999999989</v>
      </c>
      <c r="K48" s="8">
        <v>8</v>
      </c>
      <c r="L48" s="8">
        <v>6015.66</v>
      </c>
      <c r="M48" s="23">
        <v>21921.710000000006</v>
      </c>
    </row>
    <row r="49" spans="1:13" ht="15" customHeight="1" x14ac:dyDescent="0.25">
      <c r="A49" s="9">
        <v>45</v>
      </c>
      <c r="B49" s="3" t="s">
        <v>312</v>
      </c>
      <c r="C49" s="8">
        <v>210</v>
      </c>
      <c r="D49" s="8">
        <v>185804.26</v>
      </c>
      <c r="E49" s="8">
        <v>105</v>
      </c>
      <c r="F49" s="8">
        <v>111737.78999999998</v>
      </c>
      <c r="G49" s="8">
        <v>4</v>
      </c>
      <c r="H49" s="8">
        <v>5603</v>
      </c>
      <c r="I49" s="8">
        <v>89</v>
      </c>
      <c r="J49" s="8">
        <v>65997.859999999986</v>
      </c>
      <c r="K49" s="8">
        <v>12</v>
      </c>
      <c r="L49" s="8">
        <v>2465.6100000000006</v>
      </c>
      <c r="M49" s="23">
        <v>-48877.319999999992</v>
      </c>
    </row>
    <row r="50" spans="1:13" ht="15" customHeight="1" x14ac:dyDescent="0.25">
      <c r="A50" s="9">
        <v>46</v>
      </c>
      <c r="B50" s="3" t="s">
        <v>341</v>
      </c>
      <c r="C50" s="8">
        <v>243</v>
      </c>
      <c r="D50" s="8">
        <v>182890.24000000002</v>
      </c>
      <c r="E50" s="8">
        <v>73</v>
      </c>
      <c r="F50" s="8">
        <v>69652.170000000013</v>
      </c>
      <c r="G50" s="8">
        <v>21</v>
      </c>
      <c r="H50" s="8">
        <v>8939.0199999999986</v>
      </c>
      <c r="I50" s="8">
        <v>112</v>
      </c>
      <c r="J50" s="8">
        <v>88247.580000000016</v>
      </c>
      <c r="K50" s="8">
        <v>37</v>
      </c>
      <c r="L50" s="8">
        <v>16051.470000000001</v>
      </c>
      <c r="M50" s="23">
        <v>25707.86</v>
      </c>
    </row>
    <row r="51" spans="1:13" ht="15" customHeight="1" x14ac:dyDescent="0.25">
      <c r="A51" s="9">
        <v>47</v>
      </c>
      <c r="B51" s="3" t="s">
        <v>336</v>
      </c>
      <c r="C51" s="8">
        <v>206</v>
      </c>
      <c r="D51" s="8">
        <v>169871.06000000006</v>
      </c>
      <c r="E51" s="8">
        <v>90</v>
      </c>
      <c r="F51" s="8">
        <v>58273.58</v>
      </c>
      <c r="G51" s="8">
        <v>4</v>
      </c>
      <c r="H51" s="8">
        <v>22906.63</v>
      </c>
      <c r="I51" s="8">
        <v>102</v>
      </c>
      <c r="J51" s="8">
        <v>80423.939999999988</v>
      </c>
      <c r="K51" s="8">
        <v>10</v>
      </c>
      <c r="L51" s="8">
        <v>8266.91</v>
      </c>
      <c r="M51" s="23">
        <v>7510.6399999999849</v>
      </c>
    </row>
    <row r="52" spans="1:13" ht="15" customHeight="1" x14ac:dyDescent="0.25">
      <c r="A52" s="9">
        <v>48</v>
      </c>
      <c r="B52" s="3" t="s">
        <v>347</v>
      </c>
      <c r="C52" s="8">
        <v>217</v>
      </c>
      <c r="D52" s="8">
        <v>159235.74999999997</v>
      </c>
      <c r="E52" s="8">
        <v>90</v>
      </c>
      <c r="F52" s="8">
        <v>56897.749999999978</v>
      </c>
      <c r="G52" s="8">
        <v>18</v>
      </c>
      <c r="H52" s="8">
        <v>12628.390000000001</v>
      </c>
      <c r="I52" s="8">
        <v>79</v>
      </c>
      <c r="J52" s="8">
        <v>57001.929999999993</v>
      </c>
      <c r="K52" s="8">
        <v>30</v>
      </c>
      <c r="L52" s="8">
        <v>32707.68</v>
      </c>
      <c r="M52" s="23">
        <v>20183.47</v>
      </c>
    </row>
    <row r="53" spans="1:13" ht="15" customHeight="1" x14ac:dyDescent="0.25">
      <c r="A53" s="9">
        <v>49</v>
      </c>
      <c r="B53" s="3" t="s">
        <v>313</v>
      </c>
      <c r="C53" s="8">
        <v>229</v>
      </c>
      <c r="D53" s="8">
        <v>156648.33000000002</v>
      </c>
      <c r="E53" s="8">
        <v>116</v>
      </c>
      <c r="F53" s="8">
        <v>39190.460000000006</v>
      </c>
      <c r="G53" s="8">
        <v>13</v>
      </c>
      <c r="H53" s="8">
        <v>10811.17</v>
      </c>
      <c r="I53" s="8">
        <v>79</v>
      </c>
      <c r="J53" s="8">
        <v>82597.700000000012</v>
      </c>
      <c r="K53" s="8">
        <v>21</v>
      </c>
      <c r="L53" s="8">
        <v>24049</v>
      </c>
      <c r="M53" s="23">
        <v>56645.070000000007</v>
      </c>
    </row>
    <row r="54" spans="1:13" ht="15" customHeight="1" x14ac:dyDescent="0.25">
      <c r="A54" s="9">
        <v>50</v>
      </c>
      <c r="B54" s="3" t="s">
        <v>322</v>
      </c>
      <c r="C54" s="8">
        <v>540</v>
      </c>
      <c r="D54" s="8">
        <v>139700.72000000009</v>
      </c>
      <c r="E54" s="8">
        <v>262</v>
      </c>
      <c r="F54" s="8">
        <v>47404.71</v>
      </c>
      <c r="G54" s="8">
        <v>17</v>
      </c>
      <c r="H54" s="8">
        <v>10437.99</v>
      </c>
      <c r="I54" s="8">
        <v>234</v>
      </c>
      <c r="J54" s="8">
        <v>65995.149999999965</v>
      </c>
      <c r="K54" s="8">
        <v>27</v>
      </c>
      <c r="L54" s="8">
        <v>15862.87</v>
      </c>
      <c r="M54" s="23">
        <v>24015.319999999963</v>
      </c>
    </row>
    <row r="55" spans="1:13" ht="15" customHeight="1" x14ac:dyDescent="0.25">
      <c r="A55" s="9">
        <v>51</v>
      </c>
      <c r="B55" s="3" t="s">
        <v>331</v>
      </c>
      <c r="C55" s="8">
        <v>241</v>
      </c>
      <c r="D55" s="8">
        <v>127399.98999999996</v>
      </c>
      <c r="E55" s="8">
        <v>101</v>
      </c>
      <c r="F55" s="8">
        <v>64472.45</v>
      </c>
      <c r="G55" s="8">
        <v>3</v>
      </c>
      <c r="H55" s="8">
        <v>850</v>
      </c>
      <c r="I55" s="8">
        <v>135</v>
      </c>
      <c r="J55" s="8">
        <v>61092.54</v>
      </c>
      <c r="K55" s="8">
        <v>2</v>
      </c>
      <c r="L55" s="8">
        <v>985</v>
      </c>
      <c r="M55" s="23">
        <v>-3244.9099999999962</v>
      </c>
    </row>
    <row r="56" spans="1:13" ht="15" customHeight="1" x14ac:dyDescent="0.25">
      <c r="A56" s="9">
        <v>52</v>
      </c>
      <c r="B56" s="3" t="s">
        <v>346</v>
      </c>
      <c r="C56" s="8">
        <v>172</v>
      </c>
      <c r="D56" s="8">
        <v>127128.78000000003</v>
      </c>
      <c r="E56" s="8">
        <v>100</v>
      </c>
      <c r="F56" s="8">
        <v>79319.77</v>
      </c>
      <c r="G56" s="8"/>
      <c r="H56" s="8"/>
      <c r="I56" s="8">
        <v>72</v>
      </c>
      <c r="J56" s="8">
        <v>47809.009999999995</v>
      </c>
      <c r="K56" s="8"/>
      <c r="L56" s="8"/>
      <c r="M56" s="23">
        <v>-31510.760000000009</v>
      </c>
    </row>
    <row r="57" spans="1:13" ht="15" customHeight="1" x14ac:dyDescent="0.25">
      <c r="A57" s="9">
        <v>53</v>
      </c>
      <c r="B57" s="3" t="s">
        <v>333</v>
      </c>
      <c r="C57" s="8">
        <v>326</v>
      </c>
      <c r="D57" s="8">
        <v>114452.09999999993</v>
      </c>
      <c r="E57" s="8">
        <v>184</v>
      </c>
      <c r="F57" s="8">
        <v>60639.230000000032</v>
      </c>
      <c r="G57" s="8">
        <v>4</v>
      </c>
      <c r="H57" s="8">
        <v>1930.71</v>
      </c>
      <c r="I57" s="8">
        <v>134</v>
      </c>
      <c r="J57" s="8">
        <v>48693.909999999996</v>
      </c>
      <c r="K57" s="8">
        <v>4</v>
      </c>
      <c r="L57" s="8">
        <v>3188.25</v>
      </c>
      <c r="M57" s="23">
        <v>-10687.780000000035</v>
      </c>
    </row>
    <row r="58" spans="1:13" ht="15" customHeight="1" x14ac:dyDescent="0.25">
      <c r="A58" s="9">
        <v>54</v>
      </c>
      <c r="B58" s="3" t="s">
        <v>366</v>
      </c>
      <c r="C58" s="8">
        <v>136</v>
      </c>
      <c r="D58" s="8">
        <v>86068.57</v>
      </c>
      <c r="E58" s="8">
        <v>53</v>
      </c>
      <c r="F58" s="8">
        <v>28811.829999999994</v>
      </c>
      <c r="G58" s="8">
        <v>11</v>
      </c>
      <c r="H58" s="8">
        <v>14614.260000000002</v>
      </c>
      <c r="I58" s="8">
        <v>62</v>
      </c>
      <c r="J58" s="8">
        <v>27435.15</v>
      </c>
      <c r="K58" s="8">
        <v>10</v>
      </c>
      <c r="L58" s="8">
        <v>15207.330000000002</v>
      </c>
      <c r="M58" s="23">
        <v>-783.60999999999331</v>
      </c>
    </row>
    <row r="59" spans="1:13" ht="15" customHeight="1" x14ac:dyDescent="0.25">
      <c r="A59" s="9">
        <v>55</v>
      </c>
      <c r="B59" s="3" t="s">
        <v>379</v>
      </c>
      <c r="C59" s="8">
        <v>100</v>
      </c>
      <c r="D59" s="8">
        <v>83231.320000000007</v>
      </c>
      <c r="E59" s="8">
        <v>10</v>
      </c>
      <c r="F59" s="8">
        <v>3527.21</v>
      </c>
      <c r="G59" s="8">
        <v>35</v>
      </c>
      <c r="H59" s="8">
        <v>30983.480000000003</v>
      </c>
      <c r="I59" s="8">
        <v>8</v>
      </c>
      <c r="J59" s="8">
        <v>1130.8800000000001</v>
      </c>
      <c r="K59" s="8">
        <v>47</v>
      </c>
      <c r="L59" s="8">
        <v>47589.750000000007</v>
      </c>
      <c r="M59" s="23">
        <v>14209.940000000002</v>
      </c>
    </row>
    <row r="60" spans="1:13" ht="15" customHeight="1" x14ac:dyDescent="0.25">
      <c r="A60" s="9">
        <v>56</v>
      </c>
      <c r="B60" s="3" t="s">
        <v>326</v>
      </c>
      <c r="C60" s="8">
        <v>211</v>
      </c>
      <c r="D60" s="8">
        <v>78977.249999999971</v>
      </c>
      <c r="E60" s="8">
        <v>126</v>
      </c>
      <c r="F60" s="8">
        <v>43184.349999999969</v>
      </c>
      <c r="G60" s="8">
        <v>1</v>
      </c>
      <c r="H60" s="8">
        <v>50.2</v>
      </c>
      <c r="I60" s="8">
        <v>84</v>
      </c>
      <c r="J60" s="8">
        <v>35742.700000000004</v>
      </c>
      <c r="K60" s="8"/>
      <c r="L60" s="8"/>
      <c r="M60" s="23">
        <v>-7491.8499999999622</v>
      </c>
    </row>
    <row r="61" spans="1:13" ht="15" customHeight="1" x14ac:dyDescent="0.25">
      <c r="A61" s="9">
        <v>57</v>
      </c>
      <c r="B61" s="3" t="s">
        <v>359</v>
      </c>
      <c r="C61" s="8">
        <v>99</v>
      </c>
      <c r="D61" s="8">
        <v>77387.16</v>
      </c>
      <c r="E61" s="8">
        <v>53</v>
      </c>
      <c r="F61" s="8">
        <v>43819.95</v>
      </c>
      <c r="G61" s="8">
        <v>7</v>
      </c>
      <c r="H61" s="8">
        <v>9399.39</v>
      </c>
      <c r="I61" s="8">
        <v>32</v>
      </c>
      <c r="J61" s="8">
        <v>20660.98</v>
      </c>
      <c r="K61" s="8">
        <v>7</v>
      </c>
      <c r="L61" s="8">
        <v>3506.84</v>
      </c>
      <c r="M61" s="23">
        <v>-29051.519999999997</v>
      </c>
    </row>
    <row r="62" spans="1:13" ht="15" customHeight="1" x14ac:dyDescent="0.25">
      <c r="A62" s="9">
        <v>58</v>
      </c>
      <c r="B62" s="3" t="s">
        <v>358</v>
      </c>
      <c r="C62" s="8">
        <v>102</v>
      </c>
      <c r="D62" s="8">
        <v>76168.829999999987</v>
      </c>
      <c r="E62" s="8">
        <v>58</v>
      </c>
      <c r="F62" s="8">
        <v>33562.749999999993</v>
      </c>
      <c r="G62" s="8">
        <v>1</v>
      </c>
      <c r="H62" s="8">
        <v>197</v>
      </c>
      <c r="I62" s="8">
        <v>39</v>
      </c>
      <c r="J62" s="8">
        <v>26856.79</v>
      </c>
      <c r="K62" s="8">
        <v>4</v>
      </c>
      <c r="L62" s="8">
        <v>15552.29</v>
      </c>
      <c r="M62" s="23">
        <v>8649.330000000009</v>
      </c>
    </row>
    <row r="63" spans="1:13" ht="15" customHeight="1" x14ac:dyDescent="0.25">
      <c r="A63" s="9">
        <v>59</v>
      </c>
      <c r="B63" s="3" t="s">
        <v>428</v>
      </c>
      <c r="C63" s="8">
        <v>40</v>
      </c>
      <c r="D63" s="8">
        <v>70442.240000000005</v>
      </c>
      <c r="E63" s="8"/>
      <c r="F63" s="8"/>
      <c r="G63" s="8">
        <v>5</v>
      </c>
      <c r="H63" s="8">
        <v>9040.8799999999992</v>
      </c>
      <c r="I63" s="8">
        <v>1</v>
      </c>
      <c r="J63" s="8">
        <v>447.90000000000003</v>
      </c>
      <c r="K63" s="8">
        <v>34</v>
      </c>
      <c r="L63" s="8">
        <v>60953.46</v>
      </c>
      <c r="M63" s="23">
        <v>52360.480000000003</v>
      </c>
    </row>
    <row r="64" spans="1:13" ht="15" customHeight="1" x14ac:dyDescent="0.25">
      <c r="A64" s="9">
        <v>60</v>
      </c>
      <c r="B64" s="3" t="s">
        <v>352</v>
      </c>
      <c r="C64" s="8">
        <v>78</v>
      </c>
      <c r="D64" s="8">
        <v>68374.5</v>
      </c>
      <c r="E64" s="8">
        <v>34</v>
      </c>
      <c r="F64" s="8">
        <v>13497.43</v>
      </c>
      <c r="G64" s="8">
        <v>3</v>
      </c>
      <c r="H64" s="8">
        <v>12345</v>
      </c>
      <c r="I64" s="8">
        <v>25</v>
      </c>
      <c r="J64" s="8">
        <v>4729.58</v>
      </c>
      <c r="K64" s="8">
        <v>16</v>
      </c>
      <c r="L64" s="8">
        <v>37802.49</v>
      </c>
      <c r="M64" s="23">
        <v>16689.64</v>
      </c>
    </row>
    <row r="65" spans="1:13" ht="15" customHeight="1" x14ac:dyDescent="0.25">
      <c r="A65" s="9">
        <v>61</v>
      </c>
      <c r="B65" s="3" t="s">
        <v>345</v>
      </c>
      <c r="C65" s="8">
        <v>70</v>
      </c>
      <c r="D65" s="8">
        <v>65805.959999999992</v>
      </c>
      <c r="E65" s="8">
        <v>43</v>
      </c>
      <c r="F65" s="8">
        <v>21205.59</v>
      </c>
      <c r="G65" s="8">
        <v>4</v>
      </c>
      <c r="H65" s="8">
        <v>6200</v>
      </c>
      <c r="I65" s="8">
        <v>17</v>
      </c>
      <c r="J65" s="8">
        <v>16082.26</v>
      </c>
      <c r="K65" s="8">
        <v>6</v>
      </c>
      <c r="L65" s="8">
        <v>22318.11</v>
      </c>
      <c r="M65" s="23">
        <v>10994.780000000002</v>
      </c>
    </row>
    <row r="66" spans="1:13" ht="15" customHeight="1" x14ac:dyDescent="0.25">
      <c r="A66" s="9">
        <v>62</v>
      </c>
      <c r="B66" s="3" t="s">
        <v>349</v>
      </c>
      <c r="C66" s="8">
        <v>50</v>
      </c>
      <c r="D66" s="8">
        <v>49750.07</v>
      </c>
      <c r="E66" s="8">
        <v>24</v>
      </c>
      <c r="F66" s="8">
        <v>23117.020000000004</v>
      </c>
      <c r="G66" s="8"/>
      <c r="H66" s="8"/>
      <c r="I66" s="8">
        <v>26</v>
      </c>
      <c r="J66" s="8">
        <v>26633.050000000003</v>
      </c>
      <c r="K66" s="8"/>
      <c r="L66" s="8"/>
      <c r="M66" s="23">
        <v>3516.0299999999988</v>
      </c>
    </row>
    <row r="67" spans="1:13" ht="15" customHeight="1" x14ac:dyDescent="0.25">
      <c r="A67" s="9">
        <v>63</v>
      </c>
      <c r="B67" s="3" t="s">
        <v>460</v>
      </c>
      <c r="C67" s="8">
        <v>22</v>
      </c>
      <c r="D67" s="8">
        <v>44940</v>
      </c>
      <c r="E67" s="8">
        <v>5</v>
      </c>
      <c r="F67" s="8">
        <v>6450</v>
      </c>
      <c r="G67" s="8"/>
      <c r="H67" s="8"/>
      <c r="I67" s="8">
        <v>13</v>
      </c>
      <c r="J67" s="8">
        <v>18360</v>
      </c>
      <c r="K67" s="8">
        <v>4</v>
      </c>
      <c r="L67" s="8">
        <v>20130</v>
      </c>
      <c r="M67" s="23">
        <v>32040</v>
      </c>
    </row>
    <row r="68" spans="1:13" ht="15" customHeight="1" x14ac:dyDescent="0.25">
      <c r="A68" s="9">
        <v>64</v>
      </c>
      <c r="B68" s="3" t="s">
        <v>351</v>
      </c>
      <c r="C68" s="8">
        <v>86</v>
      </c>
      <c r="D68" s="8">
        <v>41666.39</v>
      </c>
      <c r="E68" s="8">
        <v>59</v>
      </c>
      <c r="F68" s="8">
        <v>25096.91</v>
      </c>
      <c r="G68" s="8"/>
      <c r="H68" s="8"/>
      <c r="I68" s="8">
        <v>27</v>
      </c>
      <c r="J68" s="8">
        <v>16569.48</v>
      </c>
      <c r="K68" s="8"/>
      <c r="L68" s="8"/>
      <c r="M68" s="23">
        <v>-8527.43</v>
      </c>
    </row>
    <row r="69" spans="1:13" ht="15" customHeight="1" x14ac:dyDescent="0.25">
      <c r="A69" s="9">
        <v>65</v>
      </c>
      <c r="B69" s="3" t="s">
        <v>334</v>
      </c>
      <c r="C69" s="8">
        <v>136</v>
      </c>
      <c r="D69" s="8">
        <v>41484.869999999988</v>
      </c>
      <c r="E69" s="8">
        <v>49</v>
      </c>
      <c r="F69" s="8">
        <v>18145.789999999994</v>
      </c>
      <c r="G69" s="8">
        <v>3</v>
      </c>
      <c r="H69" s="8">
        <v>210</v>
      </c>
      <c r="I69" s="8">
        <v>79</v>
      </c>
      <c r="J69" s="8">
        <v>22999.079999999998</v>
      </c>
      <c r="K69" s="8">
        <v>5</v>
      </c>
      <c r="L69" s="8">
        <v>130</v>
      </c>
      <c r="M69" s="23">
        <v>4773.2900000000045</v>
      </c>
    </row>
    <row r="70" spans="1:13" ht="15" customHeight="1" x14ac:dyDescent="0.25">
      <c r="A70" s="9">
        <v>66</v>
      </c>
      <c r="B70" s="3" t="s">
        <v>385</v>
      </c>
      <c r="C70" s="8">
        <v>73</v>
      </c>
      <c r="D70" s="8">
        <v>41424.33</v>
      </c>
      <c r="E70" s="8">
        <v>10</v>
      </c>
      <c r="F70" s="8">
        <v>7918.58</v>
      </c>
      <c r="G70" s="8">
        <v>28</v>
      </c>
      <c r="H70" s="8">
        <v>9008.58</v>
      </c>
      <c r="I70" s="8">
        <v>7</v>
      </c>
      <c r="J70" s="8">
        <v>2744.3199999999997</v>
      </c>
      <c r="K70" s="8">
        <v>28</v>
      </c>
      <c r="L70" s="8">
        <v>21752.850000000002</v>
      </c>
      <c r="M70" s="23">
        <v>7570.010000000002</v>
      </c>
    </row>
    <row r="71" spans="1:13" ht="15" customHeight="1" x14ac:dyDescent="0.25">
      <c r="A71" s="9">
        <v>67</v>
      </c>
      <c r="B71" s="3" t="s">
        <v>384</v>
      </c>
      <c r="C71" s="8">
        <v>22</v>
      </c>
      <c r="D71" s="8">
        <v>39050.199999999997</v>
      </c>
      <c r="E71" s="8">
        <v>8</v>
      </c>
      <c r="F71" s="8">
        <v>1904.37</v>
      </c>
      <c r="G71" s="8">
        <v>6</v>
      </c>
      <c r="H71" s="8">
        <v>16036</v>
      </c>
      <c r="I71" s="8">
        <v>6</v>
      </c>
      <c r="J71" s="8">
        <v>11109.829999999998</v>
      </c>
      <c r="K71" s="8">
        <v>2</v>
      </c>
      <c r="L71" s="8">
        <v>10000</v>
      </c>
      <c r="M71" s="23">
        <v>3169.4599999999991</v>
      </c>
    </row>
    <row r="72" spans="1:13" ht="15" customHeight="1" x14ac:dyDescent="0.25">
      <c r="A72" s="9">
        <v>68</v>
      </c>
      <c r="B72" s="3" t="s">
        <v>356</v>
      </c>
      <c r="C72" s="8">
        <v>82</v>
      </c>
      <c r="D72" s="8">
        <v>36628.050000000003</v>
      </c>
      <c r="E72" s="8">
        <v>39</v>
      </c>
      <c r="F72" s="8">
        <v>11278.150000000003</v>
      </c>
      <c r="G72" s="8"/>
      <c r="H72" s="8"/>
      <c r="I72" s="8">
        <v>39</v>
      </c>
      <c r="J72" s="8">
        <v>9530.4299999999985</v>
      </c>
      <c r="K72" s="8">
        <v>4</v>
      </c>
      <c r="L72" s="8">
        <v>15819.47</v>
      </c>
      <c r="M72" s="23">
        <v>14071.749999999995</v>
      </c>
    </row>
    <row r="73" spans="1:13" ht="15" customHeight="1" x14ac:dyDescent="0.25">
      <c r="A73" s="9">
        <v>69</v>
      </c>
      <c r="B73" s="3" t="s">
        <v>372</v>
      </c>
      <c r="C73" s="8">
        <v>77</v>
      </c>
      <c r="D73" s="8">
        <v>32295.820000000007</v>
      </c>
      <c r="E73" s="8">
        <v>39</v>
      </c>
      <c r="F73" s="8">
        <v>15968.010000000002</v>
      </c>
      <c r="G73" s="8">
        <v>3</v>
      </c>
      <c r="H73" s="8">
        <v>1011.41</v>
      </c>
      <c r="I73" s="8">
        <v>34</v>
      </c>
      <c r="J73" s="8">
        <v>14815.91</v>
      </c>
      <c r="K73" s="8">
        <v>1</v>
      </c>
      <c r="L73" s="8">
        <v>500.49</v>
      </c>
      <c r="M73" s="23">
        <v>-1663.0200000000023</v>
      </c>
    </row>
    <row r="74" spans="1:13" ht="15" customHeight="1" x14ac:dyDescent="0.25">
      <c r="A74" s="9">
        <v>70</v>
      </c>
      <c r="B74" s="3" t="s">
        <v>360</v>
      </c>
      <c r="C74" s="8">
        <v>66</v>
      </c>
      <c r="D74" s="8">
        <v>31811.450000000004</v>
      </c>
      <c r="E74" s="8">
        <v>46</v>
      </c>
      <c r="F74" s="8">
        <v>18606.770000000004</v>
      </c>
      <c r="G74" s="8">
        <v>1</v>
      </c>
      <c r="H74" s="8">
        <v>1000</v>
      </c>
      <c r="I74" s="8">
        <v>18</v>
      </c>
      <c r="J74" s="8">
        <v>12127.42</v>
      </c>
      <c r="K74" s="8">
        <v>1</v>
      </c>
      <c r="L74" s="8">
        <v>77.260000000000005</v>
      </c>
      <c r="M74" s="23">
        <v>-7402.0900000000038</v>
      </c>
    </row>
    <row r="75" spans="1:13" ht="15" customHeight="1" x14ac:dyDescent="0.25">
      <c r="A75" s="9">
        <v>71</v>
      </c>
      <c r="B75" s="3" t="s">
        <v>353</v>
      </c>
      <c r="C75" s="8">
        <v>26</v>
      </c>
      <c r="D75" s="8">
        <v>29810.03</v>
      </c>
      <c r="E75" s="8">
        <v>17</v>
      </c>
      <c r="F75" s="8">
        <v>14829.279999999999</v>
      </c>
      <c r="G75" s="8"/>
      <c r="H75" s="8"/>
      <c r="I75" s="8">
        <v>9</v>
      </c>
      <c r="J75" s="8">
        <v>14980.75</v>
      </c>
      <c r="K75" s="8"/>
      <c r="L75" s="8"/>
      <c r="M75" s="23">
        <v>151.47000000000116</v>
      </c>
    </row>
    <row r="76" spans="1:13" ht="15" customHeight="1" x14ac:dyDescent="0.25">
      <c r="A76" s="9">
        <v>72</v>
      </c>
      <c r="B76" s="3" t="s">
        <v>355</v>
      </c>
      <c r="C76" s="8">
        <v>60</v>
      </c>
      <c r="D76" s="8">
        <v>27317.819999999989</v>
      </c>
      <c r="E76" s="8">
        <v>9</v>
      </c>
      <c r="F76" s="8">
        <v>3386.0199999999995</v>
      </c>
      <c r="G76" s="8"/>
      <c r="H76" s="8"/>
      <c r="I76" s="8">
        <v>51</v>
      </c>
      <c r="J76" s="8">
        <v>23931.799999999992</v>
      </c>
      <c r="K76" s="8"/>
      <c r="L76" s="8"/>
      <c r="M76" s="23">
        <v>20545.779999999992</v>
      </c>
    </row>
    <row r="77" spans="1:13" ht="15" customHeight="1" x14ac:dyDescent="0.25">
      <c r="A77" s="9">
        <v>73</v>
      </c>
      <c r="B77" s="3" t="s">
        <v>370</v>
      </c>
      <c r="C77" s="8">
        <v>29</v>
      </c>
      <c r="D77" s="8">
        <v>27286.860000000004</v>
      </c>
      <c r="E77" s="8">
        <v>23</v>
      </c>
      <c r="F77" s="8">
        <v>18689.91</v>
      </c>
      <c r="G77" s="8">
        <v>1</v>
      </c>
      <c r="H77" s="8">
        <v>500</v>
      </c>
      <c r="I77" s="8">
        <v>4</v>
      </c>
      <c r="J77" s="8">
        <v>7790.9400000000005</v>
      </c>
      <c r="K77" s="8">
        <v>1</v>
      </c>
      <c r="L77" s="8">
        <v>306.01</v>
      </c>
      <c r="M77" s="23">
        <v>-11092.96</v>
      </c>
    </row>
    <row r="78" spans="1:13" ht="15" customHeight="1" x14ac:dyDescent="0.25">
      <c r="A78" s="9">
        <v>74</v>
      </c>
      <c r="B78" s="3" t="s">
        <v>361</v>
      </c>
      <c r="C78" s="8">
        <v>50</v>
      </c>
      <c r="D78" s="8">
        <v>25544.940000000002</v>
      </c>
      <c r="E78" s="8">
        <v>38</v>
      </c>
      <c r="F78" s="8">
        <v>7986.08</v>
      </c>
      <c r="G78" s="8"/>
      <c r="H78" s="8"/>
      <c r="I78" s="8">
        <v>8</v>
      </c>
      <c r="J78" s="8">
        <v>3174.79</v>
      </c>
      <c r="K78" s="8">
        <v>4</v>
      </c>
      <c r="L78" s="8">
        <v>14384.070000000002</v>
      </c>
      <c r="M78" s="23">
        <v>9572.7800000000007</v>
      </c>
    </row>
    <row r="79" spans="1:13" ht="15" customHeight="1" x14ac:dyDescent="0.25">
      <c r="A79" s="9">
        <v>75</v>
      </c>
      <c r="B79" s="3" t="s">
        <v>378</v>
      </c>
      <c r="C79" s="8">
        <v>68</v>
      </c>
      <c r="D79" s="8">
        <v>25311.589999999997</v>
      </c>
      <c r="E79" s="8">
        <v>21</v>
      </c>
      <c r="F79" s="8">
        <v>4996.1000000000004</v>
      </c>
      <c r="G79" s="8">
        <v>3</v>
      </c>
      <c r="H79" s="8">
        <v>385</v>
      </c>
      <c r="I79" s="8">
        <v>37</v>
      </c>
      <c r="J79" s="8">
        <v>17343.46</v>
      </c>
      <c r="K79" s="8">
        <v>7</v>
      </c>
      <c r="L79" s="8">
        <v>2587.0299999999997</v>
      </c>
      <c r="M79" s="23">
        <v>14549.389999999998</v>
      </c>
    </row>
    <row r="80" spans="1:13" ht="15" customHeight="1" x14ac:dyDescent="0.25">
      <c r="A80" s="9">
        <v>76</v>
      </c>
      <c r="B80" s="3" t="s">
        <v>377</v>
      </c>
      <c r="C80" s="8">
        <v>46</v>
      </c>
      <c r="D80" s="8">
        <v>24586.080000000005</v>
      </c>
      <c r="E80" s="8">
        <v>27</v>
      </c>
      <c r="F80" s="8">
        <v>14566.510000000002</v>
      </c>
      <c r="G80" s="8">
        <v>2</v>
      </c>
      <c r="H80" s="8">
        <v>155</v>
      </c>
      <c r="I80" s="8">
        <v>17</v>
      </c>
      <c r="J80" s="8">
        <v>9864.57</v>
      </c>
      <c r="K80" s="8"/>
      <c r="L80" s="8"/>
      <c r="M80" s="23">
        <v>-4856.9400000000023</v>
      </c>
    </row>
    <row r="81" spans="1:13" ht="15" customHeight="1" x14ac:dyDescent="0.25">
      <c r="A81" s="9">
        <v>77</v>
      </c>
      <c r="B81" s="3" t="s">
        <v>395</v>
      </c>
      <c r="C81" s="8">
        <v>49</v>
      </c>
      <c r="D81" s="8">
        <v>24482.400000000001</v>
      </c>
      <c r="E81" s="8">
        <v>18</v>
      </c>
      <c r="F81" s="8">
        <v>6915.6699999999992</v>
      </c>
      <c r="G81" s="8">
        <v>7</v>
      </c>
      <c r="H81" s="8">
        <v>1901.19</v>
      </c>
      <c r="I81" s="8">
        <v>8</v>
      </c>
      <c r="J81" s="8">
        <v>2655.5099999999998</v>
      </c>
      <c r="K81" s="8">
        <v>16</v>
      </c>
      <c r="L81" s="8">
        <v>13010.03</v>
      </c>
      <c r="M81" s="23">
        <v>6848.6800000000021</v>
      </c>
    </row>
    <row r="82" spans="1:13" ht="15" customHeight="1" x14ac:dyDescent="0.25">
      <c r="A82" s="9">
        <v>78</v>
      </c>
      <c r="B82" s="3" t="s">
        <v>456</v>
      </c>
      <c r="C82" s="8">
        <v>1</v>
      </c>
      <c r="D82" s="8">
        <v>23079</v>
      </c>
      <c r="E82" s="8"/>
      <c r="F82" s="8"/>
      <c r="G82" s="8">
        <v>1</v>
      </c>
      <c r="H82" s="8">
        <v>23079</v>
      </c>
      <c r="I82" s="8"/>
      <c r="J82" s="8"/>
      <c r="K82" s="8"/>
      <c r="L82" s="8"/>
      <c r="M82" s="23">
        <v>-23079</v>
      </c>
    </row>
    <row r="83" spans="1:13" ht="15" customHeight="1" x14ac:dyDescent="0.25">
      <c r="A83" s="9">
        <v>79</v>
      </c>
      <c r="B83" s="3" t="s">
        <v>342</v>
      </c>
      <c r="C83" s="8">
        <v>54</v>
      </c>
      <c r="D83" s="8">
        <v>22012.070000000003</v>
      </c>
      <c r="E83" s="8">
        <v>33</v>
      </c>
      <c r="F83" s="8">
        <v>13621.06</v>
      </c>
      <c r="G83" s="8">
        <v>1</v>
      </c>
      <c r="H83" s="8">
        <v>205.73000000000002</v>
      </c>
      <c r="I83" s="8">
        <v>19</v>
      </c>
      <c r="J83" s="8">
        <v>5739.5300000000007</v>
      </c>
      <c r="K83" s="8">
        <v>1</v>
      </c>
      <c r="L83" s="8">
        <v>2445.75</v>
      </c>
      <c r="M83" s="23">
        <v>-5641.5099999999984</v>
      </c>
    </row>
    <row r="84" spans="1:13" ht="15" customHeight="1" x14ac:dyDescent="0.25">
      <c r="A84" s="9">
        <v>80</v>
      </c>
      <c r="B84" s="3" t="s">
        <v>367</v>
      </c>
      <c r="C84" s="8">
        <v>20</v>
      </c>
      <c r="D84" s="8">
        <v>21205.820000000003</v>
      </c>
      <c r="E84" s="8">
        <v>9</v>
      </c>
      <c r="F84" s="8">
        <v>9800.1200000000008</v>
      </c>
      <c r="G84" s="8"/>
      <c r="H84" s="8"/>
      <c r="I84" s="8">
        <v>11</v>
      </c>
      <c r="J84" s="8">
        <v>11405.7</v>
      </c>
      <c r="K84" s="8"/>
      <c r="L84" s="8"/>
      <c r="M84" s="23">
        <v>1605.58</v>
      </c>
    </row>
    <row r="85" spans="1:13" ht="15" customHeight="1" x14ac:dyDescent="0.25">
      <c r="A85" s="9">
        <v>81</v>
      </c>
      <c r="B85" s="3" t="s">
        <v>424</v>
      </c>
      <c r="C85" s="8">
        <v>19</v>
      </c>
      <c r="D85" s="8">
        <v>19809</v>
      </c>
      <c r="E85" s="8"/>
      <c r="F85" s="8"/>
      <c r="G85" s="8">
        <v>4</v>
      </c>
      <c r="H85" s="8">
        <v>1929</v>
      </c>
      <c r="I85" s="8">
        <v>11</v>
      </c>
      <c r="J85" s="8">
        <v>16917</v>
      </c>
      <c r="K85" s="8">
        <v>4</v>
      </c>
      <c r="L85" s="8">
        <v>963</v>
      </c>
      <c r="M85" s="23">
        <v>15951</v>
      </c>
    </row>
    <row r="86" spans="1:13" ht="15" customHeight="1" x14ac:dyDescent="0.25">
      <c r="A86" s="9">
        <v>82</v>
      </c>
      <c r="B86" s="3" t="s">
        <v>365</v>
      </c>
      <c r="C86" s="8">
        <v>10</v>
      </c>
      <c r="D86" s="8">
        <v>12547.92</v>
      </c>
      <c r="E86" s="8">
        <v>2</v>
      </c>
      <c r="F86" s="8">
        <v>368.98</v>
      </c>
      <c r="G86" s="8">
        <v>1</v>
      </c>
      <c r="H86" s="8">
        <v>6000</v>
      </c>
      <c r="I86" s="8">
        <v>7</v>
      </c>
      <c r="J86" s="8">
        <v>6178.9400000000005</v>
      </c>
      <c r="K86" s="8"/>
      <c r="L86" s="8"/>
      <c r="M86" s="23">
        <v>-190.03999999999905</v>
      </c>
    </row>
    <row r="87" spans="1:13" ht="15" customHeight="1" x14ac:dyDescent="0.25">
      <c r="A87" s="9">
        <v>83</v>
      </c>
      <c r="B87" s="3" t="s">
        <v>393</v>
      </c>
      <c r="C87" s="8">
        <v>22</v>
      </c>
      <c r="D87" s="8">
        <v>11855.590000000002</v>
      </c>
      <c r="E87" s="8">
        <v>3</v>
      </c>
      <c r="F87" s="8">
        <v>1812.24</v>
      </c>
      <c r="G87" s="8">
        <v>8</v>
      </c>
      <c r="H87" s="8">
        <v>763.42000000000007</v>
      </c>
      <c r="I87" s="8">
        <v>7</v>
      </c>
      <c r="J87" s="8">
        <v>8167.06</v>
      </c>
      <c r="K87" s="8">
        <v>4</v>
      </c>
      <c r="L87" s="8">
        <v>1112.8699999999999</v>
      </c>
      <c r="M87" s="23">
        <v>6704.27</v>
      </c>
    </row>
    <row r="88" spans="1:13" ht="15" customHeight="1" x14ac:dyDescent="0.25">
      <c r="A88" s="9">
        <v>84</v>
      </c>
      <c r="B88" s="3" t="s">
        <v>383</v>
      </c>
      <c r="C88" s="8">
        <v>17</v>
      </c>
      <c r="D88" s="8">
        <v>10984.089999999997</v>
      </c>
      <c r="E88" s="8">
        <v>13</v>
      </c>
      <c r="F88" s="8">
        <v>9751.56</v>
      </c>
      <c r="G88" s="8">
        <v>3</v>
      </c>
      <c r="H88" s="8">
        <v>933.6400000000001</v>
      </c>
      <c r="I88" s="8">
        <v>1</v>
      </c>
      <c r="J88" s="8">
        <v>298.89</v>
      </c>
      <c r="K88" s="8"/>
      <c r="L88" s="8"/>
      <c r="M88" s="23">
        <v>-10386.31</v>
      </c>
    </row>
    <row r="89" spans="1:13" ht="15" customHeight="1" x14ac:dyDescent="0.25">
      <c r="A89" s="9">
        <v>85</v>
      </c>
      <c r="B89" s="3" t="s">
        <v>405</v>
      </c>
      <c r="C89" s="8">
        <v>6</v>
      </c>
      <c r="D89" s="8">
        <v>10692.86</v>
      </c>
      <c r="E89" s="8">
        <v>2</v>
      </c>
      <c r="F89" s="8">
        <v>1097.83</v>
      </c>
      <c r="G89" s="8">
        <v>1</v>
      </c>
      <c r="H89" s="8">
        <v>5066.99</v>
      </c>
      <c r="I89" s="8">
        <v>2</v>
      </c>
      <c r="J89" s="8">
        <v>1513.95</v>
      </c>
      <c r="K89" s="8">
        <v>1</v>
      </c>
      <c r="L89" s="8">
        <v>3014.09</v>
      </c>
      <c r="M89" s="23">
        <v>-1636.7799999999997</v>
      </c>
    </row>
    <row r="90" spans="1:13" ht="15" customHeight="1" x14ac:dyDescent="0.25">
      <c r="A90" s="9">
        <v>86</v>
      </c>
      <c r="B90" s="3" t="s">
        <v>371</v>
      </c>
      <c r="C90" s="8">
        <v>25</v>
      </c>
      <c r="D90" s="8">
        <v>9703.42</v>
      </c>
      <c r="E90" s="8">
        <v>7</v>
      </c>
      <c r="F90" s="8">
        <v>5550</v>
      </c>
      <c r="G90" s="8">
        <v>6</v>
      </c>
      <c r="H90" s="8">
        <v>1000.89</v>
      </c>
      <c r="I90" s="8">
        <v>2</v>
      </c>
      <c r="J90" s="8">
        <v>199.59</v>
      </c>
      <c r="K90" s="8">
        <v>10</v>
      </c>
      <c r="L90" s="8">
        <v>2952.94</v>
      </c>
      <c r="M90" s="23">
        <v>-3398.36</v>
      </c>
    </row>
    <row r="91" spans="1:13" ht="15" customHeight="1" x14ac:dyDescent="0.25">
      <c r="A91" s="9">
        <v>87</v>
      </c>
      <c r="B91" s="3" t="s">
        <v>389</v>
      </c>
      <c r="C91" s="8">
        <v>31</v>
      </c>
      <c r="D91" s="8">
        <v>9694.9800000000014</v>
      </c>
      <c r="E91" s="8">
        <v>10</v>
      </c>
      <c r="F91" s="8">
        <v>1926.4499999999998</v>
      </c>
      <c r="G91" s="8">
        <v>5</v>
      </c>
      <c r="H91" s="8">
        <v>4145</v>
      </c>
      <c r="I91" s="8">
        <v>9</v>
      </c>
      <c r="J91" s="8">
        <v>2731.0400000000004</v>
      </c>
      <c r="K91" s="8">
        <v>7</v>
      </c>
      <c r="L91" s="8">
        <v>892.49</v>
      </c>
      <c r="M91" s="23">
        <v>-2447.9199999999992</v>
      </c>
    </row>
    <row r="92" spans="1:13" ht="15" customHeight="1" x14ac:dyDescent="0.25">
      <c r="A92" s="9">
        <v>88</v>
      </c>
      <c r="B92" s="3" t="s">
        <v>387</v>
      </c>
      <c r="C92" s="8">
        <v>10</v>
      </c>
      <c r="D92" s="8">
        <v>9452.56</v>
      </c>
      <c r="E92" s="8">
        <v>5</v>
      </c>
      <c r="F92" s="8">
        <v>2899.73</v>
      </c>
      <c r="G92" s="8">
        <v>1</v>
      </c>
      <c r="H92" s="8">
        <v>6000</v>
      </c>
      <c r="I92" s="8">
        <v>2</v>
      </c>
      <c r="J92" s="8">
        <v>257.83</v>
      </c>
      <c r="K92" s="8">
        <v>2</v>
      </c>
      <c r="L92" s="8">
        <v>295</v>
      </c>
      <c r="M92" s="23">
        <v>-8346.9</v>
      </c>
    </row>
    <row r="93" spans="1:13" ht="15" customHeight="1" x14ac:dyDescent="0.25">
      <c r="A93" s="9">
        <v>89</v>
      </c>
      <c r="B93" s="3" t="s">
        <v>403</v>
      </c>
      <c r="C93" s="8">
        <v>8</v>
      </c>
      <c r="D93" s="8">
        <v>9399.36</v>
      </c>
      <c r="E93" s="8">
        <v>3</v>
      </c>
      <c r="F93" s="8">
        <v>3262.6</v>
      </c>
      <c r="G93" s="8"/>
      <c r="H93" s="8"/>
      <c r="I93" s="8">
        <v>5</v>
      </c>
      <c r="J93" s="8">
        <v>6136.76</v>
      </c>
      <c r="K93" s="8"/>
      <c r="L93" s="8"/>
      <c r="M93" s="23">
        <v>2874.1600000000003</v>
      </c>
    </row>
    <row r="94" spans="1:13" ht="15" customHeight="1" x14ac:dyDescent="0.25">
      <c r="A94" s="9">
        <v>90</v>
      </c>
      <c r="B94" s="3" t="s">
        <v>399</v>
      </c>
      <c r="C94" s="8">
        <v>27</v>
      </c>
      <c r="D94" s="8">
        <v>9321.68</v>
      </c>
      <c r="E94" s="8">
        <v>13</v>
      </c>
      <c r="F94" s="8">
        <v>5446.74</v>
      </c>
      <c r="G94" s="8">
        <v>1</v>
      </c>
      <c r="H94" s="8">
        <v>249</v>
      </c>
      <c r="I94" s="8">
        <v>11</v>
      </c>
      <c r="J94" s="8">
        <v>2225.94</v>
      </c>
      <c r="K94" s="8">
        <v>2</v>
      </c>
      <c r="L94" s="8">
        <v>1400</v>
      </c>
      <c r="M94" s="23">
        <v>-2069.7999999999997</v>
      </c>
    </row>
    <row r="95" spans="1:13" ht="15" customHeight="1" x14ac:dyDescent="0.25">
      <c r="A95" s="9">
        <v>91</v>
      </c>
      <c r="B95" s="3" t="s">
        <v>363</v>
      </c>
      <c r="C95" s="8">
        <v>22</v>
      </c>
      <c r="D95" s="8">
        <v>9210.7599999999984</v>
      </c>
      <c r="E95" s="8">
        <v>9</v>
      </c>
      <c r="F95" s="8">
        <v>2044.9300000000003</v>
      </c>
      <c r="G95" s="8"/>
      <c r="H95" s="8"/>
      <c r="I95" s="8">
        <v>7</v>
      </c>
      <c r="J95" s="8">
        <v>2943.8300000000004</v>
      </c>
      <c r="K95" s="8">
        <v>6</v>
      </c>
      <c r="L95" s="8">
        <v>4222</v>
      </c>
      <c r="M95" s="23">
        <v>5120.8999999999996</v>
      </c>
    </row>
    <row r="96" spans="1:13" ht="15" customHeight="1" x14ac:dyDescent="0.25">
      <c r="A96" s="9">
        <v>92</v>
      </c>
      <c r="B96" s="3" t="s">
        <v>390</v>
      </c>
      <c r="C96" s="8">
        <v>4</v>
      </c>
      <c r="D96" s="8">
        <v>8848</v>
      </c>
      <c r="E96" s="8">
        <v>2</v>
      </c>
      <c r="F96" s="8">
        <v>8248</v>
      </c>
      <c r="G96" s="8"/>
      <c r="H96" s="8"/>
      <c r="I96" s="8">
        <v>2</v>
      </c>
      <c r="J96" s="8">
        <v>600</v>
      </c>
      <c r="K96" s="8"/>
      <c r="L96" s="8"/>
      <c r="M96" s="23">
        <v>-7648</v>
      </c>
    </row>
    <row r="97" spans="1:13" ht="15" customHeight="1" x14ac:dyDescent="0.25">
      <c r="A97" s="9">
        <v>93</v>
      </c>
      <c r="B97" s="3" t="s">
        <v>374</v>
      </c>
      <c r="C97" s="8">
        <v>18</v>
      </c>
      <c r="D97" s="8">
        <v>8580.1999999999989</v>
      </c>
      <c r="E97" s="8">
        <v>7</v>
      </c>
      <c r="F97" s="8">
        <v>2839.2900000000004</v>
      </c>
      <c r="G97" s="8"/>
      <c r="H97" s="8"/>
      <c r="I97" s="8">
        <v>11</v>
      </c>
      <c r="J97" s="8">
        <v>5740.91</v>
      </c>
      <c r="K97" s="8"/>
      <c r="L97" s="8"/>
      <c r="M97" s="23">
        <v>2901.6199999999994</v>
      </c>
    </row>
    <row r="98" spans="1:13" ht="15" customHeight="1" x14ac:dyDescent="0.25">
      <c r="A98" s="9">
        <v>94</v>
      </c>
      <c r="B98" s="3" t="s">
        <v>337</v>
      </c>
      <c r="C98" s="8">
        <v>19</v>
      </c>
      <c r="D98" s="8">
        <v>8474.89</v>
      </c>
      <c r="E98" s="8">
        <v>15</v>
      </c>
      <c r="F98" s="8">
        <v>5025</v>
      </c>
      <c r="G98" s="8">
        <v>3</v>
      </c>
      <c r="H98" s="8">
        <v>3089.8900000000003</v>
      </c>
      <c r="I98" s="8"/>
      <c r="J98" s="8"/>
      <c r="K98" s="8">
        <v>1</v>
      </c>
      <c r="L98" s="8">
        <v>360</v>
      </c>
      <c r="M98" s="23">
        <v>-7754.89</v>
      </c>
    </row>
    <row r="99" spans="1:13" ht="15" customHeight="1" x14ac:dyDescent="0.25">
      <c r="A99" s="9">
        <v>95</v>
      </c>
      <c r="B99" s="3" t="s">
        <v>380</v>
      </c>
      <c r="C99" s="8">
        <v>11</v>
      </c>
      <c r="D99" s="8">
        <v>7578.66</v>
      </c>
      <c r="E99" s="8">
        <v>6</v>
      </c>
      <c r="F99" s="8">
        <v>3501</v>
      </c>
      <c r="G99" s="8">
        <v>1</v>
      </c>
      <c r="H99" s="8">
        <v>647.66</v>
      </c>
      <c r="I99" s="8">
        <v>4</v>
      </c>
      <c r="J99" s="8">
        <v>3430</v>
      </c>
      <c r="K99" s="8"/>
      <c r="L99" s="8"/>
      <c r="M99" s="23">
        <v>-718.65999999999985</v>
      </c>
    </row>
    <row r="100" spans="1:13" ht="15" customHeight="1" x14ac:dyDescent="0.25">
      <c r="A100" s="9">
        <v>96</v>
      </c>
      <c r="B100" s="3" t="s">
        <v>394</v>
      </c>
      <c r="C100" s="8">
        <v>14</v>
      </c>
      <c r="D100" s="8">
        <v>7306.869999999999</v>
      </c>
      <c r="E100" s="8">
        <v>7</v>
      </c>
      <c r="F100" s="8">
        <v>5073.9699999999993</v>
      </c>
      <c r="G100" s="8">
        <v>1</v>
      </c>
      <c r="H100" s="8">
        <v>589</v>
      </c>
      <c r="I100" s="8">
        <v>5</v>
      </c>
      <c r="J100" s="8">
        <v>1443.08</v>
      </c>
      <c r="K100" s="8">
        <v>1</v>
      </c>
      <c r="L100" s="8">
        <v>200.82</v>
      </c>
      <c r="M100" s="23">
        <v>-4019.0699999999997</v>
      </c>
    </row>
    <row r="101" spans="1:13" ht="15" customHeight="1" x14ac:dyDescent="0.25">
      <c r="A101" s="9">
        <v>97</v>
      </c>
      <c r="B101" s="3" t="s">
        <v>368</v>
      </c>
      <c r="C101" s="8">
        <v>9</v>
      </c>
      <c r="D101" s="8">
        <v>7303.54</v>
      </c>
      <c r="E101" s="8">
        <v>2</v>
      </c>
      <c r="F101" s="8">
        <v>2180.77</v>
      </c>
      <c r="G101" s="8">
        <v>2</v>
      </c>
      <c r="H101" s="8">
        <v>3358.14</v>
      </c>
      <c r="I101" s="8">
        <v>4</v>
      </c>
      <c r="J101" s="8">
        <v>1585.63</v>
      </c>
      <c r="K101" s="8">
        <v>1</v>
      </c>
      <c r="L101" s="8">
        <v>179</v>
      </c>
      <c r="M101" s="23">
        <v>-3774.2799999999997</v>
      </c>
    </row>
    <row r="102" spans="1:13" ht="15" customHeight="1" x14ac:dyDescent="0.25">
      <c r="A102" s="9">
        <v>98</v>
      </c>
      <c r="B102" s="3" t="s">
        <v>427</v>
      </c>
      <c r="C102" s="8">
        <v>23</v>
      </c>
      <c r="D102" s="8">
        <v>6729.84</v>
      </c>
      <c r="E102" s="8"/>
      <c r="F102" s="8"/>
      <c r="G102" s="8">
        <v>10</v>
      </c>
      <c r="H102" s="8">
        <v>1790.77</v>
      </c>
      <c r="I102" s="8">
        <v>6</v>
      </c>
      <c r="J102" s="8">
        <v>2052.69</v>
      </c>
      <c r="K102" s="8">
        <v>7</v>
      </c>
      <c r="L102" s="8">
        <v>2886.38</v>
      </c>
      <c r="M102" s="23">
        <v>3148.2999999999997</v>
      </c>
    </row>
    <row r="103" spans="1:13" ht="15" customHeight="1" x14ac:dyDescent="0.25">
      <c r="A103" s="9">
        <v>99</v>
      </c>
      <c r="B103" s="3" t="s">
        <v>354</v>
      </c>
      <c r="C103" s="8">
        <v>7</v>
      </c>
      <c r="D103" s="8">
        <v>6595.1</v>
      </c>
      <c r="E103" s="8">
        <v>1</v>
      </c>
      <c r="F103" s="8">
        <v>458.1</v>
      </c>
      <c r="G103" s="8">
        <v>3</v>
      </c>
      <c r="H103" s="8">
        <v>5760</v>
      </c>
      <c r="I103" s="8">
        <v>1</v>
      </c>
      <c r="J103" s="8">
        <v>40</v>
      </c>
      <c r="K103" s="8">
        <v>2</v>
      </c>
      <c r="L103" s="8">
        <v>337</v>
      </c>
      <c r="M103" s="23">
        <v>-5841.1</v>
      </c>
    </row>
    <row r="104" spans="1:13" ht="15" customHeight="1" x14ac:dyDescent="0.25">
      <c r="A104" s="9">
        <v>100</v>
      </c>
      <c r="B104" s="3" t="s">
        <v>452</v>
      </c>
      <c r="C104" s="8">
        <v>3</v>
      </c>
      <c r="D104" s="8">
        <v>5823.92</v>
      </c>
      <c r="E104" s="8"/>
      <c r="F104" s="8"/>
      <c r="G104" s="8"/>
      <c r="H104" s="8"/>
      <c r="I104" s="8"/>
      <c r="J104" s="8"/>
      <c r="K104" s="8">
        <v>3</v>
      </c>
      <c r="L104" s="8">
        <v>5823.92</v>
      </c>
      <c r="M104" s="23">
        <v>5823.92</v>
      </c>
    </row>
    <row r="105" spans="1:13" ht="15" customHeight="1" x14ac:dyDescent="0.25">
      <c r="A105" s="9">
        <v>101</v>
      </c>
      <c r="B105" s="3" t="s">
        <v>410</v>
      </c>
      <c r="C105" s="8">
        <v>5</v>
      </c>
      <c r="D105" s="8">
        <v>5768.55</v>
      </c>
      <c r="E105" s="8">
        <v>5</v>
      </c>
      <c r="F105" s="8">
        <v>5768.55</v>
      </c>
      <c r="G105" s="8"/>
      <c r="H105" s="8"/>
      <c r="I105" s="8"/>
      <c r="J105" s="8"/>
      <c r="K105" s="8"/>
      <c r="L105" s="8"/>
      <c r="M105" s="23">
        <v>-5768.55</v>
      </c>
    </row>
    <row r="106" spans="1:13" ht="15" customHeight="1" x14ac:dyDescent="0.25">
      <c r="A106" s="9">
        <v>102</v>
      </c>
      <c r="B106" s="3" t="s">
        <v>447</v>
      </c>
      <c r="C106" s="8">
        <v>1</v>
      </c>
      <c r="D106" s="8">
        <v>4987.17</v>
      </c>
      <c r="E106" s="8"/>
      <c r="F106" s="8"/>
      <c r="G106" s="8"/>
      <c r="H106" s="8"/>
      <c r="I106" s="8">
        <v>1</v>
      </c>
      <c r="J106" s="8">
        <v>4987.17</v>
      </c>
      <c r="K106" s="8"/>
      <c r="L106" s="8"/>
      <c r="M106" s="23">
        <v>4987.17</v>
      </c>
    </row>
    <row r="107" spans="1:13" ht="15" customHeight="1" x14ac:dyDescent="0.25">
      <c r="A107" s="9">
        <v>103</v>
      </c>
      <c r="B107" s="3" t="s">
        <v>381</v>
      </c>
      <c r="C107" s="8">
        <v>12</v>
      </c>
      <c r="D107" s="8">
        <v>3522.89</v>
      </c>
      <c r="E107" s="8">
        <v>6</v>
      </c>
      <c r="F107" s="8">
        <v>1734.41</v>
      </c>
      <c r="G107" s="8">
        <v>1</v>
      </c>
      <c r="H107" s="8">
        <v>250</v>
      </c>
      <c r="I107" s="8">
        <v>4</v>
      </c>
      <c r="J107" s="8">
        <v>1288.48</v>
      </c>
      <c r="K107" s="8">
        <v>1</v>
      </c>
      <c r="L107" s="8">
        <v>250</v>
      </c>
      <c r="M107" s="23">
        <v>-445.93000000000006</v>
      </c>
    </row>
    <row r="108" spans="1:13" ht="15" customHeight="1" x14ac:dyDescent="0.25">
      <c r="A108" s="9">
        <v>104</v>
      </c>
      <c r="B108" s="3" t="s">
        <v>364</v>
      </c>
      <c r="C108" s="8">
        <v>2</v>
      </c>
      <c r="D108" s="8">
        <v>3463</v>
      </c>
      <c r="E108" s="8">
        <v>1</v>
      </c>
      <c r="F108" s="8">
        <v>1000</v>
      </c>
      <c r="G108" s="8">
        <v>1</v>
      </c>
      <c r="H108" s="8">
        <v>2463</v>
      </c>
      <c r="I108" s="8"/>
      <c r="J108" s="8"/>
      <c r="K108" s="8"/>
      <c r="L108" s="8"/>
      <c r="M108" s="23">
        <v>-3463</v>
      </c>
    </row>
    <row r="109" spans="1:13" ht="15" customHeight="1" x14ac:dyDescent="0.25">
      <c r="A109" s="9">
        <v>105</v>
      </c>
      <c r="B109" s="3" t="s">
        <v>434</v>
      </c>
      <c r="C109" s="8">
        <v>5</v>
      </c>
      <c r="D109" s="8">
        <v>2613.61</v>
      </c>
      <c r="E109" s="8"/>
      <c r="F109" s="8"/>
      <c r="G109" s="8">
        <v>1</v>
      </c>
      <c r="H109" s="8">
        <v>1152</v>
      </c>
      <c r="I109" s="8">
        <v>3</v>
      </c>
      <c r="J109" s="8">
        <v>700.61</v>
      </c>
      <c r="K109" s="8">
        <v>1</v>
      </c>
      <c r="L109" s="8">
        <v>761</v>
      </c>
      <c r="M109" s="23">
        <v>309.61000000000013</v>
      </c>
    </row>
    <row r="110" spans="1:13" ht="15" customHeight="1" x14ac:dyDescent="0.25">
      <c r="A110" s="9">
        <v>106</v>
      </c>
      <c r="B110" s="3" t="s">
        <v>400</v>
      </c>
      <c r="C110" s="8">
        <v>5</v>
      </c>
      <c r="D110" s="8">
        <v>2397.17</v>
      </c>
      <c r="E110" s="8">
        <v>5</v>
      </c>
      <c r="F110" s="8">
        <v>2397.17</v>
      </c>
      <c r="G110" s="8"/>
      <c r="H110" s="8"/>
      <c r="I110" s="8"/>
      <c r="J110" s="8"/>
      <c r="K110" s="8"/>
      <c r="L110" s="8"/>
      <c r="M110" s="23">
        <v>-2397.17</v>
      </c>
    </row>
    <row r="111" spans="1:13" ht="15" customHeight="1" x14ac:dyDescent="0.25">
      <c r="A111" s="9">
        <v>107</v>
      </c>
      <c r="B111" s="3" t="s">
        <v>382</v>
      </c>
      <c r="C111" s="8">
        <v>3</v>
      </c>
      <c r="D111" s="8">
        <v>2394.09</v>
      </c>
      <c r="E111" s="8">
        <v>3</v>
      </c>
      <c r="F111" s="8">
        <v>2394.09</v>
      </c>
      <c r="G111" s="8"/>
      <c r="H111" s="8"/>
      <c r="I111" s="8"/>
      <c r="J111" s="8"/>
      <c r="K111" s="8"/>
      <c r="L111" s="8"/>
      <c r="M111" s="23">
        <v>-2394.09</v>
      </c>
    </row>
    <row r="112" spans="1:13" ht="15" customHeight="1" x14ac:dyDescent="0.25">
      <c r="A112" s="9">
        <v>108</v>
      </c>
      <c r="B112" s="3" t="s">
        <v>388</v>
      </c>
      <c r="C112" s="8">
        <v>2</v>
      </c>
      <c r="D112" s="8">
        <v>2243.06</v>
      </c>
      <c r="E112" s="8">
        <v>2</v>
      </c>
      <c r="F112" s="8">
        <v>2243.06</v>
      </c>
      <c r="G112" s="8"/>
      <c r="H112" s="8"/>
      <c r="I112" s="8"/>
      <c r="J112" s="8"/>
      <c r="K112" s="8"/>
      <c r="L112" s="8"/>
      <c r="M112" s="23">
        <v>-2243.06</v>
      </c>
    </row>
    <row r="113" spans="1:13" ht="15" customHeight="1" x14ac:dyDescent="0.25">
      <c r="A113" s="9">
        <v>109</v>
      </c>
      <c r="B113" s="3" t="s">
        <v>407</v>
      </c>
      <c r="C113" s="8">
        <v>5</v>
      </c>
      <c r="D113" s="8">
        <v>2193.15</v>
      </c>
      <c r="E113" s="8">
        <v>3</v>
      </c>
      <c r="F113" s="8">
        <v>2139.9700000000003</v>
      </c>
      <c r="G113" s="8"/>
      <c r="H113" s="8"/>
      <c r="I113" s="8"/>
      <c r="J113" s="8"/>
      <c r="K113" s="8">
        <v>2</v>
      </c>
      <c r="L113" s="8">
        <v>53.18</v>
      </c>
      <c r="M113" s="23">
        <v>-2086.7900000000004</v>
      </c>
    </row>
    <row r="114" spans="1:13" ht="15" customHeight="1" x14ac:dyDescent="0.25">
      <c r="A114" s="9">
        <v>110</v>
      </c>
      <c r="B114" s="3" t="s">
        <v>430</v>
      </c>
      <c r="C114" s="8">
        <v>2</v>
      </c>
      <c r="D114" s="8">
        <v>2041.81</v>
      </c>
      <c r="E114" s="8"/>
      <c r="F114" s="8"/>
      <c r="G114" s="8">
        <v>1</v>
      </c>
      <c r="H114" s="8">
        <v>1041.81</v>
      </c>
      <c r="I114" s="8">
        <v>1</v>
      </c>
      <c r="J114" s="8">
        <v>1000</v>
      </c>
      <c r="K114" s="8"/>
      <c r="L114" s="8"/>
      <c r="M114" s="23">
        <v>-41.809999999999945</v>
      </c>
    </row>
    <row r="115" spans="1:13" ht="15" customHeight="1" x14ac:dyDescent="0.25">
      <c r="A115" s="9">
        <v>111</v>
      </c>
      <c r="B115" s="3" t="s">
        <v>412</v>
      </c>
      <c r="C115" s="8">
        <v>3</v>
      </c>
      <c r="D115" s="8">
        <v>2000</v>
      </c>
      <c r="E115" s="8">
        <v>1</v>
      </c>
      <c r="F115" s="8">
        <v>400</v>
      </c>
      <c r="G115" s="8"/>
      <c r="H115" s="8"/>
      <c r="I115" s="8">
        <v>2</v>
      </c>
      <c r="J115" s="8">
        <v>1600</v>
      </c>
      <c r="K115" s="8"/>
      <c r="L115" s="8"/>
      <c r="M115" s="23">
        <v>1200</v>
      </c>
    </row>
    <row r="116" spans="1:13" ht="15" customHeight="1" x14ac:dyDescent="0.25">
      <c r="A116" s="9">
        <v>112</v>
      </c>
      <c r="B116" s="3" t="s">
        <v>375</v>
      </c>
      <c r="C116" s="8">
        <v>6</v>
      </c>
      <c r="D116" s="8">
        <v>1844</v>
      </c>
      <c r="E116" s="8">
        <v>4</v>
      </c>
      <c r="F116" s="8">
        <v>1584</v>
      </c>
      <c r="G116" s="8">
        <v>2</v>
      </c>
      <c r="H116" s="8">
        <v>260</v>
      </c>
      <c r="I116" s="8"/>
      <c r="J116" s="8"/>
      <c r="K116" s="8"/>
      <c r="L116" s="8"/>
      <c r="M116" s="23">
        <v>-1844</v>
      </c>
    </row>
    <row r="117" spans="1:13" ht="15" customHeight="1" x14ac:dyDescent="0.25">
      <c r="A117" s="9">
        <v>113</v>
      </c>
      <c r="B117" s="3" t="s">
        <v>376</v>
      </c>
      <c r="C117" s="8">
        <v>6</v>
      </c>
      <c r="D117" s="8">
        <v>1799.73</v>
      </c>
      <c r="E117" s="8">
        <v>1</v>
      </c>
      <c r="F117" s="8">
        <v>1000</v>
      </c>
      <c r="G117" s="8">
        <v>4</v>
      </c>
      <c r="H117" s="8">
        <v>700</v>
      </c>
      <c r="I117" s="8">
        <v>1</v>
      </c>
      <c r="J117" s="8">
        <v>99.73</v>
      </c>
      <c r="K117" s="8"/>
      <c r="L117" s="8"/>
      <c r="M117" s="23">
        <v>-1600.27</v>
      </c>
    </row>
    <row r="118" spans="1:13" ht="15" customHeight="1" x14ac:dyDescent="0.25">
      <c r="A118" s="9">
        <v>114</v>
      </c>
      <c r="B118" s="3" t="s">
        <v>423</v>
      </c>
      <c r="C118" s="8">
        <v>17</v>
      </c>
      <c r="D118" s="8">
        <v>1736.1399999999999</v>
      </c>
      <c r="E118" s="8"/>
      <c r="F118" s="8"/>
      <c r="G118" s="8">
        <v>15</v>
      </c>
      <c r="H118" s="8">
        <v>1588.1399999999999</v>
      </c>
      <c r="I118" s="8"/>
      <c r="J118" s="8"/>
      <c r="K118" s="8">
        <v>2</v>
      </c>
      <c r="L118" s="8">
        <v>148</v>
      </c>
      <c r="M118" s="23">
        <v>-1440.1399999999999</v>
      </c>
    </row>
    <row r="119" spans="1:13" ht="15" customHeight="1" x14ac:dyDescent="0.25">
      <c r="A119" s="9">
        <v>115</v>
      </c>
      <c r="B119" s="3" t="s">
        <v>445</v>
      </c>
      <c r="C119" s="8">
        <v>2</v>
      </c>
      <c r="D119" s="8">
        <v>1649.86</v>
      </c>
      <c r="E119" s="8"/>
      <c r="F119" s="8"/>
      <c r="G119" s="8"/>
      <c r="H119" s="8"/>
      <c r="I119" s="8">
        <v>1</v>
      </c>
      <c r="J119" s="8">
        <v>49.86</v>
      </c>
      <c r="K119" s="8">
        <v>1</v>
      </c>
      <c r="L119" s="8">
        <v>1600</v>
      </c>
      <c r="M119" s="23">
        <v>1649.86</v>
      </c>
    </row>
    <row r="120" spans="1:13" ht="15" customHeight="1" x14ac:dyDescent="0.25">
      <c r="A120" s="9">
        <v>116</v>
      </c>
      <c r="B120" s="3" t="s">
        <v>415</v>
      </c>
      <c r="C120" s="8">
        <v>5</v>
      </c>
      <c r="D120" s="8">
        <v>1631.38</v>
      </c>
      <c r="E120" s="8">
        <v>1</v>
      </c>
      <c r="F120" s="8">
        <v>600.30000000000007</v>
      </c>
      <c r="G120" s="8">
        <v>3</v>
      </c>
      <c r="H120" s="8">
        <v>720</v>
      </c>
      <c r="I120" s="8">
        <v>1</v>
      </c>
      <c r="J120" s="8">
        <v>311.08</v>
      </c>
      <c r="K120" s="8"/>
      <c r="L120" s="8"/>
      <c r="M120" s="23">
        <v>-1009.2200000000003</v>
      </c>
    </row>
    <row r="121" spans="1:13" ht="15" customHeight="1" x14ac:dyDescent="0.25">
      <c r="A121" s="9">
        <v>117</v>
      </c>
      <c r="B121" s="3" t="s">
        <v>422</v>
      </c>
      <c r="C121" s="8">
        <v>1</v>
      </c>
      <c r="D121" s="8">
        <v>1617.03</v>
      </c>
      <c r="E121" s="8">
        <v>1</v>
      </c>
      <c r="F121" s="8">
        <v>1617.03</v>
      </c>
      <c r="G121" s="8"/>
      <c r="H121" s="8"/>
      <c r="I121" s="8"/>
      <c r="J121" s="8"/>
      <c r="K121" s="8"/>
      <c r="L121" s="8"/>
      <c r="M121" s="23">
        <v>-1617.03</v>
      </c>
    </row>
    <row r="122" spans="1:13" ht="15" customHeight="1" x14ac:dyDescent="0.25">
      <c r="A122" s="9">
        <v>118</v>
      </c>
      <c r="B122" s="3" t="s">
        <v>431</v>
      </c>
      <c r="C122" s="8">
        <v>3</v>
      </c>
      <c r="D122" s="8">
        <v>1470</v>
      </c>
      <c r="E122" s="8"/>
      <c r="F122" s="8"/>
      <c r="G122" s="8">
        <v>2</v>
      </c>
      <c r="H122" s="8">
        <v>1000</v>
      </c>
      <c r="I122" s="8"/>
      <c r="J122" s="8"/>
      <c r="K122" s="8">
        <v>1</v>
      </c>
      <c r="L122" s="8">
        <v>470</v>
      </c>
      <c r="M122" s="23">
        <v>-530</v>
      </c>
    </row>
    <row r="123" spans="1:13" ht="15" customHeight="1" x14ac:dyDescent="0.25">
      <c r="A123" s="9">
        <v>119</v>
      </c>
      <c r="B123" s="3" t="s">
        <v>417</v>
      </c>
      <c r="C123" s="8">
        <v>3</v>
      </c>
      <c r="D123" s="8">
        <v>1468.58</v>
      </c>
      <c r="E123" s="8">
        <v>1</v>
      </c>
      <c r="F123" s="8">
        <v>319.20999999999998</v>
      </c>
      <c r="G123" s="8"/>
      <c r="H123" s="8"/>
      <c r="I123" s="8">
        <v>2</v>
      </c>
      <c r="J123" s="8">
        <v>1149.3699999999999</v>
      </c>
      <c r="K123" s="8"/>
      <c r="L123" s="8"/>
      <c r="M123" s="23">
        <v>830.15999999999985</v>
      </c>
    </row>
    <row r="124" spans="1:13" ht="15" customHeight="1" x14ac:dyDescent="0.25">
      <c r="A124" s="9">
        <v>120</v>
      </c>
      <c r="B124" s="3" t="s">
        <v>433</v>
      </c>
      <c r="C124" s="8">
        <v>9</v>
      </c>
      <c r="D124" s="8">
        <v>1464.35</v>
      </c>
      <c r="E124" s="8"/>
      <c r="F124" s="8"/>
      <c r="G124" s="8">
        <v>3</v>
      </c>
      <c r="H124" s="8">
        <v>148.4</v>
      </c>
      <c r="I124" s="8"/>
      <c r="J124" s="8"/>
      <c r="K124" s="8">
        <v>6</v>
      </c>
      <c r="L124" s="8">
        <v>1315.9500000000003</v>
      </c>
      <c r="M124" s="23">
        <v>1167.5500000000002</v>
      </c>
    </row>
    <row r="125" spans="1:13" ht="15" customHeight="1" x14ac:dyDescent="0.25">
      <c r="A125" s="9">
        <v>121</v>
      </c>
      <c r="B125" s="3" t="s">
        <v>418</v>
      </c>
      <c r="C125" s="8">
        <v>9</v>
      </c>
      <c r="D125" s="8">
        <v>1397.54</v>
      </c>
      <c r="E125" s="8">
        <v>1</v>
      </c>
      <c r="F125" s="8">
        <v>97.54</v>
      </c>
      <c r="G125" s="8">
        <v>5</v>
      </c>
      <c r="H125" s="8">
        <v>950</v>
      </c>
      <c r="I125" s="8"/>
      <c r="J125" s="8"/>
      <c r="K125" s="8">
        <v>3</v>
      </c>
      <c r="L125" s="8">
        <v>350</v>
      </c>
      <c r="M125" s="23">
        <v>-697.54</v>
      </c>
    </row>
    <row r="126" spans="1:13" ht="15" customHeight="1" x14ac:dyDescent="0.25">
      <c r="A126" s="9">
        <v>122</v>
      </c>
      <c r="B126" s="3" t="s">
        <v>401</v>
      </c>
      <c r="C126" s="8">
        <v>1</v>
      </c>
      <c r="D126" s="8">
        <v>1267.7</v>
      </c>
      <c r="E126" s="8">
        <v>1</v>
      </c>
      <c r="F126" s="8">
        <v>1267.7</v>
      </c>
      <c r="G126" s="8"/>
      <c r="H126" s="8"/>
      <c r="I126" s="8"/>
      <c r="J126" s="8"/>
      <c r="K126" s="8"/>
      <c r="L126" s="8"/>
      <c r="M126" s="23">
        <v>-1267.7</v>
      </c>
    </row>
    <row r="127" spans="1:13" ht="15" customHeight="1" x14ac:dyDescent="0.25">
      <c r="A127" s="9">
        <v>123</v>
      </c>
      <c r="B127" s="3" t="s">
        <v>413</v>
      </c>
      <c r="C127" s="8">
        <v>2</v>
      </c>
      <c r="D127" s="8">
        <v>1125</v>
      </c>
      <c r="E127" s="8">
        <v>1</v>
      </c>
      <c r="F127" s="8">
        <v>125</v>
      </c>
      <c r="G127" s="8"/>
      <c r="H127" s="8"/>
      <c r="I127" s="8"/>
      <c r="J127" s="8"/>
      <c r="K127" s="8">
        <v>1</v>
      </c>
      <c r="L127" s="8">
        <v>1000</v>
      </c>
      <c r="M127" s="23">
        <v>875</v>
      </c>
    </row>
    <row r="128" spans="1:13" ht="15" customHeight="1" x14ac:dyDescent="0.25">
      <c r="A128" s="9">
        <v>124</v>
      </c>
      <c r="B128" s="3" t="s">
        <v>444</v>
      </c>
      <c r="C128" s="8">
        <v>2</v>
      </c>
      <c r="D128" s="8">
        <v>1100</v>
      </c>
      <c r="E128" s="8"/>
      <c r="F128" s="8"/>
      <c r="G128" s="8"/>
      <c r="H128" s="8"/>
      <c r="I128" s="8">
        <v>2</v>
      </c>
      <c r="J128" s="8">
        <v>1100</v>
      </c>
      <c r="K128" s="8"/>
      <c r="L128" s="8"/>
      <c r="M128" s="23">
        <v>1100</v>
      </c>
    </row>
    <row r="129" spans="1:13" ht="15" customHeight="1" x14ac:dyDescent="0.25">
      <c r="A129" s="9">
        <v>125</v>
      </c>
      <c r="B129" s="3" t="s">
        <v>426</v>
      </c>
      <c r="C129" s="8">
        <v>6</v>
      </c>
      <c r="D129" s="8">
        <v>1072</v>
      </c>
      <c r="E129" s="8"/>
      <c r="F129" s="8"/>
      <c r="G129" s="8">
        <v>5</v>
      </c>
      <c r="H129" s="8">
        <v>400</v>
      </c>
      <c r="I129" s="8"/>
      <c r="J129" s="8"/>
      <c r="K129" s="8">
        <v>1</v>
      </c>
      <c r="L129" s="8">
        <v>672</v>
      </c>
      <c r="M129" s="23">
        <v>272</v>
      </c>
    </row>
    <row r="130" spans="1:13" ht="15" customHeight="1" x14ac:dyDescent="0.25">
      <c r="A130" s="9">
        <v>126</v>
      </c>
      <c r="B130" s="3" t="s">
        <v>396</v>
      </c>
      <c r="C130" s="8">
        <v>1</v>
      </c>
      <c r="D130" s="8">
        <v>1034.74</v>
      </c>
      <c r="E130" s="8">
        <v>1</v>
      </c>
      <c r="F130" s="8">
        <v>1034.74</v>
      </c>
      <c r="G130" s="8"/>
      <c r="H130" s="8"/>
      <c r="I130" s="8"/>
      <c r="J130" s="8"/>
      <c r="K130" s="8"/>
      <c r="L130" s="8"/>
      <c r="M130" s="23">
        <v>-1034.74</v>
      </c>
    </row>
    <row r="131" spans="1:13" ht="15" customHeight="1" x14ac:dyDescent="0.25">
      <c r="A131" s="9">
        <v>127</v>
      </c>
      <c r="B131" s="3" t="s">
        <v>448</v>
      </c>
      <c r="C131" s="8">
        <v>1</v>
      </c>
      <c r="D131" s="8">
        <v>1020.78</v>
      </c>
      <c r="E131" s="8"/>
      <c r="F131" s="8"/>
      <c r="G131" s="8"/>
      <c r="H131" s="8"/>
      <c r="I131" s="8">
        <v>1</v>
      </c>
      <c r="J131" s="8">
        <v>1020.78</v>
      </c>
      <c r="K131" s="8"/>
      <c r="L131" s="8"/>
      <c r="M131" s="23">
        <v>1020.78</v>
      </c>
    </row>
    <row r="132" spans="1:13" ht="15" customHeight="1" x14ac:dyDescent="0.25">
      <c r="A132" s="9">
        <v>128</v>
      </c>
      <c r="B132" s="3" t="s">
        <v>464</v>
      </c>
      <c r="C132" s="8">
        <v>5</v>
      </c>
      <c r="D132" s="8">
        <v>1006.5400000000001</v>
      </c>
      <c r="E132" s="8">
        <v>1</v>
      </c>
      <c r="F132" s="8">
        <v>10</v>
      </c>
      <c r="G132" s="8"/>
      <c r="H132" s="8"/>
      <c r="I132" s="8">
        <v>4</v>
      </c>
      <c r="J132" s="8">
        <v>996.54000000000008</v>
      </c>
      <c r="K132" s="8"/>
      <c r="L132" s="8"/>
      <c r="M132" s="23">
        <v>986.54000000000008</v>
      </c>
    </row>
    <row r="133" spans="1:13" ht="15" customHeight="1" x14ac:dyDescent="0.25">
      <c r="A133" s="9">
        <v>129</v>
      </c>
      <c r="B133" s="3" t="s">
        <v>411</v>
      </c>
      <c r="C133" s="8">
        <v>1</v>
      </c>
      <c r="D133" s="8">
        <v>1000</v>
      </c>
      <c r="E133" s="8">
        <v>1</v>
      </c>
      <c r="F133" s="8">
        <v>1000</v>
      </c>
      <c r="G133" s="8"/>
      <c r="H133" s="8"/>
      <c r="I133" s="8"/>
      <c r="J133" s="8"/>
      <c r="K133" s="8"/>
      <c r="L133" s="8"/>
      <c r="M133" s="23">
        <v>-1000</v>
      </c>
    </row>
    <row r="134" spans="1:13" ht="15" customHeight="1" x14ac:dyDescent="0.25">
      <c r="A134" s="9">
        <v>130</v>
      </c>
      <c r="B134" s="3" t="s">
        <v>408</v>
      </c>
      <c r="C134" s="8">
        <v>1</v>
      </c>
      <c r="D134" s="8">
        <v>996.66</v>
      </c>
      <c r="E134" s="8">
        <v>1</v>
      </c>
      <c r="F134" s="8">
        <v>996.66</v>
      </c>
      <c r="G134" s="8"/>
      <c r="H134" s="8"/>
      <c r="I134" s="8"/>
      <c r="J134" s="8"/>
      <c r="K134" s="8"/>
      <c r="L134" s="8"/>
      <c r="M134" s="23">
        <v>-996.66</v>
      </c>
    </row>
    <row r="135" spans="1:13" ht="15" customHeight="1" x14ac:dyDescent="0.25">
      <c r="A135" s="9">
        <v>131</v>
      </c>
      <c r="B135" s="3" t="s">
        <v>450</v>
      </c>
      <c r="C135" s="8">
        <v>1</v>
      </c>
      <c r="D135" s="8">
        <v>995.29000000000008</v>
      </c>
      <c r="E135" s="8"/>
      <c r="F135" s="8"/>
      <c r="G135" s="8"/>
      <c r="H135" s="8"/>
      <c r="I135" s="8">
        <v>1</v>
      </c>
      <c r="J135" s="8">
        <v>995.29000000000008</v>
      </c>
      <c r="K135" s="8"/>
      <c r="L135" s="8"/>
      <c r="M135" s="23">
        <v>995.29000000000008</v>
      </c>
    </row>
    <row r="136" spans="1:13" ht="15" customHeight="1" x14ac:dyDescent="0.25">
      <c r="A136" s="9">
        <v>132</v>
      </c>
      <c r="B136" s="3" t="s">
        <v>402</v>
      </c>
      <c r="C136" s="8">
        <v>2</v>
      </c>
      <c r="D136" s="8">
        <v>950</v>
      </c>
      <c r="E136" s="8">
        <v>2</v>
      </c>
      <c r="F136" s="8">
        <v>950</v>
      </c>
      <c r="G136" s="8"/>
      <c r="H136" s="8"/>
      <c r="I136" s="8"/>
      <c r="J136" s="8"/>
      <c r="K136" s="8"/>
      <c r="L136" s="8"/>
      <c r="M136" s="23">
        <v>-950</v>
      </c>
    </row>
    <row r="137" spans="1:13" ht="15" customHeight="1" x14ac:dyDescent="0.25">
      <c r="A137" s="9">
        <v>133</v>
      </c>
      <c r="B137" s="3" t="s">
        <v>432</v>
      </c>
      <c r="C137" s="8">
        <v>6</v>
      </c>
      <c r="D137" s="8">
        <v>803</v>
      </c>
      <c r="E137" s="8"/>
      <c r="F137" s="8"/>
      <c r="G137" s="8">
        <v>4</v>
      </c>
      <c r="H137" s="8">
        <v>708</v>
      </c>
      <c r="I137" s="8"/>
      <c r="J137" s="8"/>
      <c r="K137" s="8">
        <v>2</v>
      </c>
      <c r="L137" s="8">
        <v>95</v>
      </c>
      <c r="M137" s="23">
        <v>-613</v>
      </c>
    </row>
    <row r="138" spans="1:13" ht="15" customHeight="1" x14ac:dyDescent="0.25">
      <c r="A138" s="9">
        <v>134</v>
      </c>
      <c r="B138" s="3" t="s">
        <v>459</v>
      </c>
      <c r="C138" s="8">
        <v>1</v>
      </c>
      <c r="D138" s="8">
        <v>800</v>
      </c>
      <c r="E138" s="8"/>
      <c r="F138" s="8"/>
      <c r="G138" s="8"/>
      <c r="H138" s="8"/>
      <c r="I138" s="8"/>
      <c r="J138" s="8"/>
      <c r="K138" s="8">
        <v>1</v>
      </c>
      <c r="L138" s="8">
        <v>800</v>
      </c>
      <c r="M138" s="23">
        <v>800</v>
      </c>
    </row>
    <row r="139" spans="1:13" ht="15" customHeight="1" x14ac:dyDescent="0.25">
      <c r="A139" s="9">
        <v>135</v>
      </c>
      <c r="B139" s="3" t="s">
        <v>440</v>
      </c>
      <c r="C139" s="8">
        <v>2</v>
      </c>
      <c r="D139" s="8">
        <v>766.40000000000009</v>
      </c>
      <c r="E139" s="8"/>
      <c r="F139" s="8"/>
      <c r="G139" s="8"/>
      <c r="H139" s="8"/>
      <c r="I139" s="8">
        <v>2</v>
      </c>
      <c r="J139" s="8">
        <v>766.40000000000009</v>
      </c>
      <c r="K139" s="8"/>
      <c r="L139" s="8"/>
      <c r="M139" s="23">
        <v>766.40000000000009</v>
      </c>
    </row>
    <row r="140" spans="1:13" ht="15" customHeight="1" x14ac:dyDescent="0.25">
      <c r="A140" s="9">
        <v>136</v>
      </c>
      <c r="B140" s="3" t="s">
        <v>441</v>
      </c>
      <c r="C140" s="8">
        <v>1</v>
      </c>
      <c r="D140" s="8">
        <v>710.08</v>
      </c>
      <c r="E140" s="8"/>
      <c r="F140" s="8"/>
      <c r="G140" s="8"/>
      <c r="H140" s="8"/>
      <c r="I140" s="8">
        <v>1</v>
      </c>
      <c r="J140" s="8">
        <v>710.08</v>
      </c>
      <c r="K140" s="8"/>
      <c r="L140" s="8"/>
      <c r="M140" s="23">
        <v>710.08</v>
      </c>
    </row>
    <row r="141" spans="1:13" ht="15" customHeight="1" x14ac:dyDescent="0.25">
      <c r="A141" s="9">
        <v>137</v>
      </c>
      <c r="B141" s="3" t="s">
        <v>392</v>
      </c>
      <c r="C141" s="8">
        <v>4</v>
      </c>
      <c r="D141" s="8">
        <v>667.14</v>
      </c>
      <c r="E141" s="8">
        <v>3</v>
      </c>
      <c r="F141" s="8">
        <v>548.13</v>
      </c>
      <c r="G141" s="8"/>
      <c r="H141" s="8"/>
      <c r="I141" s="8">
        <v>1</v>
      </c>
      <c r="J141" s="8">
        <v>119.01</v>
      </c>
      <c r="K141" s="8"/>
      <c r="L141" s="8"/>
      <c r="M141" s="23">
        <v>-429.12</v>
      </c>
    </row>
    <row r="142" spans="1:13" ht="15" customHeight="1" x14ac:dyDescent="0.25">
      <c r="A142" s="9">
        <v>138</v>
      </c>
      <c r="B142" s="3" t="s">
        <v>429</v>
      </c>
      <c r="C142" s="8">
        <v>2</v>
      </c>
      <c r="D142" s="8">
        <v>660.57</v>
      </c>
      <c r="E142" s="8"/>
      <c r="F142" s="8"/>
      <c r="G142" s="8">
        <v>2</v>
      </c>
      <c r="H142" s="8">
        <v>660.57</v>
      </c>
      <c r="I142" s="8"/>
      <c r="J142" s="8"/>
      <c r="K142" s="8"/>
      <c r="L142" s="8"/>
      <c r="M142" s="23">
        <v>-660.57</v>
      </c>
    </row>
    <row r="143" spans="1:13" ht="15" customHeight="1" x14ac:dyDescent="0.25">
      <c r="A143" s="9">
        <v>139</v>
      </c>
      <c r="B143" s="3" t="s">
        <v>406</v>
      </c>
      <c r="C143" s="8">
        <v>3</v>
      </c>
      <c r="D143" s="8">
        <v>611.79999999999995</v>
      </c>
      <c r="E143" s="8">
        <v>1</v>
      </c>
      <c r="F143" s="8">
        <v>511.8</v>
      </c>
      <c r="G143" s="8"/>
      <c r="H143" s="8"/>
      <c r="I143" s="8"/>
      <c r="J143" s="8"/>
      <c r="K143" s="8">
        <v>2</v>
      </c>
      <c r="L143" s="8">
        <v>100</v>
      </c>
      <c r="M143" s="23">
        <v>-411.8</v>
      </c>
    </row>
    <row r="144" spans="1:13" ht="15" customHeight="1" x14ac:dyDescent="0.25">
      <c r="A144" s="9">
        <v>140</v>
      </c>
      <c r="B144" s="3" t="s">
        <v>419</v>
      </c>
      <c r="C144" s="8">
        <v>2</v>
      </c>
      <c r="D144" s="8">
        <v>599.15000000000009</v>
      </c>
      <c r="E144" s="8">
        <v>1</v>
      </c>
      <c r="F144" s="8">
        <v>498.03000000000003</v>
      </c>
      <c r="G144" s="8">
        <v>1</v>
      </c>
      <c r="H144" s="8">
        <v>101.12</v>
      </c>
      <c r="I144" s="8"/>
      <c r="J144" s="8"/>
      <c r="K144" s="8"/>
      <c r="L144" s="8"/>
      <c r="M144" s="23">
        <v>-599.15000000000009</v>
      </c>
    </row>
    <row r="145" spans="1:13" ht="15" customHeight="1" x14ac:dyDescent="0.25">
      <c r="A145" s="9">
        <v>141</v>
      </c>
      <c r="B145" s="3" t="s">
        <v>409</v>
      </c>
      <c r="C145" s="8">
        <v>1</v>
      </c>
      <c r="D145" s="8">
        <v>500</v>
      </c>
      <c r="E145" s="8">
        <v>1</v>
      </c>
      <c r="F145" s="8">
        <v>500</v>
      </c>
      <c r="G145" s="8"/>
      <c r="H145" s="8"/>
      <c r="I145" s="8"/>
      <c r="J145" s="8"/>
      <c r="K145" s="8"/>
      <c r="L145" s="8"/>
      <c r="M145" s="23">
        <v>-500</v>
      </c>
    </row>
    <row r="146" spans="1:13" ht="15" customHeight="1" x14ac:dyDescent="0.25">
      <c r="A146" s="9">
        <v>142</v>
      </c>
      <c r="B146" s="3" t="s">
        <v>373</v>
      </c>
      <c r="C146" s="8">
        <v>2</v>
      </c>
      <c r="D146" s="8">
        <v>500</v>
      </c>
      <c r="E146" s="8">
        <v>2</v>
      </c>
      <c r="F146" s="8">
        <v>500</v>
      </c>
      <c r="G146" s="8"/>
      <c r="H146" s="8"/>
      <c r="I146" s="8"/>
      <c r="J146" s="8"/>
      <c r="K146" s="8"/>
      <c r="L146" s="8"/>
      <c r="M146" s="23">
        <v>-500</v>
      </c>
    </row>
    <row r="147" spans="1:13" ht="15" customHeight="1" x14ac:dyDescent="0.25">
      <c r="A147" s="9">
        <v>143</v>
      </c>
      <c r="B147" s="3" t="s">
        <v>397</v>
      </c>
      <c r="C147" s="8">
        <v>2</v>
      </c>
      <c r="D147" s="8">
        <v>498.39000000000004</v>
      </c>
      <c r="E147" s="8">
        <v>1</v>
      </c>
      <c r="F147" s="8">
        <v>99.600000000000009</v>
      </c>
      <c r="G147" s="8"/>
      <c r="H147" s="8"/>
      <c r="I147" s="8">
        <v>1</v>
      </c>
      <c r="J147" s="8">
        <v>398.79</v>
      </c>
      <c r="K147" s="8"/>
      <c r="L147" s="8"/>
      <c r="M147" s="23">
        <v>299.19</v>
      </c>
    </row>
    <row r="148" spans="1:13" ht="15" customHeight="1" x14ac:dyDescent="0.25">
      <c r="A148" s="9">
        <v>144</v>
      </c>
      <c r="B148" s="3" t="s">
        <v>398</v>
      </c>
      <c r="C148" s="8">
        <v>1</v>
      </c>
      <c r="D148" s="8">
        <v>458.48</v>
      </c>
      <c r="E148" s="8">
        <v>1</v>
      </c>
      <c r="F148" s="8">
        <v>458.48</v>
      </c>
      <c r="G148" s="8"/>
      <c r="H148" s="8"/>
      <c r="I148" s="8"/>
      <c r="J148" s="8"/>
      <c r="K148" s="8"/>
      <c r="L148" s="8"/>
      <c r="M148" s="23">
        <v>-458.48</v>
      </c>
    </row>
    <row r="149" spans="1:13" ht="15" customHeight="1" x14ac:dyDescent="0.25">
      <c r="A149" s="9">
        <v>145</v>
      </c>
      <c r="B149" s="3" t="s">
        <v>438</v>
      </c>
      <c r="C149" s="8">
        <v>2</v>
      </c>
      <c r="D149" s="8">
        <v>400.93</v>
      </c>
      <c r="E149" s="8"/>
      <c r="F149" s="8"/>
      <c r="G149" s="8"/>
      <c r="H149" s="8"/>
      <c r="I149" s="8">
        <v>2</v>
      </c>
      <c r="J149" s="8">
        <v>400.93</v>
      </c>
      <c r="K149" s="8"/>
      <c r="L149" s="8"/>
      <c r="M149" s="23">
        <v>400.93</v>
      </c>
    </row>
    <row r="150" spans="1:13" ht="15" customHeight="1" x14ac:dyDescent="0.25">
      <c r="A150" s="9">
        <v>146</v>
      </c>
      <c r="B150" s="3" t="s">
        <v>420</v>
      </c>
      <c r="C150" s="8">
        <v>1</v>
      </c>
      <c r="D150" s="8">
        <v>400</v>
      </c>
      <c r="E150" s="8">
        <v>1</v>
      </c>
      <c r="F150" s="8">
        <v>400</v>
      </c>
      <c r="G150" s="8"/>
      <c r="H150" s="8"/>
      <c r="I150" s="8"/>
      <c r="J150" s="8"/>
      <c r="K150" s="8"/>
      <c r="L150" s="8"/>
      <c r="M150" s="23">
        <v>-400</v>
      </c>
    </row>
    <row r="151" spans="1:13" ht="15" customHeight="1" x14ac:dyDescent="0.25">
      <c r="A151" s="9">
        <v>147</v>
      </c>
      <c r="B151" s="3" t="s">
        <v>446</v>
      </c>
      <c r="C151" s="8">
        <v>1</v>
      </c>
      <c r="D151" s="8">
        <v>400</v>
      </c>
      <c r="E151" s="8"/>
      <c r="F151" s="8"/>
      <c r="G151" s="8"/>
      <c r="H151" s="8"/>
      <c r="I151" s="8">
        <v>1</v>
      </c>
      <c r="J151" s="8">
        <v>400</v>
      </c>
      <c r="K151" s="8"/>
      <c r="L151" s="8"/>
      <c r="M151" s="23">
        <v>400</v>
      </c>
    </row>
    <row r="152" spans="1:13" ht="15" customHeight="1" x14ac:dyDescent="0.25">
      <c r="A152" s="9">
        <v>148</v>
      </c>
      <c r="B152" s="3" t="s">
        <v>436</v>
      </c>
      <c r="C152" s="8">
        <v>1</v>
      </c>
      <c r="D152" s="8">
        <v>336</v>
      </c>
      <c r="E152" s="8"/>
      <c r="F152" s="8"/>
      <c r="G152" s="8"/>
      <c r="H152" s="8"/>
      <c r="I152" s="8">
        <v>1</v>
      </c>
      <c r="J152" s="8">
        <v>336</v>
      </c>
      <c r="K152" s="8"/>
      <c r="L152" s="8"/>
      <c r="M152" s="23">
        <v>336</v>
      </c>
    </row>
    <row r="153" spans="1:13" ht="15" customHeight="1" x14ac:dyDescent="0.25">
      <c r="A153" s="9">
        <v>149</v>
      </c>
      <c r="B153" s="3" t="s">
        <v>435</v>
      </c>
      <c r="C153" s="8">
        <v>2</v>
      </c>
      <c r="D153" s="8">
        <v>315</v>
      </c>
      <c r="E153" s="8"/>
      <c r="F153" s="8"/>
      <c r="G153" s="8"/>
      <c r="H153" s="8"/>
      <c r="I153" s="8">
        <v>1</v>
      </c>
      <c r="J153" s="8">
        <v>50</v>
      </c>
      <c r="K153" s="8">
        <v>1</v>
      </c>
      <c r="L153" s="8">
        <v>265</v>
      </c>
      <c r="M153" s="23">
        <v>315</v>
      </c>
    </row>
    <row r="154" spans="1:13" ht="15" customHeight="1" x14ac:dyDescent="0.25">
      <c r="A154" s="9">
        <v>150</v>
      </c>
      <c r="B154" s="3" t="s">
        <v>414</v>
      </c>
      <c r="C154" s="8">
        <v>1</v>
      </c>
      <c r="D154" s="8">
        <v>300</v>
      </c>
      <c r="E154" s="8">
        <v>1</v>
      </c>
      <c r="F154" s="8">
        <v>300</v>
      </c>
      <c r="G154" s="8"/>
      <c r="H154" s="8"/>
      <c r="I154" s="8"/>
      <c r="J154" s="8"/>
      <c r="K154" s="8"/>
      <c r="L154" s="8"/>
      <c r="M154" s="23">
        <v>-300</v>
      </c>
    </row>
    <row r="155" spans="1:13" ht="15" customHeight="1" x14ac:dyDescent="0.25">
      <c r="A155" s="9">
        <v>151</v>
      </c>
      <c r="B155" s="3" t="s">
        <v>416</v>
      </c>
      <c r="C155" s="8">
        <v>1</v>
      </c>
      <c r="D155" s="8">
        <v>299.88</v>
      </c>
      <c r="E155" s="8">
        <v>1</v>
      </c>
      <c r="F155" s="8">
        <v>299.88</v>
      </c>
      <c r="G155" s="8"/>
      <c r="H155" s="8"/>
      <c r="I155" s="8"/>
      <c r="J155" s="8"/>
      <c r="K155" s="8"/>
      <c r="L155" s="8"/>
      <c r="M155" s="23">
        <v>-299.88</v>
      </c>
    </row>
    <row r="156" spans="1:13" ht="15" customHeight="1" x14ac:dyDescent="0.25">
      <c r="A156" s="9">
        <v>152</v>
      </c>
      <c r="B156" s="3" t="s">
        <v>439</v>
      </c>
      <c r="C156" s="8">
        <v>1</v>
      </c>
      <c r="D156" s="8">
        <v>296</v>
      </c>
      <c r="E156" s="8"/>
      <c r="F156" s="8"/>
      <c r="G156" s="8"/>
      <c r="H156" s="8"/>
      <c r="I156" s="8">
        <v>1</v>
      </c>
      <c r="J156" s="8">
        <v>296</v>
      </c>
      <c r="K156" s="8"/>
      <c r="L156" s="8"/>
      <c r="M156" s="23">
        <v>296</v>
      </c>
    </row>
    <row r="157" spans="1:13" ht="15" customHeight="1" x14ac:dyDescent="0.25">
      <c r="A157" s="9">
        <v>153</v>
      </c>
      <c r="B157" s="3" t="s">
        <v>421</v>
      </c>
      <c r="C157" s="8">
        <v>2</v>
      </c>
      <c r="D157" s="8">
        <v>280.27999999999997</v>
      </c>
      <c r="E157" s="8">
        <v>1</v>
      </c>
      <c r="F157" s="8">
        <v>152.22</v>
      </c>
      <c r="G157" s="8"/>
      <c r="H157" s="8"/>
      <c r="I157" s="8">
        <v>1</v>
      </c>
      <c r="J157" s="8">
        <v>128.06</v>
      </c>
      <c r="K157" s="8"/>
      <c r="L157" s="8"/>
      <c r="M157" s="23">
        <v>-24.159999999999997</v>
      </c>
    </row>
    <row r="158" spans="1:13" ht="15" customHeight="1" x14ac:dyDescent="0.25">
      <c r="A158" s="9">
        <v>154</v>
      </c>
      <c r="B158" s="3" t="s">
        <v>443</v>
      </c>
      <c r="C158" s="8">
        <v>1</v>
      </c>
      <c r="D158" s="8">
        <v>249.49</v>
      </c>
      <c r="E158" s="8"/>
      <c r="F158" s="8"/>
      <c r="G158" s="8"/>
      <c r="H158" s="8"/>
      <c r="I158" s="8">
        <v>1</v>
      </c>
      <c r="J158" s="8">
        <v>249.49</v>
      </c>
      <c r="K158" s="8"/>
      <c r="L158" s="8"/>
      <c r="M158" s="23">
        <v>249.49</v>
      </c>
    </row>
    <row r="159" spans="1:13" ht="15" customHeight="1" x14ac:dyDescent="0.25">
      <c r="A159" s="9">
        <v>155</v>
      </c>
      <c r="B159" s="3" t="s">
        <v>442</v>
      </c>
      <c r="C159" s="8">
        <v>1</v>
      </c>
      <c r="D159" s="8">
        <v>243.3</v>
      </c>
      <c r="E159" s="8"/>
      <c r="F159" s="8"/>
      <c r="G159" s="8"/>
      <c r="H159" s="8"/>
      <c r="I159" s="8">
        <v>1</v>
      </c>
      <c r="J159" s="8">
        <v>243.3</v>
      </c>
      <c r="K159" s="8"/>
      <c r="L159" s="8"/>
      <c r="M159" s="23">
        <v>243.3</v>
      </c>
    </row>
    <row r="160" spans="1:13" ht="15" customHeight="1" x14ac:dyDescent="0.25">
      <c r="A160" s="9">
        <v>156</v>
      </c>
      <c r="B160" s="3" t="s">
        <v>386</v>
      </c>
      <c r="C160" s="8">
        <v>1</v>
      </c>
      <c r="D160" s="8">
        <v>209</v>
      </c>
      <c r="E160" s="8">
        <v>1</v>
      </c>
      <c r="F160" s="8">
        <v>209</v>
      </c>
      <c r="G160" s="8"/>
      <c r="H160" s="8"/>
      <c r="I160" s="8"/>
      <c r="J160" s="8"/>
      <c r="K160" s="8"/>
      <c r="L160" s="8"/>
      <c r="M160" s="23">
        <v>-209</v>
      </c>
    </row>
    <row r="161" spans="1:13" ht="15" customHeight="1" x14ac:dyDescent="0.25">
      <c r="A161" s="9">
        <v>157</v>
      </c>
      <c r="B161" s="3" t="s">
        <v>449</v>
      </c>
      <c r="C161" s="8">
        <v>1</v>
      </c>
      <c r="D161" s="8">
        <v>200</v>
      </c>
      <c r="E161" s="8"/>
      <c r="F161" s="8"/>
      <c r="G161" s="8"/>
      <c r="H161" s="8"/>
      <c r="I161" s="8">
        <v>1</v>
      </c>
      <c r="J161" s="8">
        <v>200</v>
      </c>
      <c r="K161" s="8"/>
      <c r="L161" s="8"/>
      <c r="M161" s="23">
        <v>200</v>
      </c>
    </row>
    <row r="162" spans="1:13" ht="15" customHeight="1" x14ac:dyDescent="0.25">
      <c r="A162" s="9">
        <v>158</v>
      </c>
      <c r="B162" s="3" t="s">
        <v>425</v>
      </c>
      <c r="C162" s="8">
        <v>5</v>
      </c>
      <c r="D162" s="8">
        <v>139</v>
      </c>
      <c r="E162" s="8"/>
      <c r="F162" s="8"/>
      <c r="G162" s="8">
        <v>5</v>
      </c>
      <c r="H162" s="8">
        <v>139</v>
      </c>
      <c r="I162" s="8"/>
      <c r="J162" s="8"/>
      <c r="K162" s="8"/>
      <c r="L162" s="8"/>
      <c r="M162" s="23">
        <v>-139</v>
      </c>
    </row>
    <row r="163" spans="1:13" ht="15" customHeight="1" x14ac:dyDescent="0.25">
      <c r="A163" s="9">
        <v>159</v>
      </c>
      <c r="B163" s="3" t="s">
        <v>391</v>
      </c>
      <c r="C163" s="8">
        <v>1</v>
      </c>
      <c r="D163" s="8">
        <v>106.96000000000001</v>
      </c>
      <c r="E163" s="8">
        <v>1</v>
      </c>
      <c r="F163" s="8">
        <v>106.96000000000001</v>
      </c>
      <c r="G163" s="8"/>
      <c r="H163" s="8"/>
      <c r="I163" s="8"/>
      <c r="J163" s="8"/>
      <c r="K163" s="8"/>
      <c r="L163" s="8"/>
      <c r="M163" s="23">
        <v>-106.96000000000001</v>
      </c>
    </row>
    <row r="164" spans="1:13" ht="15" customHeight="1" x14ac:dyDescent="0.25">
      <c r="A164" s="9">
        <v>160</v>
      </c>
      <c r="B164" s="3" t="s">
        <v>451</v>
      </c>
      <c r="C164" s="8">
        <v>1</v>
      </c>
      <c r="D164" s="8">
        <v>100</v>
      </c>
      <c r="E164" s="8"/>
      <c r="F164" s="8"/>
      <c r="G164" s="8"/>
      <c r="H164" s="8"/>
      <c r="I164" s="8"/>
      <c r="J164" s="8"/>
      <c r="K164" s="8">
        <v>1</v>
      </c>
      <c r="L164" s="8">
        <v>100</v>
      </c>
      <c r="M164" s="23">
        <v>100</v>
      </c>
    </row>
    <row r="165" spans="1:13" ht="15" customHeight="1" x14ac:dyDescent="0.25">
      <c r="A165" s="9">
        <v>161</v>
      </c>
      <c r="B165" s="3" t="s">
        <v>350</v>
      </c>
      <c r="C165" s="8">
        <v>1</v>
      </c>
      <c r="D165" s="8">
        <v>100</v>
      </c>
      <c r="E165" s="8">
        <v>1</v>
      </c>
      <c r="F165" s="8">
        <v>100</v>
      </c>
      <c r="G165" s="8"/>
      <c r="H165" s="8"/>
      <c r="I165" s="8"/>
      <c r="J165" s="8"/>
      <c r="K165" s="8"/>
      <c r="L165" s="8"/>
      <c r="M165" s="23">
        <v>-100</v>
      </c>
    </row>
    <row r="166" spans="1:13" ht="13" x14ac:dyDescent="0.25">
      <c r="A166" s="9">
        <v>162</v>
      </c>
      <c r="B166" s="3" t="s">
        <v>437</v>
      </c>
      <c r="C166" s="8">
        <v>1</v>
      </c>
      <c r="D166" s="8">
        <v>50</v>
      </c>
      <c r="E166" s="8"/>
      <c r="F166" s="8"/>
      <c r="G166" s="8"/>
      <c r="H166" s="8"/>
      <c r="I166" s="8">
        <v>1</v>
      </c>
      <c r="J166" s="8">
        <v>50</v>
      </c>
      <c r="K166" s="8"/>
      <c r="L166" s="8"/>
      <c r="M166" s="23">
        <v>50</v>
      </c>
    </row>
  </sheetData>
  <autoFilter ref="A4:M166" xr:uid="{3F266548-E99F-4093-9794-8D71E0A732A7}">
    <filterColumn colId="0" showButton="0"/>
    <sortState xmlns:xlrd2="http://schemas.microsoft.com/office/spreadsheetml/2017/richdata2" ref="A5:M167">
      <sortCondition descending="1" ref="D4:D166"/>
    </sortState>
  </autoFilter>
  <mergeCells count="12">
    <mergeCell ref="A1:A3"/>
    <mergeCell ref="B1:B3"/>
    <mergeCell ref="A4:B4"/>
    <mergeCell ref="C1:C3"/>
    <mergeCell ref="D1:D3"/>
    <mergeCell ref="E1:H1"/>
    <mergeCell ref="I1:L1"/>
    <mergeCell ref="M1:M3"/>
    <mergeCell ref="E2:F2"/>
    <mergeCell ref="G2:H2"/>
    <mergeCell ref="I2:J2"/>
    <mergeCell ref="K2:L2"/>
  </mergeCells>
  <pageMargins left="0.7" right="0.7" top="0.75" bottom="0.75" header="0.3" footer="0.3"/>
  <pageSetup scale="4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4CD18-DEEE-45BE-94EE-3EEDACC3AAA9}">
  <dimension ref="A1:N22"/>
  <sheetViews>
    <sheetView topLeftCell="E1" zoomScaleNormal="100" workbookViewId="0">
      <selection activeCell="D10" sqref="D10:D11"/>
    </sheetView>
  </sheetViews>
  <sheetFormatPr defaultRowHeight="12.5" x14ac:dyDescent="0.25"/>
  <cols>
    <col min="2" max="2" width="78" customWidth="1"/>
    <col min="3" max="13" width="17.54296875" customWidth="1"/>
    <col min="14" max="14" width="12.1796875" style="1" customWidth="1"/>
  </cols>
  <sheetData>
    <row r="1" spans="1:14" ht="18.75" customHeight="1" x14ac:dyDescent="0.25">
      <c r="A1" s="45" t="s">
        <v>294</v>
      </c>
      <c r="B1" s="45" t="s">
        <v>298</v>
      </c>
      <c r="C1" s="52" t="s">
        <v>290</v>
      </c>
      <c r="D1" s="52" t="s">
        <v>291</v>
      </c>
      <c r="E1" s="49" t="s">
        <v>296</v>
      </c>
      <c r="F1" s="45" t="s">
        <v>289</v>
      </c>
      <c r="G1" s="45"/>
      <c r="H1" s="45"/>
      <c r="I1" s="45"/>
      <c r="J1" s="45" t="s">
        <v>297</v>
      </c>
      <c r="K1" s="45"/>
      <c r="L1" s="45"/>
      <c r="M1" s="45"/>
      <c r="N1" s="53" t="s">
        <v>454</v>
      </c>
    </row>
    <row r="2" spans="1:14" ht="18.75" customHeight="1" x14ac:dyDescent="0.25">
      <c r="A2" s="45"/>
      <c r="B2" s="45"/>
      <c r="C2" s="52"/>
      <c r="D2" s="52"/>
      <c r="E2" s="50"/>
      <c r="F2" s="45" t="s">
        <v>234</v>
      </c>
      <c r="G2" s="45"/>
      <c r="H2" s="45" t="s">
        <v>1</v>
      </c>
      <c r="I2" s="45"/>
      <c r="J2" s="45" t="s">
        <v>234</v>
      </c>
      <c r="K2" s="45"/>
      <c r="L2" s="45" t="s">
        <v>1</v>
      </c>
      <c r="M2" s="45"/>
      <c r="N2" s="53"/>
    </row>
    <row r="3" spans="1:14" ht="18.75" customHeight="1" x14ac:dyDescent="0.25">
      <c r="A3" s="45"/>
      <c r="B3" s="45"/>
      <c r="C3" s="52"/>
      <c r="D3" s="52"/>
      <c r="E3" s="51"/>
      <c r="F3" s="11" t="s">
        <v>292</v>
      </c>
      <c r="G3" s="11" t="s">
        <v>288</v>
      </c>
      <c r="H3" s="11" t="s">
        <v>292</v>
      </c>
      <c r="I3" s="11" t="s">
        <v>288</v>
      </c>
      <c r="J3" s="11" t="s">
        <v>292</v>
      </c>
      <c r="K3" s="11" t="s">
        <v>288</v>
      </c>
      <c r="L3" s="11" t="s">
        <v>292</v>
      </c>
      <c r="M3" s="11" t="s">
        <v>288</v>
      </c>
      <c r="N3" s="53"/>
    </row>
    <row r="4" spans="1:14" s="14" customFormat="1" ht="18.75" customHeight="1" x14ac:dyDescent="0.3">
      <c r="A4" s="45" t="s">
        <v>295</v>
      </c>
      <c r="B4" s="45"/>
      <c r="C4" s="18">
        <v>748883</v>
      </c>
      <c r="D4" s="18">
        <v>547507013.19999993</v>
      </c>
      <c r="E4" s="12">
        <v>1</v>
      </c>
      <c r="F4" s="18">
        <v>54084</v>
      </c>
      <c r="G4" s="18">
        <v>58430689.190000027</v>
      </c>
      <c r="H4" s="18">
        <v>344269</v>
      </c>
      <c r="I4" s="18">
        <v>210228544.22999999</v>
      </c>
      <c r="J4" s="18">
        <v>49018</v>
      </c>
      <c r="K4" s="18">
        <v>55720629.53999982</v>
      </c>
      <c r="L4" s="18">
        <v>301512</v>
      </c>
      <c r="M4" s="18">
        <v>223127150.23999816</v>
      </c>
      <c r="N4" s="20">
        <v>10188546.359999895</v>
      </c>
    </row>
    <row r="5" spans="1:14" ht="20.25" customHeight="1" x14ac:dyDescent="0.25">
      <c r="A5" s="9">
        <v>1</v>
      </c>
      <c r="B5" s="7" t="s">
        <v>17</v>
      </c>
      <c r="C5" s="17">
        <v>44696</v>
      </c>
      <c r="D5" s="17">
        <v>29709691.169999972</v>
      </c>
      <c r="E5" s="12">
        <v>5.4263581020371807E-2</v>
      </c>
      <c r="F5" s="17">
        <v>4851</v>
      </c>
      <c r="G5" s="17">
        <v>4426390.1300000008</v>
      </c>
      <c r="H5" s="17">
        <v>20356</v>
      </c>
      <c r="I5" s="17">
        <v>11209616.989999996</v>
      </c>
      <c r="J5" s="17">
        <v>4207</v>
      </c>
      <c r="K5" s="17">
        <v>4385731.7699999996</v>
      </c>
      <c r="L5" s="17">
        <v>15282</v>
      </c>
      <c r="M5" s="17">
        <v>9687952.2799999956</v>
      </c>
      <c r="N5" s="20">
        <v>-1562323.0700000022</v>
      </c>
    </row>
    <row r="6" spans="1:14" ht="20.25" customHeight="1" x14ac:dyDescent="0.25">
      <c r="A6" s="9">
        <v>2</v>
      </c>
      <c r="B6" s="7" t="s">
        <v>94</v>
      </c>
      <c r="C6" s="17">
        <v>26482</v>
      </c>
      <c r="D6" s="17">
        <v>25739444.800000001</v>
      </c>
      <c r="E6" s="12">
        <v>4.7012082365048329E-2</v>
      </c>
      <c r="F6" s="17">
        <v>1102</v>
      </c>
      <c r="G6" s="17">
        <v>1553710.63</v>
      </c>
      <c r="H6" s="17">
        <v>9167</v>
      </c>
      <c r="I6" s="17">
        <v>7332279.9199999971</v>
      </c>
      <c r="J6" s="17">
        <v>1241</v>
      </c>
      <c r="K6" s="17">
        <v>1391728.6700000004</v>
      </c>
      <c r="L6" s="17">
        <v>14972</v>
      </c>
      <c r="M6" s="17">
        <v>15461725.579999998</v>
      </c>
      <c r="N6" s="20">
        <v>7967463.700000003</v>
      </c>
    </row>
    <row r="7" spans="1:14" ht="20.25" customHeight="1" x14ac:dyDescent="0.25">
      <c r="A7" s="9">
        <v>3</v>
      </c>
      <c r="B7" s="7" t="s">
        <v>62</v>
      </c>
      <c r="C7" s="17">
        <v>36321</v>
      </c>
      <c r="D7" s="17">
        <v>23194647.95000004</v>
      </c>
      <c r="E7" s="12">
        <v>4.236411112696966E-2</v>
      </c>
      <c r="F7" s="17">
        <v>2022</v>
      </c>
      <c r="G7" s="17">
        <v>2022116.0400000007</v>
      </c>
      <c r="H7" s="17">
        <v>17791</v>
      </c>
      <c r="I7" s="17">
        <v>10011422.659999993</v>
      </c>
      <c r="J7" s="17">
        <v>1859</v>
      </c>
      <c r="K7" s="17">
        <v>1973762.9900000002</v>
      </c>
      <c r="L7" s="17">
        <v>14649</v>
      </c>
      <c r="M7" s="17">
        <v>9187346.2599999849</v>
      </c>
      <c r="N7" s="20">
        <v>-872429.45000000857</v>
      </c>
    </row>
    <row r="8" spans="1:14" ht="20.25" customHeight="1" x14ac:dyDescent="0.25">
      <c r="A8" s="9">
        <v>4</v>
      </c>
      <c r="B8" s="7" t="s">
        <v>138</v>
      </c>
      <c r="C8" s="17">
        <v>23763</v>
      </c>
      <c r="D8" s="17">
        <v>20173836.689999983</v>
      </c>
      <c r="E8" s="12">
        <v>3.6846718313415724E-2</v>
      </c>
      <c r="F8" s="17">
        <v>1892</v>
      </c>
      <c r="G8" s="17">
        <v>1746692.6199999999</v>
      </c>
      <c r="H8" s="17">
        <v>11781</v>
      </c>
      <c r="I8" s="17">
        <v>9093828.1900000125</v>
      </c>
      <c r="J8" s="17">
        <v>1397</v>
      </c>
      <c r="K8" s="17">
        <v>1387799.8800000004</v>
      </c>
      <c r="L8" s="17">
        <v>8693</v>
      </c>
      <c r="M8" s="17">
        <v>7945516.0000000028</v>
      </c>
      <c r="N8" s="20">
        <v>-1507204.930000009</v>
      </c>
    </row>
    <row r="9" spans="1:14" ht="20.25" customHeight="1" x14ac:dyDescent="0.25">
      <c r="A9" s="9">
        <v>5</v>
      </c>
      <c r="B9" s="7" t="s">
        <v>178</v>
      </c>
      <c r="C9" s="17">
        <v>29370</v>
      </c>
      <c r="D9" s="17">
        <v>19364704.420000158</v>
      </c>
      <c r="E9" s="12">
        <v>3.5368870084092216E-2</v>
      </c>
      <c r="F9" s="17">
        <v>4279</v>
      </c>
      <c r="G9" s="17">
        <v>3811053.7399999914</v>
      </c>
      <c r="H9" s="17">
        <v>10929</v>
      </c>
      <c r="I9" s="17">
        <v>5455730.99000003</v>
      </c>
      <c r="J9" s="17">
        <v>3905</v>
      </c>
      <c r="K9" s="17">
        <v>4222801.6900000041</v>
      </c>
      <c r="L9" s="17">
        <v>10257</v>
      </c>
      <c r="M9" s="17">
        <v>5875117.9999999674</v>
      </c>
      <c r="N9" s="20">
        <v>831134.9599999506</v>
      </c>
    </row>
    <row r="10" spans="1:14" ht="20.25" customHeight="1" x14ac:dyDescent="0.25">
      <c r="A10" s="9">
        <v>6</v>
      </c>
      <c r="B10" s="7" t="s">
        <v>146</v>
      </c>
      <c r="C10" s="17">
        <v>21922</v>
      </c>
      <c r="D10" s="17">
        <v>18795345.09999999</v>
      </c>
      <c r="E10" s="12">
        <v>3.4328957706217002E-2</v>
      </c>
      <c r="F10" s="17">
        <v>768</v>
      </c>
      <c r="G10" s="17">
        <v>784629.05</v>
      </c>
      <c r="H10" s="17">
        <v>10680</v>
      </c>
      <c r="I10" s="17">
        <v>8058504.179999995</v>
      </c>
      <c r="J10" s="17">
        <v>639</v>
      </c>
      <c r="K10" s="17">
        <v>722853.20000000019</v>
      </c>
      <c r="L10" s="17">
        <v>9835</v>
      </c>
      <c r="M10" s="17">
        <v>9229358.6699999943</v>
      </c>
      <c r="N10" s="20">
        <v>1109078.6399999987</v>
      </c>
    </row>
    <row r="11" spans="1:14" ht="20.25" customHeight="1" x14ac:dyDescent="0.25">
      <c r="A11" s="9">
        <v>7</v>
      </c>
      <c r="B11" s="7" t="s">
        <v>154</v>
      </c>
      <c r="C11" s="17">
        <v>28621</v>
      </c>
      <c r="D11" s="17">
        <v>18124660.069999803</v>
      </c>
      <c r="E11" s="12">
        <v>3.3103977909008098E-2</v>
      </c>
      <c r="F11" s="17">
        <v>1498</v>
      </c>
      <c r="G11" s="17">
        <v>1042260.8800000006</v>
      </c>
      <c r="H11" s="17">
        <v>13614</v>
      </c>
      <c r="I11" s="17">
        <v>7531871.8700000132</v>
      </c>
      <c r="J11" s="17">
        <v>1021</v>
      </c>
      <c r="K11" s="17">
        <v>729493.51000000071</v>
      </c>
      <c r="L11" s="17">
        <v>12488</v>
      </c>
      <c r="M11" s="17">
        <v>8821033.8100000136</v>
      </c>
      <c r="N11" s="20">
        <v>976394.57000000216</v>
      </c>
    </row>
    <row r="12" spans="1:14" ht="20.25" customHeight="1" x14ac:dyDescent="0.25">
      <c r="A12" s="9">
        <v>8</v>
      </c>
      <c r="B12" s="7" t="s">
        <v>175</v>
      </c>
      <c r="C12" s="17">
        <v>12902</v>
      </c>
      <c r="D12" s="17">
        <v>17892809.23000006</v>
      </c>
      <c r="E12" s="12">
        <v>3.2680511479519551E-2</v>
      </c>
      <c r="F12" s="17">
        <v>1789</v>
      </c>
      <c r="G12" s="17">
        <v>7493628.9399999976</v>
      </c>
      <c r="H12" s="17">
        <v>5454</v>
      </c>
      <c r="I12" s="17">
        <v>4428620.4600000167</v>
      </c>
      <c r="J12" s="17">
        <v>1393</v>
      </c>
      <c r="K12" s="17">
        <v>2301431.660000002</v>
      </c>
      <c r="L12" s="17">
        <v>4266</v>
      </c>
      <c r="M12" s="17">
        <v>3669128.1699999892</v>
      </c>
      <c r="N12" s="20">
        <v>-5951689.5700000226</v>
      </c>
    </row>
    <row r="13" spans="1:14" ht="20.25" customHeight="1" x14ac:dyDescent="0.25">
      <c r="A13" s="9">
        <v>9</v>
      </c>
      <c r="B13" s="7" t="s">
        <v>168</v>
      </c>
      <c r="C13" s="17">
        <v>27739</v>
      </c>
      <c r="D13" s="17">
        <v>17741261.169999998</v>
      </c>
      <c r="E13" s="12">
        <v>3.2403714915555354E-2</v>
      </c>
      <c r="F13" s="17">
        <v>1852</v>
      </c>
      <c r="G13" s="17">
        <v>1989420.26</v>
      </c>
      <c r="H13" s="17">
        <v>13857</v>
      </c>
      <c r="I13" s="17">
        <v>7123136.29</v>
      </c>
      <c r="J13" s="17">
        <v>1657</v>
      </c>
      <c r="K13" s="17">
        <v>2130916.7699999996</v>
      </c>
      <c r="L13" s="17">
        <v>10373</v>
      </c>
      <c r="M13" s="17">
        <v>6497787.8499999968</v>
      </c>
      <c r="N13" s="20">
        <v>-483851.93000000343</v>
      </c>
    </row>
    <row r="14" spans="1:14" ht="20.25" customHeight="1" x14ac:dyDescent="0.25">
      <c r="A14" s="9">
        <v>10</v>
      </c>
      <c r="B14" s="7" t="s">
        <v>89</v>
      </c>
      <c r="C14" s="17">
        <v>21442</v>
      </c>
      <c r="D14" s="17">
        <v>15912036.329999991</v>
      </c>
      <c r="E14" s="12">
        <v>2.9062707776105604E-2</v>
      </c>
      <c r="F14" s="17">
        <v>860</v>
      </c>
      <c r="G14" s="17">
        <v>796171.19</v>
      </c>
      <c r="H14" s="17">
        <v>9061</v>
      </c>
      <c r="I14" s="17">
        <v>5668498.8600000013</v>
      </c>
      <c r="J14" s="17">
        <v>1094</v>
      </c>
      <c r="K14" s="17">
        <v>986046.13000000047</v>
      </c>
      <c r="L14" s="17">
        <v>10427</v>
      </c>
      <c r="M14" s="17">
        <v>8461320.1500000004</v>
      </c>
      <c r="N14" s="20">
        <v>2982696.2300000004</v>
      </c>
    </row>
    <row r="15" spans="1:14" ht="20.25" customHeight="1" x14ac:dyDescent="0.25">
      <c r="A15" s="9">
        <v>11</v>
      </c>
      <c r="B15" s="7" t="s">
        <v>27</v>
      </c>
      <c r="C15" s="17">
        <v>22916</v>
      </c>
      <c r="D15" s="17">
        <v>15104201.259999873</v>
      </c>
      <c r="E15" s="12">
        <v>2.75872288315007E-2</v>
      </c>
      <c r="F15" s="17">
        <v>1324</v>
      </c>
      <c r="G15" s="17">
        <v>1081870.3400000012</v>
      </c>
      <c r="H15" s="17">
        <v>11254</v>
      </c>
      <c r="I15" s="17">
        <v>6413345.1500000106</v>
      </c>
      <c r="J15" s="17">
        <v>1107</v>
      </c>
      <c r="K15" s="17">
        <v>922459.11000000068</v>
      </c>
      <c r="L15" s="17">
        <v>9231</v>
      </c>
      <c r="M15" s="17">
        <v>6686526.6600000001</v>
      </c>
      <c r="N15" s="20">
        <v>113770.27999998908</v>
      </c>
    </row>
    <row r="16" spans="1:14" ht="20.25" customHeight="1" x14ac:dyDescent="0.25">
      <c r="A16" s="9">
        <v>12</v>
      </c>
      <c r="B16" s="7" t="s">
        <v>142</v>
      </c>
      <c r="C16" s="17">
        <v>20390</v>
      </c>
      <c r="D16" s="17">
        <v>14110810.859999986</v>
      </c>
      <c r="E16" s="12">
        <v>2.5772840383407873E-2</v>
      </c>
      <c r="F16" s="17">
        <v>2099</v>
      </c>
      <c r="G16" s="17">
        <v>1541011.81</v>
      </c>
      <c r="H16" s="17">
        <v>9558</v>
      </c>
      <c r="I16" s="17">
        <v>5770406.2799999956</v>
      </c>
      <c r="J16" s="17">
        <v>1590</v>
      </c>
      <c r="K16" s="17">
        <v>1431566.0099999998</v>
      </c>
      <c r="L16" s="17">
        <v>7143</v>
      </c>
      <c r="M16" s="17">
        <v>5367826.7599999988</v>
      </c>
      <c r="N16" s="20">
        <v>-512025.3199999975</v>
      </c>
    </row>
    <row r="17" spans="1:14" ht="20.25" customHeight="1" x14ac:dyDescent="0.25">
      <c r="A17" s="9">
        <v>13</v>
      </c>
      <c r="B17" s="7" t="s">
        <v>64</v>
      </c>
      <c r="C17" s="17">
        <v>15396</v>
      </c>
      <c r="D17" s="17">
        <v>13647546.679999994</v>
      </c>
      <c r="E17" s="12">
        <v>2.4926706600952076E-2</v>
      </c>
      <c r="F17" s="17">
        <v>768</v>
      </c>
      <c r="G17" s="17">
        <v>718809.74999999965</v>
      </c>
      <c r="H17" s="17">
        <v>7101</v>
      </c>
      <c r="I17" s="17">
        <v>5392271.7599999988</v>
      </c>
      <c r="J17" s="17">
        <v>553</v>
      </c>
      <c r="K17" s="17">
        <v>584185.02999999991</v>
      </c>
      <c r="L17" s="17">
        <v>6974</v>
      </c>
      <c r="M17" s="17">
        <v>6952280.1399999997</v>
      </c>
      <c r="N17" s="20">
        <v>1425383.6600000011</v>
      </c>
    </row>
    <row r="18" spans="1:14" ht="20.25" customHeight="1" x14ac:dyDescent="0.25">
      <c r="A18" s="9">
        <v>14</v>
      </c>
      <c r="B18" s="7" t="s">
        <v>158</v>
      </c>
      <c r="C18" s="17">
        <v>20559</v>
      </c>
      <c r="D18" s="17">
        <v>13122797.480000002</v>
      </c>
      <c r="E18" s="16">
        <v>2.3968272850609769E-2</v>
      </c>
      <c r="F18" s="17">
        <v>574</v>
      </c>
      <c r="G18" s="17">
        <v>366199</v>
      </c>
      <c r="H18" s="17">
        <v>10932</v>
      </c>
      <c r="I18" s="17">
        <v>6845632.9200000018</v>
      </c>
      <c r="J18" s="17">
        <v>510</v>
      </c>
      <c r="K18" s="17">
        <v>422535</v>
      </c>
      <c r="L18" s="17">
        <v>8543</v>
      </c>
      <c r="M18" s="17">
        <v>5488430.5599999987</v>
      </c>
      <c r="N18" s="20">
        <v>-1300866.3600000031</v>
      </c>
    </row>
    <row r="19" spans="1:14" ht="20.25" customHeight="1" x14ac:dyDescent="0.25">
      <c r="A19" s="9">
        <v>15</v>
      </c>
      <c r="B19" s="7" t="s">
        <v>140</v>
      </c>
      <c r="C19" s="17">
        <v>23115</v>
      </c>
      <c r="D19" s="17">
        <v>13108728.799999995</v>
      </c>
      <c r="E19" s="16">
        <v>2.3942576960583117E-2</v>
      </c>
      <c r="F19" s="17">
        <v>2573</v>
      </c>
      <c r="G19" s="17">
        <v>1427399.27</v>
      </c>
      <c r="H19" s="17">
        <v>14260</v>
      </c>
      <c r="I19" s="17">
        <v>7709183.6700000064</v>
      </c>
      <c r="J19" s="17">
        <v>1401</v>
      </c>
      <c r="K19" s="17">
        <v>962476.4800000001</v>
      </c>
      <c r="L19" s="17">
        <v>4881</v>
      </c>
      <c r="M19" s="17">
        <v>3009669.3800000018</v>
      </c>
      <c r="N19" s="20">
        <v>-5164437.0800000057</v>
      </c>
    </row>
    <row r="20" spans="1:14" ht="20.25" customHeight="1" x14ac:dyDescent="0.25">
      <c r="A20" s="9">
        <v>16</v>
      </c>
      <c r="B20" s="7" t="s">
        <v>32</v>
      </c>
      <c r="C20" s="17">
        <v>15535</v>
      </c>
      <c r="D20" s="17">
        <v>12844378.710000003</v>
      </c>
      <c r="E20" s="16">
        <v>2.3459751930717376E-2</v>
      </c>
      <c r="F20" s="17">
        <v>359</v>
      </c>
      <c r="G20" s="17">
        <v>266240</v>
      </c>
      <c r="H20" s="17">
        <v>1960</v>
      </c>
      <c r="I20" s="17">
        <v>1409854.8900000004</v>
      </c>
      <c r="J20" s="17">
        <v>2044</v>
      </c>
      <c r="K20" s="17">
        <v>2150597.2699999996</v>
      </c>
      <c r="L20" s="17">
        <v>11172</v>
      </c>
      <c r="M20" s="17">
        <v>9017686.5499999989</v>
      </c>
      <c r="N20" s="20">
        <v>9492188.9299999978</v>
      </c>
    </row>
    <row r="21" spans="1:14" ht="20.25" customHeight="1" x14ac:dyDescent="0.25">
      <c r="A21" s="9">
        <v>17</v>
      </c>
      <c r="B21" s="7" t="s">
        <v>84</v>
      </c>
      <c r="C21" s="17">
        <v>7187</v>
      </c>
      <c r="D21" s="17">
        <v>10162139.469999999</v>
      </c>
      <c r="E21" s="16">
        <v>1.8560747579479592E-2</v>
      </c>
      <c r="F21" s="17">
        <v>1872</v>
      </c>
      <c r="G21" s="17">
        <v>4318632.0999999996</v>
      </c>
      <c r="H21" s="17">
        <v>2541</v>
      </c>
      <c r="I21" s="17">
        <v>2142650.5099999998</v>
      </c>
      <c r="J21" s="17">
        <v>1101</v>
      </c>
      <c r="K21" s="17">
        <v>2211050.27</v>
      </c>
      <c r="L21" s="17">
        <v>1673</v>
      </c>
      <c r="M21" s="17">
        <v>1489806.59</v>
      </c>
      <c r="N21" s="20">
        <v>-2760425.7499999991</v>
      </c>
    </row>
    <row r="22" spans="1:14" s="4" customFormat="1" ht="19.5" customHeight="1" x14ac:dyDescent="0.25">
      <c r="A22" s="9">
        <v>18</v>
      </c>
      <c r="B22" s="7" t="s">
        <v>471</v>
      </c>
      <c r="C22" s="17">
        <v>350527</v>
      </c>
      <c r="D22" s="17">
        <v>248757973.01000002</v>
      </c>
      <c r="E22" s="12">
        <v>0.45434664216644605</v>
      </c>
      <c r="F22" s="17">
        <v>23602</v>
      </c>
      <c r="G22" s="17">
        <v>23044453.439999998</v>
      </c>
      <c r="H22" s="17">
        <v>163973</v>
      </c>
      <c r="I22" s="17">
        <v>98631688.639999971</v>
      </c>
      <c r="J22" s="17">
        <v>22299</v>
      </c>
      <c r="K22" s="17">
        <v>26803194.099999998</v>
      </c>
      <c r="L22" s="17">
        <v>140653</v>
      </c>
      <c r="M22" s="17">
        <v>100278636.83000001</v>
      </c>
      <c r="N22" s="17">
        <v>5405688.849999995</v>
      </c>
    </row>
  </sheetData>
  <autoFilter ref="A4:X23" xr:uid="{F674BA8A-C69B-4BCF-BF5B-33021DF46E3B}">
    <filterColumn colId="0" showButton="0"/>
    <sortState xmlns:xlrd2="http://schemas.microsoft.com/office/spreadsheetml/2017/richdata2" ref="A5:X23">
      <sortCondition descending="1" ref="D4:D23"/>
    </sortState>
  </autoFilter>
  <mergeCells count="13">
    <mergeCell ref="N1:N3"/>
    <mergeCell ref="F2:G2"/>
    <mergeCell ref="H2:I2"/>
    <mergeCell ref="J2:K2"/>
    <mergeCell ref="L2:M2"/>
    <mergeCell ref="F1:I1"/>
    <mergeCell ref="J1:M1"/>
    <mergeCell ref="A4:B4"/>
    <mergeCell ref="E1:E3"/>
    <mergeCell ref="A1:A3"/>
    <mergeCell ref="B1:B3"/>
    <mergeCell ref="C1:C3"/>
    <mergeCell ref="D1:D3"/>
  </mergeCells>
  <pageMargins left="0.7" right="0.7" top="0.75" bottom="0.75" header="0.3" footer="0.3"/>
  <pageSetup scale="3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5BCD8-CBC2-4F5F-B1A6-F196E1623036}">
  <dimension ref="A1:N12"/>
  <sheetViews>
    <sheetView zoomScaleNormal="100" workbookViewId="0">
      <selection activeCell="B7" sqref="B7"/>
    </sheetView>
  </sheetViews>
  <sheetFormatPr defaultRowHeight="12.5" x14ac:dyDescent="0.25"/>
  <cols>
    <col min="2" max="2" width="36.81640625" customWidth="1"/>
    <col min="3" max="3" width="10.453125" customWidth="1"/>
    <col min="4" max="4" width="14.54296875" customWidth="1"/>
    <col min="5" max="5" width="11.7265625" customWidth="1"/>
    <col min="6" max="6" width="10.453125" customWidth="1"/>
    <col min="7" max="7" width="13.7265625" customWidth="1"/>
    <col min="8" max="8" width="10.453125" customWidth="1"/>
    <col min="9" max="9" width="11.7265625" customWidth="1"/>
    <col min="10" max="10" width="10.453125" customWidth="1"/>
    <col min="11" max="11" width="13.81640625" customWidth="1"/>
    <col min="12" max="12" width="10.453125" customWidth="1"/>
    <col min="13" max="13" width="11.7265625" customWidth="1"/>
    <col min="14" max="14" width="20.54296875" style="2" bestFit="1" customWidth="1"/>
  </cols>
  <sheetData>
    <row r="1" spans="1:14" s="14" customFormat="1" ht="19.5" customHeight="1" x14ac:dyDescent="0.3">
      <c r="A1" s="45" t="s">
        <v>294</v>
      </c>
      <c r="B1" s="45" t="s">
        <v>465</v>
      </c>
      <c r="C1" s="52" t="s">
        <v>290</v>
      </c>
      <c r="D1" s="52" t="s">
        <v>291</v>
      </c>
      <c r="E1" s="49" t="s">
        <v>296</v>
      </c>
      <c r="F1" s="45" t="s">
        <v>289</v>
      </c>
      <c r="G1" s="45"/>
      <c r="H1" s="45"/>
      <c r="I1" s="45"/>
      <c r="J1" s="45" t="s">
        <v>297</v>
      </c>
      <c r="K1" s="45"/>
      <c r="L1" s="45"/>
      <c r="M1" s="45"/>
      <c r="N1" s="45" t="s">
        <v>454</v>
      </c>
    </row>
    <row r="2" spans="1:14" s="14" customFormat="1" ht="19.5" customHeight="1" x14ac:dyDescent="0.3">
      <c r="A2" s="45"/>
      <c r="B2" s="45"/>
      <c r="C2" s="52"/>
      <c r="D2" s="52"/>
      <c r="E2" s="50"/>
      <c r="F2" s="45" t="s">
        <v>234</v>
      </c>
      <c r="G2" s="45"/>
      <c r="H2" s="45" t="s">
        <v>1</v>
      </c>
      <c r="I2" s="45"/>
      <c r="J2" s="45" t="s">
        <v>234</v>
      </c>
      <c r="K2" s="45"/>
      <c r="L2" s="45" t="s">
        <v>1</v>
      </c>
      <c r="M2" s="45"/>
      <c r="N2" s="45"/>
    </row>
    <row r="3" spans="1:14" s="14" customFormat="1" ht="19.5" customHeight="1" x14ac:dyDescent="0.3">
      <c r="A3" s="45"/>
      <c r="B3" s="45"/>
      <c r="C3" s="52"/>
      <c r="D3" s="52"/>
      <c r="E3" s="51"/>
      <c r="F3" s="11" t="s">
        <v>292</v>
      </c>
      <c r="G3" s="11" t="s">
        <v>288</v>
      </c>
      <c r="H3" s="11" t="s">
        <v>292</v>
      </c>
      <c r="I3" s="11" t="s">
        <v>288</v>
      </c>
      <c r="J3" s="11" t="s">
        <v>292</v>
      </c>
      <c r="K3" s="11" t="s">
        <v>288</v>
      </c>
      <c r="L3" s="11" t="s">
        <v>292</v>
      </c>
      <c r="M3" s="11" t="s">
        <v>288</v>
      </c>
      <c r="N3" s="45"/>
    </row>
    <row r="4" spans="1:14" s="14" customFormat="1" ht="27.75" customHeight="1" x14ac:dyDescent="0.3">
      <c r="A4" s="45" t="s">
        <v>295</v>
      </c>
      <c r="B4" s="45"/>
      <c r="C4" s="15">
        <v>748883</v>
      </c>
      <c r="D4" s="15">
        <v>547507013.20000196</v>
      </c>
      <c r="E4" s="13">
        <v>1</v>
      </c>
      <c r="F4" s="15">
        <v>344269</v>
      </c>
      <c r="G4" s="15">
        <v>210228544.23000547</v>
      </c>
      <c r="H4" s="15">
        <v>54084</v>
      </c>
      <c r="I4" s="15">
        <v>58430689.190000206</v>
      </c>
      <c r="J4" s="15">
        <v>301512</v>
      </c>
      <c r="K4" s="15">
        <v>223127150.23999971</v>
      </c>
      <c r="L4" s="15">
        <v>49018</v>
      </c>
      <c r="M4" s="15">
        <v>55720629.5400002</v>
      </c>
      <c r="N4" s="23">
        <v>10188546.359994233</v>
      </c>
    </row>
    <row r="5" spans="1:14" s="4" customFormat="1" ht="21" customHeight="1" x14ac:dyDescent="0.25">
      <c r="A5" s="9">
        <v>1</v>
      </c>
      <c r="B5" s="7" t="s">
        <v>463</v>
      </c>
      <c r="C5" s="8">
        <v>343993</v>
      </c>
      <c r="D5" s="8">
        <v>264296492.48000059</v>
      </c>
      <c r="E5" s="12">
        <f>+D5/D4</f>
        <v>0.48272713610602502</v>
      </c>
      <c r="F5" s="8">
        <v>165975</v>
      </c>
      <c r="G5" s="8">
        <v>111030533.61999969</v>
      </c>
      <c r="H5" s="8">
        <v>18902</v>
      </c>
      <c r="I5" s="8">
        <v>14200138.720000017</v>
      </c>
      <c r="J5" s="8">
        <v>142309</v>
      </c>
      <c r="K5" s="8">
        <v>124975157.43000233</v>
      </c>
      <c r="L5" s="8">
        <v>16807</v>
      </c>
      <c r="M5" s="8">
        <v>14090662.710000005</v>
      </c>
      <c r="N5" s="23">
        <v>13835147.800002635</v>
      </c>
    </row>
    <row r="6" spans="1:14" s="4" customFormat="1" ht="21" customHeight="1" x14ac:dyDescent="0.25">
      <c r="A6" s="9">
        <v>2</v>
      </c>
      <c r="B6" s="7" t="s">
        <v>470</v>
      </c>
      <c r="C6" s="8">
        <v>199479</v>
      </c>
      <c r="D6" s="8">
        <v>103447346.95000081</v>
      </c>
      <c r="E6" s="12">
        <f>+D6/D4</f>
        <v>0.18894250567747875</v>
      </c>
      <c r="F6" s="8">
        <v>87593</v>
      </c>
      <c r="G6" s="8">
        <v>33552736.130000677</v>
      </c>
      <c r="H6" s="8">
        <v>12390</v>
      </c>
      <c r="I6" s="8">
        <v>13780049.980000012</v>
      </c>
      <c r="J6" s="8">
        <v>87426</v>
      </c>
      <c r="K6" s="8">
        <v>39596749.210000381</v>
      </c>
      <c r="L6" s="8">
        <v>12070</v>
      </c>
      <c r="M6" s="8">
        <v>16517811.630000023</v>
      </c>
      <c r="N6" s="23">
        <v>8781774.7299997211</v>
      </c>
    </row>
    <row r="7" spans="1:14" s="4" customFormat="1" ht="21" customHeight="1" x14ac:dyDescent="0.25">
      <c r="A7" s="9">
        <v>3</v>
      </c>
      <c r="B7" s="7" t="s">
        <v>462</v>
      </c>
      <c r="C7" s="8">
        <v>38377</v>
      </c>
      <c r="D7" s="8">
        <v>40543208.370000325</v>
      </c>
      <c r="E7" s="12">
        <f>+D7/D4</f>
        <v>7.4050573586333338E-2</v>
      </c>
      <c r="F7" s="8">
        <v>19049</v>
      </c>
      <c r="G7" s="8">
        <v>15963070.649999997</v>
      </c>
      <c r="H7" s="8">
        <v>557</v>
      </c>
      <c r="I7" s="8">
        <v>6186012.0500000017</v>
      </c>
      <c r="J7" s="8">
        <v>18428</v>
      </c>
      <c r="K7" s="8">
        <v>17407481.909999955</v>
      </c>
      <c r="L7" s="8">
        <v>343</v>
      </c>
      <c r="M7" s="8">
        <v>986643.75999999978</v>
      </c>
      <c r="N7" s="23">
        <v>-3754957.0300000422</v>
      </c>
    </row>
    <row r="8" spans="1:14" s="4" customFormat="1" ht="21" customHeight="1" x14ac:dyDescent="0.25">
      <c r="A8" s="9">
        <v>4</v>
      </c>
      <c r="B8" s="7" t="s">
        <v>524</v>
      </c>
      <c r="C8" s="8">
        <v>39844</v>
      </c>
      <c r="D8" s="8">
        <v>39238373.460000306</v>
      </c>
      <c r="E8" s="12">
        <f>+D8/D4</f>
        <v>7.1667344004718164E-2</v>
      </c>
      <c r="F8" s="8">
        <v>21618</v>
      </c>
      <c r="G8" s="8">
        <v>19811489.940000094</v>
      </c>
      <c r="H8" s="8">
        <v>1053</v>
      </c>
      <c r="I8" s="8">
        <v>2042141.2300000007</v>
      </c>
      <c r="J8" s="8">
        <v>15887</v>
      </c>
      <c r="K8" s="8">
        <v>15145968.299999954</v>
      </c>
      <c r="L8" s="8">
        <v>1286</v>
      </c>
      <c r="M8" s="8">
        <v>2238773.9899999993</v>
      </c>
      <c r="N8" s="23">
        <v>-4468888.8800001405</v>
      </c>
    </row>
    <row r="9" spans="1:14" s="4" customFormat="1" ht="21" customHeight="1" x14ac:dyDescent="0.25">
      <c r="A9" s="9">
        <v>5</v>
      </c>
      <c r="B9" s="7" t="s">
        <v>469</v>
      </c>
      <c r="C9" s="8">
        <v>48831</v>
      </c>
      <c r="D9" s="8">
        <v>32887282.670000035</v>
      </c>
      <c r="E9" s="12">
        <f>+D9/D4</f>
        <v>6.0067326768627992E-2</v>
      </c>
      <c r="F9" s="8">
        <v>20640</v>
      </c>
      <c r="G9" s="8">
        <v>11794412.460000023</v>
      </c>
      <c r="H9" s="8">
        <v>9650</v>
      </c>
      <c r="I9" s="8">
        <v>6330400.1100000022</v>
      </c>
      <c r="J9" s="8">
        <v>11073</v>
      </c>
      <c r="K9" s="8">
        <v>7958476.0799999936</v>
      </c>
      <c r="L9" s="8">
        <v>7468</v>
      </c>
      <c r="M9" s="8">
        <v>6803994.0199999986</v>
      </c>
      <c r="N9" s="23">
        <v>-3362342.4700000342</v>
      </c>
    </row>
    <row r="10" spans="1:14" s="4" customFormat="1" ht="21" customHeight="1" x14ac:dyDescent="0.25">
      <c r="A10" s="9">
        <v>6</v>
      </c>
      <c r="B10" s="7" t="s">
        <v>468</v>
      </c>
      <c r="C10" s="8">
        <v>3535</v>
      </c>
      <c r="D10" s="8">
        <v>13985915.120000022</v>
      </c>
      <c r="E10" s="12">
        <f>+D10/D4</f>
        <v>2.5544723232414607E-2</v>
      </c>
      <c r="F10" s="8">
        <v>83</v>
      </c>
      <c r="G10" s="8">
        <v>165783.09</v>
      </c>
      <c r="H10" s="8">
        <v>2011</v>
      </c>
      <c r="I10" s="8">
        <v>7880587.7900000028</v>
      </c>
      <c r="J10" s="8">
        <v>77</v>
      </c>
      <c r="K10" s="8">
        <v>162657.76999999996</v>
      </c>
      <c r="L10" s="8">
        <v>1364</v>
      </c>
      <c r="M10" s="8">
        <v>5776886.4700000016</v>
      </c>
      <c r="N10" s="23">
        <v>-2106826.6400000015</v>
      </c>
    </row>
    <row r="11" spans="1:14" s="4" customFormat="1" ht="21" customHeight="1" x14ac:dyDescent="0.25">
      <c r="A11" s="9">
        <v>7</v>
      </c>
      <c r="B11" s="7" t="s">
        <v>467</v>
      </c>
      <c r="C11" s="8">
        <v>17300</v>
      </c>
      <c r="D11" s="8">
        <v>13642451.030000035</v>
      </c>
      <c r="E11" s="12">
        <f>+D11/D4</f>
        <v>2.4917399596882436E-2</v>
      </c>
      <c r="F11" s="8">
        <v>3854</v>
      </c>
      <c r="G11" s="8">
        <v>2445452.6700000013</v>
      </c>
      <c r="H11" s="8">
        <v>4643</v>
      </c>
      <c r="I11" s="8">
        <v>3602076.2699999977</v>
      </c>
      <c r="J11" s="8">
        <v>3803</v>
      </c>
      <c r="K11" s="8">
        <v>2733902.5199999977</v>
      </c>
      <c r="L11" s="8">
        <v>5000</v>
      </c>
      <c r="M11" s="8">
        <v>4861019.5699999994</v>
      </c>
      <c r="N11" s="23">
        <v>1547393.1499999976</v>
      </c>
    </row>
    <row r="12" spans="1:14" s="4" customFormat="1" ht="21" customHeight="1" x14ac:dyDescent="0.25">
      <c r="A12" s="9"/>
      <c r="B12" s="7" t="s">
        <v>466</v>
      </c>
      <c r="C12" s="8">
        <v>57524</v>
      </c>
      <c r="D12" s="8">
        <v>39465943.119999997</v>
      </c>
      <c r="E12" s="12">
        <f>+D12/D4</f>
        <v>7.2082991027519971E-2</v>
      </c>
      <c r="F12" s="8">
        <v>25457</v>
      </c>
      <c r="G12" s="8">
        <v>15465065.670000006</v>
      </c>
      <c r="H12" s="8">
        <v>4878</v>
      </c>
      <c r="I12" s="8">
        <v>4409283.0399999991</v>
      </c>
      <c r="J12" s="8">
        <v>22509</v>
      </c>
      <c r="K12" s="8">
        <v>15146757.019999996</v>
      </c>
      <c r="L12" s="8">
        <v>4680</v>
      </c>
      <c r="M12" s="8">
        <v>4444837.3900000025</v>
      </c>
      <c r="N12" s="23">
        <v>-282754.30000000022</v>
      </c>
    </row>
  </sheetData>
  <autoFilter ref="A4:N12" xr:uid="{3F266548-E99F-4093-9794-8D71E0A732A7}">
    <filterColumn colId="0" showButton="0"/>
    <sortState xmlns:xlrd2="http://schemas.microsoft.com/office/spreadsheetml/2017/richdata2" ref="A5:N13">
      <sortCondition descending="1" ref="D4:D12"/>
    </sortState>
  </autoFilter>
  <mergeCells count="13">
    <mergeCell ref="N1:N3"/>
    <mergeCell ref="F2:G2"/>
    <mergeCell ref="H2:I2"/>
    <mergeCell ref="J2:K2"/>
    <mergeCell ref="L2:M2"/>
    <mergeCell ref="F1:I1"/>
    <mergeCell ref="J1:M1"/>
    <mergeCell ref="A4:B4"/>
    <mergeCell ref="E1:E3"/>
    <mergeCell ref="A1:A3"/>
    <mergeCell ref="B1:B3"/>
    <mergeCell ref="C1:C3"/>
    <mergeCell ref="D1:D3"/>
  </mergeCells>
  <pageMargins left="0.7" right="0.7" top="0.75" bottom="0.75" header="0.3" footer="0.3"/>
  <pageSetup scale="4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C61F-7191-49A1-9C68-35038BDE5B43}">
  <dimension ref="A1:N6"/>
  <sheetViews>
    <sheetView zoomScaleNormal="100" workbookViewId="0">
      <selection activeCell="D14" sqref="D14"/>
    </sheetView>
  </sheetViews>
  <sheetFormatPr defaultRowHeight="12.5" x14ac:dyDescent="0.25"/>
  <cols>
    <col min="2" max="2" width="18.26953125" bestFit="1" customWidth="1"/>
    <col min="3" max="4" width="18.453125" customWidth="1"/>
    <col min="5" max="5" width="9.7265625" customWidth="1"/>
    <col min="6" max="6" width="9.81640625" customWidth="1"/>
    <col min="7" max="7" width="12.81640625" customWidth="1"/>
    <col min="8" max="8" width="9.54296875" customWidth="1"/>
    <col min="9" max="9" width="12.81640625" customWidth="1"/>
    <col min="10" max="10" width="9.54296875" customWidth="1"/>
    <col min="11" max="11" width="12.81640625" customWidth="1"/>
    <col min="12" max="12" width="9.7265625" customWidth="1"/>
    <col min="13" max="13" width="12.81640625" customWidth="1"/>
    <col min="14" max="14" width="13" customWidth="1"/>
  </cols>
  <sheetData>
    <row r="1" spans="1:14" ht="24" customHeight="1" x14ac:dyDescent="0.25">
      <c r="A1" s="53" t="s">
        <v>294</v>
      </c>
      <c r="B1" s="45" t="s">
        <v>465</v>
      </c>
      <c r="C1" s="52" t="s">
        <v>290</v>
      </c>
      <c r="D1" s="52" t="s">
        <v>291</v>
      </c>
      <c r="E1" s="49" t="s">
        <v>296</v>
      </c>
      <c r="F1" s="45" t="s">
        <v>289</v>
      </c>
      <c r="G1" s="45"/>
      <c r="H1" s="45"/>
      <c r="I1" s="45"/>
      <c r="J1" s="45" t="s">
        <v>297</v>
      </c>
      <c r="K1" s="45"/>
      <c r="L1" s="45"/>
      <c r="M1" s="45"/>
      <c r="N1" s="45" t="s">
        <v>454</v>
      </c>
    </row>
    <row r="2" spans="1:14" ht="24" customHeight="1" x14ac:dyDescent="0.25">
      <c r="A2" s="53"/>
      <c r="B2" s="45"/>
      <c r="C2" s="52"/>
      <c r="D2" s="52"/>
      <c r="E2" s="50"/>
      <c r="F2" s="45" t="s">
        <v>234</v>
      </c>
      <c r="G2" s="45"/>
      <c r="H2" s="45" t="s">
        <v>1</v>
      </c>
      <c r="I2" s="45"/>
      <c r="J2" s="45" t="s">
        <v>234</v>
      </c>
      <c r="K2" s="45"/>
      <c r="L2" s="45" t="s">
        <v>1</v>
      </c>
      <c r="M2" s="45"/>
      <c r="N2" s="45"/>
    </row>
    <row r="3" spans="1:14" ht="24" customHeight="1" x14ac:dyDescent="0.25">
      <c r="A3" s="53"/>
      <c r="B3" s="45"/>
      <c r="C3" s="52"/>
      <c r="D3" s="52"/>
      <c r="E3" s="51"/>
      <c r="F3" s="11" t="s">
        <v>292</v>
      </c>
      <c r="G3" s="11" t="s">
        <v>288</v>
      </c>
      <c r="H3" s="11" t="s">
        <v>292</v>
      </c>
      <c r="I3" s="11" t="s">
        <v>288</v>
      </c>
      <c r="J3" s="11" t="s">
        <v>292</v>
      </c>
      <c r="K3" s="11" t="s">
        <v>288</v>
      </c>
      <c r="L3" s="11" t="s">
        <v>292</v>
      </c>
      <c r="M3" s="11" t="s">
        <v>288</v>
      </c>
      <c r="N3" s="45"/>
    </row>
    <row r="4" spans="1:14" s="5" customFormat="1" ht="21" customHeight="1" x14ac:dyDescent="0.25">
      <c r="A4" s="46" t="s">
        <v>473</v>
      </c>
      <c r="B4" s="48"/>
      <c r="C4" s="15">
        <v>748883</v>
      </c>
      <c r="D4" s="15">
        <v>547507013.19996703</v>
      </c>
      <c r="E4" s="13">
        <v>1</v>
      </c>
      <c r="F4" s="15">
        <v>344269</v>
      </c>
      <c r="G4" s="15">
        <v>210228544.23000315</v>
      </c>
      <c r="H4" s="15">
        <v>54084</v>
      </c>
      <c r="I4" s="15">
        <v>58430689.190000124</v>
      </c>
      <c r="J4" s="15">
        <v>301512</v>
      </c>
      <c r="K4" s="15">
        <v>223127150.24000084</v>
      </c>
      <c r="L4" s="15">
        <v>49018</v>
      </c>
      <c r="M4" s="15">
        <v>55720629.53999982</v>
      </c>
      <c r="N4" s="23">
        <v>10188546.359997392</v>
      </c>
    </row>
    <row r="5" spans="1:14" s="4" customFormat="1" ht="21" customHeight="1" x14ac:dyDescent="0.25">
      <c r="A5" s="9">
        <v>1</v>
      </c>
      <c r="B5" s="7" t="s">
        <v>474</v>
      </c>
      <c r="C5" s="8">
        <v>4356</v>
      </c>
      <c r="D5" s="8">
        <v>5525634.8499999978</v>
      </c>
      <c r="E5" s="12">
        <f>+D5/D4</f>
        <v>1.0092354466301348E-2</v>
      </c>
      <c r="F5" s="8">
        <v>1565</v>
      </c>
      <c r="G5" s="8">
        <v>974358.0199999999</v>
      </c>
      <c r="H5" s="8">
        <v>891</v>
      </c>
      <c r="I5" s="8">
        <v>1849892.5500000003</v>
      </c>
      <c r="J5" s="8">
        <v>1107</v>
      </c>
      <c r="K5" s="8">
        <v>795385.90000000026</v>
      </c>
      <c r="L5" s="8">
        <v>793</v>
      </c>
      <c r="M5" s="8">
        <v>1905998.3799999997</v>
      </c>
      <c r="N5" s="23">
        <v>-122866.2900000005</v>
      </c>
    </row>
    <row r="6" spans="1:14" s="4" customFormat="1" ht="21" customHeight="1" x14ac:dyDescent="0.25">
      <c r="A6" s="9">
        <v>2</v>
      </c>
      <c r="B6" s="7" t="s">
        <v>472</v>
      </c>
      <c r="C6" s="8">
        <v>744527</v>
      </c>
      <c r="D6" s="8">
        <v>541981378.349967</v>
      </c>
      <c r="E6" s="12">
        <f>+D6/D4</f>
        <v>0.98990764553369859</v>
      </c>
      <c r="F6" s="8">
        <v>342704</v>
      </c>
      <c r="G6" s="8">
        <v>209254186.21000296</v>
      </c>
      <c r="H6" s="8">
        <v>53193</v>
      </c>
      <c r="I6" s="8">
        <v>56580796.640000075</v>
      </c>
      <c r="J6" s="8">
        <v>300405</v>
      </c>
      <c r="K6" s="8">
        <v>222331764.34000096</v>
      </c>
      <c r="L6" s="8">
        <v>48225</v>
      </c>
      <c r="M6" s="8">
        <v>53814631.159999751</v>
      </c>
      <c r="N6" s="23">
        <v>10311412.649997681</v>
      </c>
    </row>
  </sheetData>
  <mergeCells count="13">
    <mergeCell ref="E1:E3"/>
    <mergeCell ref="F1:I1"/>
    <mergeCell ref="J1:M1"/>
    <mergeCell ref="N1:N3"/>
    <mergeCell ref="F2:G2"/>
    <mergeCell ref="H2:I2"/>
    <mergeCell ref="J2:K2"/>
    <mergeCell ref="L2:M2"/>
    <mergeCell ref="A1:A3"/>
    <mergeCell ref="A4:B4"/>
    <mergeCell ref="B1:B3"/>
    <mergeCell ref="C1:C3"/>
    <mergeCell ref="D1:D3"/>
  </mergeCells>
  <pageMargins left="0.7" right="0.7" top="0.75" bottom="0.75" header="0.3" footer="0.3"/>
  <pageSetup scale="5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CC0A8-5E45-493A-BEEA-25073255DBC1}">
  <dimension ref="A1:I14"/>
  <sheetViews>
    <sheetView topLeftCell="B1" zoomScaleNormal="100" workbookViewId="0">
      <selection activeCell="C1" sqref="C1:D1"/>
    </sheetView>
  </sheetViews>
  <sheetFormatPr defaultRowHeight="12.5" x14ac:dyDescent="0.25"/>
  <cols>
    <col min="1" max="1" width="9.1796875" style="1"/>
    <col min="2" max="2" width="17.7265625" customWidth="1"/>
    <col min="3" max="4" width="16.453125" customWidth="1"/>
    <col min="5" max="5" width="9.54296875" customWidth="1"/>
    <col min="6" max="9" width="16.453125" customWidth="1"/>
  </cols>
  <sheetData>
    <row r="1" spans="1:9" s="5" customFormat="1" ht="21.75" customHeight="1" x14ac:dyDescent="0.25">
      <c r="A1" s="45" t="s">
        <v>294</v>
      </c>
      <c r="B1" s="45" t="s">
        <v>488</v>
      </c>
      <c r="C1" s="45" t="s">
        <v>473</v>
      </c>
      <c r="D1" s="45"/>
      <c r="E1" s="49" t="s">
        <v>296</v>
      </c>
      <c r="F1" s="45" t="s">
        <v>489</v>
      </c>
      <c r="G1" s="45"/>
      <c r="H1" s="45" t="s">
        <v>490</v>
      </c>
      <c r="I1" s="45"/>
    </row>
    <row r="2" spans="1:9" s="14" customFormat="1" ht="31.5" customHeight="1" x14ac:dyDescent="0.3">
      <c r="A2" s="45"/>
      <c r="B2" s="45"/>
      <c r="C2" s="24" t="s">
        <v>486</v>
      </c>
      <c r="D2" s="24" t="s">
        <v>487</v>
      </c>
      <c r="E2" s="51"/>
      <c r="F2" s="24" t="s">
        <v>486</v>
      </c>
      <c r="G2" s="24" t="s">
        <v>487</v>
      </c>
      <c r="H2" s="24" t="s">
        <v>486</v>
      </c>
      <c r="I2" s="24" t="s">
        <v>487</v>
      </c>
    </row>
    <row r="3" spans="1:9" s="5" customFormat="1" ht="25.5" customHeight="1" x14ac:dyDescent="0.25">
      <c r="A3" s="45"/>
      <c r="B3" s="10" t="s">
        <v>295</v>
      </c>
      <c r="C3" s="15">
        <v>433355694.47000086</v>
      </c>
      <c r="D3" s="15">
        <v>114151318.73000002</v>
      </c>
      <c r="E3" s="13">
        <v>1</v>
      </c>
      <c r="F3" s="15">
        <v>210228544.2300005</v>
      </c>
      <c r="G3" s="15">
        <v>58430689.190000013</v>
      </c>
      <c r="H3" s="15">
        <v>223127150.24000037</v>
      </c>
      <c r="I3" s="15">
        <v>55720629.540000007</v>
      </c>
    </row>
    <row r="4" spans="1:9" ht="15.75" customHeight="1" x14ac:dyDescent="0.25">
      <c r="A4" s="9">
        <v>1</v>
      </c>
      <c r="B4" s="7" t="s">
        <v>475</v>
      </c>
      <c r="C4" s="8">
        <v>34698472.270000048</v>
      </c>
      <c r="D4" s="8">
        <v>9929128.6700000055</v>
      </c>
      <c r="E4" s="16">
        <v>8.1510555781132754E-2</v>
      </c>
      <c r="F4" s="8">
        <v>16753586.970000003</v>
      </c>
      <c r="G4" s="8">
        <v>5147273.6400000015</v>
      </c>
      <c r="H4" s="8">
        <v>17944885.300000045</v>
      </c>
      <c r="I4" s="8">
        <v>4781855.030000004</v>
      </c>
    </row>
    <row r="5" spans="1:9" ht="15.75" customHeight="1" x14ac:dyDescent="0.25">
      <c r="A5" s="9">
        <v>2</v>
      </c>
      <c r="B5" s="7" t="s">
        <v>476</v>
      </c>
      <c r="C5" s="8">
        <v>32810439.959999993</v>
      </c>
      <c r="D5" s="8">
        <v>8882684.2800000049</v>
      </c>
      <c r="E5" s="16">
        <v>7.6150849641755655E-2</v>
      </c>
      <c r="F5" s="8">
        <v>14610724.549999939</v>
      </c>
      <c r="G5" s="8">
        <v>4848687.8400000008</v>
      </c>
      <c r="H5" s="8">
        <v>18199715.410000056</v>
      </c>
      <c r="I5" s="8">
        <v>4033996.4400000041</v>
      </c>
    </row>
    <row r="6" spans="1:9" ht="15.75" customHeight="1" x14ac:dyDescent="0.25">
      <c r="A6" s="9">
        <v>3</v>
      </c>
      <c r="B6" s="7" t="s">
        <v>477</v>
      </c>
      <c r="C6" s="8">
        <v>34480275.770000055</v>
      </c>
      <c r="D6" s="8">
        <v>9930940.0999999847</v>
      </c>
      <c r="E6" s="16">
        <v>8.1115336971541038E-2</v>
      </c>
      <c r="F6" s="8">
        <v>15631171.290000029</v>
      </c>
      <c r="G6" s="8">
        <v>5370088.7199999895</v>
      </c>
      <c r="H6" s="8">
        <v>18849104.480000023</v>
      </c>
      <c r="I6" s="8">
        <v>4560851.3799999952</v>
      </c>
    </row>
    <row r="7" spans="1:9" ht="15.75" customHeight="1" x14ac:dyDescent="0.25">
      <c r="A7" s="9">
        <v>4</v>
      </c>
      <c r="B7" s="7" t="s">
        <v>478</v>
      </c>
      <c r="C7" s="8">
        <v>40007063.770000152</v>
      </c>
      <c r="D7" s="8">
        <v>10391358.500000006</v>
      </c>
      <c r="E7" s="16">
        <v>9.2050733698254811E-2</v>
      </c>
      <c r="F7" s="8">
        <v>17855183.100000057</v>
      </c>
      <c r="G7" s="8">
        <v>5573002.4400000004</v>
      </c>
      <c r="H7" s="8">
        <v>22151880.670000095</v>
      </c>
      <c r="I7" s="8">
        <v>4818356.0600000052</v>
      </c>
    </row>
    <row r="8" spans="1:9" ht="15.75" customHeight="1" x14ac:dyDescent="0.25">
      <c r="A8" s="9">
        <v>5</v>
      </c>
      <c r="B8" s="7" t="s">
        <v>479</v>
      </c>
      <c r="C8" s="8">
        <v>43133349.840000458</v>
      </c>
      <c r="D8" s="8">
        <v>10666764.199999999</v>
      </c>
      <c r="E8" s="16">
        <v>9.8263789765095866E-2</v>
      </c>
      <c r="F8" s="8">
        <v>19263889.840000093</v>
      </c>
      <c r="G8" s="8">
        <v>6064387.2900000047</v>
      </c>
      <c r="H8" s="8">
        <v>23869460.000000365</v>
      </c>
      <c r="I8" s="8">
        <v>4602376.9099999936</v>
      </c>
    </row>
    <row r="9" spans="1:9" ht="15.75" customHeight="1" x14ac:dyDescent="0.25">
      <c r="A9" s="9">
        <v>6</v>
      </c>
      <c r="B9" s="7" t="s">
        <v>480</v>
      </c>
      <c r="C9" s="8">
        <v>42986745.730000161</v>
      </c>
      <c r="D9" s="8">
        <v>10292555.970000017</v>
      </c>
      <c r="E9" s="16">
        <v>9.7312546534518249E-2</v>
      </c>
      <c r="F9" s="8">
        <v>18918414.110000111</v>
      </c>
      <c r="G9" s="8">
        <v>5607259.330000015</v>
      </c>
      <c r="H9" s="8">
        <v>24068331.620000049</v>
      </c>
      <c r="I9" s="8">
        <v>4685296.6400000015</v>
      </c>
    </row>
    <row r="10" spans="1:9" ht="15.75" customHeight="1" x14ac:dyDescent="0.25">
      <c r="A10" s="9">
        <v>7</v>
      </c>
      <c r="B10" s="7" t="s">
        <v>481</v>
      </c>
      <c r="C10" s="8">
        <v>49798004.820000067</v>
      </c>
      <c r="D10" s="8">
        <v>10223138.990000002</v>
      </c>
      <c r="E10" s="16">
        <v>0.10962625566966888</v>
      </c>
      <c r="F10" s="8">
        <v>23991872.790000353</v>
      </c>
      <c r="G10" s="8">
        <v>5564309.5599999996</v>
      </c>
      <c r="H10" s="8">
        <v>25806132.029999718</v>
      </c>
      <c r="I10" s="8">
        <v>4658829.4300000034</v>
      </c>
    </row>
    <row r="11" spans="1:9" ht="15.75" customHeight="1" x14ac:dyDescent="0.25">
      <c r="A11" s="9">
        <v>8</v>
      </c>
      <c r="B11" s="7" t="s">
        <v>482</v>
      </c>
      <c r="C11" s="8">
        <v>48772044.820000142</v>
      </c>
      <c r="D11" s="8">
        <v>10960313.000000017</v>
      </c>
      <c r="E11" s="16">
        <v>0.10909879943068473</v>
      </c>
      <c r="F11" s="8">
        <v>23246014.540000189</v>
      </c>
      <c r="G11" s="8">
        <v>5066056.4900000049</v>
      </c>
      <c r="H11" s="8">
        <v>25526030.279999953</v>
      </c>
      <c r="I11" s="8">
        <v>5894256.5100000119</v>
      </c>
    </row>
    <row r="12" spans="1:9" ht="15.75" customHeight="1" x14ac:dyDescent="0.25">
      <c r="A12" s="9">
        <v>9</v>
      </c>
      <c r="B12" s="7" t="s">
        <v>483</v>
      </c>
      <c r="C12" s="8">
        <v>44431479.239999853</v>
      </c>
      <c r="D12" s="8">
        <v>10999752.929999996</v>
      </c>
      <c r="E12" s="16">
        <v>0.10124296279973161</v>
      </c>
      <c r="F12" s="8">
        <v>20692366.919999916</v>
      </c>
      <c r="G12" s="8">
        <v>4814339.37</v>
      </c>
      <c r="H12" s="8">
        <v>23739112.319999937</v>
      </c>
      <c r="I12" s="8">
        <v>6185413.5599999968</v>
      </c>
    </row>
    <row r="13" spans="1:9" ht="15.75" customHeight="1" x14ac:dyDescent="0.25">
      <c r="A13" s="9">
        <v>10</v>
      </c>
      <c r="B13" s="7" t="s">
        <v>484</v>
      </c>
      <c r="C13" s="8">
        <v>20795573.419999909</v>
      </c>
      <c r="D13" s="8">
        <v>11217988.409999989</v>
      </c>
      <c r="E13" s="16">
        <v>5.8471510059553415E-2</v>
      </c>
      <c r="F13" s="8">
        <v>20740239.85999991</v>
      </c>
      <c r="G13" s="8">
        <v>5081818.1099999957</v>
      </c>
      <c r="H13" s="8">
        <v>55333.560000000012</v>
      </c>
      <c r="I13" s="8">
        <v>6136170.2999999942</v>
      </c>
    </row>
    <row r="14" spans="1:9" ht="15.75" customHeight="1" x14ac:dyDescent="0.25">
      <c r="A14" s="9">
        <v>11</v>
      </c>
      <c r="B14" s="7" t="s">
        <v>485</v>
      </c>
      <c r="C14" s="8">
        <v>41442244.830000035</v>
      </c>
      <c r="D14" s="8">
        <v>10656693.680000003</v>
      </c>
      <c r="E14" s="16">
        <v>9.5156659648063024E-2</v>
      </c>
      <c r="F14" s="8">
        <v>18525080.259999879</v>
      </c>
      <c r="G14" s="8">
        <v>5293466.4000000022</v>
      </c>
      <c r="H14" s="8">
        <v>22917164.570000157</v>
      </c>
      <c r="I14" s="8">
        <v>5363227.2800000021</v>
      </c>
    </row>
  </sheetData>
  <mergeCells count="6">
    <mergeCell ref="F1:G1"/>
    <mergeCell ref="H1:I1"/>
    <mergeCell ref="C1:D1"/>
    <mergeCell ref="A1:A3"/>
    <mergeCell ref="B1:B2"/>
    <mergeCell ref="E1:E2"/>
  </mergeCells>
  <pageMargins left="0.7" right="0.7" top="0.75" bottom="0.75" header="0.3" footer="0.3"/>
  <pageSetup scale="6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ACA83-D9AD-492F-9A41-E0C1D4BF8E13}">
  <dimension ref="A1:R132"/>
  <sheetViews>
    <sheetView tabSelected="1" zoomScaleNormal="100" workbookViewId="0">
      <selection activeCell="F7" sqref="F7"/>
    </sheetView>
  </sheetViews>
  <sheetFormatPr defaultColWidth="9.1796875" defaultRowHeight="12.5" x14ac:dyDescent="0.25"/>
  <cols>
    <col min="1" max="1" width="29.54296875" style="4" customWidth="1"/>
    <col min="2" max="2" width="12.54296875" style="4" customWidth="1"/>
    <col min="3" max="3" width="19.81640625" style="4" customWidth="1"/>
    <col min="4" max="7" width="16" style="4" customWidth="1"/>
    <col min="8" max="8" width="10.7265625" style="4" bestFit="1" customWidth="1"/>
    <col min="9" max="16384" width="9.1796875" style="4"/>
  </cols>
  <sheetData>
    <row r="1" spans="1:7" ht="22.5" customHeight="1" x14ac:dyDescent="0.25">
      <c r="A1" s="43" t="s">
        <v>492</v>
      </c>
      <c r="B1" s="44" t="s">
        <v>511</v>
      </c>
      <c r="C1" s="44" t="s">
        <v>512</v>
      </c>
      <c r="D1" s="43" t="s">
        <v>510</v>
      </c>
      <c r="E1" s="43"/>
      <c r="F1" s="43"/>
      <c r="G1" s="43"/>
    </row>
    <row r="2" spans="1:7" s="29" customFormat="1" ht="22.5" customHeight="1" x14ac:dyDescent="0.25">
      <c r="A2" s="43"/>
      <c r="B2" s="44"/>
      <c r="C2" s="44"/>
      <c r="D2" s="44" t="s">
        <v>234</v>
      </c>
      <c r="E2" s="44"/>
      <c r="F2" s="44" t="s">
        <v>1</v>
      </c>
      <c r="G2" s="44"/>
    </row>
    <row r="3" spans="1:7" ht="22.5" customHeight="1" x14ac:dyDescent="0.25">
      <c r="A3" s="43"/>
      <c r="B3" s="44"/>
      <c r="C3" s="44"/>
      <c r="D3" s="32" t="s">
        <v>292</v>
      </c>
      <c r="E3" s="32" t="s">
        <v>288</v>
      </c>
      <c r="F3" s="32" t="s">
        <v>292</v>
      </c>
      <c r="G3" s="32" t="s">
        <v>288</v>
      </c>
    </row>
    <row r="4" spans="1:7" s="28" customFormat="1" ht="24.75" customHeight="1" x14ac:dyDescent="0.25">
      <c r="A4" s="30" t="s">
        <v>473</v>
      </c>
      <c r="B4" s="30"/>
      <c r="C4" s="31"/>
      <c r="D4" s="31">
        <v>301512</v>
      </c>
      <c r="E4" s="31">
        <v>223127150.23999816</v>
      </c>
      <c r="F4" s="31">
        <v>49018</v>
      </c>
      <c r="G4" s="31">
        <v>55720629.53999982</v>
      </c>
    </row>
    <row r="5" spans="1:7" s="28" customFormat="1" ht="14" x14ac:dyDescent="0.25">
      <c r="A5" s="30" t="s">
        <v>26</v>
      </c>
      <c r="B5" s="30"/>
      <c r="C5" s="31"/>
      <c r="D5" s="31">
        <v>36136</v>
      </c>
      <c r="E5" s="31">
        <v>33685050.759999953</v>
      </c>
      <c r="F5" s="31">
        <v>3953</v>
      </c>
      <c r="G5" s="31">
        <v>3961073.6600000043</v>
      </c>
    </row>
    <row r="6" spans="1:7" x14ac:dyDescent="0.25">
      <c r="A6" s="7" t="s">
        <v>493</v>
      </c>
      <c r="B6" s="7" t="s">
        <v>28</v>
      </c>
      <c r="C6" s="8" t="s">
        <v>520</v>
      </c>
      <c r="D6" s="8">
        <v>9231</v>
      </c>
      <c r="E6" s="8">
        <v>6686526.6600000001</v>
      </c>
      <c r="F6" s="8">
        <v>1107</v>
      </c>
      <c r="G6" s="8">
        <v>922459.11000000068</v>
      </c>
    </row>
    <row r="7" spans="1:7" x14ac:dyDescent="0.25">
      <c r="A7" s="7" t="s">
        <v>506</v>
      </c>
      <c r="B7" s="7" t="s">
        <v>272</v>
      </c>
      <c r="C7" s="8" t="s">
        <v>523</v>
      </c>
      <c r="D7" s="8">
        <v>1</v>
      </c>
      <c r="E7" s="8">
        <v>4500</v>
      </c>
      <c r="F7" s="8"/>
      <c r="G7" s="8"/>
    </row>
    <row r="8" spans="1:7" x14ac:dyDescent="0.25">
      <c r="A8" s="7" t="s">
        <v>499</v>
      </c>
      <c r="B8" t="s">
        <v>200</v>
      </c>
      <c r="C8" s="8" t="s">
        <v>523</v>
      </c>
      <c r="D8" s="8">
        <v>40</v>
      </c>
      <c r="E8" s="8">
        <v>36913.380000000005</v>
      </c>
      <c r="F8" s="8">
        <v>18</v>
      </c>
      <c r="G8" s="8">
        <v>21662</v>
      </c>
    </row>
    <row r="9" spans="1:7" x14ac:dyDescent="0.25">
      <c r="A9" s="7" t="s">
        <v>494</v>
      </c>
      <c r="B9" s="7" t="s">
        <v>183</v>
      </c>
      <c r="C9" s="8" t="s">
        <v>522</v>
      </c>
      <c r="D9" s="8">
        <v>2952</v>
      </c>
      <c r="E9" s="8">
        <v>3439405.43</v>
      </c>
      <c r="F9" s="8">
        <v>190</v>
      </c>
      <c r="G9" s="8">
        <v>237424</v>
      </c>
    </row>
    <row r="10" spans="1:7" x14ac:dyDescent="0.25">
      <c r="A10" s="7" t="s">
        <v>496</v>
      </c>
      <c r="B10" s="7" t="s">
        <v>139</v>
      </c>
      <c r="C10" s="8" t="s">
        <v>521</v>
      </c>
      <c r="D10" s="8">
        <v>8693</v>
      </c>
      <c r="E10" s="8">
        <v>7945516.0000000028</v>
      </c>
      <c r="F10" s="8">
        <v>1397</v>
      </c>
      <c r="G10" s="8">
        <v>1387799.8800000004</v>
      </c>
    </row>
    <row r="11" spans="1:7" x14ac:dyDescent="0.25">
      <c r="A11" s="7" t="s">
        <v>495</v>
      </c>
      <c r="B11" t="s">
        <v>244</v>
      </c>
      <c r="C11" s="8" t="s">
        <v>523</v>
      </c>
      <c r="D11" s="8">
        <v>247</v>
      </c>
      <c r="E11" s="8">
        <v>110463.71</v>
      </c>
      <c r="F11" s="8"/>
      <c r="G11" s="8"/>
    </row>
    <row r="12" spans="1:7" x14ac:dyDescent="0.25">
      <c r="A12" s="7" t="s">
        <v>508</v>
      </c>
      <c r="B12" s="7" t="s">
        <v>95</v>
      </c>
      <c r="C12" s="8" t="s">
        <v>520</v>
      </c>
      <c r="D12" s="8">
        <v>14972</v>
      </c>
      <c r="E12" s="8">
        <v>15461725.579999998</v>
      </c>
      <c r="F12" s="8">
        <v>1241</v>
      </c>
      <c r="G12" s="8">
        <v>1391728.6700000004</v>
      </c>
    </row>
    <row r="13" spans="1:7" s="28" customFormat="1" ht="14" x14ac:dyDescent="0.25">
      <c r="A13" s="30" t="s">
        <v>11</v>
      </c>
      <c r="B13" s="30"/>
      <c r="C13" s="31"/>
      <c r="D13" s="31">
        <v>6683</v>
      </c>
      <c r="E13" s="31">
        <v>5228866.4400000004</v>
      </c>
      <c r="F13" s="31">
        <v>253</v>
      </c>
      <c r="G13" s="31">
        <v>313408.99999999994</v>
      </c>
    </row>
    <row r="14" spans="1:7" x14ac:dyDescent="0.25">
      <c r="A14" s="7" t="s">
        <v>498</v>
      </c>
      <c r="B14" s="7" t="s">
        <v>81</v>
      </c>
      <c r="C14" s="8" t="s">
        <v>520</v>
      </c>
      <c r="D14" s="8">
        <v>5418</v>
      </c>
      <c r="E14" s="8">
        <v>4103033.34</v>
      </c>
      <c r="F14" s="8">
        <v>197</v>
      </c>
      <c r="G14" s="8">
        <v>192032</v>
      </c>
    </row>
    <row r="15" spans="1:7" x14ac:dyDescent="0.25">
      <c r="A15" s="7" t="s">
        <v>497</v>
      </c>
      <c r="B15" s="7" t="s">
        <v>109</v>
      </c>
      <c r="C15" s="8" t="s">
        <v>522</v>
      </c>
      <c r="D15" s="8">
        <v>920</v>
      </c>
      <c r="E15" s="8">
        <v>812799.71000000008</v>
      </c>
      <c r="F15" s="8">
        <v>52</v>
      </c>
      <c r="G15" s="8">
        <v>112161</v>
      </c>
    </row>
    <row r="16" spans="1:7" x14ac:dyDescent="0.25">
      <c r="A16" s="7" t="s">
        <v>501</v>
      </c>
      <c r="B16" s="7" t="s">
        <v>13</v>
      </c>
      <c r="C16" s="8" t="s">
        <v>523</v>
      </c>
      <c r="D16" s="8">
        <v>35</v>
      </c>
      <c r="E16" s="8">
        <v>34212</v>
      </c>
      <c r="F16" s="8">
        <v>4</v>
      </c>
      <c r="G16" s="8">
        <v>9216</v>
      </c>
    </row>
    <row r="17" spans="1:12" x14ac:dyDescent="0.25">
      <c r="A17" s="7" t="s">
        <v>495</v>
      </c>
      <c r="B17" s="7" t="s">
        <v>252</v>
      </c>
      <c r="C17" s="8" t="s">
        <v>523</v>
      </c>
      <c r="D17" s="8">
        <v>310</v>
      </c>
      <c r="E17" s="8">
        <v>278821.39</v>
      </c>
      <c r="F17" s="8"/>
      <c r="G17" s="8"/>
    </row>
    <row r="18" spans="1:12" s="28" customFormat="1" ht="14" x14ac:dyDescent="0.25">
      <c r="A18" s="30" t="s">
        <v>45</v>
      </c>
      <c r="B18" s="30"/>
      <c r="C18" s="31"/>
      <c r="D18" s="31">
        <v>32315</v>
      </c>
      <c r="E18" s="31">
        <v>26896846.380000036</v>
      </c>
      <c r="F18" s="31">
        <v>2797</v>
      </c>
      <c r="G18" s="31">
        <v>3154740.2500000009</v>
      </c>
    </row>
    <row r="19" spans="1:12" x14ac:dyDescent="0.25">
      <c r="A19" s="7" t="s">
        <v>493</v>
      </c>
      <c r="B19" s="7" t="s">
        <v>155</v>
      </c>
      <c r="C19" s="8" t="s">
        <v>520</v>
      </c>
      <c r="D19" s="8">
        <v>12488</v>
      </c>
      <c r="E19" s="8">
        <v>8821033.8100000136</v>
      </c>
      <c r="F19" s="8">
        <v>1021</v>
      </c>
      <c r="G19" s="8">
        <v>729493.51000000071</v>
      </c>
    </row>
    <row r="20" spans="1:12" x14ac:dyDescent="0.25">
      <c r="A20" s="7" t="s">
        <v>499</v>
      </c>
      <c r="B20" s="7" t="s">
        <v>216</v>
      </c>
      <c r="C20" s="8" t="s">
        <v>523</v>
      </c>
      <c r="D20" s="8">
        <v>45</v>
      </c>
      <c r="E20" s="8">
        <v>29562.6</v>
      </c>
      <c r="F20" s="8">
        <v>6</v>
      </c>
      <c r="G20" s="8">
        <v>9784</v>
      </c>
    </row>
    <row r="21" spans="1:12" x14ac:dyDescent="0.25">
      <c r="A21" s="7" t="s">
        <v>494</v>
      </c>
      <c r="B21" t="s">
        <v>65</v>
      </c>
      <c r="C21" s="8" t="s">
        <v>522</v>
      </c>
      <c r="D21" s="8">
        <v>6974</v>
      </c>
      <c r="E21" s="8">
        <v>6952280.1399999997</v>
      </c>
      <c r="F21" s="8">
        <v>553</v>
      </c>
      <c r="G21" s="8">
        <v>584185.02999999991</v>
      </c>
    </row>
    <row r="22" spans="1:12" x14ac:dyDescent="0.25">
      <c r="A22" s="7" t="s">
        <v>496</v>
      </c>
      <c r="B22" t="s">
        <v>147</v>
      </c>
      <c r="C22" s="8" t="s">
        <v>521</v>
      </c>
      <c r="D22" s="8">
        <v>9835</v>
      </c>
      <c r="E22" s="8">
        <v>9229358.6699999943</v>
      </c>
      <c r="F22" s="8">
        <v>639</v>
      </c>
      <c r="G22" s="8">
        <v>722853.20000000019</v>
      </c>
    </row>
    <row r="23" spans="1:12" x14ac:dyDescent="0.25">
      <c r="A23" s="7" t="s">
        <v>500</v>
      </c>
      <c r="B23" s="7" t="s">
        <v>47</v>
      </c>
      <c r="C23" s="8" t="s">
        <v>522</v>
      </c>
      <c r="D23" s="8">
        <v>2187</v>
      </c>
      <c r="E23" s="8">
        <v>1334857.0799999998</v>
      </c>
      <c r="F23" s="8">
        <v>578</v>
      </c>
      <c r="G23" s="8">
        <v>1108424.51</v>
      </c>
    </row>
    <row r="24" spans="1:12" x14ac:dyDescent="0.25">
      <c r="A24" s="7" t="s">
        <v>495</v>
      </c>
      <c r="B24" s="7" t="s">
        <v>242</v>
      </c>
      <c r="C24" s="8" t="s">
        <v>523</v>
      </c>
      <c r="D24" s="8">
        <v>786</v>
      </c>
      <c r="E24" s="8">
        <v>529754.08000000007</v>
      </c>
      <c r="F24" s="8"/>
      <c r="G24" s="8"/>
    </row>
    <row r="25" spans="1:12" s="28" customFormat="1" ht="14" x14ac:dyDescent="0.25">
      <c r="A25" s="30" t="s">
        <v>132</v>
      </c>
      <c r="B25" s="30"/>
      <c r="C25" s="31"/>
      <c r="D25" s="31">
        <v>7000</v>
      </c>
      <c r="E25" s="31">
        <v>4806324.3599999985</v>
      </c>
      <c r="F25" s="31">
        <v>670</v>
      </c>
      <c r="G25" s="31">
        <v>427424.83999999997</v>
      </c>
    </row>
    <row r="26" spans="1:12" x14ac:dyDescent="0.25">
      <c r="A26" s="7" t="s">
        <v>498</v>
      </c>
      <c r="B26" s="7" t="s">
        <v>157</v>
      </c>
      <c r="C26" s="8" t="s">
        <v>521</v>
      </c>
      <c r="D26" s="8">
        <v>1661</v>
      </c>
      <c r="E26" s="8">
        <v>1177376.56</v>
      </c>
      <c r="F26" s="8">
        <v>215</v>
      </c>
      <c r="G26" s="8">
        <v>113701.84</v>
      </c>
    </row>
    <row r="27" spans="1:12" x14ac:dyDescent="0.25">
      <c r="A27" s="7" t="s">
        <v>496</v>
      </c>
      <c r="B27" s="7" t="s">
        <v>134</v>
      </c>
      <c r="C27" s="8" t="s">
        <v>520</v>
      </c>
      <c r="D27" s="8">
        <v>4917</v>
      </c>
      <c r="E27" s="8">
        <v>3393357.8000000003</v>
      </c>
      <c r="F27" s="8">
        <v>452</v>
      </c>
      <c r="G27" s="8">
        <v>313126</v>
      </c>
    </row>
    <row r="28" spans="1:12" x14ac:dyDescent="0.25">
      <c r="A28" s="7" t="s">
        <v>495</v>
      </c>
      <c r="B28" s="7" t="s">
        <v>222</v>
      </c>
      <c r="C28" s="8" t="s">
        <v>523</v>
      </c>
      <c r="D28" s="8">
        <v>422</v>
      </c>
      <c r="E28" s="8">
        <v>235590</v>
      </c>
      <c r="F28" s="8">
        <v>3</v>
      </c>
      <c r="G28" s="8">
        <v>597</v>
      </c>
    </row>
    <row r="29" spans="1:12" s="28" customFormat="1" ht="14" x14ac:dyDescent="0.25">
      <c r="A29" s="30" t="s">
        <v>31</v>
      </c>
      <c r="B29" s="30"/>
      <c r="C29" s="31"/>
      <c r="D29" s="31">
        <v>15175</v>
      </c>
      <c r="E29" s="31">
        <v>12056060.589999998</v>
      </c>
      <c r="F29" s="31">
        <v>2792</v>
      </c>
      <c r="G29" s="31">
        <v>2982446.8099999982</v>
      </c>
    </row>
    <row r="30" spans="1:12" x14ac:dyDescent="0.25">
      <c r="A30" s="7" t="s">
        <v>497</v>
      </c>
      <c r="B30" s="7" t="s">
        <v>111</v>
      </c>
      <c r="C30" s="8" t="s">
        <v>522</v>
      </c>
      <c r="D30" s="8">
        <v>1246</v>
      </c>
      <c r="E30" s="8">
        <v>873429.93000000028</v>
      </c>
      <c r="F30" s="8">
        <v>301</v>
      </c>
      <c r="G30" s="8">
        <v>298008.49</v>
      </c>
    </row>
    <row r="31" spans="1:12" x14ac:dyDescent="0.25">
      <c r="A31" s="7" t="s">
        <v>502</v>
      </c>
      <c r="B31" t="s">
        <v>33</v>
      </c>
      <c r="C31" s="8" t="s">
        <v>520</v>
      </c>
      <c r="D31" s="8">
        <v>11172</v>
      </c>
      <c r="E31" s="8">
        <v>9017686.5499999989</v>
      </c>
      <c r="F31" s="8">
        <v>2044</v>
      </c>
      <c r="G31" s="8">
        <v>2150597.2699999996</v>
      </c>
      <c r="H31" s="33"/>
      <c r="I31" s="33"/>
      <c r="J31" s="33"/>
      <c r="K31" s="33"/>
      <c r="L31" s="33"/>
    </row>
    <row r="32" spans="1:12" x14ac:dyDescent="0.25">
      <c r="A32" s="7" t="s">
        <v>503</v>
      </c>
      <c r="B32" s="7" t="s">
        <v>131</v>
      </c>
      <c r="C32" s="8" t="s">
        <v>522</v>
      </c>
      <c r="D32" s="8">
        <v>1268</v>
      </c>
      <c r="E32" s="8">
        <v>832918.33000000019</v>
      </c>
      <c r="F32" s="8">
        <v>322</v>
      </c>
      <c r="G32" s="8">
        <v>308065.0500000001</v>
      </c>
    </row>
    <row r="33" spans="1:18" x14ac:dyDescent="0.25">
      <c r="A33" s="7" t="s">
        <v>494</v>
      </c>
      <c r="B33" s="7" t="s">
        <v>56</v>
      </c>
      <c r="C33" s="8" t="s">
        <v>522</v>
      </c>
      <c r="D33" s="8">
        <v>1460</v>
      </c>
      <c r="E33" s="8">
        <v>1318675.7800000003</v>
      </c>
      <c r="F33" s="8">
        <v>125</v>
      </c>
      <c r="G33" s="8">
        <v>225776</v>
      </c>
    </row>
    <row r="34" spans="1:18" x14ac:dyDescent="0.25">
      <c r="A34" s="7" t="s">
        <v>495</v>
      </c>
      <c r="B34" s="7" t="s">
        <v>258</v>
      </c>
      <c r="C34" s="8" t="s">
        <v>523</v>
      </c>
      <c r="D34" s="8">
        <v>29</v>
      </c>
      <c r="E34" s="8">
        <v>13350</v>
      </c>
      <c r="F34" s="8"/>
      <c r="G34" s="8"/>
    </row>
    <row r="35" spans="1:18" s="28" customFormat="1" ht="14" x14ac:dyDescent="0.25">
      <c r="A35" s="30" t="s">
        <v>14</v>
      </c>
      <c r="B35" s="30"/>
      <c r="C35" s="31"/>
      <c r="D35" s="31">
        <v>9012</v>
      </c>
      <c r="E35" s="31">
        <v>7796512.5899999756</v>
      </c>
      <c r="F35" s="31">
        <v>5058</v>
      </c>
      <c r="G35" s="31">
        <v>10046981.659999989</v>
      </c>
    </row>
    <row r="36" spans="1:18" x14ac:dyDescent="0.25">
      <c r="A36" s="7" t="s">
        <v>502</v>
      </c>
      <c r="B36" t="s">
        <v>37</v>
      </c>
      <c r="C36" s="8" t="s">
        <v>520</v>
      </c>
      <c r="D36" s="8">
        <v>1446</v>
      </c>
      <c r="E36" s="8">
        <v>1333967.22</v>
      </c>
      <c r="F36" s="8">
        <v>1805</v>
      </c>
      <c r="G36" s="8">
        <v>3478394.1</v>
      </c>
    </row>
    <row r="37" spans="1:18" x14ac:dyDescent="0.25">
      <c r="A37" s="7" t="s">
        <v>507</v>
      </c>
      <c r="B37" s="7" t="s">
        <v>85</v>
      </c>
      <c r="C37" s="8" t="s">
        <v>521</v>
      </c>
      <c r="D37" s="8">
        <v>1673</v>
      </c>
      <c r="E37" s="8">
        <v>1489806.59</v>
      </c>
      <c r="F37" s="8">
        <v>1101</v>
      </c>
      <c r="G37" s="8">
        <v>2211050.27</v>
      </c>
    </row>
    <row r="38" spans="1:18" x14ac:dyDescent="0.25">
      <c r="A38" s="7" t="s">
        <v>493</v>
      </c>
      <c r="B38" s="7" t="s">
        <v>83</v>
      </c>
      <c r="C38" s="8" t="s">
        <v>520</v>
      </c>
      <c r="D38" s="8">
        <v>2379</v>
      </c>
      <c r="E38" s="8">
        <v>1506756.4399999985</v>
      </c>
      <c r="F38" s="8">
        <v>768</v>
      </c>
      <c r="G38" s="8">
        <v>1288292.9300000011</v>
      </c>
    </row>
    <row r="39" spans="1:18" x14ac:dyDescent="0.25">
      <c r="A39" s="7" t="s">
        <v>501</v>
      </c>
      <c r="B39" t="s">
        <v>209</v>
      </c>
      <c r="C39" s="8" t="s">
        <v>521</v>
      </c>
      <c r="D39" s="8">
        <v>1880</v>
      </c>
      <c r="E39" s="8">
        <v>1853545.2300000002</v>
      </c>
      <c r="F39" s="8">
        <v>905</v>
      </c>
      <c r="G39" s="8">
        <v>2331759.36</v>
      </c>
      <c r="H39" s="33"/>
      <c r="I39" s="33"/>
      <c r="J39" s="33"/>
      <c r="K39" s="33"/>
    </row>
    <row r="40" spans="1:18" x14ac:dyDescent="0.25">
      <c r="A40" s="7" t="s">
        <v>494</v>
      </c>
      <c r="B40" s="7" t="s">
        <v>256</v>
      </c>
      <c r="C40" s="8" t="s">
        <v>523</v>
      </c>
      <c r="D40" s="8">
        <v>5</v>
      </c>
      <c r="E40" s="8">
        <v>2709</v>
      </c>
      <c r="F40" s="8"/>
      <c r="G40" s="8"/>
    </row>
    <row r="41" spans="1:18" x14ac:dyDescent="0.25">
      <c r="A41" s="7" t="s">
        <v>495</v>
      </c>
      <c r="B41" t="s">
        <v>218</v>
      </c>
      <c r="C41" s="8" t="s">
        <v>523</v>
      </c>
      <c r="D41" s="8">
        <v>101</v>
      </c>
      <c r="E41" s="8">
        <v>65954</v>
      </c>
      <c r="F41" s="8">
        <v>3</v>
      </c>
      <c r="G41" s="8">
        <v>6500</v>
      </c>
    </row>
    <row r="42" spans="1:18" x14ac:dyDescent="0.25">
      <c r="A42" s="7" t="s">
        <v>505</v>
      </c>
      <c r="B42" t="s">
        <v>172</v>
      </c>
      <c r="C42" s="8" t="s">
        <v>521</v>
      </c>
      <c r="D42" s="8">
        <v>1528</v>
      </c>
      <c r="E42" s="8">
        <v>1543774.1099999999</v>
      </c>
      <c r="F42" s="8">
        <v>476</v>
      </c>
      <c r="G42" s="8">
        <v>730985</v>
      </c>
    </row>
    <row r="43" spans="1:18" s="28" customFormat="1" ht="14" x14ac:dyDescent="0.25">
      <c r="A43" s="30" t="s">
        <v>16</v>
      </c>
      <c r="B43" s="30"/>
      <c r="C43" s="31"/>
      <c r="D43" s="31">
        <v>19253</v>
      </c>
      <c r="E43" s="31">
        <v>12892072.919999996</v>
      </c>
      <c r="F43" s="31">
        <v>5206</v>
      </c>
      <c r="G43" s="31">
        <v>5499910.1700000009</v>
      </c>
    </row>
    <row r="44" spans="1:18" x14ac:dyDescent="0.25">
      <c r="A44" s="7" t="s">
        <v>507</v>
      </c>
      <c r="B44" s="7" t="s">
        <v>18</v>
      </c>
      <c r="C44" s="8" t="s">
        <v>520</v>
      </c>
      <c r="D44" s="8">
        <v>15282</v>
      </c>
      <c r="E44" s="8">
        <v>9687952.2799999956</v>
      </c>
      <c r="F44" s="8">
        <v>4207</v>
      </c>
      <c r="G44" s="8">
        <v>4385731.7699999996</v>
      </c>
    </row>
    <row r="45" spans="1:18" x14ac:dyDescent="0.25">
      <c r="A45" s="7" t="s">
        <v>502</v>
      </c>
      <c r="B45" s="7" t="s">
        <v>40</v>
      </c>
      <c r="C45" s="8" t="s">
        <v>522</v>
      </c>
      <c r="D45" s="8">
        <v>1352</v>
      </c>
      <c r="E45" s="8">
        <v>1005531</v>
      </c>
      <c r="F45" s="8">
        <v>255</v>
      </c>
      <c r="G45" s="8">
        <v>272099</v>
      </c>
      <c r="H45" s="33"/>
      <c r="I45" s="33"/>
      <c r="J45" s="33"/>
      <c r="K45" s="33"/>
      <c r="L45" s="33"/>
      <c r="M45" s="33"/>
    </row>
    <row r="46" spans="1:18" x14ac:dyDescent="0.25">
      <c r="A46" s="7" t="s">
        <v>496</v>
      </c>
      <c r="B46" t="s">
        <v>145</v>
      </c>
      <c r="C46" s="8" t="s">
        <v>521</v>
      </c>
      <c r="D46" s="8">
        <v>2590</v>
      </c>
      <c r="E46" s="8">
        <v>2178689.5199999996</v>
      </c>
      <c r="F46" s="8">
        <v>742</v>
      </c>
      <c r="G46" s="8">
        <v>839578.64999999991</v>
      </c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</row>
    <row r="47" spans="1:18" x14ac:dyDescent="0.25">
      <c r="A47" s="7" t="s">
        <v>495</v>
      </c>
      <c r="B47" t="s">
        <v>229</v>
      </c>
      <c r="C47" s="8" t="s">
        <v>523</v>
      </c>
      <c r="D47" s="8">
        <v>29</v>
      </c>
      <c r="E47" s="8">
        <v>19900</v>
      </c>
      <c r="F47" s="8">
        <v>2</v>
      </c>
      <c r="G47" s="8">
        <v>2500</v>
      </c>
    </row>
    <row r="48" spans="1:18" s="28" customFormat="1" ht="14" x14ac:dyDescent="0.25">
      <c r="A48" s="30" t="s">
        <v>41</v>
      </c>
      <c r="B48" s="30"/>
      <c r="C48" s="31"/>
      <c r="D48" s="31">
        <v>13844</v>
      </c>
      <c r="E48" s="31">
        <v>9636908.8400000408</v>
      </c>
      <c r="F48" s="31">
        <v>891</v>
      </c>
      <c r="G48" s="31">
        <v>724322.03000000201</v>
      </c>
    </row>
    <row r="49" spans="1:9" x14ac:dyDescent="0.25">
      <c r="A49" s="7" t="s">
        <v>498</v>
      </c>
      <c r="B49" s="7" t="s">
        <v>43</v>
      </c>
      <c r="C49" s="8" t="s">
        <v>521</v>
      </c>
      <c r="D49" s="8">
        <v>5012</v>
      </c>
      <c r="E49" s="8">
        <v>3569726.02</v>
      </c>
      <c r="F49" s="8">
        <v>415</v>
      </c>
      <c r="G49" s="8">
        <v>358304</v>
      </c>
    </row>
    <row r="50" spans="1:9" x14ac:dyDescent="0.25">
      <c r="A50" s="7" t="s">
        <v>493</v>
      </c>
      <c r="B50" s="7" t="s">
        <v>151</v>
      </c>
      <c r="C50" s="8" t="s">
        <v>520</v>
      </c>
      <c r="D50" s="8">
        <v>7940</v>
      </c>
      <c r="E50" s="8">
        <v>5569685.8200000105</v>
      </c>
      <c r="F50" s="8">
        <v>470</v>
      </c>
      <c r="G50" s="8">
        <v>361945.02999999997</v>
      </c>
    </row>
    <row r="51" spans="1:9" x14ac:dyDescent="0.25">
      <c r="A51" s="7" t="s">
        <v>495</v>
      </c>
      <c r="B51" s="7" t="s">
        <v>274</v>
      </c>
      <c r="C51" s="8"/>
      <c r="D51" s="8"/>
      <c r="E51" s="8"/>
      <c r="F51" s="8"/>
      <c r="G51" s="8"/>
    </row>
    <row r="52" spans="1:9" x14ac:dyDescent="0.25">
      <c r="A52" s="7" t="s">
        <v>495</v>
      </c>
      <c r="B52" s="7" t="s">
        <v>206</v>
      </c>
      <c r="C52" s="8" t="s">
        <v>523</v>
      </c>
      <c r="D52" s="8">
        <v>892</v>
      </c>
      <c r="E52" s="8">
        <v>497497</v>
      </c>
      <c r="F52" s="8">
        <v>6</v>
      </c>
      <c r="G52" s="8">
        <v>4073</v>
      </c>
    </row>
    <row r="53" spans="1:9" s="28" customFormat="1" ht="14" x14ac:dyDescent="0.25">
      <c r="A53" s="30" t="s">
        <v>58</v>
      </c>
      <c r="B53" s="30"/>
      <c r="C53" s="31"/>
      <c r="D53" s="31">
        <v>17057</v>
      </c>
      <c r="E53" s="31">
        <v>11746885.359999979</v>
      </c>
      <c r="F53" s="31">
        <v>2257</v>
      </c>
      <c r="G53" s="31">
        <v>2315527.8299999987</v>
      </c>
    </row>
    <row r="54" spans="1:9" x14ac:dyDescent="0.25">
      <c r="A54" s="7" t="s">
        <v>498</v>
      </c>
      <c r="B54" s="7" t="s">
        <v>76</v>
      </c>
      <c r="C54" s="8" t="s">
        <v>523</v>
      </c>
      <c r="D54" s="8">
        <v>813</v>
      </c>
      <c r="E54" s="8">
        <v>603384.02999999991</v>
      </c>
      <c r="F54" s="8">
        <v>97</v>
      </c>
      <c r="G54" s="8">
        <v>126932</v>
      </c>
    </row>
    <row r="55" spans="1:9" x14ac:dyDescent="0.25">
      <c r="A55" s="7" t="s">
        <v>497</v>
      </c>
      <c r="B55" s="7" t="s">
        <v>104</v>
      </c>
      <c r="C55" s="8" t="s">
        <v>521</v>
      </c>
      <c r="D55" s="8">
        <v>4023</v>
      </c>
      <c r="E55" s="8">
        <v>2627467.0699999994</v>
      </c>
      <c r="F55" s="8">
        <v>431</v>
      </c>
      <c r="G55" s="8">
        <v>250614.84999999998</v>
      </c>
    </row>
    <row r="56" spans="1:9" x14ac:dyDescent="0.25">
      <c r="A56" s="7" t="s">
        <v>509</v>
      </c>
      <c r="B56" s="7" t="s">
        <v>187</v>
      </c>
      <c r="C56" s="8" t="s">
        <v>523</v>
      </c>
      <c r="D56" s="8">
        <v>502</v>
      </c>
      <c r="E56" s="8">
        <v>429966.36000000004</v>
      </c>
      <c r="F56" s="8">
        <v>112</v>
      </c>
      <c r="G56" s="8">
        <v>161720.09999999998</v>
      </c>
    </row>
    <row r="57" spans="1:9" x14ac:dyDescent="0.25">
      <c r="A57" s="7" t="s">
        <v>499</v>
      </c>
      <c r="B57" s="7" t="s">
        <v>233</v>
      </c>
      <c r="C57" s="8" t="s">
        <v>523</v>
      </c>
      <c r="D57" s="8">
        <v>3</v>
      </c>
      <c r="E57" s="8">
        <v>1100</v>
      </c>
      <c r="F57" s="8">
        <v>1</v>
      </c>
      <c r="G57" s="8">
        <v>1000</v>
      </c>
    </row>
    <row r="58" spans="1:9" x14ac:dyDescent="0.25">
      <c r="A58" s="7" t="s">
        <v>503</v>
      </c>
      <c r="B58" s="7" t="s">
        <v>117</v>
      </c>
      <c r="C58" s="8" t="s">
        <v>523</v>
      </c>
      <c r="D58" s="8">
        <v>476</v>
      </c>
      <c r="E58" s="8">
        <v>434007.73</v>
      </c>
      <c r="F58" s="8">
        <v>61</v>
      </c>
      <c r="G58" s="8">
        <v>78657</v>
      </c>
    </row>
    <row r="59" spans="1:9" x14ac:dyDescent="0.25">
      <c r="A59" s="7" t="s">
        <v>494</v>
      </c>
      <c r="B59" s="7" t="s">
        <v>60</v>
      </c>
      <c r="C59" s="8" t="s">
        <v>520</v>
      </c>
      <c r="D59" s="8">
        <v>5165</v>
      </c>
      <c r="E59" s="8">
        <v>3327462.3799999994</v>
      </c>
      <c r="F59" s="8">
        <v>940</v>
      </c>
      <c r="G59" s="8">
        <v>1130573.1099999999</v>
      </c>
    </row>
    <row r="60" spans="1:9" x14ac:dyDescent="0.25">
      <c r="A60" s="7" t="s">
        <v>501</v>
      </c>
      <c r="B60" s="7" t="s">
        <v>227</v>
      </c>
      <c r="C60" s="8" t="s">
        <v>523</v>
      </c>
      <c r="D60" s="8">
        <v>33</v>
      </c>
      <c r="E60" s="8">
        <v>22612</v>
      </c>
      <c r="F60" s="8">
        <v>2</v>
      </c>
      <c r="G60" s="8">
        <v>104</v>
      </c>
    </row>
    <row r="61" spans="1:9" x14ac:dyDescent="0.25">
      <c r="A61" s="7" t="s">
        <v>496</v>
      </c>
      <c r="B61" s="7" t="s">
        <v>149</v>
      </c>
      <c r="C61" s="8" t="s">
        <v>522</v>
      </c>
      <c r="D61" s="8">
        <v>1490</v>
      </c>
      <c r="E61" s="8">
        <v>1060448.7500000002</v>
      </c>
      <c r="F61" s="8">
        <v>175</v>
      </c>
      <c r="G61" s="8">
        <v>163376</v>
      </c>
    </row>
    <row r="62" spans="1:9" x14ac:dyDescent="0.25">
      <c r="A62" s="7" t="s">
        <v>500</v>
      </c>
      <c r="B62" s="7" t="s">
        <v>191</v>
      </c>
      <c r="C62" s="8" t="s">
        <v>522</v>
      </c>
      <c r="D62" s="8">
        <v>1456</v>
      </c>
      <c r="E62" s="8">
        <v>784423.79999999993</v>
      </c>
      <c r="F62" s="8">
        <v>55</v>
      </c>
      <c r="G62" s="8">
        <v>25206.67</v>
      </c>
      <c r="H62" s="33"/>
      <c r="I62" s="33"/>
    </row>
    <row r="63" spans="1:9" x14ac:dyDescent="0.25">
      <c r="A63" s="7" t="s">
        <v>495</v>
      </c>
      <c r="B63" s="7" t="s">
        <v>231</v>
      </c>
      <c r="C63" s="8" t="s">
        <v>523</v>
      </c>
      <c r="D63" s="8">
        <v>247</v>
      </c>
      <c r="E63" s="8">
        <v>138783</v>
      </c>
      <c r="F63" s="8">
        <v>1</v>
      </c>
      <c r="G63" s="8">
        <v>42500</v>
      </c>
    </row>
    <row r="64" spans="1:9" x14ac:dyDescent="0.25">
      <c r="A64" s="7" t="s">
        <v>508</v>
      </c>
      <c r="B64" s="7" t="s">
        <v>99</v>
      </c>
      <c r="C64" s="8" t="s">
        <v>521</v>
      </c>
      <c r="D64" s="8">
        <v>2849</v>
      </c>
      <c r="E64" s="8">
        <v>2317230.2400000007</v>
      </c>
      <c r="F64" s="8">
        <v>382</v>
      </c>
      <c r="G64" s="8">
        <v>334844.10000000003</v>
      </c>
    </row>
    <row r="65" spans="1:7" s="28" customFormat="1" ht="14" x14ac:dyDescent="0.25">
      <c r="A65" s="30" t="s">
        <v>127</v>
      </c>
      <c r="B65" s="30"/>
      <c r="C65" s="31"/>
      <c r="D65" s="31">
        <v>17742</v>
      </c>
      <c r="E65" s="31">
        <v>10631334.640000004</v>
      </c>
      <c r="F65" s="31">
        <v>733</v>
      </c>
      <c r="G65" s="31">
        <v>610831.1</v>
      </c>
    </row>
    <row r="66" spans="1:7" x14ac:dyDescent="0.25">
      <c r="A66" s="7" t="s">
        <v>498</v>
      </c>
      <c r="B66" s="7" t="s">
        <v>159</v>
      </c>
      <c r="C66" s="8" t="s">
        <v>520</v>
      </c>
      <c r="D66" s="8">
        <v>8543</v>
      </c>
      <c r="E66" s="8">
        <v>5488430.5599999987</v>
      </c>
      <c r="F66" s="8">
        <v>510</v>
      </c>
      <c r="G66" s="8">
        <v>422535</v>
      </c>
    </row>
    <row r="67" spans="1:7" x14ac:dyDescent="0.25">
      <c r="A67" s="7" t="s">
        <v>503</v>
      </c>
      <c r="B67" s="7" t="s">
        <v>225</v>
      </c>
      <c r="C67" s="8" t="s">
        <v>521</v>
      </c>
      <c r="D67" s="8">
        <v>7717</v>
      </c>
      <c r="E67" s="8">
        <v>4389842.540000001</v>
      </c>
      <c r="F67" s="8">
        <v>222</v>
      </c>
      <c r="G67" s="8">
        <v>187596.09999999998</v>
      </c>
    </row>
    <row r="68" spans="1:7" x14ac:dyDescent="0.25">
      <c r="A68" s="7" t="s">
        <v>495</v>
      </c>
      <c r="B68" s="7" t="s">
        <v>129</v>
      </c>
      <c r="C68" s="8" t="s">
        <v>523</v>
      </c>
      <c r="D68" s="8">
        <v>1482</v>
      </c>
      <c r="E68" s="8">
        <v>753061.54</v>
      </c>
      <c r="F68" s="8">
        <v>1</v>
      </c>
      <c r="G68" s="8">
        <v>700</v>
      </c>
    </row>
    <row r="69" spans="1:7" s="28" customFormat="1" ht="14" x14ac:dyDescent="0.25">
      <c r="A69" s="30" t="s">
        <v>68</v>
      </c>
      <c r="B69" s="30"/>
      <c r="C69" s="31"/>
      <c r="D69" s="31">
        <v>21495</v>
      </c>
      <c r="E69" s="31">
        <v>13877116.049999945</v>
      </c>
      <c r="F69" s="31">
        <v>7221</v>
      </c>
      <c r="G69" s="31">
        <v>7638002.0399999917</v>
      </c>
    </row>
    <row r="70" spans="1:7" x14ac:dyDescent="0.25">
      <c r="A70" s="7" t="s">
        <v>499</v>
      </c>
      <c r="B70" s="7" t="s">
        <v>163</v>
      </c>
      <c r="C70" s="8" t="s">
        <v>523</v>
      </c>
      <c r="D70" s="8">
        <v>30</v>
      </c>
      <c r="E70" s="8">
        <v>18331.62</v>
      </c>
      <c r="F70" s="8">
        <v>102</v>
      </c>
      <c r="G70" s="8">
        <v>391509</v>
      </c>
    </row>
    <row r="71" spans="1:7" x14ac:dyDescent="0.25">
      <c r="A71" s="7" t="s">
        <v>493</v>
      </c>
      <c r="B71" t="s">
        <v>179</v>
      </c>
      <c r="C71" s="8" t="s">
        <v>520</v>
      </c>
      <c r="D71" s="8">
        <v>10257</v>
      </c>
      <c r="E71" s="8">
        <v>5875117.9999999674</v>
      </c>
      <c r="F71" s="8">
        <v>3905</v>
      </c>
      <c r="G71" s="8">
        <v>4222801.6900000041</v>
      </c>
    </row>
    <row r="72" spans="1:7" x14ac:dyDescent="0.25">
      <c r="A72" s="7" t="s">
        <v>503</v>
      </c>
      <c r="B72" s="7" t="s">
        <v>212</v>
      </c>
      <c r="C72" s="8" t="s">
        <v>523</v>
      </c>
      <c r="D72" s="8">
        <v>228</v>
      </c>
      <c r="E72" s="8">
        <v>183123</v>
      </c>
      <c r="F72" s="8">
        <v>7</v>
      </c>
      <c r="G72" s="8">
        <v>7760</v>
      </c>
    </row>
    <row r="73" spans="1:7" x14ac:dyDescent="0.25">
      <c r="A73" s="7" t="s">
        <v>494</v>
      </c>
      <c r="B73" s="7" t="s">
        <v>70</v>
      </c>
      <c r="C73" s="8" t="s">
        <v>523</v>
      </c>
      <c r="D73" s="8">
        <v>380</v>
      </c>
      <c r="E73" s="8">
        <v>354574.79</v>
      </c>
      <c r="F73" s="8">
        <v>154</v>
      </c>
      <c r="G73" s="8">
        <v>235549.86000000002</v>
      </c>
    </row>
    <row r="74" spans="1:7" x14ac:dyDescent="0.25">
      <c r="A74" s="7" t="s">
        <v>494</v>
      </c>
      <c r="B74" s="7" t="s">
        <v>185</v>
      </c>
      <c r="C74" s="8" t="s">
        <v>523</v>
      </c>
      <c r="D74" s="8">
        <v>149</v>
      </c>
      <c r="E74" s="8">
        <v>91192.51</v>
      </c>
      <c r="F74" s="8">
        <v>188</v>
      </c>
      <c r="G74" s="8">
        <v>436799</v>
      </c>
    </row>
    <row r="75" spans="1:7" x14ac:dyDescent="0.25">
      <c r="A75" s="7" t="s">
        <v>494</v>
      </c>
      <c r="B75" t="s">
        <v>74</v>
      </c>
      <c r="C75" s="8" t="s">
        <v>523</v>
      </c>
      <c r="D75" s="8">
        <v>694</v>
      </c>
      <c r="E75" s="8">
        <v>671899.64000000025</v>
      </c>
      <c r="F75" s="8">
        <v>297</v>
      </c>
      <c r="G75" s="8">
        <v>309334.87</v>
      </c>
    </row>
    <row r="76" spans="1:7" x14ac:dyDescent="0.25">
      <c r="A76" s="7" t="s">
        <v>496</v>
      </c>
      <c r="B76" s="7" t="s">
        <v>141</v>
      </c>
      <c r="C76" s="8" t="s">
        <v>521</v>
      </c>
      <c r="D76" s="8">
        <v>4881</v>
      </c>
      <c r="E76" s="8">
        <v>3009669.3800000018</v>
      </c>
      <c r="F76" s="8">
        <v>1401</v>
      </c>
      <c r="G76" s="8">
        <v>962476.4800000001</v>
      </c>
    </row>
    <row r="77" spans="1:7" x14ac:dyDescent="0.25">
      <c r="A77" s="7" t="s">
        <v>495</v>
      </c>
      <c r="B77" s="7" t="s">
        <v>254</v>
      </c>
      <c r="C77" s="8" t="s">
        <v>523</v>
      </c>
      <c r="D77" s="8">
        <v>175</v>
      </c>
      <c r="E77" s="8">
        <v>81862.64</v>
      </c>
      <c r="F77" s="8"/>
      <c r="G77" s="8"/>
    </row>
    <row r="78" spans="1:7" x14ac:dyDescent="0.25">
      <c r="A78" s="7" t="s">
        <v>508</v>
      </c>
      <c r="B78" s="7" t="s">
        <v>93</v>
      </c>
      <c r="C78" s="8" t="s">
        <v>521</v>
      </c>
      <c r="D78" s="8">
        <v>4701</v>
      </c>
      <c r="E78" s="8">
        <v>3591344.4699999983</v>
      </c>
      <c r="F78" s="8">
        <v>1167</v>
      </c>
      <c r="G78" s="8">
        <v>1071771.1399999999</v>
      </c>
    </row>
    <row r="79" spans="1:7" s="28" customFormat="1" ht="14" x14ac:dyDescent="0.25">
      <c r="A79" s="30" t="s">
        <v>7</v>
      </c>
      <c r="B79" s="30"/>
      <c r="C79" s="31"/>
      <c r="D79" s="31">
        <v>5344</v>
      </c>
      <c r="E79" s="31">
        <v>2898566.18</v>
      </c>
      <c r="F79" s="31">
        <v>1051</v>
      </c>
      <c r="G79" s="31">
        <v>847755.22000000055</v>
      </c>
    </row>
    <row r="80" spans="1:7" x14ac:dyDescent="0.25">
      <c r="A80" s="7" t="s">
        <v>498</v>
      </c>
      <c r="B80" s="7" t="s">
        <v>161</v>
      </c>
      <c r="C80" s="8" t="s">
        <v>523</v>
      </c>
      <c r="D80" s="8">
        <v>369</v>
      </c>
      <c r="E80" s="8">
        <v>260151</v>
      </c>
      <c r="F80" s="8">
        <v>43</v>
      </c>
      <c r="G80" s="8">
        <v>19031</v>
      </c>
    </row>
    <row r="81" spans="1:7" x14ac:dyDescent="0.25">
      <c r="A81" s="7" t="s">
        <v>493</v>
      </c>
      <c r="B81" s="7" t="s">
        <v>30</v>
      </c>
      <c r="C81" s="8" t="s">
        <v>520</v>
      </c>
      <c r="D81" s="8">
        <v>3934</v>
      </c>
      <c r="E81" s="8">
        <v>1927874.9699999995</v>
      </c>
      <c r="F81" s="8">
        <v>804</v>
      </c>
      <c r="G81" s="8">
        <v>626459.12000000069</v>
      </c>
    </row>
    <row r="82" spans="1:7" x14ac:dyDescent="0.25">
      <c r="A82" s="7" t="s">
        <v>503</v>
      </c>
      <c r="B82" s="7" t="s">
        <v>202</v>
      </c>
      <c r="C82" s="8" t="s">
        <v>523</v>
      </c>
      <c r="D82" s="8">
        <v>178</v>
      </c>
      <c r="E82" s="8">
        <v>151688.66999999998</v>
      </c>
      <c r="F82" s="8">
        <v>10</v>
      </c>
      <c r="G82" s="8">
        <v>1577.1</v>
      </c>
    </row>
    <row r="83" spans="1:7" x14ac:dyDescent="0.25">
      <c r="A83" s="7" t="s">
        <v>501</v>
      </c>
      <c r="B83" s="7" t="s">
        <v>10</v>
      </c>
      <c r="C83" s="8" t="s">
        <v>522</v>
      </c>
      <c r="D83" s="8">
        <v>863</v>
      </c>
      <c r="E83" s="8">
        <v>558851.54</v>
      </c>
      <c r="F83" s="8">
        <v>194</v>
      </c>
      <c r="G83" s="8">
        <v>200688</v>
      </c>
    </row>
    <row r="84" spans="1:7" s="28" customFormat="1" ht="14" x14ac:dyDescent="0.25">
      <c r="A84" s="30" t="s">
        <v>105</v>
      </c>
      <c r="B84" s="30"/>
      <c r="C84" s="31"/>
      <c r="D84" s="31">
        <v>2576</v>
      </c>
      <c r="E84" s="31">
        <v>1749559.4400000002</v>
      </c>
      <c r="F84" s="31">
        <v>649</v>
      </c>
      <c r="G84" s="31">
        <v>435708.93</v>
      </c>
    </row>
    <row r="85" spans="1:7" x14ac:dyDescent="0.25">
      <c r="A85" s="7" t="s">
        <v>497</v>
      </c>
      <c r="B85" s="7" t="s">
        <v>107</v>
      </c>
      <c r="C85" s="8" t="s">
        <v>520</v>
      </c>
      <c r="D85" s="8">
        <v>2472</v>
      </c>
      <c r="E85" s="8">
        <v>1657730.4400000002</v>
      </c>
      <c r="F85" s="8">
        <v>647</v>
      </c>
      <c r="G85" s="8">
        <v>434708.93</v>
      </c>
    </row>
    <row r="86" spans="1:7" x14ac:dyDescent="0.25">
      <c r="A86" s="7" t="s">
        <v>498</v>
      </c>
      <c r="B86" s="7" t="s">
        <v>270</v>
      </c>
      <c r="C86" s="8" t="s">
        <v>523</v>
      </c>
      <c r="D86" s="8">
        <v>1</v>
      </c>
      <c r="E86" s="8">
        <v>300</v>
      </c>
      <c r="F86" s="8"/>
      <c r="G86" s="8"/>
    </row>
    <row r="87" spans="1:7" x14ac:dyDescent="0.25">
      <c r="A87" s="7" t="s">
        <v>495</v>
      </c>
      <c r="B87" s="7" t="s">
        <v>220</v>
      </c>
      <c r="C87" s="8" t="s">
        <v>523</v>
      </c>
      <c r="D87" s="8">
        <v>103</v>
      </c>
      <c r="E87" s="8">
        <v>91529</v>
      </c>
      <c r="F87" s="8">
        <v>2</v>
      </c>
      <c r="G87" s="8">
        <v>1000</v>
      </c>
    </row>
    <row r="88" spans="1:7" s="28" customFormat="1" ht="14" x14ac:dyDescent="0.25">
      <c r="A88" s="30" t="s">
        <v>112</v>
      </c>
      <c r="B88" s="30"/>
      <c r="C88" s="31"/>
      <c r="D88" s="31">
        <v>1710</v>
      </c>
      <c r="E88" s="31">
        <v>1080162.7899999998</v>
      </c>
      <c r="F88" s="31">
        <v>246</v>
      </c>
      <c r="G88" s="31">
        <v>268392.26</v>
      </c>
    </row>
    <row r="89" spans="1:7" x14ac:dyDescent="0.25">
      <c r="A89" s="7" t="s">
        <v>498</v>
      </c>
      <c r="B89" s="7" t="s">
        <v>196</v>
      </c>
      <c r="C89" s="8" t="s">
        <v>523</v>
      </c>
      <c r="D89" s="8">
        <v>319</v>
      </c>
      <c r="E89" s="8">
        <v>281991</v>
      </c>
      <c r="F89" s="8">
        <v>56</v>
      </c>
      <c r="G89" s="8">
        <v>72483</v>
      </c>
    </row>
    <row r="90" spans="1:7" x14ac:dyDescent="0.25">
      <c r="A90" s="7" t="s">
        <v>503</v>
      </c>
      <c r="B90" s="7" t="s">
        <v>114</v>
      </c>
      <c r="C90" s="8" t="s">
        <v>521</v>
      </c>
      <c r="D90" s="8">
        <v>1341</v>
      </c>
      <c r="E90" s="8">
        <v>772462.7899999998</v>
      </c>
      <c r="F90" s="8">
        <v>190</v>
      </c>
      <c r="G90" s="8">
        <v>195909.26</v>
      </c>
    </row>
    <row r="91" spans="1:7" x14ac:dyDescent="0.25">
      <c r="A91" s="7" t="s">
        <v>495</v>
      </c>
      <c r="B91" s="7" t="s">
        <v>262</v>
      </c>
      <c r="C91" s="8" t="s">
        <v>523</v>
      </c>
      <c r="D91" s="8">
        <v>50</v>
      </c>
      <c r="E91" s="8">
        <v>25709</v>
      </c>
      <c r="F91" s="8"/>
      <c r="G91" s="8"/>
    </row>
    <row r="92" spans="1:7" s="28" customFormat="1" ht="14" x14ac:dyDescent="0.25">
      <c r="A92" s="30" t="s">
        <v>77</v>
      </c>
      <c r="B92" s="30"/>
      <c r="C92" s="31"/>
      <c r="D92" s="31">
        <v>2420</v>
      </c>
      <c r="E92" s="31">
        <v>1608505.2000000002</v>
      </c>
      <c r="F92" s="31">
        <v>314</v>
      </c>
      <c r="G92" s="31">
        <v>160265</v>
      </c>
    </row>
    <row r="93" spans="1:7" x14ac:dyDescent="0.25">
      <c r="A93" s="7" t="s">
        <v>498</v>
      </c>
      <c r="B93" s="7" t="s">
        <v>79</v>
      </c>
      <c r="C93" s="8" t="s">
        <v>521</v>
      </c>
      <c r="D93" s="8">
        <v>1281</v>
      </c>
      <c r="E93" s="8">
        <v>833605</v>
      </c>
      <c r="F93" s="8">
        <v>173</v>
      </c>
      <c r="G93" s="8">
        <v>59707</v>
      </c>
    </row>
    <row r="94" spans="1:7" x14ac:dyDescent="0.25">
      <c r="A94" s="7" t="s">
        <v>503</v>
      </c>
      <c r="B94" s="7" t="s">
        <v>119</v>
      </c>
      <c r="C94" s="8" t="s">
        <v>522</v>
      </c>
      <c r="D94" s="8">
        <v>536</v>
      </c>
      <c r="E94" s="8">
        <v>397528.10000000009</v>
      </c>
      <c r="F94" s="8">
        <v>60</v>
      </c>
      <c r="G94" s="8">
        <v>46447</v>
      </c>
    </row>
    <row r="95" spans="1:7" x14ac:dyDescent="0.25">
      <c r="A95" s="7" t="s">
        <v>496</v>
      </c>
      <c r="B95" s="7" t="s">
        <v>137</v>
      </c>
      <c r="C95" s="8" t="s">
        <v>522</v>
      </c>
      <c r="D95" s="8">
        <v>559</v>
      </c>
      <c r="E95" s="8">
        <v>354765.10000000003</v>
      </c>
      <c r="F95" s="8">
        <v>81</v>
      </c>
      <c r="G95" s="8">
        <v>54111</v>
      </c>
    </row>
    <row r="96" spans="1:7" x14ac:dyDescent="0.25">
      <c r="A96" s="7" t="s">
        <v>495</v>
      </c>
      <c r="B96" t="s">
        <v>236</v>
      </c>
      <c r="C96" s="8" t="s">
        <v>523</v>
      </c>
      <c r="D96" s="8">
        <v>44</v>
      </c>
      <c r="E96" s="8">
        <v>22607</v>
      </c>
      <c r="F96" s="8"/>
      <c r="G96" s="8"/>
    </row>
    <row r="97" spans="1:9" s="28" customFormat="1" ht="14" x14ac:dyDescent="0.25">
      <c r="A97" s="30" t="s">
        <v>52</v>
      </c>
      <c r="B97" s="30"/>
      <c r="C97" s="31"/>
      <c r="D97" s="31">
        <v>2387</v>
      </c>
      <c r="E97" s="31">
        <v>2008171.5599999994</v>
      </c>
      <c r="F97" s="31">
        <v>410</v>
      </c>
      <c r="G97" s="31">
        <v>531229.97</v>
      </c>
    </row>
    <row r="98" spans="1:9" x14ac:dyDescent="0.25">
      <c r="A98" s="7" t="s">
        <v>503</v>
      </c>
      <c r="B98" s="7" t="s">
        <v>121</v>
      </c>
      <c r="C98" s="8" t="s">
        <v>522</v>
      </c>
      <c r="D98" s="8">
        <v>759</v>
      </c>
      <c r="E98" s="8">
        <v>739422.13000000024</v>
      </c>
      <c r="F98" s="8">
        <v>147</v>
      </c>
      <c r="G98" s="8">
        <v>286053.75</v>
      </c>
    </row>
    <row r="99" spans="1:9" x14ac:dyDescent="0.25">
      <c r="A99" s="7" t="s">
        <v>500</v>
      </c>
      <c r="B99" s="7" t="s">
        <v>54</v>
      </c>
      <c r="C99" s="8" t="s">
        <v>521</v>
      </c>
      <c r="D99" s="8">
        <v>1601</v>
      </c>
      <c r="E99" s="8">
        <v>1257970.4300000002</v>
      </c>
      <c r="F99" s="8">
        <v>263</v>
      </c>
      <c r="G99" s="8">
        <v>245176.22</v>
      </c>
    </row>
    <row r="100" spans="1:9" x14ac:dyDescent="0.25">
      <c r="A100" s="7" t="s">
        <v>495</v>
      </c>
      <c r="B100" s="7" t="s">
        <v>260</v>
      </c>
      <c r="C100" s="8" t="s">
        <v>523</v>
      </c>
      <c r="D100" s="8">
        <v>27</v>
      </c>
      <c r="E100" s="8">
        <v>10779</v>
      </c>
      <c r="F100" s="8"/>
      <c r="G100" s="8"/>
    </row>
    <row r="101" spans="1:9" s="28" customFormat="1" ht="14" x14ac:dyDescent="0.25">
      <c r="A101" s="30" t="s">
        <v>49</v>
      </c>
      <c r="B101" s="30"/>
      <c r="C101" s="31"/>
      <c r="D101" s="31">
        <v>1426</v>
      </c>
      <c r="E101" s="31">
        <v>1054324.5200000005</v>
      </c>
      <c r="F101" s="31">
        <v>366</v>
      </c>
      <c r="G101" s="31">
        <v>348106.06</v>
      </c>
    </row>
    <row r="102" spans="1:9" x14ac:dyDescent="0.25">
      <c r="A102" s="7" t="s">
        <v>500</v>
      </c>
      <c r="B102" s="7" t="s">
        <v>51</v>
      </c>
      <c r="C102" s="8" t="s">
        <v>521</v>
      </c>
      <c r="D102" s="8">
        <v>1426</v>
      </c>
      <c r="E102" s="8">
        <v>1054324.5200000005</v>
      </c>
      <c r="F102" s="8">
        <v>366</v>
      </c>
      <c r="G102" s="8">
        <v>348106.06</v>
      </c>
    </row>
    <row r="103" spans="1:9" s="28" customFormat="1" ht="14" x14ac:dyDescent="0.25">
      <c r="A103" s="30" t="s">
        <v>0</v>
      </c>
      <c r="B103" s="30"/>
      <c r="C103" s="31"/>
      <c r="D103" s="31">
        <v>16071</v>
      </c>
      <c r="E103" s="31">
        <v>11174689.359999992</v>
      </c>
      <c r="F103" s="31">
        <v>1261</v>
      </c>
      <c r="G103" s="31">
        <v>992726.48999999987</v>
      </c>
    </row>
    <row r="104" spans="1:9" x14ac:dyDescent="0.25">
      <c r="A104" s="7" t="s">
        <v>498</v>
      </c>
      <c r="B104" s="7" t="s">
        <v>194</v>
      </c>
      <c r="C104" s="8" t="s">
        <v>523</v>
      </c>
      <c r="D104" s="8">
        <v>765</v>
      </c>
      <c r="E104" s="8">
        <v>575923.01</v>
      </c>
      <c r="F104" s="8">
        <v>75</v>
      </c>
      <c r="G104" s="8">
        <v>34627</v>
      </c>
    </row>
    <row r="105" spans="1:9" x14ac:dyDescent="0.25">
      <c r="A105" s="7" t="s">
        <v>493</v>
      </c>
      <c r="B105" s="7" t="s">
        <v>153</v>
      </c>
      <c r="C105" s="8" t="s">
        <v>520</v>
      </c>
      <c r="D105" s="8">
        <v>7316</v>
      </c>
      <c r="E105" s="8">
        <v>4163275.7699999982</v>
      </c>
      <c r="F105" s="8">
        <v>502</v>
      </c>
      <c r="G105" s="8">
        <v>387215.39999999991</v>
      </c>
    </row>
    <row r="106" spans="1:9" x14ac:dyDescent="0.25">
      <c r="A106" s="7" t="s">
        <v>501</v>
      </c>
      <c r="B106" s="7" t="s">
        <v>4</v>
      </c>
      <c r="C106" s="8" t="s">
        <v>522</v>
      </c>
      <c r="D106" s="8">
        <v>1346</v>
      </c>
      <c r="E106" s="8">
        <v>621487.14</v>
      </c>
      <c r="F106" s="8">
        <v>160</v>
      </c>
      <c r="G106" s="8">
        <v>64137</v>
      </c>
    </row>
    <row r="107" spans="1:9" x14ac:dyDescent="0.25">
      <c r="A107" s="7" t="s">
        <v>495</v>
      </c>
      <c r="B107" t="s">
        <v>265</v>
      </c>
      <c r="C107" s="8" t="s">
        <v>523</v>
      </c>
      <c r="D107" s="8"/>
      <c r="E107" s="8"/>
      <c r="F107" s="8"/>
      <c r="G107" s="8"/>
    </row>
    <row r="108" spans="1:9" x14ac:dyDescent="0.25">
      <c r="A108" s="7" t="s">
        <v>495</v>
      </c>
      <c r="B108" s="7" t="s">
        <v>246</v>
      </c>
      <c r="C108" s="8" t="s">
        <v>523</v>
      </c>
      <c r="D108" s="8">
        <v>572</v>
      </c>
      <c r="E108" s="8">
        <v>265662</v>
      </c>
      <c r="F108" s="8"/>
      <c r="G108" s="8"/>
      <c r="H108" s="33"/>
      <c r="I108" s="33"/>
    </row>
    <row r="109" spans="1:9" x14ac:dyDescent="0.25">
      <c r="A109" s="7" t="s">
        <v>508</v>
      </c>
      <c r="B109" t="s">
        <v>87</v>
      </c>
      <c r="C109" s="8" t="s">
        <v>521</v>
      </c>
      <c r="D109" s="8">
        <v>6072</v>
      </c>
      <c r="E109" s="8">
        <v>5548341.4399999985</v>
      </c>
      <c r="F109" s="8">
        <v>524</v>
      </c>
      <c r="G109" s="8">
        <v>506747.09000000008</v>
      </c>
    </row>
    <row r="110" spans="1:9" s="28" customFormat="1" ht="14" x14ac:dyDescent="0.25">
      <c r="A110" s="30" t="s">
        <v>21</v>
      </c>
      <c r="B110" s="30"/>
      <c r="C110" s="31"/>
      <c r="D110" s="31">
        <v>18536</v>
      </c>
      <c r="E110" s="31">
        <v>14115850.530000011</v>
      </c>
      <c r="F110" s="31">
        <v>4531</v>
      </c>
      <c r="G110" s="31">
        <v>4965953.3800000008</v>
      </c>
    </row>
    <row r="111" spans="1:9" x14ac:dyDescent="0.25">
      <c r="A111" s="7" t="s">
        <v>493</v>
      </c>
      <c r="B111" s="7" t="s">
        <v>23</v>
      </c>
      <c r="C111" s="8" t="s">
        <v>521</v>
      </c>
      <c r="D111" s="8">
        <v>2267</v>
      </c>
      <c r="E111" s="8">
        <v>1826113.4400000016</v>
      </c>
      <c r="F111" s="8">
        <v>789</v>
      </c>
      <c r="G111" s="8">
        <v>1263968.4799999997</v>
      </c>
    </row>
    <row r="112" spans="1:9" x14ac:dyDescent="0.25">
      <c r="A112" s="7" t="s">
        <v>506</v>
      </c>
      <c r="B112" s="7" t="s">
        <v>267</v>
      </c>
      <c r="C112" s="8" t="s">
        <v>523</v>
      </c>
      <c r="D112" s="8">
        <v>5</v>
      </c>
      <c r="E112" s="8">
        <v>4122.82</v>
      </c>
      <c r="F112" s="8"/>
      <c r="G112" s="8"/>
    </row>
    <row r="113" spans="1:11" x14ac:dyDescent="0.25">
      <c r="A113" s="7" t="s">
        <v>499</v>
      </c>
      <c r="B113" t="s">
        <v>166</v>
      </c>
      <c r="C113" s="8" t="s">
        <v>523</v>
      </c>
      <c r="D113" s="8">
        <v>180</v>
      </c>
      <c r="E113" s="8">
        <v>117863.80999999998</v>
      </c>
      <c r="F113" s="8">
        <v>82</v>
      </c>
      <c r="G113" s="8">
        <v>216775.52000000002</v>
      </c>
    </row>
    <row r="114" spans="1:11" x14ac:dyDescent="0.25">
      <c r="A114" s="7" t="s">
        <v>503</v>
      </c>
      <c r="B114" s="7" t="s">
        <v>123</v>
      </c>
      <c r="C114" s="8" t="s">
        <v>521</v>
      </c>
      <c r="D114" s="8">
        <v>2443</v>
      </c>
      <c r="E114" s="8">
        <v>1597927.46</v>
      </c>
      <c r="F114" s="8">
        <v>832</v>
      </c>
      <c r="G114" s="8">
        <v>793232.91999999981</v>
      </c>
    </row>
    <row r="115" spans="1:11" x14ac:dyDescent="0.25">
      <c r="A115" s="7" t="s">
        <v>494</v>
      </c>
      <c r="B115" s="7" t="s">
        <v>72</v>
      </c>
      <c r="C115" s="8" t="s">
        <v>522</v>
      </c>
      <c r="D115" s="8">
        <v>1369</v>
      </c>
      <c r="E115" s="8">
        <v>1088286.7900000003</v>
      </c>
      <c r="F115" s="8">
        <v>464</v>
      </c>
      <c r="G115" s="8">
        <v>491047.92999999988</v>
      </c>
    </row>
    <row r="116" spans="1:11" x14ac:dyDescent="0.25">
      <c r="A116" s="7" t="s">
        <v>501</v>
      </c>
      <c r="B116" s="7" t="s">
        <v>214</v>
      </c>
      <c r="C116" s="8" t="s">
        <v>523</v>
      </c>
      <c r="D116" s="8">
        <v>21</v>
      </c>
      <c r="E116" s="8">
        <v>10475</v>
      </c>
      <c r="F116" s="8">
        <v>7</v>
      </c>
      <c r="G116" s="8">
        <v>3157</v>
      </c>
    </row>
    <row r="117" spans="1:11" x14ac:dyDescent="0.25">
      <c r="A117" s="7" t="s">
        <v>496</v>
      </c>
      <c r="B117" s="7" t="s">
        <v>143</v>
      </c>
      <c r="C117" s="8" t="s">
        <v>520</v>
      </c>
      <c r="D117" s="8">
        <v>7143</v>
      </c>
      <c r="E117" s="8">
        <v>5367826.7599999988</v>
      </c>
      <c r="F117" s="8">
        <v>1590</v>
      </c>
      <c r="G117" s="8">
        <v>1431566.0099999998</v>
      </c>
    </row>
    <row r="118" spans="1:11" x14ac:dyDescent="0.25">
      <c r="A118" s="7" t="s">
        <v>500</v>
      </c>
      <c r="B118" s="7" t="s">
        <v>204</v>
      </c>
      <c r="C118" s="8" t="s">
        <v>523</v>
      </c>
      <c r="D118" s="8">
        <v>120</v>
      </c>
      <c r="E118" s="8">
        <v>70867.05</v>
      </c>
      <c r="F118" s="8">
        <v>29</v>
      </c>
      <c r="G118" s="8">
        <v>18592.05</v>
      </c>
    </row>
    <row r="119" spans="1:11" x14ac:dyDescent="0.25">
      <c r="A119" s="7" t="s">
        <v>508</v>
      </c>
      <c r="B119" t="s">
        <v>97</v>
      </c>
      <c r="C119" s="8" t="s">
        <v>521</v>
      </c>
      <c r="D119" s="8">
        <v>4988</v>
      </c>
      <c r="E119" s="8">
        <v>4032367.3999999994</v>
      </c>
      <c r="F119" s="8">
        <v>738</v>
      </c>
      <c r="G119" s="8">
        <v>747613.47</v>
      </c>
    </row>
    <row r="120" spans="1:11" s="28" customFormat="1" ht="14" x14ac:dyDescent="0.25">
      <c r="A120" s="30" t="s">
        <v>124</v>
      </c>
      <c r="B120" s="30"/>
      <c r="C120" s="31"/>
      <c r="D120" s="31">
        <v>5067</v>
      </c>
      <c r="E120" s="31">
        <v>3622560.7699999991</v>
      </c>
      <c r="F120" s="31">
        <v>1249</v>
      </c>
      <c r="G120" s="31">
        <v>1101967</v>
      </c>
    </row>
    <row r="121" spans="1:11" x14ac:dyDescent="0.25">
      <c r="A121" s="7" t="s">
        <v>498</v>
      </c>
      <c r="B121" s="7" t="s">
        <v>177</v>
      </c>
      <c r="C121" s="8" t="s">
        <v>520</v>
      </c>
      <c r="D121" s="8">
        <v>3233</v>
      </c>
      <c r="E121" s="8">
        <v>2301692.7399999998</v>
      </c>
      <c r="F121" s="8">
        <v>1073</v>
      </c>
      <c r="G121" s="8">
        <v>847282</v>
      </c>
    </row>
    <row r="122" spans="1:11" x14ac:dyDescent="0.25">
      <c r="A122" s="7" t="s">
        <v>503</v>
      </c>
      <c r="B122" s="7" t="s">
        <v>126</v>
      </c>
      <c r="C122" s="8" t="s">
        <v>522</v>
      </c>
      <c r="D122" s="8">
        <v>1724</v>
      </c>
      <c r="E122" s="8">
        <v>1252705.0300000003</v>
      </c>
      <c r="F122" s="8">
        <v>176</v>
      </c>
      <c r="G122" s="8">
        <v>254685</v>
      </c>
    </row>
    <row r="123" spans="1:11" x14ac:dyDescent="0.25">
      <c r="A123" s="7" t="s">
        <v>495</v>
      </c>
      <c r="B123" s="7" t="s">
        <v>240</v>
      </c>
      <c r="C123" s="8" t="s">
        <v>523</v>
      </c>
      <c r="D123" s="8">
        <v>110</v>
      </c>
      <c r="E123" s="8">
        <v>68163</v>
      </c>
      <c r="F123" s="8"/>
      <c r="G123" s="8"/>
    </row>
    <row r="124" spans="1:11" s="28" customFormat="1" ht="14" x14ac:dyDescent="0.25">
      <c r="A124" s="30" t="s">
        <v>167</v>
      </c>
      <c r="B124" s="30"/>
      <c r="C124" s="31"/>
      <c r="D124" s="31">
        <v>13729</v>
      </c>
      <c r="E124" s="31">
        <v>8602488.9899999965</v>
      </c>
      <c r="F124" s="31">
        <v>1886</v>
      </c>
      <c r="G124" s="31">
        <v>2302267.7700000005</v>
      </c>
    </row>
    <row r="125" spans="1:11" x14ac:dyDescent="0.25">
      <c r="A125" s="7" t="s">
        <v>498</v>
      </c>
      <c r="B125" s="7" t="s">
        <v>181</v>
      </c>
      <c r="C125" s="8" t="s">
        <v>521</v>
      </c>
      <c r="D125" s="8">
        <v>2619</v>
      </c>
      <c r="E125" s="8">
        <v>1714135.1000000003</v>
      </c>
      <c r="F125" s="8">
        <v>229</v>
      </c>
      <c r="G125" s="8">
        <v>171351</v>
      </c>
    </row>
    <row r="126" spans="1:11" x14ac:dyDescent="0.25">
      <c r="A126" s="7" t="s">
        <v>504</v>
      </c>
      <c r="B126" s="7" t="s">
        <v>169</v>
      </c>
      <c r="C126" s="8" t="s">
        <v>520</v>
      </c>
      <c r="D126" s="8">
        <v>10373</v>
      </c>
      <c r="E126" s="8">
        <v>6497787.8499999968</v>
      </c>
      <c r="F126" s="8">
        <v>1657</v>
      </c>
      <c r="G126" s="8">
        <v>2130916.7699999996</v>
      </c>
    </row>
    <row r="127" spans="1:11" x14ac:dyDescent="0.25">
      <c r="A127" s="7" t="s">
        <v>495</v>
      </c>
      <c r="B127" s="7" t="s">
        <v>238</v>
      </c>
      <c r="C127" s="8" t="s">
        <v>523</v>
      </c>
      <c r="D127" s="8">
        <v>737</v>
      </c>
      <c r="E127" s="8">
        <v>390566.04000000004</v>
      </c>
      <c r="F127" s="8"/>
      <c r="G127" s="8"/>
      <c r="H127" s="33"/>
      <c r="I127" s="33"/>
      <c r="J127" s="33"/>
      <c r="K127" s="33"/>
    </row>
    <row r="128" spans="1:11" s="28" customFormat="1" ht="14" x14ac:dyDescent="0.25">
      <c r="A128" s="30" t="s">
        <v>61</v>
      </c>
      <c r="B128" s="30"/>
      <c r="C128" s="31"/>
      <c r="D128" s="31">
        <v>32268</v>
      </c>
      <c r="E128" s="31">
        <v>22289163.799999993</v>
      </c>
      <c r="F128" s="31">
        <v>3831</v>
      </c>
      <c r="G128" s="31">
        <v>3790156.4100000034</v>
      </c>
    </row>
    <row r="129" spans="1:7" x14ac:dyDescent="0.25">
      <c r="A129" s="7" t="s">
        <v>497</v>
      </c>
      <c r="B129" s="7" t="s">
        <v>101</v>
      </c>
      <c r="C129" s="8" t="s">
        <v>522</v>
      </c>
      <c r="D129" s="8">
        <v>7192</v>
      </c>
      <c r="E129" s="8">
        <v>4640497.3900000025</v>
      </c>
      <c r="F129" s="8">
        <v>878</v>
      </c>
      <c r="G129" s="8">
        <v>830347.29</v>
      </c>
    </row>
    <row r="130" spans="1:7" x14ac:dyDescent="0.25">
      <c r="A130" s="7" t="s">
        <v>494</v>
      </c>
      <c r="B130" t="s">
        <v>63</v>
      </c>
      <c r="C130" s="8" t="s">
        <v>520</v>
      </c>
      <c r="D130" s="8">
        <v>14649</v>
      </c>
      <c r="E130" s="8">
        <v>9187346.2599999849</v>
      </c>
      <c r="F130" s="8">
        <v>1859</v>
      </c>
      <c r="G130" s="8">
        <v>1973762.9900000002</v>
      </c>
    </row>
    <row r="131" spans="1:7" x14ac:dyDescent="0.25">
      <c r="A131" s="7" t="s">
        <v>501</v>
      </c>
      <c r="B131" s="7" t="s">
        <v>276</v>
      </c>
      <c r="C131" s="8"/>
      <c r="D131" s="8"/>
      <c r="E131" s="8"/>
      <c r="F131" s="8"/>
      <c r="G131" s="8"/>
    </row>
    <row r="132" spans="1:7" x14ac:dyDescent="0.25">
      <c r="A132" s="7" t="s">
        <v>508</v>
      </c>
      <c r="B132" s="7" t="s">
        <v>90</v>
      </c>
      <c r="C132" s="8" t="s">
        <v>521</v>
      </c>
      <c r="D132" s="8">
        <v>10427</v>
      </c>
      <c r="E132" s="8">
        <v>8461320.1500000004</v>
      </c>
      <c r="F132" s="8">
        <v>1094</v>
      </c>
      <c r="G132" s="8">
        <v>986046.13000000047</v>
      </c>
    </row>
  </sheetData>
  <autoFilter ref="A1:X1" xr:uid="{F5DACA83-D9AD-492F-9A41-E0C1D4BF8E13}">
    <filterColumn colId="3" showButton="0"/>
    <filterColumn colId="4" showButton="0"/>
    <filterColumn colId="5" showButton="0"/>
  </autoFilter>
  <mergeCells count="6">
    <mergeCell ref="D1:G1"/>
    <mergeCell ref="D2:E2"/>
    <mergeCell ref="F2:G2"/>
    <mergeCell ref="A1:A3"/>
    <mergeCell ref="B1:B3"/>
    <mergeCell ref="C1:C3"/>
  </mergeCells>
  <pageMargins left="0.7" right="0.7" top="0.75" bottom="0.75" header="0.3" footer="0.3"/>
  <pageSetup scale="4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3039D-4C41-4710-A364-F1F5174FE48D}">
  <dimension ref="A1:H129"/>
  <sheetViews>
    <sheetView zoomScaleNormal="100" workbookViewId="0">
      <selection activeCell="D4" sqref="D4"/>
    </sheetView>
  </sheetViews>
  <sheetFormatPr defaultRowHeight="12.5" x14ac:dyDescent="0.25"/>
  <cols>
    <col min="1" max="1" width="46.81640625" style="36" bestFit="1" customWidth="1"/>
    <col min="2" max="2" width="22" style="1" bestFit="1" customWidth="1"/>
    <col min="3" max="8" width="14.1796875" style="38" customWidth="1"/>
  </cols>
  <sheetData>
    <row r="1" spans="1:8" s="14" customFormat="1" ht="37.5" customHeight="1" x14ac:dyDescent="0.3">
      <c r="A1" s="27" t="s">
        <v>519</v>
      </c>
      <c r="B1" s="24" t="s">
        <v>518</v>
      </c>
      <c r="C1" s="24" t="s">
        <v>514</v>
      </c>
      <c r="D1" s="24" t="s">
        <v>516</v>
      </c>
      <c r="E1" s="24" t="s">
        <v>517</v>
      </c>
      <c r="F1" s="24" t="s">
        <v>513</v>
      </c>
      <c r="G1" s="24" t="s">
        <v>515</v>
      </c>
      <c r="H1" s="24" t="s">
        <v>473</v>
      </c>
    </row>
    <row r="2" spans="1:8" s="37" customFormat="1" ht="13" x14ac:dyDescent="0.3">
      <c r="A2" s="27" t="s">
        <v>26</v>
      </c>
      <c r="B2" s="11">
        <v>8873</v>
      </c>
      <c r="C2" s="24">
        <v>34</v>
      </c>
      <c r="D2" s="24">
        <v>18927</v>
      </c>
      <c r="E2" s="24">
        <v>54002</v>
      </c>
      <c r="F2" s="24">
        <v>1</v>
      </c>
      <c r="G2" s="24">
        <v>595</v>
      </c>
      <c r="H2" s="24">
        <v>82432</v>
      </c>
    </row>
    <row r="3" spans="1:8" x14ac:dyDescent="0.25">
      <c r="A3" s="19" t="s">
        <v>268</v>
      </c>
      <c r="B3" s="9"/>
      <c r="C3" s="34"/>
      <c r="D3" s="34">
        <v>1</v>
      </c>
      <c r="E3" s="34"/>
      <c r="F3" s="34"/>
      <c r="G3" s="34"/>
      <c r="H3" s="34">
        <v>1</v>
      </c>
    </row>
    <row r="4" spans="1:8" x14ac:dyDescent="0.25">
      <c r="A4" s="19" t="s">
        <v>24</v>
      </c>
      <c r="B4" s="9">
        <v>5095</v>
      </c>
      <c r="C4" s="34">
        <v>2</v>
      </c>
      <c r="D4" s="34">
        <v>3830</v>
      </c>
      <c r="E4" s="34">
        <v>13841</v>
      </c>
      <c r="F4" s="34"/>
      <c r="G4" s="34">
        <v>148</v>
      </c>
      <c r="H4" s="34">
        <v>22916</v>
      </c>
    </row>
    <row r="5" spans="1:8" x14ac:dyDescent="0.25">
      <c r="A5" s="19" t="s">
        <v>164</v>
      </c>
      <c r="B5" s="9">
        <v>11</v>
      </c>
      <c r="C5" s="34"/>
      <c r="D5" s="34">
        <v>18</v>
      </c>
      <c r="E5" s="34">
        <v>29</v>
      </c>
      <c r="F5" s="34"/>
      <c r="G5" s="34"/>
      <c r="H5" s="34">
        <v>58</v>
      </c>
    </row>
    <row r="6" spans="1:8" x14ac:dyDescent="0.25">
      <c r="A6" s="19" t="s">
        <v>57</v>
      </c>
      <c r="B6" s="9">
        <v>374</v>
      </c>
      <c r="C6" s="34">
        <v>1</v>
      </c>
      <c r="D6" s="34">
        <v>2330</v>
      </c>
      <c r="E6" s="34">
        <v>5614</v>
      </c>
      <c r="F6" s="34"/>
      <c r="G6" s="34">
        <v>53</v>
      </c>
      <c r="H6" s="34">
        <v>8372</v>
      </c>
    </row>
    <row r="7" spans="1:8" x14ac:dyDescent="0.25">
      <c r="A7" s="19" t="s">
        <v>135</v>
      </c>
      <c r="B7" s="9">
        <v>1940</v>
      </c>
      <c r="C7" s="34">
        <v>6</v>
      </c>
      <c r="D7" s="34">
        <v>5401</v>
      </c>
      <c r="E7" s="34">
        <v>16247</v>
      </c>
      <c r="F7" s="34"/>
      <c r="G7" s="34">
        <v>169</v>
      </c>
      <c r="H7" s="34">
        <v>23763</v>
      </c>
    </row>
    <row r="8" spans="1:8" x14ac:dyDescent="0.25">
      <c r="A8" s="19" t="s">
        <v>207</v>
      </c>
      <c r="B8" s="9">
        <v>63</v>
      </c>
      <c r="C8" s="34"/>
      <c r="D8" s="34">
        <v>111</v>
      </c>
      <c r="E8" s="34">
        <v>663</v>
      </c>
      <c r="F8" s="34"/>
      <c r="G8" s="34">
        <v>3</v>
      </c>
      <c r="H8" s="34">
        <v>840</v>
      </c>
    </row>
    <row r="9" spans="1:8" x14ac:dyDescent="0.25">
      <c r="A9" s="19" t="s">
        <v>88</v>
      </c>
      <c r="B9" s="9">
        <v>1390</v>
      </c>
      <c r="C9" s="34">
        <v>25</v>
      </c>
      <c r="D9" s="34">
        <v>7236</v>
      </c>
      <c r="E9" s="34">
        <v>17608</v>
      </c>
      <c r="F9" s="34">
        <v>1</v>
      </c>
      <c r="G9" s="34">
        <v>222</v>
      </c>
      <c r="H9" s="34">
        <v>26482</v>
      </c>
    </row>
    <row r="10" spans="1:8" s="37" customFormat="1" ht="13" x14ac:dyDescent="0.3">
      <c r="A10" s="27" t="s">
        <v>11</v>
      </c>
      <c r="B10" s="11">
        <v>477</v>
      </c>
      <c r="C10" s="24">
        <v>2</v>
      </c>
      <c r="D10" s="24">
        <v>2475</v>
      </c>
      <c r="E10" s="24">
        <v>11862</v>
      </c>
      <c r="F10" s="24"/>
      <c r="G10" s="24">
        <v>30</v>
      </c>
      <c r="H10" s="24">
        <v>14846</v>
      </c>
    </row>
    <row r="11" spans="1:8" x14ac:dyDescent="0.25">
      <c r="A11" s="19" t="s">
        <v>44</v>
      </c>
      <c r="B11" s="9">
        <v>431</v>
      </c>
      <c r="C11" s="34">
        <v>2</v>
      </c>
      <c r="D11" s="34">
        <v>2048</v>
      </c>
      <c r="E11" s="34">
        <v>10398</v>
      </c>
      <c r="F11" s="34"/>
      <c r="G11" s="34">
        <v>15</v>
      </c>
      <c r="H11" s="34">
        <v>12894</v>
      </c>
    </row>
    <row r="12" spans="1:8" x14ac:dyDescent="0.25">
      <c r="A12" s="19" t="s">
        <v>102</v>
      </c>
      <c r="B12" s="9">
        <v>24</v>
      </c>
      <c r="C12" s="34"/>
      <c r="D12" s="34">
        <v>235</v>
      </c>
      <c r="E12" s="34">
        <v>701</v>
      </c>
      <c r="F12" s="34"/>
      <c r="G12" s="34">
        <v>12</v>
      </c>
      <c r="H12" s="34">
        <v>972</v>
      </c>
    </row>
    <row r="13" spans="1:8" x14ac:dyDescent="0.25">
      <c r="A13" s="19" t="s">
        <v>5</v>
      </c>
      <c r="B13" s="9">
        <v>2</v>
      </c>
      <c r="C13" s="34"/>
      <c r="D13" s="34">
        <v>12</v>
      </c>
      <c r="E13" s="34">
        <v>24</v>
      </c>
      <c r="F13" s="34"/>
      <c r="G13" s="34">
        <v>1</v>
      </c>
      <c r="H13" s="34">
        <v>39</v>
      </c>
    </row>
    <row r="14" spans="1:8" x14ac:dyDescent="0.25">
      <c r="A14" s="19" t="s">
        <v>207</v>
      </c>
      <c r="B14" s="9">
        <v>20</v>
      </c>
      <c r="C14" s="34"/>
      <c r="D14" s="34">
        <v>180</v>
      </c>
      <c r="E14" s="34">
        <v>739</v>
      </c>
      <c r="F14" s="34"/>
      <c r="G14" s="34">
        <v>2</v>
      </c>
      <c r="H14" s="34">
        <v>941</v>
      </c>
    </row>
    <row r="15" spans="1:8" s="37" customFormat="1" ht="13" x14ac:dyDescent="0.3">
      <c r="A15" s="27" t="s">
        <v>45</v>
      </c>
      <c r="B15" s="11">
        <v>6418</v>
      </c>
      <c r="C15" s="24">
        <v>8</v>
      </c>
      <c r="D15" s="24">
        <v>14249</v>
      </c>
      <c r="E15" s="24">
        <v>53723</v>
      </c>
      <c r="F15" s="24"/>
      <c r="G15" s="24">
        <v>334</v>
      </c>
      <c r="H15" s="24">
        <v>74732</v>
      </c>
    </row>
    <row r="16" spans="1:8" x14ac:dyDescent="0.25">
      <c r="A16" s="19" t="s">
        <v>24</v>
      </c>
      <c r="B16" s="9">
        <v>4496</v>
      </c>
      <c r="C16" s="34"/>
      <c r="D16" s="34">
        <v>3987</v>
      </c>
      <c r="E16" s="34">
        <v>20029</v>
      </c>
      <c r="F16" s="34"/>
      <c r="G16" s="34">
        <v>109</v>
      </c>
      <c r="H16" s="34">
        <v>28621</v>
      </c>
    </row>
    <row r="17" spans="1:8" x14ac:dyDescent="0.25">
      <c r="A17" s="19" t="s">
        <v>164</v>
      </c>
      <c r="B17" s="9">
        <v>1</v>
      </c>
      <c r="C17" s="34"/>
      <c r="D17" s="34">
        <v>7</v>
      </c>
      <c r="E17" s="34">
        <v>42</v>
      </c>
      <c r="F17" s="34"/>
      <c r="G17" s="34">
        <v>1</v>
      </c>
      <c r="H17" s="34">
        <v>51</v>
      </c>
    </row>
    <row r="18" spans="1:8" x14ac:dyDescent="0.25">
      <c r="A18" s="19" t="s">
        <v>57</v>
      </c>
      <c r="B18" s="9">
        <v>483</v>
      </c>
      <c r="C18" s="34">
        <v>5</v>
      </c>
      <c r="D18" s="34">
        <v>3559</v>
      </c>
      <c r="E18" s="34">
        <v>11258</v>
      </c>
      <c r="F18" s="34"/>
      <c r="G18" s="34">
        <v>91</v>
      </c>
      <c r="H18" s="34">
        <v>15396</v>
      </c>
    </row>
    <row r="19" spans="1:8" x14ac:dyDescent="0.25">
      <c r="A19" s="19" t="s">
        <v>135</v>
      </c>
      <c r="B19" s="9">
        <v>859</v>
      </c>
      <c r="C19" s="34">
        <v>3</v>
      </c>
      <c r="D19" s="34">
        <v>4934</v>
      </c>
      <c r="E19" s="34">
        <v>16015</v>
      </c>
      <c r="F19" s="34"/>
      <c r="G19" s="34">
        <v>111</v>
      </c>
      <c r="H19" s="34">
        <v>21922</v>
      </c>
    </row>
    <row r="20" spans="1:8" x14ac:dyDescent="0.25">
      <c r="A20" s="19" t="s">
        <v>207</v>
      </c>
      <c r="B20" s="9">
        <v>73</v>
      </c>
      <c r="C20" s="34"/>
      <c r="D20" s="34">
        <v>312</v>
      </c>
      <c r="E20" s="34">
        <v>2092</v>
      </c>
      <c r="F20" s="34"/>
      <c r="G20" s="34">
        <v>8</v>
      </c>
      <c r="H20" s="34">
        <v>2485</v>
      </c>
    </row>
    <row r="21" spans="1:8" x14ac:dyDescent="0.25">
      <c r="A21" s="19" t="s">
        <v>48</v>
      </c>
      <c r="B21" s="9">
        <v>506</v>
      </c>
      <c r="C21" s="34"/>
      <c r="D21" s="34">
        <v>1450</v>
      </c>
      <c r="E21" s="34">
        <v>4287</v>
      </c>
      <c r="F21" s="34"/>
      <c r="G21" s="34">
        <v>14</v>
      </c>
      <c r="H21" s="34">
        <v>6257</v>
      </c>
    </row>
    <row r="22" spans="1:8" s="37" customFormat="1" ht="13" x14ac:dyDescent="0.3">
      <c r="A22" s="27" t="s">
        <v>132</v>
      </c>
      <c r="B22" s="11">
        <v>932</v>
      </c>
      <c r="C22" s="24">
        <v>1</v>
      </c>
      <c r="D22" s="24">
        <v>1755</v>
      </c>
      <c r="E22" s="24">
        <v>8768</v>
      </c>
      <c r="F22" s="24"/>
      <c r="G22" s="24">
        <v>44</v>
      </c>
      <c r="H22" s="24">
        <v>11500</v>
      </c>
    </row>
    <row r="23" spans="1:8" x14ac:dyDescent="0.25">
      <c r="A23" s="19" t="s">
        <v>44</v>
      </c>
      <c r="B23" s="9">
        <v>380</v>
      </c>
      <c r="C23" s="34">
        <v>1</v>
      </c>
      <c r="D23" s="34">
        <v>673</v>
      </c>
      <c r="E23" s="34">
        <v>3329</v>
      </c>
      <c r="F23" s="34"/>
      <c r="G23" s="34">
        <v>20</v>
      </c>
      <c r="H23" s="34">
        <v>4403</v>
      </c>
    </row>
    <row r="24" spans="1:8" x14ac:dyDescent="0.25">
      <c r="A24" s="19" t="s">
        <v>135</v>
      </c>
      <c r="B24" s="9">
        <v>487</v>
      </c>
      <c r="C24" s="34"/>
      <c r="D24" s="34">
        <v>1009</v>
      </c>
      <c r="E24" s="34">
        <v>4809</v>
      </c>
      <c r="F24" s="34"/>
      <c r="G24" s="34">
        <v>23</v>
      </c>
      <c r="H24" s="34">
        <v>6328</v>
      </c>
    </row>
    <row r="25" spans="1:8" x14ac:dyDescent="0.25">
      <c r="A25" s="19" t="s">
        <v>207</v>
      </c>
      <c r="B25" s="9">
        <v>65</v>
      </c>
      <c r="C25" s="34"/>
      <c r="D25" s="34">
        <v>73</v>
      </c>
      <c r="E25" s="34">
        <v>630</v>
      </c>
      <c r="F25" s="34"/>
      <c r="G25" s="34">
        <v>1</v>
      </c>
      <c r="H25" s="34">
        <v>769</v>
      </c>
    </row>
    <row r="26" spans="1:8" s="37" customFormat="1" ht="13" x14ac:dyDescent="0.3">
      <c r="A26" s="27" t="s">
        <v>31</v>
      </c>
      <c r="B26" s="11">
        <v>3035</v>
      </c>
      <c r="C26" s="24">
        <v>3</v>
      </c>
      <c r="D26" s="24">
        <v>6168</v>
      </c>
      <c r="E26" s="24">
        <v>25600</v>
      </c>
      <c r="F26" s="24"/>
      <c r="G26" s="24">
        <v>344</v>
      </c>
      <c r="H26" s="24">
        <v>35150</v>
      </c>
    </row>
    <row r="27" spans="1:8" x14ac:dyDescent="0.25">
      <c r="A27" s="19" t="s">
        <v>102</v>
      </c>
      <c r="B27" s="9">
        <v>590</v>
      </c>
      <c r="C27" s="34"/>
      <c r="D27" s="34">
        <v>811</v>
      </c>
      <c r="E27" s="34">
        <v>4071</v>
      </c>
      <c r="F27" s="34"/>
      <c r="G27" s="34">
        <v>22</v>
      </c>
      <c r="H27" s="34">
        <v>5494</v>
      </c>
    </row>
    <row r="28" spans="1:8" x14ac:dyDescent="0.25">
      <c r="A28" s="19" t="s">
        <v>34</v>
      </c>
      <c r="B28" s="9">
        <v>1831</v>
      </c>
      <c r="C28" s="34">
        <v>1</v>
      </c>
      <c r="D28" s="34">
        <v>4113</v>
      </c>
      <c r="E28" s="34">
        <v>16029</v>
      </c>
      <c r="F28" s="34"/>
      <c r="G28" s="34">
        <v>252</v>
      </c>
      <c r="H28" s="34">
        <v>22226</v>
      </c>
    </row>
    <row r="29" spans="1:8" x14ac:dyDescent="0.25">
      <c r="A29" s="19" t="s">
        <v>115</v>
      </c>
      <c r="B29" s="9">
        <v>438</v>
      </c>
      <c r="C29" s="34"/>
      <c r="D29" s="34">
        <v>513</v>
      </c>
      <c r="E29" s="34">
        <v>2760</v>
      </c>
      <c r="F29" s="34"/>
      <c r="G29" s="34">
        <v>30</v>
      </c>
      <c r="H29" s="34">
        <v>3741</v>
      </c>
    </row>
    <row r="30" spans="1:8" x14ac:dyDescent="0.25">
      <c r="A30" s="19" t="s">
        <v>57</v>
      </c>
      <c r="B30" s="9">
        <v>170</v>
      </c>
      <c r="C30" s="34">
        <v>2</v>
      </c>
      <c r="D30" s="34">
        <v>718</v>
      </c>
      <c r="E30" s="34">
        <v>2618</v>
      </c>
      <c r="F30" s="34"/>
      <c r="G30" s="34">
        <v>40</v>
      </c>
      <c r="H30" s="34">
        <v>3548</v>
      </c>
    </row>
    <row r="31" spans="1:8" x14ac:dyDescent="0.25">
      <c r="A31" s="19" t="s">
        <v>207</v>
      </c>
      <c r="B31" s="9">
        <v>6</v>
      </c>
      <c r="C31" s="34"/>
      <c r="D31" s="34">
        <v>13</v>
      </c>
      <c r="E31" s="34">
        <v>122</v>
      </c>
      <c r="F31" s="34"/>
      <c r="G31" s="34"/>
      <c r="H31" s="34">
        <v>141</v>
      </c>
    </row>
    <row r="32" spans="1:8" x14ac:dyDescent="0.25">
      <c r="A32" s="19" t="s">
        <v>14</v>
      </c>
      <c r="B32" s="9">
        <v>2367</v>
      </c>
      <c r="C32" s="34">
        <v>16</v>
      </c>
      <c r="D32" s="34">
        <v>8208</v>
      </c>
      <c r="E32" s="34">
        <v>17107</v>
      </c>
      <c r="F32" s="34">
        <v>1</v>
      </c>
      <c r="G32" s="34">
        <v>553</v>
      </c>
      <c r="H32" s="34">
        <v>28252</v>
      </c>
    </row>
    <row r="33" spans="1:8" x14ac:dyDescent="0.25">
      <c r="A33" s="19" t="s">
        <v>19</v>
      </c>
      <c r="B33" s="9">
        <v>370</v>
      </c>
      <c r="C33" s="34">
        <v>8</v>
      </c>
      <c r="D33" s="34">
        <v>2302</v>
      </c>
      <c r="E33" s="34">
        <v>4354</v>
      </c>
      <c r="F33" s="34"/>
      <c r="G33" s="34">
        <v>153</v>
      </c>
      <c r="H33" s="34">
        <v>7187</v>
      </c>
    </row>
    <row r="34" spans="1:8" x14ac:dyDescent="0.25">
      <c r="A34" s="19" t="s">
        <v>34</v>
      </c>
      <c r="B34" s="9">
        <v>148</v>
      </c>
      <c r="C34" s="34">
        <v>1</v>
      </c>
      <c r="D34" s="34">
        <v>1919</v>
      </c>
      <c r="E34" s="34">
        <v>3032</v>
      </c>
      <c r="F34" s="34"/>
      <c r="G34" s="34">
        <v>155</v>
      </c>
      <c r="H34" s="34">
        <v>5255</v>
      </c>
    </row>
    <row r="35" spans="1:8" x14ac:dyDescent="0.25">
      <c r="A35" s="19" t="s">
        <v>24</v>
      </c>
      <c r="B35" s="9">
        <v>1420</v>
      </c>
      <c r="C35" s="34">
        <v>4</v>
      </c>
      <c r="D35" s="34">
        <v>1412</v>
      </c>
      <c r="E35" s="34">
        <v>3859</v>
      </c>
      <c r="F35" s="34">
        <v>1</v>
      </c>
      <c r="G35" s="34">
        <v>162</v>
      </c>
      <c r="H35" s="34">
        <v>6858</v>
      </c>
    </row>
    <row r="36" spans="1:8" x14ac:dyDescent="0.25">
      <c r="A36" s="19" t="s">
        <v>57</v>
      </c>
      <c r="B36" s="9">
        <v>1</v>
      </c>
      <c r="C36" s="34"/>
      <c r="D36" s="34">
        <v>1</v>
      </c>
      <c r="E36" s="34">
        <v>3</v>
      </c>
      <c r="F36" s="34"/>
      <c r="G36" s="34"/>
      <c r="H36" s="34">
        <v>5</v>
      </c>
    </row>
    <row r="37" spans="1:8" x14ac:dyDescent="0.25">
      <c r="A37" s="19" t="s">
        <v>5</v>
      </c>
      <c r="B37" s="9">
        <v>185</v>
      </c>
      <c r="C37" s="34"/>
      <c r="D37" s="34">
        <v>1580</v>
      </c>
      <c r="E37" s="34">
        <v>3122</v>
      </c>
      <c r="F37" s="34"/>
      <c r="G37" s="34">
        <v>48</v>
      </c>
      <c r="H37" s="34">
        <v>4935</v>
      </c>
    </row>
    <row r="38" spans="1:8" x14ac:dyDescent="0.25">
      <c r="A38" s="19" t="s">
        <v>207</v>
      </c>
      <c r="B38" s="9">
        <v>11</v>
      </c>
      <c r="C38" s="34"/>
      <c r="D38" s="34">
        <v>75</v>
      </c>
      <c r="E38" s="34">
        <v>312</v>
      </c>
      <c r="F38" s="34"/>
      <c r="G38" s="34">
        <v>3</v>
      </c>
      <c r="H38" s="34">
        <v>401</v>
      </c>
    </row>
    <row r="39" spans="1:8" x14ac:dyDescent="0.25">
      <c r="A39" s="19" t="s">
        <v>173</v>
      </c>
      <c r="B39" s="9">
        <v>232</v>
      </c>
      <c r="C39" s="34">
        <v>3</v>
      </c>
      <c r="D39" s="34">
        <v>919</v>
      </c>
      <c r="E39" s="34">
        <v>2425</v>
      </c>
      <c r="F39" s="34"/>
      <c r="G39" s="34">
        <v>32</v>
      </c>
      <c r="H39" s="34">
        <v>3611</v>
      </c>
    </row>
    <row r="40" spans="1:8" s="37" customFormat="1" ht="13" x14ac:dyDescent="0.3">
      <c r="A40" s="27" t="s">
        <v>16</v>
      </c>
      <c r="B40" s="11">
        <v>6003</v>
      </c>
      <c r="C40" s="24">
        <v>11</v>
      </c>
      <c r="D40" s="24">
        <v>8060</v>
      </c>
      <c r="E40" s="24">
        <v>40531</v>
      </c>
      <c r="F40" s="24">
        <v>1</v>
      </c>
      <c r="G40" s="24">
        <v>561</v>
      </c>
      <c r="H40" s="24">
        <v>55167</v>
      </c>
    </row>
    <row r="41" spans="1:8" x14ac:dyDescent="0.25">
      <c r="A41" s="19" t="s">
        <v>19</v>
      </c>
      <c r="B41" s="9">
        <v>5167</v>
      </c>
      <c r="C41" s="34">
        <v>10</v>
      </c>
      <c r="D41" s="34">
        <v>6092</v>
      </c>
      <c r="E41" s="34">
        <v>32954</v>
      </c>
      <c r="F41" s="34">
        <v>1</v>
      </c>
      <c r="G41" s="34">
        <v>472</v>
      </c>
      <c r="H41" s="34">
        <v>44696</v>
      </c>
    </row>
    <row r="42" spans="1:8" x14ac:dyDescent="0.25">
      <c r="A42" s="19" t="s">
        <v>34</v>
      </c>
      <c r="B42" s="9">
        <v>257</v>
      </c>
      <c r="C42" s="34"/>
      <c r="D42" s="34">
        <v>405</v>
      </c>
      <c r="E42" s="34">
        <v>1913</v>
      </c>
      <c r="F42" s="34"/>
      <c r="G42" s="34">
        <v>34</v>
      </c>
      <c r="H42" s="34">
        <v>2609</v>
      </c>
    </row>
    <row r="43" spans="1:8" x14ac:dyDescent="0.25">
      <c r="A43" s="19" t="s">
        <v>135</v>
      </c>
      <c r="B43" s="9">
        <v>566</v>
      </c>
      <c r="C43" s="34">
        <v>1</v>
      </c>
      <c r="D43" s="34">
        <v>1534</v>
      </c>
      <c r="E43" s="34">
        <v>5542</v>
      </c>
      <c r="F43" s="34"/>
      <c r="G43" s="34">
        <v>55</v>
      </c>
      <c r="H43" s="34">
        <v>7698</v>
      </c>
    </row>
    <row r="44" spans="1:8" x14ac:dyDescent="0.25">
      <c r="A44" s="19" t="s">
        <v>207</v>
      </c>
      <c r="B44" s="9">
        <v>13</v>
      </c>
      <c r="C44" s="34"/>
      <c r="D44" s="34">
        <v>29</v>
      </c>
      <c r="E44" s="34">
        <v>122</v>
      </c>
      <c r="F44" s="34"/>
      <c r="G44" s="34"/>
      <c r="H44" s="34">
        <v>164</v>
      </c>
    </row>
    <row r="45" spans="1:8" s="37" customFormat="1" ht="13" x14ac:dyDescent="0.3">
      <c r="A45" s="27" t="s">
        <v>41</v>
      </c>
      <c r="B45" s="11">
        <v>4862</v>
      </c>
      <c r="C45" s="24">
        <v>8</v>
      </c>
      <c r="D45" s="24">
        <v>5212</v>
      </c>
      <c r="E45" s="24">
        <v>24232</v>
      </c>
      <c r="F45" s="24"/>
      <c r="G45" s="24">
        <v>149</v>
      </c>
      <c r="H45" s="24">
        <v>34463</v>
      </c>
    </row>
    <row r="46" spans="1:8" x14ac:dyDescent="0.25">
      <c r="A46" s="19" t="s">
        <v>44</v>
      </c>
      <c r="B46" s="9">
        <v>816</v>
      </c>
      <c r="C46" s="34">
        <v>6</v>
      </c>
      <c r="D46" s="34">
        <v>2005</v>
      </c>
      <c r="E46" s="34">
        <v>9706</v>
      </c>
      <c r="F46" s="34"/>
      <c r="G46" s="34">
        <v>45</v>
      </c>
      <c r="H46" s="34">
        <v>12578</v>
      </c>
    </row>
    <row r="47" spans="1:8" x14ac:dyDescent="0.25">
      <c r="A47" s="19" t="s">
        <v>24</v>
      </c>
      <c r="B47" s="9">
        <v>3908</v>
      </c>
      <c r="C47" s="34">
        <v>2</v>
      </c>
      <c r="D47" s="34">
        <v>2944</v>
      </c>
      <c r="E47" s="34">
        <v>12517</v>
      </c>
      <c r="F47" s="34"/>
      <c r="G47" s="34">
        <v>96</v>
      </c>
      <c r="H47" s="34">
        <v>19467</v>
      </c>
    </row>
    <row r="48" spans="1:8" x14ac:dyDescent="0.25">
      <c r="A48" s="19" t="s">
        <v>207</v>
      </c>
      <c r="B48" s="9">
        <v>138</v>
      </c>
      <c r="C48" s="34"/>
      <c r="D48" s="34">
        <v>263</v>
      </c>
      <c r="E48" s="34">
        <v>2009</v>
      </c>
      <c r="F48" s="34"/>
      <c r="G48" s="34">
        <v>8</v>
      </c>
      <c r="H48" s="34">
        <v>2418</v>
      </c>
    </row>
    <row r="49" spans="1:8" s="37" customFormat="1" ht="13" x14ac:dyDescent="0.3">
      <c r="A49" s="27" t="s">
        <v>58</v>
      </c>
      <c r="B49" s="11">
        <v>3812</v>
      </c>
      <c r="C49" s="24">
        <v>19</v>
      </c>
      <c r="D49" s="24">
        <v>5699</v>
      </c>
      <c r="E49" s="24">
        <v>29590</v>
      </c>
      <c r="F49" s="24"/>
      <c r="G49" s="24">
        <v>271</v>
      </c>
      <c r="H49" s="24">
        <v>39391</v>
      </c>
    </row>
    <row r="50" spans="1:8" x14ac:dyDescent="0.25">
      <c r="A50" s="19" t="s">
        <v>44</v>
      </c>
      <c r="B50" s="9">
        <v>121</v>
      </c>
      <c r="C50" s="34"/>
      <c r="D50" s="34">
        <v>254</v>
      </c>
      <c r="E50" s="34">
        <v>1116</v>
      </c>
      <c r="F50" s="34"/>
      <c r="G50" s="34">
        <v>14</v>
      </c>
      <c r="H50" s="34">
        <v>1505</v>
      </c>
    </row>
    <row r="51" spans="1:8" x14ac:dyDescent="0.25">
      <c r="A51" s="19" t="s">
        <v>188</v>
      </c>
      <c r="B51" s="9">
        <v>47</v>
      </c>
      <c r="C51" s="34"/>
      <c r="D51" s="34">
        <v>128</v>
      </c>
      <c r="E51" s="34">
        <v>425</v>
      </c>
      <c r="F51" s="34"/>
      <c r="G51" s="34">
        <v>15</v>
      </c>
      <c r="H51" s="34">
        <v>615</v>
      </c>
    </row>
    <row r="52" spans="1:8" x14ac:dyDescent="0.25">
      <c r="A52" s="19" t="s">
        <v>102</v>
      </c>
      <c r="B52" s="9">
        <v>878</v>
      </c>
      <c r="C52" s="34">
        <v>2</v>
      </c>
      <c r="D52" s="34">
        <v>1284</v>
      </c>
      <c r="E52" s="34">
        <v>7356</v>
      </c>
      <c r="F52" s="34"/>
      <c r="G52" s="34">
        <v>32</v>
      </c>
      <c r="H52" s="34">
        <v>9552</v>
      </c>
    </row>
    <row r="53" spans="1:8" x14ac:dyDescent="0.25">
      <c r="A53" s="19" t="s">
        <v>164</v>
      </c>
      <c r="B53" s="9"/>
      <c r="C53" s="34"/>
      <c r="D53" s="34"/>
      <c r="E53" s="34">
        <v>4</v>
      </c>
      <c r="F53" s="34"/>
      <c r="G53" s="34"/>
      <c r="H53" s="34">
        <v>4</v>
      </c>
    </row>
    <row r="54" spans="1:8" x14ac:dyDescent="0.25">
      <c r="A54" s="19" t="s">
        <v>115</v>
      </c>
      <c r="B54" s="9">
        <v>70</v>
      </c>
      <c r="C54" s="34">
        <v>1</v>
      </c>
      <c r="D54" s="34">
        <v>140</v>
      </c>
      <c r="E54" s="34">
        <v>584</v>
      </c>
      <c r="F54" s="34"/>
      <c r="G54" s="34">
        <v>10</v>
      </c>
      <c r="H54" s="34">
        <v>805</v>
      </c>
    </row>
    <row r="55" spans="1:8" x14ac:dyDescent="0.25">
      <c r="A55" s="19" t="s">
        <v>57</v>
      </c>
      <c r="B55" s="9">
        <v>1361</v>
      </c>
      <c r="C55" s="34">
        <v>12</v>
      </c>
      <c r="D55" s="34">
        <v>1810</v>
      </c>
      <c r="E55" s="34">
        <v>9834</v>
      </c>
      <c r="F55" s="34"/>
      <c r="G55" s="34">
        <v>124</v>
      </c>
      <c r="H55" s="34">
        <v>13141</v>
      </c>
    </row>
    <row r="56" spans="1:8" x14ac:dyDescent="0.25">
      <c r="A56" s="19" t="s">
        <v>5</v>
      </c>
      <c r="B56" s="9">
        <v>3</v>
      </c>
      <c r="C56" s="34"/>
      <c r="D56" s="34">
        <v>7</v>
      </c>
      <c r="E56" s="34">
        <v>25</v>
      </c>
      <c r="F56" s="34"/>
      <c r="G56" s="34"/>
      <c r="H56" s="34">
        <v>35</v>
      </c>
    </row>
    <row r="57" spans="1:8" x14ac:dyDescent="0.25">
      <c r="A57" s="19" t="s">
        <v>135</v>
      </c>
      <c r="B57" s="9">
        <v>350</v>
      </c>
      <c r="C57" s="34">
        <v>2</v>
      </c>
      <c r="D57" s="34">
        <v>679</v>
      </c>
      <c r="E57" s="34">
        <v>2775</v>
      </c>
      <c r="F57" s="34"/>
      <c r="G57" s="34">
        <v>21</v>
      </c>
      <c r="H57" s="34">
        <v>3827</v>
      </c>
    </row>
    <row r="58" spans="1:8" x14ac:dyDescent="0.25">
      <c r="A58" s="19" t="s">
        <v>207</v>
      </c>
      <c r="B58" s="9">
        <v>72</v>
      </c>
      <c r="C58" s="34">
        <v>1</v>
      </c>
      <c r="D58" s="34">
        <v>62</v>
      </c>
      <c r="E58" s="34">
        <v>494</v>
      </c>
      <c r="F58" s="34"/>
      <c r="G58" s="34">
        <v>3</v>
      </c>
      <c r="H58" s="34">
        <v>632</v>
      </c>
    </row>
    <row r="59" spans="1:8" x14ac:dyDescent="0.25">
      <c r="A59" s="19" t="s">
        <v>48</v>
      </c>
      <c r="B59" s="9">
        <v>354</v>
      </c>
      <c r="C59" s="34"/>
      <c r="D59" s="34">
        <v>342</v>
      </c>
      <c r="E59" s="34">
        <v>2637</v>
      </c>
      <c r="F59" s="34"/>
      <c r="G59" s="34">
        <v>7</v>
      </c>
      <c r="H59" s="34">
        <v>3340</v>
      </c>
    </row>
    <row r="60" spans="1:8" x14ac:dyDescent="0.25">
      <c r="A60" s="19" t="s">
        <v>88</v>
      </c>
      <c r="B60" s="9">
        <v>556</v>
      </c>
      <c r="C60" s="34">
        <v>1</v>
      </c>
      <c r="D60" s="34">
        <v>993</v>
      </c>
      <c r="E60" s="34">
        <v>4340</v>
      </c>
      <c r="F60" s="34"/>
      <c r="G60" s="34">
        <v>45</v>
      </c>
      <c r="H60" s="34">
        <v>5935</v>
      </c>
    </row>
    <row r="61" spans="1:8" s="37" customFormat="1" ht="13" x14ac:dyDescent="0.3">
      <c r="A61" s="27" t="s">
        <v>127</v>
      </c>
      <c r="B61" s="11">
        <v>3009</v>
      </c>
      <c r="C61" s="24"/>
      <c r="D61" s="24">
        <v>5385</v>
      </c>
      <c r="E61" s="24">
        <v>31808</v>
      </c>
      <c r="F61" s="24"/>
      <c r="G61" s="24">
        <v>83</v>
      </c>
      <c r="H61" s="24">
        <v>40285</v>
      </c>
    </row>
    <row r="62" spans="1:8" x14ac:dyDescent="0.25">
      <c r="A62" s="19" t="s">
        <v>44</v>
      </c>
      <c r="B62" s="9">
        <v>1400</v>
      </c>
      <c r="C62" s="34"/>
      <c r="D62" s="34">
        <v>3009</v>
      </c>
      <c r="E62" s="34">
        <v>16105</v>
      </c>
      <c r="F62" s="34"/>
      <c r="G62" s="34">
        <v>45</v>
      </c>
      <c r="H62" s="34">
        <v>20559</v>
      </c>
    </row>
    <row r="63" spans="1:8" x14ac:dyDescent="0.25">
      <c r="A63" s="19" t="s">
        <v>115</v>
      </c>
      <c r="B63" s="9">
        <v>1314</v>
      </c>
      <c r="C63" s="34"/>
      <c r="D63" s="34">
        <v>2034</v>
      </c>
      <c r="E63" s="34">
        <v>12567</v>
      </c>
      <c r="F63" s="34"/>
      <c r="G63" s="34">
        <v>36</v>
      </c>
      <c r="H63" s="34">
        <v>15951</v>
      </c>
    </row>
    <row r="64" spans="1:8" x14ac:dyDescent="0.25">
      <c r="A64" s="19" t="s">
        <v>207</v>
      </c>
      <c r="B64" s="9">
        <v>295</v>
      </c>
      <c r="C64" s="34"/>
      <c r="D64" s="34">
        <v>342</v>
      </c>
      <c r="E64" s="34">
        <v>3136</v>
      </c>
      <c r="F64" s="34"/>
      <c r="G64" s="34">
        <v>2</v>
      </c>
      <c r="H64" s="34">
        <v>3775</v>
      </c>
    </row>
    <row r="65" spans="1:8" s="37" customFormat="1" ht="13" x14ac:dyDescent="0.3">
      <c r="A65" s="27" t="s">
        <v>68</v>
      </c>
      <c r="B65" s="11">
        <v>11219</v>
      </c>
      <c r="C65" s="24">
        <v>27</v>
      </c>
      <c r="D65" s="24">
        <v>9136</v>
      </c>
      <c r="E65" s="24">
        <v>45200</v>
      </c>
      <c r="F65" s="24"/>
      <c r="G65" s="24">
        <v>918</v>
      </c>
      <c r="H65" s="24">
        <v>66500</v>
      </c>
    </row>
    <row r="66" spans="1:8" x14ac:dyDescent="0.25">
      <c r="A66" s="19" t="s">
        <v>24</v>
      </c>
      <c r="B66" s="9">
        <v>7045</v>
      </c>
      <c r="C66" s="34">
        <v>11</v>
      </c>
      <c r="D66" s="34">
        <v>3784</v>
      </c>
      <c r="E66" s="34">
        <v>17914</v>
      </c>
      <c r="F66" s="34"/>
      <c r="G66" s="34">
        <v>616</v>
      </c>
      <c r="H66" s="34">
        <v>29370</v>
      </c>
    </row>
    <row r="67" spans="1:8" x14ac:dyDescent="0.25">
      <c r="A67" s="19" t="s">
        <v>164</v>
      </c>
      <c r="B67" s="9">
        <v>2</v>
      </c>
      <c r="C67" s="34">
        <v>3</v>
      </c>
      <c r="D67" s="34">
        <v>78</v>
      </c>
      <c r="E67" s="34">
        <v>40</v>
      </c>
      <c r="F67" s="34"/>
      <c r="G67" s="34">
        <v>9</v>
      </c>
      <c r="H67" s="34">
        <v>132</v>
      </c>
    </row>
    <row r="68" spans="1:8" x14ac:dyDescent="0.25">
      <c r="A68" s="19" t="s">
        <v>115</v>
      </c>
      <c r="B68" s="9">
        <v>19</v>
      </c>
      <c r="C68" s="34"/>
      <c r="D68" s="34">
        <v>53</v>
      </c>
      <c r="E68" s="34">
        <v>176</v>
      </c>
      <c r="F68" s="34"/>
      <c r="G68" s="34">
        <v>2</v>
      </c>
      <c r="H68" s="34">
        <v>250</v>
      </c>
    </row>
    <row r="69" spans="1:8" x14ac:dyDescent="0.25">
      <c r="A69" s="19" t="s">
        <v>57</v>
      </c>
      <c r="B69" s="9">
        <v>229</v>
      </c>
      <c r="C69" s="34">
        <v>1</v>
      </c>
      <c r="D69" s="34">
        <v>667</v>
      </c>
      <c r="E69" s="34">
        <v>1943</v>
      </c>
      <c r="F69" s="34"/>
      <c r="G69" s="34">
        <v>76</v>
      </c>
      <c r="H69" s="34">
        <v>2916</v>
      </c>
    </row>
    <row r="70" spans="1:8" x14ac:dyDescent="0.25">
      <c r="A70" s="19" t="s">
        <v>135</v>
      </c>
      <c r="B70" s="9">
        <v>2832</v>
      </c>
      <c r="C70" s="34">
        <v>8</v>
      </c>
      <c r="D70" s="34">
        <v>2738</v>
      </c>
      <c r="E70" s="34">
        <v>17443</v>
      </c>
      <c r="F70" s="34"/>
      <c r="G70" s="34">
        <v>94</v>
      </c>
      <c r="H70" s="34">
        <v>23115</v>
      </c>
    </row>
    <row r="71" spans="1:8" x14ac:dyDescent="0.25">
      <c r="A71" s="19" t="s">
        <v>207</v>
      </c>
      <c r="B71" s="9">
        <v>51</v>
      </c>
      <c r="C71" s="34"/>
      <c r="D71" s="34">
        <v>52</v>
      </c>
      <c r="E71" s="34">
        <v>486</v>
      </c>
      <c r="F71" s="34"/>
      <c r="G71" s="34">
        <v>4</v>
      </c>
      <c r="H71" s="34">
        <v>593</v>
      </c>
    </row>
    <row r="72" spans="1:8" x14ac:dyDescent="0.25">
      <c r="A72" s="19" t="s">
        <v>88</v>
      </c>
      <c r="B72" s="9">
        <v>1041</v>
      </c>
      <c r="C72" s="34">
        <v>4</v>
      </c>
      <c r="D72" s="34">
        <v>1764</v>
      </c>
      <c r="E72" s="34">
        <v>7198</v>
      </c>
      <c r="F72" s="34"/>
      <c r="G72" s="34">
        <v>117</v>
      </c>
      <c r="H72" s="34">
        <v>10124</v>
      </c>
    </row>
    <row r="73" spans="1:8" s="37" customFormat="1" ht="13" x14ac:dyDescent="0.3">
      <c r="A73" s="27" t="s">
        <v>7</v>
      </c>
      <c r="B73" s="11">
        <v>3381</v>
      </c>
      <c r="C73" s="24">
        <v>2</v>
      </c>
      <c r="D73" s="24">
        <v>1629</v>
      </c>
      <c r="E73" s="24">
        <v>9811</v>
      </c>
      <c r="F73" s="24"/>
      <c r="G73" s="24">
        <v>100</v>
      </c>
      <c r="H73" s="24">
        <v>14923</v>
      </c>
    </row>
    <row r="74" spans="1:8" x14ac:dyDescent="0.25">
      <c r="A74" s="19" t="s">
        <v>44</v>
      </c>
      <c r="B74" s="9">
        <v>84</v>
      </c>
      <c r="C74" s="34"/>
      <c r="D74" s="34">
        <v>140</v>
      </c>
      <c r="E74" s="34">
        <v>814</v>
      </c>
      <c r="F74" s="34"/>
      <c r="G74" s="34">
        <v>3</v>
      </c>
      <c r="H74" s="34">
        <v>1041</v>
      </c>
    </row>
    <row r="75" spans="1:8" x14ac:dyDescent="0.25">
      <c r="A75" s="19" t="s">
        <v>24</v>
      </c>
      <c r="B75" s="9">
        <v>3103</v>
      </c>
      <c r="C75" s="34">
        <v>2</v>
      </c>
      <c r="D75" s="34">
        <v>1129</v>
      </c>
      <c r="E75" s="34">
        <v>7048</v>
      </c>
      <c r="F75" s="34"/>
      <c r="G75" s="34">
        <v>84</v>
      </c>
      <c r="H75" s="34">
        <v>11366</v>
      </c>
    </row>
    <row r="76" spans="1:8" x14ac:dyDescent="0.25">
      <c r="A76" s="19" t="s">
        <v>115</v>
      </c>
      <c r="B76" s="9">
        <v>16</v>
      </c>
      <c r="C76" s="34"/>
      <c r="D76" s="34">
        <v>52</v>
      </c>
      <c r="E76" s="34">
        <v>188</v>
      </c>
      <c r="F76" s="34"/>
      <c r="G76" s="34"/>
      <c r="H76" s="34">
        <v>256</v>
      </c>
    </row>
    <row r="77" spans="1:8" x14ac:dyDescent="0.25">
      <c r="A77" s="19" t="s">
        <v>5</v>
      </c>
      <c r="B77" s="9">
        <v>178</v>
      </c>
      <c r="C77" s="34"/>
      <c r="D77" s="34">
        <v>308</v>
      </c>
      <c r="E77" s="34">
        <v>1761</v>
      </c>
      <c r="F77" s="34"/>
      <c r="G77" s="34">
        <v>13</v>
      </c>
      <c r="H77" s="34">
        <v>2260</v>
      </c>
    </row>
    <row r="78" spans="1:8" s="37" customFormat="1" ht="13" x14ac:dyDescent="0.3">
      <c r="A78" s="27" t="s">
        <v>105</v>
      </c>
      <c r="B78" s="11">
        <v>693</v>
      </c>
      <c r="C78" s="24">
        <v>6</v>
      </c>
      <c r="D78" s="24">
        <v>824</v>
      </c>
      <c r="E78" s="24">
        <v>5097</v>
      </c>
      <c r="F78" s="24"/>
      <c r="G78" s="24">
        <v>29</v>
      </c>
      <c r="H78" s="24">
        <v>6649</v>
      </c>
    </row>
    <row r="79" spans="1:8" x14ac:dyDescent="0.25">
      <c r="A79" s="19" t="s">
        <v>44</v>
      </c>
      <c r="B79" s="9"/>
      <c r="C79" s="34"/>
      <c r="D79" s="34"/>
      <c r="E79" s="34">
        <v>1</v>
      </c>
      <c r="F79" s="34"/>
      <c r="G79" s="34"/>
      <c r="H79" s="34">
        <v>1</v>
      </c>
    </row>
    <row r="80" spans="1:8" x14ac:dyDescent="0.25">
      <c r="A80" s="19" t="s">
        <v>102</v>
      </c>
      <c r="B80" s="9">
        <v>679</v>
      </c>
      <c r="C80" s="34">
        <v>6</v>
      </c>
      <c r="D80" s="34">
        <v>785</v>
      </c>
      <c r="E80" s="34">
        <v>4951</v>
      </c>
      <c r="F80" s="34"/>
      <c r="G80" s="34">
        <v>28</v>
      </c>
      <c r="H80" s="34">
        <v>6449</v>
      </c>
    </row>
    <row r="81" spans="1:8" x14ac:dyDescent="0.25">
      <c r="A81" s="19" t="s">
        <v>207</v>
      </c>
      <c r="B81" s="9">
        <v>14</v>
      </c>
      <c r="C81" s="34"/>
      <c r="D81" s="34">
        <v>39</v>
      </c>
      <c r="E81" s="34">
        <v>145</v>
      </c>
      <c r="F81" s="34"/>
      <c r="G81" s="34">
        <v>1</v>
      </c>
      <c r="H81" s="34">
        <v>199</v>
      </c>
    </row>
    <row r="82" spans="1:8" s="37" customFormat="1" ht="13" x14ac:dyDescent="0.3">
      <c r="A82" s="27" t="s">
        <v>112</v>
      </c>
      <c r="B82" s="11">
        <v>447</v>
      </c>
      <c r="C82" s="24"/>
      <c r="D82" s="24">
        <v>530</v>
      </c>
      <c r="E82" s="24">
        <v>3603</v>
      </c>
      <c r="F82" s="24"/>
      <c r="G82" s="24">
        <v>33</v>
      </c>
      <c r="H82" s="24">
        <v>4613</v>
      </c>
    </row>
    <row r="83" spans="1:8" x14ac:dyDescent="0.25">
      <c r="A83" s="19" t="s">
        <v>44</v>
      </c>
      <c r="B83" s="9">
        <v>62</v>
      </c>
      <c r="C83" s="34"/>
      <c r="D83" s="34">
        <v>136</v>
      </c>
      <c r="E83" s="34">
        <v>691</v>
      </c>
      <c r="F83" s="34"/>
      <c r="G83" s="34">
        <v>9</v>
      </c>
      <c r="H83" s="34">
        <v>898</v>
      </c>
    </row>
    <row r="84" spans="1:8" x14ac:dyDescent="0.25">
      <c r="A84" s="19" t="s">
        <v>115</v>
      </c>
      <c r="B84" s="9">
        <v>371</v>
      </c>
      <c r="C84" s="34"/>
      <c r="D84" s="34">
        <v>382</v>
      </c>
      <c r="E84" s="34">
        <v>2835</v>
      </c>
      <c r="F84" s="34"/>
      <c r="G84" s="34">
        <v>23</v>
      </c>
      <c r="H84" s="34">
        <v>3611</v>
      </c>
    </row>
    <row r="85" spans="1:8" x14ac:dyDescent="0.25">
      <c r="A85" s="19" t="s">
        <v>207</v>
      </c>
      <c r="B85" s="9">
        <v>14</v>
      </c>
      <c r="C85" s="34"/>
      <c r="D85" s="34">
        <v>12</v>
      </c>
      <c r="E85" s="34">
        <v>77</v>
      </c>
      <c r="F85" s="34"/>
      <c r="G85" s="34">
        <v>1</v>
      </c>
      <c r="H85" s="34">
        <v>104</v>
      </c>
    </row>
    <row r="86" spans="1:8" s="37" customFormat="1" ht="13" x14ac:dyDescent="0.3">
      <c r="A86" s="27" t="s">
        <v>77</v>
      </c>
      <c r="B86" s="11">
        <v>400</v>
      </c>
      <c r="C86" s="24">
        <v>1</v>
      </c>
      <c r="D86" s="24">
        <v>682</v>
      </c>
      <c r="E86" s="24">
        <v>3687</v>
      </c>
      <c r="F86" s="24"/>
      <c r="G86" s="24">
        <v>3</v>
      </c>
      <c r="H86" s="24">
        <v>4773</v>
      </c>
    </row>
    <row r="87" spans="1:8" x14ac:dyDescent="0.25">
      <c r="A87" s="19" t="s">
        <v>44</v>
      </c>
      <c r="B87" s="9">
        <v>197</v>
      </c>
      <c r="C87" s="34">
        <v>1</v>
      </c>
      <c r="D87" s="34">
        <v>326</v>
      </c>
      <c r="E87" s="34">
        <v>1854</v>
      </c>
      <c r="F87" s="34"/>
      <c r="G87" s="34">
        <v>1</v>
      </c>
      <c r="H87" s="34">
        <v>2379</v>
      </c>
    </row>
    <row r="88" spans="1:8" x14ac:dyDescent="0.25">
      <c r="A88" s="19" t="s">
        <v>115</v>
      </c>
      <c r="B88" s="9">
        <v>84</v>
      </c>
      <c r="C88" s="34"/>
      <c r="D88" s="34">
        <v>216</v>
      </c>
      <c r="E88" s="34">
        <v>1071</v>
      </c>
      <c r="F88" s="34"/>
      <c r="G88" s="34">
        <v>2</v>
      </c>
      <c r="H88" s="34">
        <v>1373</v>
      </c>
    </row>
    <row r="89" spans="1:8" x14ac:dyDescent="0.25">
      <c r="A89" s="19" t="s">
        <v>135</v>
      </c>
      <c r="B89" s="9">
        <v>96</v>
      </c>
      <c r="C89" s="34"/>
      <c r="D89" s="34">
        <v>131</v>
      </c>
      <c r="E89" s="34">
        <v>663</v>
      </c>
      <c r="F89" s="34"/>
      <c r="G89" s="34"/>
      <c r="H89" s="34">
        <v>890</v>
      </c>
    </row>
    <row r="90" spans="1:8" x14ac:dyDescent="0.25">
      <c r="A90" s="19" t="s">
        <v>207</v>
      </c>
      <c r="B90" s="9">
        <v>23</v>
      </c>
      <c r="C90" s="34"/>
      <c r="D90" s="34">
        <v>9</v>
      </c>
      <c r="E90" s="34">
        <v>99</v>
      </c>
      <c r="F90" s="34"/>
      <c r="G90" s="34"/>
      <c r="H90" s="34">
        <v>131</v>
      </c>
    </row>
    <row r="91" spans="1:8" s="37" customFormat="1" ht="13" x14ac:dyDescent="0.3">
      <c r="A91" s="27" t="s">
        <v>52</v>
      </c>
      <c r="B91" s="11">
        <v>392</v>
      </c>
      <c r="C91" s="24"/>
      <c r="D91" s="24">
        <v>1133</v>
      </c>
      <c r="E91" s="24">
        <v>3777</v>
      </c>
      <c r="F91" s="24"/>
      <c r="G91" s="24">
        <v>37</v>
      </c>
      <c r="H91" s="24">
        <v>5339</v>
      </c>
    </row>
    <row r="92" spans="1:8" x14ac:dyDescent="0.25">
      <c r="A92" s="19" t="s">
        <v>115</v>
      </c>
      <c r="B92" s="9">
        <v>40</v>
      </c>
      <c r="C92" s="34"/>
      <c r="D92" s="34">
        <v>303</v>
      </c>
      <c r="E92" s="34">
        <v>587</v>
      </c>
      <c r="F92" s="34"/>
      <c r="G92" s="34">
        <v>18</v>
      </c>
      <c r="H92" s="34">
        <v>948</v>
      </c>
    </row>
    <row r="93" spans="1:8" x14ac:dyDescent="0.25">
      <c r="A93" s="19" t="s">
        <v>207</v>
      </c>
      <c r="B93" s="9">
        <v>3</v>
      </c>
      <c r="C93" s="34"/>
      <c r="D93" s="34">
        <v>3</v>
      </c>
      <c r="E93" s="34">
        <v>32</v>
      </c>
      <c r="F93" s="34"/>
      <c r="G93" s="34"/>
      <c r="H93" s="34">
        <v>38</v>
      </c>
    </row>
    <row r="94" spans="1:8" x14ac:dyDescent="0.25">
      <c r="A94" s="19" t="s">
        <v>48</v>
      </c>
      <c r="B94" s="9">
        <v>349</v>
      </c>
      <c r="C94" s="34"/>
      <c r="D94" s="34">
        <v>827</v>
      </c>
      <c r="E94" s="34">
        <v>3158</v>
      </c>
      <c r="F94" s="34"/>
      <c r="G94" s="34">
        <v>19</v>
      </c>
      <c r="H94" s="34">
        <v>4353</v>
      </c>
    </row>
    <row r="95" spans="1:8" s="37" customFormat="1" ht="13" x14ac:dyDescent="0.3">
      <c r="A95" s="27" t="s">
        <v>174</v>
      </c>
      <c r="B95" s="11">
        <v>1964</v>
      </c>
      <c r="C95" s="24">
        <v>36</v>
      </c>
      <c r="D95" s="24">
        <v>2923</v>
      </c>
      <c r="E95" s="24">
        <v>7430</v>
      </c>
      <c r="F95" s="24">
        <v>45</v>
      </c>
      <c r="G95" s="24">
        <v>504</v>
      </c>
      <c r="H95" s="24">
        <v>12902</v>
      </c>
    </row>
    <row r="96" spans="1:8" x14ac:dyDescent="0.25">
      <c r="A96" s="19" t="s">
        <v>24</v>
      </c>
      <c r="B96" s="9">
        <v>1964</v>
      </c>
      <c r="C96" s="34">
        <v>36</v>
      </c>
      <c r="D96" s="34">
        <v>2923</v>
      </c>
      <c r="E96" s="34">
        <v>7430</v>
      </c>
      <c r="F96" s="34">
        <v>45</v>
      </c>
      <c r="G96" s="34">
        <v>504</v>
      </c>
      <c r="H96" s="34">
        <v>12902</v>
      </c>
    </row>
    <row r="97" spans="1:8" s="37" customFormat="1" ht="13" x14ac:dyDescent="0.3">
      <c r="A97" s="27" t="s">
        <v>49</v>
      </c>
      <c r="B97" s="11">
        <v>418</v>
      </c>
      <c r="C97" s="24"/>
      <c r="D97" s="24">
        <v>704</v>
      </c>
      <c r="E97" s="24">
        <v>2858</v>
      </c>
      <c r="F97" s="24"/>
      <c r="G97" s="24">
        <v>37</v>
      </c>
      <c r="H97" s="24">
        <v>4017</v>
      </c>
    </row>
    <row r="98" spans="1:8" x14ac:dyDescent="0.25">
      <c r="A98" s="19" t="s">
        <v>115</v>
      </c>
      <c r="B98" s="9"/>
      <c r="C98" s="34"/>
      <c r="D98" s="34">
        <v>4</v>
      </c>
      <c r="E98" s="34">
        <v>19</v>
      </c>
      <c r="F98" s="34"/>
      <c r="G98" s="34"/>
      <c r="H98" s="34">
        <v>23</v>
      </c>
    </row>
    <row r="99" spans="1:8" x14ac:dyDescent="0.25">
      <c r="A99" s="19" t="s">
        <v>48</v>
      </c>
      <c r="B99" s="9">
        <v>418</v>
      </c>
      <c r="C99" s="34"/>
      <c r="D99" s="34">
        <v>700</v>
      </c>
      <c r="E99" s="34">
        <v>2839</v>
      </c>
      <c r="F99" s="34"/>
      <c r="G99" s="34">
        <v>37</v>
      </c>
      <c r="H99" s="34">
        <v>3994</v>
      </c>
    </row>
    <row r="100" spans="1:8" s="37" customFormat="1" ht="13" x14ac:dyDescent="0.3">
      <c r="A100" s="27" t="s">
        <v>0</v>
      </c>
      <c r="B100" s="11">
        <v>5771</v>
      </c>
      <c r="C100" s="24">
        <v>20</v>
      </c>
      <c r="D100" s="24">
        <v>5118</v>
      </c>
      <c r="E100" s="24">
        <v>25552</v>
      </c>
      <c r="F100" s="24"/>
      <c r="G100" s="24">
        <v>225</v>
      </c>
      <c r="H100" s="24">
        <v>36686</v>
      </c>
    </row>
    <row r="101" spans="1:8" x14ac:dyDescent="0.25">
      <c r="A101" s="19" t="s">
        <v>44</v>
      </c>
      <c r="B101" s="9">
        <v>217</v>
      </c>
      <c r="C101" s="34"/>
      <c r="D101" s="34">
        <v>383</v>
      </c>
      <c r="E101" s="34">
        <v>1814</v>
      </c>
      <c r="F101" s="34"/>
      <c r="G101" s="34">
        <v>16</v>
      </c>
      <c r="H101" s="34">
        <v>2430</v>
      </c>
    </row>
    <row r="102" spans="1:8" x14ac:dyDescent="0.25">
      <c r="A102" s="19" t="s">
        <v>24</v>
      </c>
      <c r="B102" s="9">
        <v>4293</v>
      </c>
      <c r="C102" s="34"/>
      <c r="D102" s="34">
        <v>2119</v>
      </c>
      <c r="E102" s="34">
        <v>11373</v>
      </c>
      <c r="F102" s="34"/>
      <c r="G102" s="34">
        <v>77</v>
      </c>
      <c r="H102" s="34">
        <v>17862</v>
      </c>
    </row>
    <row r="103" spans="1:8" x14ac:dyDescent="0.25">
      <c r="A103" s="19" t="s">
        <v>5</v>
      </c>
      <c r="B103" s="9">
        <v>459</v>
      </c>
      <c r="C103" s="34"/>
      <c r="D103" s="34">
        <v>280</v>
      </c>
      <c r="E103" s="34">
        <v>2773</v>
      </c>
      <c r="F103" s="34"/>
      <c r="G103" s="34">
        <v>10</v>
      </c>
      <c r="H103" s="34">
        <v>3522</v>
      </c>
    </row>
    <row r="104" spans="1:8" x14ac:dyDescent="0.25">
      <c r="A104" s="19" t="s">
        <v>207</v>
      </c>
      <c r="B104" s="9">
        <v>88</v>
      </c>
      <c r="C104" s="34"/>
      <c r="D104" s="34">
        <v>113</v>
      </c>
      <c r="E104" s="34">
        <v>1164</v>
      </c>
      <c r="F104" s="34"/>
      <c r="G104" s="34">
        <v>1</v>
      </c>
      <c r="H104" s="34">
        <v>1366</v>
      </c>
    </row>
    <row r="105" spans="1:8" x14ac:dyDescent="0.25">
      <c r="A105" s="19" t="s">
        <v>88</v>
      </c>
      <c r="B105" s="9">
        <v>714</v>
      </c>
      <c r="C105" s="34">
        <v>20</v>
      </c>
      <c r="D105" s="34">
        <v>2223</v>
      </c>
      <c r="E105" s="34">
        <v>8428</v>
      </c>
      <c r="F105" s="34"/>
      <c r="G105" s="34">
        <v>121</v>
      </c>
      <c r="H105" s="34">
        <v>11506</v>
      </c>
    </row>
    <row r="106" spans="1:8" s="37" customFormat="1" ht="13" x14ac:dyDescent="0.3">
      <c r="A106" s="27" t="s">
        <v>21</v>
      </c>
      <c r="B106" s="11">
        <v>5685</v>
      </c>
      <c r="C106" s="24">
        <v>14</v>
      </c>
      <c r="D106" s="24">
        <v>8751</v>
      </c>
      <c r="E106" s="24">
        <v>38234</v>
      </c>
      <c r="F106" s="24"/>
      <c r="G106" s="24">
        <v>603</v>
      </c>
      <c r="H106" s="24">
        <v>53287</v>
      </c>
    </row>
    <row r="107" spans="1:8" x14ac:dyDescent="0.25">
      <c r="A107" s="19" t="s">
        <v>268</v>
      </c>
      <c r="B107" s="9"/>
      <c r="C107" s="34"/>
      <c r="D107" s="34">
        <v>3</v>
      </c>
      <c r="E107" s="34">
        <v>3</v>
      </c>
      <c r="F107" s="34"/>
      <c r="G107" s="34"/>
      <c r="H107" s="34">
        <v>6</v>
      </c>
    </row>
    <row r="108" spans="1:8" x14ac:dyDescent="0.25">
      <c r="A108" s="19" t="s">
        <v>24</v>
      </c>
      <c r="B108" s="9">
        <v>1298</v>
      </c>
      <c r="C108" s="34">
        <v>4</v>
      </c>
      <c r="D108" s="34">
        <v>1414</v>
      </c>
      <c r="E108" s="34">
        <v>4490</v>
      </c>
      <c r="F108" s="34"/>
      <c r="G108" s="34">
        <v>215</v>
      </c>
      <c r="H108" s="34">
        <v>7421</v>
      </c>
    </row>
    <row r="109" spans="1:8" x14ac:dyDescent="0.25">
      <c r="A109" s="19" t="s">
        <v>164</v>
      </c>
      <c r="B109" s="9">
        <v>23</v>
      </c>
      <c r="C109" s="34"/>
      <c r="D109" s="34">
        <v>53</v>
      </c>
      <c r="E109" s="34">
        <v>166</v>
      </c>
      <c r="F109" s="34"/>
      <c r="G109" s="34">
        <v>20</v>
      </c>
      <c r="H109" s="34">
        <v>262</v>
      </c>
    </row>
    <row r="110" spans="1:8" x14ac:dyDescent="0.25">
      <c r="A110" s="19" t="s">
        <v>115</v>
      </c>
      <c r="B110" s="9">
        <v>777</v>
      </c>
      <c r="C110" s="34"/>
      <c r="D110" s="34">
        <v>823</v>
      </c>
      <c r="E110" s="34">
        <v>4945</v>
      </c>
      <c r="F110" s="34"/>
      <c r="G110" s="34">
        <v>88</v>
      </c>
      <c r="H110" s="34">
        <v>6633</v>
      </c>
    </row>
    <row r="111" spans="1:8" x14ac:dyDescent="0.25">
      <c r="A111" s="19" t="s">
        <v>57</v>
      </c>
      <c r="B111" s="9">
        <v>304</v>
      </c>
      <c r="C111" s="34">
        <v>3</v>
      </c>
      <c r="D111" s="34">
        <v>760</v>
      </c>
      <c r="E111" s="34">
        <v>2864</v>
      </c>
      <c r="F111" s="34"/>
      <c r="G111" s="34">
        <v>33</v>
      </c>
      <c r="H111" s="34">
        <v>3964</v>
      </c>
    </row>
    <row r="112" spans="1:8" x14ac:dyDescent="0.25">
      <c r="A112" s="19" t="s">
        <v>5</v>
      </c>
      <c r="B112" s="9">
        <v>240</v>
      </c>
      <c r="C112" s="34"/>
      <c r="D112" s="34">
        <v>244</v>
      </c>
      <c r="E112" s="34">
        <v>1706</v>
      </c>
      <c r="F112" s="34"/>
      <c r="G112" s="34">
        <v>18</v>
      </c>
      <c r="H112" s="34">
        <v>2208</v>
      </c>
    </row>
    <row r="113" spans="1:8" x14ac:dyDescent="0.25">
      <c r="A113" s="19" t="s">
        <v>135</v>
      </c>
      <c r="B113" s="9">
        <v>1960</v>
      </c>
      <c r="C113" s="34">
        <v>3</v>
      </c>
      <c r="D113" s="34">
        <v>3239</v>
      </c>
      <c r="E113" s="34">
        <v>15051</v>
      </c>
      <c r="F113" s="34"/>
      <c r="G113" s="34">
        <v>137</v>
      </c>
      <c r="H113" s="34">
        <v>20390</v>
      </c>
    </row>
    <row r="114" spans="1:8" x14ac:dyDescent="0.25">
      <c r="A114" s="19" t="s">
        <v>48</v>
      </c>
      <c r="B114" s="9">
        <v>18</v>
      </c>
      <c r="C114" s="34"/>
      <c r="D114" s="34">
        <v>20</v>
      </c>
      <c r="E114" s="34">
        <v>111</v>
      </c>
      <c r="F114" s="34"/>
      <c r="G114" s="34"/>
      <c r="H114" s="34">
        <v>149</v>
      </c>
    </row>
    <row r="115" spans="1:8" x14ac:dyDescent="0.25">
      <c r="A115" s="19" t="s">
        <v>88</v>
      </c>
      <c r="B115" s="9">
        <v>1065</v>
      </c>
      <c r="C115" s="34">
        <v>4</v>
      </c>
      <c r="D115" s="34">
        <v>2195</v>
      </c>
      <c r="E115" s="34">
        <v>8898</v>
      </c>
      <c r="F115" s="34"/>
      <c r="G115" s="34">
        <v>92</v>
      </c>
      <c r="H115" s="34">
        <v>12254</v>
      </c>
    </row>
    <row r="116" spans="1:8" s="37" customFormat="1" ht="13" x14ac:dyDescent="0.3">
      <c r="A116" s="27" t="s">
        <v>124</v>
      </c>
      <c r="B116" s="11">
        <v>1177</v>
      </c>
      <c r="C116" s="24"/>
      <c r="D116" s="24">
        <v>1913</v>
      </c>
      <c r="E116" s="24">
        <v>9407</v>
      </c>
      <c r="F116" s="24"/>
      <c r="G116" s="24">
        <v>119</v>
      </c>
      <c r="H116" s="24">
        <v>12616</v>
      </c>
    </row>
    <row r="117" spans="1:8" x14ac:dyDescent="0.25">
      <c r="A117" s="19" t="s">
        <v>44</v>
      </c>
      <c r="B117" s="9">
        <v>1003</v>
      </c>
      <c r="C117" s="34"/>
      <c r="D117" s="34">
        <v>1437</v>
      </c>
      <c r="E117" s="34">
        <v>7240</v>
      </c>
      <c r="F117" s="34"/>
      <c r="G117" s="34">
        <v>91</v>
      </c>
      <c r="H117" s="34">
        <v>9771</v>
      </c>
    </row>
    <row r="118" spans="1:8" x14ac:dyDescent="0.25">
      <c r="A118" s="19" t="s">
        <v>115</v>
      </c>
      <c r="B118" s="9">
        <v>164</v>
      </c>
      <c r="C118" s="34"/>
      <c r="D118" s="34">
        <v>427</v>
      </c>
      <c r="E118" s="34">
        <v>1956</v>
      </c>
      <c r="F118" s="34"/>
      <c r="G118" s="34">
        <v>27</v>
      </c>
      <c r="H118" s="34">
        <v>2574</v>
      </c>
    </row>
    <row r="119" spans="1:8" x14ac:dyDescent="0.25">
      <c r="A119" s="19" t="s">
        <v>207</v>
      </c>
      <c r="B119" s="9">
        <v>10</v>
      </c>
      <c r="C119" s="34"/>
      <c r="D119" s="34">
        <v>49</v>
      </c>
      <c r="E119" s="34">
        <v>211</v>
      </c>
      <c r="F119" s="34"/>
      <c r="G119" s="34">
        <v>1</v>
      </c>
      <c r="H119" s="34">
        <v>271</v>
      </c>
    </row>
    <row r="120" spans="1:8" s="37" customFormat="1" ht="13" x14ac:dyDescent="0.3">
      <c r="A120" s="27" t="s">
        <v>167</v>
      </c>
      <c r="B120" s="11">
        <v>3713</v>
      </c>
      <c r="C120" s="24">
        <v>53</v>
      </c>
      <c r="D120" s="24">
        <v>4304</v>
      </c>
      <c r="E120" s="24">
        <v>27013</v>
      </c>
      <c r="F120" s="24"/>
      <c r="G120" s="24">
        <v>206</v>
      </c>
      <c r="H120" s="24">
        <v>35289</v>
      </c>
    </row>
    <row r="121" spans="1:8" x14ac:dyDescent="0.25">
      <c r="A121" s="19" t="s">
        <v>44</v>
      </c>
      <c r="B121" s="9">
        <v>520</v>
      </c>
      <c r="C121" s="34"/>
      <c r="D121" s="34">
        <v>766</v>
      </c>
      <c r="E121" s="34">
        <v>4383</v>
      </c>
      <c r="F121" s="34"/>
      <c r="G121" s="34">
        <v>12</v>
      </c>
      <c r="H121" s="34">
        <v>5681</v>
      </c>
    </row>
    <row r="122" spans="1:8" x14ac:dyDescent="0.25">
      <c r="A122" s="19" t="s">
        <v>170</v>
      </c>
      <c r="B122" s="9">
        <v>3046</v>
      </c>
      <c r="C122" s="34">
        <v>53</v>
      </c>
      <c r="D122" s="34">
        <v>3350</v>
      </c>
      <c r="E122" s="34">
        <v>21100</v>
      </c>
      <c r="F122" s="34"/>
      <c r="G122" s="34">
        <v>190</v>
      </c>
      <c r="H122" s="34">
        <v>27739</v>
      </c>
    </row>
    <row r="123" spans="1:8" x14ac:dyDescent="0.25">
      <c r="A123" s="19" t="s">
        <v>207</v>
      </c>
      <c r="B123" s="9">
        <v>147</v>
      </c>
      <c r="C123" s="34"/>
      <c r="D123" s="34">
        <v>188</v>
      </c>
      <c r="E123" s="34">
        <v>1530</v>
      </c>
      <c r="F123" s="34"/>
      <c r="G123" s="34">
        <v>4</v>
      </c>
      <c r="H123" s="34">
        <v>1869</v>
      </c>
    </row>
    <row r="124" spans="1:8" s="37" customFormat="1" ht="13" x14ac:dyDescent="0.3">
      <c r="A124" s="27" t="s">
        <v>61</v>
      </c>
      <c r="B124" s="11">
        <v>6889</v>
      </c>
      <c r="C124" s="24">
        <v>36</v>
      </c>
      <c r="D124" s="24">
        <v>10883</v>
      </c>
      <c r="E124" s="24">
        <v>56820</v>
      </c>
      <c r="F124" s="24"/>
      <c r="G124" s="24">
        <v>443</v>
      </c>
      <c r="H124" s="24">
        <v>75071</v>
      </c>
    </row>
    <row r="125" spans="1:8" x14ac:dyDescent="0.25">
      <c r="A125" s="19" t="s">
        <v>102</v>
      </c>
      <c r="B125" s="9">
        <v>1202</v>
      </c>
      <c r="C125" s="34">
        <v>4</v>
      </c>
      <c r="D125" s="34">
        <v>1961</v>
      </c>
      <c r="E125" s="34">
        <v>11236</v>
      </c>
      <c r="F125" s="34"/>
      <c r="G125" s="34">
        <v>63</v>
      </c>
      <c r="H125" s="34">
        <v>14466</v>
      </c>
    </row>
    <row r="126" spans="1:8" x14ac:dyDescent="0.25">
      <c r="A126" s="19" t="s">
        <v>57</v>
      </c>
      <c r="B126" s="9">
        <v>3759</v>
      </c>
      <c r="C126" s="34">
        <v>16</v>
      </c>
      <c r="D126" s="34">
        <v>4847</v>
      </c>
      <c r="E126" s="34">
        <v>27461</v>
      </c>
      <c r="F126" s="34"/>
      <c r="G126" s="34">
        <v>238</v>
      </c>
      <c r="H126" s="34">
        <v>36321</v>
      </c>
    </row>
    <row r="127" spans="1:8" x14ac:dyDescent="0.25">
      <c r="A127" s="19" t="s">
        <v>5</v>
      </c>
      <c r="B127" s="9">
        <v>323</v>
      </c>
      <c r="C127" s="34"/>
      <c r="D127" s="34">
        <v>320</v>
      </c>
      <c r="E127" s="34">
        <v>2193</v>
      </c>
      <c r="F127" s="34"/>
      <c r="G127" s="34">
        <v>6</v>
      </c>
      <c r="H127" s="34">
        <v>2842</v>
      </c>
    </row>
    <row r="128" spans="1:8" x14ac:dyDescent="0.25">
      <c r="A128" s="19" t="s">
        <v>88</v>
      </c>
      <c r="B128" s="9">
        <v>1605</v>
      </c>
      <c r="C128" s="34">
        <v>16</v>
      </c>
      <c r="D128" s="34">
        <v>3755</v>
      </c>
      <c r="E128" s="34">
        <v>15930</v>
      </c>
      <c r="F128" s="34"/>
      <c r="G128" s="34">
        <v>136</v>
      </c>
      <c r="H128" s="34">
        <v>21442</v>
      </c>
    </row>
    <row r="129" spans="1:8" x14ac:dyDescent="0.25">
      <c r="A129" s="19" t="s">
        <v>287</v>
      </c>
      <c r="B129" s="9">
        <v>81937</v>
      </c>
      <c r="C129" s="34">
        <v>297</v>
      </c>
      <c r="D129" s="34">
        <v>124668</v>
      </c>
      <c r="E129" s="34">
        <v>535712</v>
      </c>
      <c r="F129" s="34">
        <v>48</v>
      </c>
      <c r="G129" s="34">
        <v>6221</v>
      </c>
      <c r="H129" s="34">
        <v>748883</v>
      </c>
    </row>
  </sheetData>
  <pageMargins left="0.7" right="0.7" top="0.75" bottom="0.75" header="0.3" footer="0.3"/>
  <pageSetup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ХПУ тури</vt:lpstr>
      <vt:lpstr>Банк кесими</vt:lpstr>
      <vt:lpstr>ҳудуд кесими</vt:lpstr>
      <vt:lpstr>филиал кес.</vt:lpstr>
      <vt:lpstr>валюта кес.</vt:lpstr>
      <vt:lpstr>давлатлар кес.</vt:lpstr>
      <vt:lpstr>топ банк филиал</vt:lpstr>
      <vt:lpstr>топ давлатлар</vt:lpstr>
      <vt:lpstr>норезидент</vt:lpstr>
      <vt:lpstr>ойлар кес.</vt:lpstr>
      <vt:lpstr>тоифа </vt:lpstr>
      <vt:lpstr>Валюта градация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CBUser</dc:creator>
  <cp:lastModifiedBy>Ali Turdiyev</cp:lastModifiedBy>
  <dcterms:created xsi:type="dcterms:W3CDTF">2025-12-23T04:40:56Z</dcterms:created>
  <dcterms:modified xsi:type="dcterms:W3CDTF">2025-12-29T11:46:23Z</dcterms:modified>
</cp:coreProperties>
</file>